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 - READ FIRST" sheetId="1" r:id="rId5"/>
    <sheet state="visible" name="Members" sheetId="2" r:id="rId6"/>
    <sheet state="visible" name="Master Leads" sheetId="3" r:id="rId7"/>
    <sheet state="visible" name="Leads Summary" sheetId="4" r:id="rId8"/>
  </sheets>
  <definedNames/>
  <calcPr/>
</workbook>
</file>

<file path=xl/sharedStrings.xml><?xml version="1.0" encoding="utf-8"?>
<sst xmlns="http://schemas.openxmlformats.org/spreadsheetml/2006/main" count="125" uniqueCount="102">
  <si>
    <t>HOW THIS SYSTEM WORKS (v8 - same layout as before, one bug fixed)</t>
  </si>
  <si>
    <t>Member Name</t>
  </si>
  <si>
    <t>Member</t>
  </si>
  <si>
    <t>Phone (Normalized)</t>
  </si>
  <si>
    <t>Total Leads (auto)</t>
  </si>
  <si>
    <t>This is the same Master Leads layout you already have live. Only the F-Code rule changed:</t>
  </si>
  <si>
    <t>Converted Leads (auto)</t>
  </si>
  <si>
    <t>F-CODE IS NOW UNIQUE PER PHONE NUMBER, PERMANENTLY</t>
  </si>
  <si>
    <t>maheesha</t>
  </si>
  <si>
    <t>Before: every new campaign entry generated a brand new F-code, even for a phone number already in the system.</t>
  </si>
  <si>
    <t>Now: 'Add New Lead' checks column A (Phone Normalized) for this number FIRST. If it's already there under any</t>
  </si>
  <si>
    <t>earlier row, it REUSES that same F-code. A new F-code is only generated the very first time a number is ever seen.</t>
  </si>
  <si>
    <t>So the same student messaging in through a different boost later keeps their original F-code, and gets a new</t>
  </si>
  <si>
    <t>row logging the new campaign/enquiry - not a new identity.</t>
  </si>
  <si>
    <t>DUPLICATE VS REPEAT (unchanged)</t>
  </si>
  <si>
    <t>Same phone + same campaign already logged = true duplicate, blocked, no new row.</t>
  </si>
  <si>
    <t>Same phone + a different/new campaign = new row added, F-code reused, marked 'Repeat Student'.</t>
  </si>
  <si>
    <t>SETUP STEPS</t>
  </si>
  <si>
    <t>1. Extensions &gt; Apps Script &gt; delete existing code &gt; paste in the new Code.gs &gt; Save.</t>
  </si>
  <si>
    <t>2. Reload the sheet. Use 'Lead Tools &gt; Add New Lead' as before (same phone/campaign/name prompts).</t>
  </si>
  <si>
    <t>Never type a leading '=' before a phone number (e.g. don't type '=94 70 335 2129') - Sheets reads that as a</t>
  </si>
  <si>
    <t>broken formula and shows #ERROR!. Just type the digits, with or without '+94'.</t>
  </si>
  <si>
    <t>Total Leads Handled</t>
  </si>
  <si>
    <t>Commission (Rs.) is tracked separately in the Payment file, once a lead is confirmed as a paying student.</t>
  </si>
  <si>
    <t>Converted Leads</t>
  </si>
  <si>
    <t>F-CODE NOW AUTO-FILLS EVEN WITH DIRECT TYPING</t>
  </si>
  <si>
    <t>Previously, typing a phone number straight into column B (instead of using 'Add New Lead') left the F-Code</t>
  </si>
  <si>
    <t>Conversion Rate</t>
  </si>
  <si>
    <t>cell blank, since only the menu button filled it in. This is now fixed: the moment a phone number is typed into</t>
  </si>
  <si>
    <t>column B - by the menu OR by hand - the F-Code fills in automatically within a second or two: reused if the</t>
  </si>
  <si>
    <t>number exists elsewhere, or a brand new code if it's the first time this number has been seen.</t>
  </si>
  <si>
    <t>It never overwrites a code that's already there, so it's safe even if you fill in rows in any order.</t>
  </si>
  <si>
    <t>Using 'Add New Lead' is still the better habit - it also checks the campaign and warns about true duplicates</t>
  </si>
  <si>
    <t>before you type anything - but typing directly into a row will no longer leave the F-Code blank.</t>
  </si>
  <si>
    <t>DATE ADDED NOW AUTO-FILLS TOO</t>
  </si>
  <si>
    <t>The moment a phone number is typed into column B, 'Date Added' fills in with today's date automatically -</t>
  </si>
  <si>
    <t>same trigger as the F-Code fix, and just as safe: it never overwrites a date that's already there.</t>
  </si>
  <si>
    <t>Raw Phone (as entered)</t>
  </si>
  <si>
    <t>COLOUR WARNINGS (new)</t>
  </si>
  <si>
    <t xml:space="preserve"> - RED row = a true duplicate (same phone + same campaign already logged). Check before doing anything else.</t>
  </si>
  <si>
    <t xml:space="preserve"> - ORANGE F-Code cell = phone entered but no F-code yet (very rare now, but means something went wrong -</t>
  </si>
  <si>
    <t xml:space="preserve">   check the number isn't too short/incomplete).</t>
  </si>
  <si>
    <t xml:space="preserve"> - YELLOW Assigned Member / Campaign cell = phone entered but that field is still blank - fill it in.</t>
  </si>
  <si>
    <t>F-Code</t>
  </si>
  <si>
    <t xml:space="preserve"> - LIGHT BLUE row (in Repeat Student column) = a returning student under a new campaign - not a problem,</t>
  </si>
  <si>
    <t xml:space="preserve">   just worth noticing.</t>
  </si>
  <si>
    <t xml:space="preserve"> - Status column colours: green = Converted, red = Not Interested, orange = No Answer, blue = New,</t>
  </si>
  <si>
    <t xml:space="preserve">   grey = Contacted. Lets you scan the whole sheet at a glance without reading every word.</t>
  </si>
  <si>
    <t>Assigned Member</t>
  </si>
  <si>
    <t>0716030661</t>
  </si>
  <si>
    <t>Date Added</t>
  </si>
  <si>
    <t>Status</t>
  </si>
  <si>
    <t>Grade</t>
  </si>
  <si>
    <t>Comments</t>
  </si>
  <si>
    <t>Second Call Done</t>
  </si>
  <si>
    <t>Second Call Notes</t>
  </si>
  <si>
    <t>menik</t>
  </si>
  <si>
    <t>Duplicate Check</t>
  </si>
  <si>
    <t>Campaign / Boost Name</t>
  </si>
  <si>
    <t>Repeat Student?</t>
  </si>
  <si>
    <t>Previous F-Code (if repeat)</t>
  </si>
  <si>
    <t>Paid</t>
  </si>
  <si>
    <t>kavinda</t>
  </si>
  <si>
    <t>umesh</t>
  </si>
  <si>
    <t>+94 77 862 5101</t>
  </si>
  <si>
    <t>Avishka</t>
  </si>
  <si>
    <t>F00001</t>
  </si>
  <si>
    <t>Wihanga</t>
  </si>
  <si>
    <t>muthumali</t>
  </si>
  <si>
    <t>shamali</t>
  </si>
  <si>
    <t>TOTAL</t>
  </si>
  <si>
    <t>2026-07-01</t>
  </si>
  <si>
    <t>Converted</t>
  </si>
  <si>
    <t>6</t>
  </si>
  <si>
    <t>No</t>
  </si>
  <si>
    <t>B1</t>
  </si>
  <si>
    <t>7, 9</t>
  </si>
  <si>
    <t>0766820157</t>
  </si>
  <si>
    <t>F00002</t>
  </si>
  <si>
    <t>2026-07-02</t>
  </si>
  <si>
    <t>Not Interested</t>
  </si>
  <si>
    <t>off</t>
  </si>
  <si>
    <t>+94 71 219 7438</t>
  </si>
  <si>
    <t>F00003</t>
  </si>
  <si>
    <t>2026-07-03</t>
  </si>
  <si>
    <t>Contacted</t>
  </si>
  <si>
    <t>11</t>
  </si>
  <si>
    <t>Yes</t>
  </si>
  <si>
    <t>details ewanna</t>
  </si>
  <si>
    <t>F00004</t>
  </si>
  <si>
    <t>8, 9</t>
  </si>
  <si>
    <t>send details</t>
  </si>
  <si>
    <t>9</t>
  </si>
  <si>
    <t>F00005</t>
  </si>
  <si>
    <t>New</t>
  </si>
  <si>
    <t>7</t>
  </si>
  <si>
    <t>F00006</t>
  </si>
  <si>
    <t>No Answer</t>
  </si>
  <si>
    <t>8</t>
  </si>
  <si>
    <t>10</t>
  </si>
  <si>
    <t>B2</t>
  </si>
  <si>
    <t>F00007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</si>
</sst>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d/m"/>
  </numFmts>
  <fonts count="7">
    <font>
      <sz val="11.0"/>
      <color theme="1"/>
      <name val="Calibri"/>
      <scheme val="minor"/>
    </font>
    <font>
      <b/>
      <sz val="12.0"/>
      <color rgb="FF1F4E78"/>
      <name val="Arial"/>
    </font>
    <font>
      <b/>
      <sz val="10.0"/>
      <color rgb="FFFFFFFF"/>
      <name val="Arial"/>
    </font>
    <font>
      <sz val="10.0"/>
      <color rgb="FF000000"/>
      <name val="Arial"/>
    </font>
    <font>
      <sz val="11.0"/>
      <color theme="1"/>
      <name val="Calibri"/>
    </font>
    <font>
      <b/>
      <sz val="11.0"/>
      <color theme="1"/>
      <name val="Cambria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</fills>
  <borders count="3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top" wrapText="1"/>
    </xf>
    <xf borderId="2" fillId="3" fontId="4" numFmtId="0" xfId="0" applyAlignment="1" applyBorder="1" applyFill="1" applyFont="1">
      <alignment vertical="bottom"/>
    </xf>
    <xf borderId="0" fillId="0" fontId="4" numFmtId="0" xfId="0" applyAlignment="1" applyFont="1">
      <alignment vertical="bottom"/>
    </xf>
    <xf quotePrefix="1" borderId="0" fillId="0" fontId="4" numFmtId="0" xfId="0" applyAlignment="1" applyFont="1">
      <alignment readingOrder="0" vertical="bottom"/>
    </xf>
    <xf borderId="0" fillId="0" fontId="4" numFmtId="164" xfId="0" applyAlignment="1" applyFont="1" applyNumberFormat="1">
      <alignment vertical="bottom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vertical="bottom"/>
    </xf>
    <xf borderId="1" fillId="3" fontId="4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" fillId="4" fontId="4" numFmtId="0" xfId="0" applyAlignment="1" applyBorder="1" applyFill="1" applyFont="1">
      <alignment vertical="bottom"/>
    </xf>
    <xf borderId="1" fillId="4" fontId="4" numFmtId="0" xfId="0" applyAlignment="1" applyBorder="1" applyFont="1">
      <alignment readingOrder="0" vertical="bottom"/>
    </xf>
    <xf borderId="1" fillId="3" fontId="4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bottom"/>
    </xf>
    <xf borderId="1" fillId="5" fontId="4" numFmtId="0" xfId="0" applyAlignment="1" applyBorder="1" applyFill="1" applyFont="1">
      <alignment readingOrder="0" vertical="bottom"/>
    </xf>
    <xf borderId="0" fillId="5" fontId="6" numFmtId="0" xfId="0" applyFont="1"/>
    <xf borderId="1" fillId="4" fontId="4" numFmtId="0" xfId="0" applyAlignment="1" applyBorder="1" applyFont="1">
      <alignment readingOrder="0" vertical="bottom"/>
    </xf>
    <xf borderId="1" fillId="5" fontId="4" numFmtId="0" xfId="0" applyAlignment="1" applyBorder="1" applyFont="1">
      <alignment vertical="bottom"/>
    </xf>
    <xf borderId="0" fillId="4" fontId="4" numFmtId="14" xfId="0" applyAlignment="1" applyFont="1" applyNumberFormat="1">
      <alignment readingOrder="0" vertical="bottom"/>
    </xf>
    <xf borderId="0" fillId="4" fontId="4" numFmtId="0" xfId="0" applyAlignment="1" applyFont="1">
      <alignment readingOrder="0" vertical="bottom"/>
    </xf>
    <xf borderId="0" fillId="4" fontId="4" numFmtId="165" xfId="0" applyAlignment="1" applyFont="1" applyNumberFormat="1">
      <alignment readingOrder="0" vertical="bottom"/>
    </xf>
    <xf borderId="0" fillId="4" fontId="4" numFmtId="0" xfId="0" applyAlignment="1" applyFont="1">
      <alignment vertical="bottom"/>
    </xf>
    <xf borderId="0" fillId="3" fontId="4" numFmtId="0" xfId="0" applyAlignment="1" applyFont="1">
      <alignment readingOrder="0" vertical="bottom"/>
    </xf>
    <xf borderId="0" fillId="5" fontId="4" numFmtId="165" xfId="0" applyAlignment="1" applyFont="1" applyNumberFormat="1">
      <alignment readingOrder="0" vertical="bottom"/>
    </xf>
    <xf borderId="0" fillId="4" fontId="4" numFmtId="0" xfId="0" applyAlignment="1" applyFont="1">
      <alignment readingOrder="0" vertical="bottom"/>
    </xf>
    <xf borderId="0" fillId="3" fontId="4" numFmtId="0" xfId="0" applyAlignment="1" applyFont="1">
      <alignment vertical="bottom"/>
    </xf>
    <xf borderId="0" fillId="5" fontId="4" numFmtId="0" xfId="0" applyAlignment="1" applyFont="1">
      <alignment readingOrder="0" vertical="bottom"/>
    </xf>
    <xf borderId="0" fillId="5" fontId="4" numFmtId="0" xfId="0" applyAlignment="1" applyFont="1">
      <alignment vertical="bottom"/>
    </xf>
  </cellXfs>
  <cellStyles count="1">
    <cellStyle xfId="0" name="Normal" builtinId="0"/>
  </cellStyles>
  <dxfs count="7">
    <dxf>
      <font>
        <b/>
        <color rgb="FF99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15.0" customHeight="1">
      <c r="A1" s="1" t="s">
        <v>0</v>
      </c>
    </row>
    <row r="2" ht="15.0" customHeight="1">
      <c r="A2" s="3"/>
    </row>
    <row r="3" ht="15.0" customHeight="1">
      <c r="A3" s="3" t="s">
        <v>5</v>
      </c>
    </row>
    <row r="4" ht="15.0" customHeight="1">
      <c r="A4" s="3"/>
    </row>
    <row r="5" ht="15.0" customHeight="1">
      <c r="A5" s="1" t="s">
        <v>7</v>
      </c>
    </row>
    <row r="6" ht="15.0" customHeight="1">
      <c r="A6" s="3" t="s">
        <v>9</v>
      </c>
    </row>
    <row r="7" ht="15.0" customHeight="1">
      <c r="A7" s="3" t="s">
        <v>10</v>
      </c>
    </row>
    <row r="8" ht="15.0" customHeight="1">
      <c r="A8" s="3" t="s">
        <v>11</v>
      </c>
    </row>
    <row r="9" ht="15.0" customHeight="1">
      <c r="A9" s="3"/>
    </row>
    <row r="10" ht="15.0" customHeight="1">
      <c r="A10" s="3" t="s">
        <v>12</v>
      </c>
    </row>
    <row r="11" ht="15.0" customHeight="1">
      <c r="A11" s="3" t="s">
        <v>13</v>
      </c>
    </row>
    <row r="12" ht="15.0" customHeight="1">
      <c r="A12" s="3"/>
    </row>
    <row r="13" ht="15.0" customHeight="1">
      <c r="A13" s="1" t="s">
        <v>14</v>
      </c>
    </row>
    <row r="14" ht="15.0" customHeight="1">
      <c r="A14" s="3" t="s">
        <v>15</v>
      </c>
    </row>
    <row r="15" ht="15.0" customHeight="1">
      <c r="A15" s="3" t="s">
        <v>16</v>
      </c>
    </row>
    <row r="16" ht="15.0" customHeight="1">
      <c r="A16" s="3"/>
    </row>
    <row r="17" ht="15.0" customHeight="1">
      <c r="A17" s="1" t="s">
        <v>17</v>
      </c>
    </row>
    <row r="18" ht="15.0" customHeight="1">
      <c r="A18" s="3" t="s">
        <v>18</v>
      </c>
    </row>
    <row r="19" ht="15.0" customHeight="1">
      <c r="A19" s="3" t="s">
        <v>19</v>
      </c>
    </row>
    <row r="20" ht="15.0" customHeight="1">
      <c r="A20" s="3"/>
    </row>
    <row r="21" ht="15.0" customHeight="1">
      <c r="A21" s="3" t="s">
        <v>20</v>
      </c>
    </row>
    <row r="22" ht="15.0" customHeight="1">
      <c r="A22" s="3" t="s">
        <v>21</v>
      </c>
    </row>
    <row r="23" ht="15.0" customHeight="1">
      <c r="A23" s="3"/>
    </row>
    <row r="24" ht="15.0" customHeight="1">
      <c r="A24" s="3" t="s">
        <v>23</v>
      </c>
    </row>
    <row r="25" ht="15.0" customHeight="1">
      <c r="A25" s="3"/>
    </row>
    <row r="26" ht="15.0" customHeight="1">
      <c r="A26" s="1" t="s">
        <v>25</v>
      </c>
    </row>
    <row r="27" ht="15.0" customHeight="1">
      <c r="A27" s="3" t="s">
        <v>26</v>
      </c>
    </row>
    <row r="28" ht="15.0" customHeight="1">
      <c r="A28" s="3" t="s">
        <v>28</v>
      </c>
    </row>
    <row r="29" ht="15.0" customHeight="1">
      <c r="A29" s="3" t="s">
        <v>29</v>
      </c>
    </row>
    <row r="30" ht="15.0" customHeight="1">
      <c r="A30" s="3" t="s">
        <v>30</v>
      </c>
    </row>
    <row r="31" ht="15.0" customHeight="1">
      <c r="A31" s="3" t="s">
        <v>31</v>
      </c>
    </row>
    <row r="32" ht="15.0" customHeight="1">
      <c r="A32" s="3" t="s">
        <v>32</v>
      </c>
    </row>
    <row r="33" ht="15.0" customHeight="1">
      <c r="A33" s="3" t="s">
        <v>33</v>
      </c>
    </row>
    <row r="34" ht="15.75" customHeight="1">
      <c r="A34" s="3"/>
    </row>
    <row r="35" ht="15.75" customHeight="1">
      <c r="A35" s="1" t="s">
        <v>34</v>
      </c>
    </row>
    <row r="36" ht="15.75" customHeight="1">
      <c r="A36" s="3" t="s">
        <v>35</v>
      </c>
    </row>
    <row r="37" ht="15.75" customHeight="1">
      <c r="A37" s="3" t="s">
        <v>36</v>
      </c>
    </row>
    <row r="38" ht="15.75" customHeight="1">
      <c r="A38" s="3"/>
    </row>
    <row r="39" ht="15.75" customHeight="1">
      <c r="A39" s="1" t="s">
        <v>38</v>
      </c>
    </row>
    <row r="40" ht="15.75" customHeight="1">
      <c r="A40" s="3" t="s">
        <v>39</v>
      </c>
    </row>
    <row r="41" ht="15.75" customHeight="1">
      <c r="A41" s="3" t="s">
        <v>40</v>
      </c>
    </row>
    <row r="42" ht="15.75" customHeight="1">
      <c r="A42" s="3" t="s">
        <v>41</v>
      </c>
    </row>
    <row r="43" ht="15.75" customHeight="1">
      <c r="A43" s="3" t="s">
        <v>42</v>
      </c>
    </row>
    <row r="44" ht="15.75" customHeight="1">
      <c r="A44" s="3" t="s">
        <v>44</v>
      </c>
    </row>
    <row r="45" ht="15.75" customHeight="1">
      <c r="A45" s="3" t="s">
        <v>45</v>
      </c>
    </row>
    <row r="46" ht="15.75" customHeight="1">
      <c r="A46" s="3" t="s">
        <v>46</v>
      </c>
    </row>
    <row r="47" ht="15.75" customHeight="1">
      <c r="A47" s="3" t="s">
        <v>47</v>
      </c>
    </row>
    <row r="48" ht="15.75" customHeight="1">
      <c r="A48" s="6" t="s">
        <v>49</v>
      </c>
    </row>
    <row r="49" ht="15.75" customHeight="1">
      <c r="A49" s="5"/>
    </row>
    <row r="50" ht="15.75" customHeight="1">
      <c r="A50" s="5"/>
    </row>
    <row r="51" ht="15.75" customHeight="1">
      <c r="A51" s="5"/>
    </row>
    <row r="52" ht="15.75" customHeight="1">
      <c r="A52" s="5"/>
    </row>
    <row r="53" ht="15.75" customHeight="1">
      <c r="A53" s="5"/>
    </row>
    <row r="54" ht="15.75" customHeight="1">
      <c r="A54" s="5"/>
    </row>
    <row r="55" ht="15.75" customHeight="1">
      <c r="A55" s="5"/>
    </row>
    <row r="56" ht="15.75" customHeight="1">
      <c r="A56" s="5"/>
    </row>
    <row r="57" ht="15.75" customHeight="1">
      <c r="A57" s="5"/>
    </row>
    <row r="58" ht="15.75" customHeight="1">
      <c r="A58" s="5"/>
    </row>
    <row r="59" ht="15.75" customHeight="1">
      <c r="A59" s="5"/>
    </row>
    <row r="60" ht="15.75" customHeight="1">
      <c r="A60" s="5"/>
    </row>
    <row r="61" ht="15.75" customHeight="1">
      <c r="A61" s="5"/>
    </row>
    <row r="62" ht="15.75" customHeight="1">
      <c r="A62" s="5"/>
    </row>
    <row r="63" ht="15.75" customHeight="1">
      <c r="A63" s="5"/>
    </row>
    <row r="64" ht="15.75" customHeight="1">
      <c r="A64" s="5"/>
    </row>
    <row r="65" ht="15.75" customHeight="1">
      <c r="A65" s="5"/>
    </row>
    <row r="66" ht="15.75" customHeight="1">
      <c r="A66" s="5"/>
    </row>
    <row r="67" ht="15.75" customHeight="1">
      <c r="A67" s="5"/>
    </row>
    <row r="68" ht="15.75" customHeight="1">
      <c r="A68" s="5"/>
    </row>
    <row r="69" ht="15.75" customHeight="1">
      <c r="A69" s="5"/>
    </row>
    <row r="70" ht="15.75" customHeight="1">
      <c r="A70" s="5"/>
    </row>
    <row r="71" ht="15.75" customHeight="1">
      <c r="A71" s="5"/>
    </row>
    <row r="72" ht="15.75" customHeight="1">
      <c r="A72" s="5"/>
    </row>
    <row r="73" ht="15.75" customHeight="1">
      <c r="A73" s="5"/>
    </row>
    <row r="74" ht="15.75" customHeight="1">
      <c r="A74" s="5"/>
    </row>
    <row r="75" ht="15.75" customHeight="1">
      <c r="A75" s="5"/>
    </row>
    <row r="76" ht="15.75" customHeight="1">
      <c r="A76" s="5"/>
    </row>
    <row r="77" ht="15.75" customHeight="1">
      <c r="A77" s="5"/>
    </row>
    <row r="78" ht="15.75" customHeight="1">
      <c r="A78" s="5"/>
    </row>
    <row r="79" ht="15.75" customHeight="1">
      <c r="A79" s="5"/>
    </row>
    <row r="80" ht="15.75" customHeight="1">
      <c r="A80" s="5"/>
    </row>
    <row r="81" ht="15.75" customHeight="1">
      <c r="A81" s="5"/>
    </row>
    <row r="82" ht="15.75" customHeight="1">
      <c r="A82" s="5"/>
    </row>
    <row r="83" ht="15.75" customHeight="1">
      <c r="A83" s="5"/>
    </row>
    <row r="84" ht="15.75" customHeight="1">
      <c r="A84" s="5"/>
    </row>
    <row r="85" ht="15.75" customHeight="1">
      <c r="A85" s="5"/>
    </row>
    <row r="86" ht="15.75" customHeight="1">
      <c r="A86" s="5"/>
    </row>
    <row r="87" ht="15.75" customHeight="1">
      <c r="A87" s="5"/>
    </row>
    <row r="88" ht="15.75" customHeight="1">
      <c r="A88" s="5"/>
    </row>
    <row r="89" ht="15.75" customHeight="1">
      <c r="A89" s="5"/>
    </row>
    <row r="90" ht="15.75" customHeight="1">
      <c r="A90" s="5"/>
    </row>
    <row r="91" ht="15.75" customHeight="1">
      <c r="A91" s="5"/>
    </row>
    <row r="92" ht="15.75" customHeight="1">
      <c r="A92" s="5"/>
    </row>
    <row r="93" ht="15.75" customHeight="1">
      <c r="A93" s="5"/>
    </row>
    <row r="94" ht="15.75" customHeight="1">
      <c r="A94" s="5"/>
    </row>
    <row r="95" ht="15.75" customHeight="1">
      <c r="A95" s="5"/>
    </row>
    <row r="96" ht="15.75" customHeight="1">
      <c r="A96" s="5"/>
    </row>
    <row r="97" ht="15.75" customHeight="1">
      <c r="A97" s="5"/>
    </row>
    <row r="98" ht="15.75" customHeight="1">
      <c r="A98" s="5"/>
    </row>
    <row r="99" ht="15.75" customHeight="1">
      <c r="A99" s="5"/>
    </row>
    <row r="100" ht="15.75" customHeight="1">
      <c r="A100" s="5"/>
    </row>
    <row r="101" ht="15.75" customHeight="1">
      <c r="A101" s="5"/>
    </row>
    <row r="102" ht="15.75" customHeight="1">
      <c r="A102" s="5"/>
    </row>
    <row r="103" ht="15.75" customHeight="1">
      <c r="A103" s="5"/>
    </row>
    <row r="104" ht="15.75" customHeight="1">
      <c r="A104" s="5"/>
    </row>
    <row r="105" ht="15.75" customHeight="1">
      <c r="A105" s="5"/>
    </row>
    <row r="106" ht="15.75" customHeight="1">
      <c r="A106" s="5"/>
    </row>
    <row r="107" ht="15.75" customHeight="1">
      <c r="A107" s="5"/>
    </row>
    <row r="108" ht="15.75" customHeight="1">
      <c r="A108" s="5"/>
    </row>
    <row r="109" ht="15.75" customHeight="1">
      <c r="A109" s="5"/>
    </row>
    <row r="110" ht="15.75" customHeight="1">
      <c r="A110" s="5"/>
    </row>
    <row r="111" ht="15.75" customHeight="1">
      <c r="A111" s="5"/>
    </row>
    <row r="112" ht="15.75" customHeight="1">
      <c r="A112" s="5"/>
    </row>
    <row r="113" ht="15.75" customHeight="1">
      <c r="A113" s="5"/>
    </row>
    <row r="114" ht="15.75" customHeight="1">
      <c r="A114" s="5"/>
    </row>
    <row r="115" ht="15.75" customHeight="1">
      <c r="A115" s="5"/>
    </row>
    <row r="116" ht="15.75" customHeight="1">
      <c r="A116" s="5"/>
    </row>
    <row r="117" ht="15.75" customHeight="1">
      <c r="A117" s="5"/>
    </row>
    <row r="118" ht="15.75" customHeight="1">
      <c r="A118" s="5"/>
    </row>
    <row r="119" ht="15.75" customHeight="1">
      <c r="A119" s="5"/>
    </row>
    <row r="120" ht="15.75" customHeight="1">
      <c r="A120" s="5"/>
    </row>
    <row r="121" ht="15.75" customHeight="1">
      <c r="A121" s="5"/>
    </row>
    <row r="122" ht="15.75" customHeight="1">
      <c r="A122" s="5"/>
    </row>
    <row r="123" ht="15.75" customHeight="1">
      <c r="A123" s="5"/>
    </row>
    <row r="124" ht="15.75" customHeight="1">
      <c r="A124" s="5"/>
    </row>
    <row r="125" ht="15.75" customHeight="1">
      <c r="A125" s="5"/>
    </row>
    <row r="126" ht="15.75" customHeight="1">
      <c r="A126" s="5"/>
    </row>
    <row r="127" ht="15.75" customHeight="1">
      <c r="A127" s="5"/>
    </row>
    <row r="128" ht="15.75" customHeight="1">
      <c r="A128" s="5"/>
    </row>
    <row r="129" ht="15.75" customHeight="1">
      <c r="A129" s="5"/>
    </row>
    <row r="130" ht="15.75" customHeight="1">
      <c r="A130" s="5"/>
    </row>
    <row r="131" ht="15.75" customHeight="1">
      <c r="A131" s="5"/>
    </row>
    <row r="132" ht="15.75" customHeight="1">
      <c r="A132" s="5"/>
    </row>
    <row r="133" ht="15.75" customHeight="1">
      <c r="A133" s="5"/>
    </row>
    <row r="134" ht="15.75" customHeight="1">
      <c r="A134" s="5"/>
    </row>
    <row r="135" ht="15.75" customHeight="1">
      <c r="A135" s="5"/>
    </row>
    <row r="136" ht="15.75" customHeight="1">
      <c r="A136" s="5"/>
    </row>
    <row r="137" ht="15.75" customHeight="1">
      <c r="A137" s="5"/>
    </row>
    <row r="138" ht="15.75" customHeight="1">
      <c r="A138" s="5"/>
    </row>
    <row r="139" ht="15.75" customHeight="1">
      <c r="A139" s="5"/>
    </row>
    <row r="140" ht="15.75" customHeight="1">
      <c r="A140" s="5"/>
    </row>
    <row r="141" ht="15.75" customHeight="1">
      <c r="A141" s="5"/>
    </row>
    <row r="142" ht="15.75" customHeight="1">
      <c r="A142" s="5"/>
    </row>
    <row r="143" ht="15.75" customHeight="1">
      <c r="A143" s="5"/>
    </row>
    <row r="144" ht="15.75" customHeight="1">
      <c r="A144" s="5"/>
    </row>
    <row r="145" ht="15.75" customHeight="1">
      <c r="A145" s="5"/>
    </row>
    <row r="146" ht="15.75" customHeight="1">
      <c r="A146" s="5"/>
    </row>
    <row r="147" ht="15.75" customHeight="1">
      <c r="A147" s="5"/>
    </row>
    <row r="148" ht="15.75" customHeight="1">
      <c r="A148" s="5"/>
    </row>
    <row r="149" ht="15.75" customHeight="1">
      <c r="A149" s="5"/>
    </row>
    <row r="150" ht="15.75" customHeight="1">
      <c r="A150" s="5"/>
    </row>
    <row r="151" ht="15.75" customHeight="1">
      <c r="A151" s="5"/>
    </row>
    <row r="152" ht="15.75" customHeight="1">
      <c r="A152" s="5"/>
    </row>
    <row r="153" ht="15.75" customHeight="1">
      <c r="A153" s="5"/>
    </row>
    <row r="154" ht="15.75" customHeight="1">
      <c r="A154" s="5"/>
    </row>
    <row r="155" ht="15.75" customHeight="1">
      <c r="A155" s="5"/>
    </row>
    <row r="156" ht="15.75" customHeight="1">
      <c r="A156" s="5"/>
    </row>
    <row r="157" ht="15.75" customHeight="1">
      <c r="A157" s="5"/>
    </row>
    <row r="158" ht="15.75" customHeight="1">
      <c r="A158" s="5"/>
    </row>
    <row r="159" ht="15.75" customHeight="1">
      <c r="A159" s="5"/>
    </row>
    <row r="160" ht="15.75" customHeight="1">
      <c r="A160" s="5"/>
    </row>
    <row r="161" ht="15.75" customHeight="1">
      <c r="A161" s="5"/>
    </row>
    <row r="162" ht="15.75" customHeight="1">
      <c r="A162" s="5"/>
    </row>
    <row r="163" ht="15.75" customHeight="1">
      <c r="A163" s="5"/>
    </row>
    <row r="164" ht="15.75" customHeight="1">
      <c r="A164" s="5"/>
    </row>
    <row r="165" ht="15.75" customHeight="1">
      <c r="A165" s="5"/>
    </row>
    <row r="166" ht="15.75" customHeight="1">
      <c r="A166" s="5"/>
    </row>
    <row r="167" ht="15.75" customHeight="1">
      <c r="A167" s="5"/>
    </row>
    <row r="168" ht="15.75" customHeight="1">
      <c r="A168" s="5"/>
    </row>
    <row r="169" ht="15.75" customHeight="1">
      <c r="A169" s="5"/>
    </row>
    <row r="170" ht="15.75" customHeight="1">
      <c r="A170" s="5"/>
    </row>
    <row r="171" ht="15.75" customHeight="1">
      <c r="A171" s="5"/>
    </row>
    <row r="172" ht="15.75" customHeight="1">
      <c r="A172" s="5"/>
    </row>
    <row r="173" ht="15.75" customHeight="1">
      <c r="A173" s="5"/>
    </row>
    <row r="174" ht="15.75" customHeight="1">
      <c r="A174" s="5"/>
    </row>
    <row r="175" ht="15.75" customHeight="1">
      <c r="A175" s="5"/>
    </row>
    <row r="176" ht="15.75" customHeight="1">
      <c r="A176" s="5"/>
    </row>
    <row r="177" ht="15.75" customHeight="1">
      <c r="A177" s="5"/>
    </row>
    <row r="178" ht="15.75" customHeight="1">
      <c r="A178" s="5"/>
    </row>
    <row r="179" ht="15.75" customHeight="1">
      <c r="A179" s="5"/>
    </row>
    <row r="180" ht="15.75" customHeight="1">
      <c r="A180" s="5"/>
    </row>
    <row r="181" ht="15.75" customHeight="1">
      <c r="A181" s="5"/>
    </row>
    <row r="182" ht="15.75" customHeight="1">
      <c r="A182" s="5"/>
    </row>
    <row r="183" ht="15.75" customHeight="1">
      <c r="A183" s="5"/>
    </row>
    <row r="184" ht="15.75" customHeight="1">
      <c r="A184" s="5"/>
    </row>
    <row r="185" ht="15.75" customHeight="1">
      <c r="A185" s="5"/>
    </row>
    <row r="186" ht="15.75" customHeight="1">
      <c r="A186" s="5"/>
    </row>
    <row r="187" ht="15.75" customHeight="1">
      <c r="A187" s="5"/>
    </row>
    <row r="188" ht="15.75" customHeight="1">
      <c r="A188" s="5"/>
    </row>
    <row r="189" ht="15.75" customHeight="1">
      <c r="A189" s="5"/>
    </row>
    <row r="190" ht="15.75" customHeight="1">
      <c r="A190" s="5"/>
    </row>
    <row r="191" ht="15.75" customHeight="1">
      <c r="A191" s="5"/>
    </row>
    <row r="192" ht="15.75" customHeight="1">
      <c r="A192" s="5"/>
    </row>
    <row r="193" ht="15.75" customHeight="1">
      <c r="A193" s="5"/>
    </row>
    <row r="194" ht="15.75" customHeight="1">
      <c r="A194" s="5"/>
    </row>
    <row r="195" ht="15.75" customHeight="1">
      <c r="A195" s="5"/>
    </row>
    <row r="196" ht="15.75" customHeight="1">
      <c r="A196" s="5"/>
    </row>
    <row r="197" ht="15.75" customHeight="1">
      <c r="A197" s="5"/>
    </row>
    <row r="198" ht="15.75" customHeight="1">
      <c r="A198" s="5"/>
    </row>
    <row r="199" ht="15.75" customHeight="1">
      <c r="A199" s="5"/>
    </row>
    <row r="200" ht="15.75" customHeight="1">
      <c r="A200" s="5"/>
    </row>
    <row r="201" ht="15.75" customHeight="1">
      <c r="A201" s="5"/>
    </row>
    <row r="202" ht="15.75" customHeight="1">
      <c r="A202" s="5"/>
    </row>
    <row r="203" ht="15.75" customHeight="1">
      <c r="A203" s="5"/>
    </row>
    <row r="204" ht="15.75" customHeight="1">
      <c r="A204" s="5"/>
    </row>
    <row r="205" ht="15.75" customHeight="1">
      <c r="A205" s="5"/>
    </row>
    <row r="206" ht="15.75" customHeight="1">
      <c r="A206" s="5"/>
    </row>
    <row r="207" ht="15.75" customHeight="1">
      <c r="A207" s="5"/>
    </row>
    <row r="208" ht="15.75" customHeight="1">
      <c r="A208" s="5"/>
    </row>
    <row r="209" ht="15.75" customHeight="1">
      <c r="A209" s="5"/>
    </row>
    <row r="210" ht="15.75" customHeight="1">
      <c r="A210" s="5"/>
    </row>
    <row r="211" ht="15.75" customHeight="1">
      <c r="A211" s="5"/>
    </row>
    <row r="212" ht="15.75" customHeight="1">
      <c r="A212" s="5"/>
    </row>
    <row r="213" ht="15.75" customHeight="1">
      <c r="A213" s="5"/>
    </row>
    <row r="214" ht="15.75" customHeight="1">
      <c r="A214" s="5"/>
    </row>
    <row r="215" ht="15.75" customHeight="1">
      <c r="A215" s="5"/>
    </row>
    <row r="216" ht="15.75" customHeight="1">
      <c r="A216" s="5"/>
    </row>
    <row r="217" ht="15.75" customHeight="1">
      <c r="A217" s="5"/>
    </row>
    <row r="218" ht="15.75" customHeight="1">
      <c r="A218" s="5"/>
    </row>
    <row r="219" ht="15.75" customHeight="1">
      <c r="A219" s="5"/>
    </row>
    <row r="220" ht="15.75" customHeight="1">
      <c r="A220" s="5"/>
    </row>
    <row r="221" ht="15.75" customHeight="1">
      <c r="A221" s="5"/>
    </row>
    <row r="222" ht="15.75" customHeight="1">
      <c r="A222" s="5"/>
    </row>
    <row r="223" ht="15.75" customHeight="1">
      <c r="A223" s="5"/>
    </row>
    <row r="224" ht="15.75" customHeight="1">
      <c r="A224" s="5"/>
    </row>
    <row r="225" ht="15.75" customHeight="1">
      <c r="A225" s="5"/>
    </row>
    <row r="226" ht="15.75" customHeight="1">
      <c r="A226" s="5"/>
    </row>
    <row r="227" ht="15.75" customHeight="1">
      <c r="A227" s="5"/>
    </row>
    <row r="228" ht="15.75" customHeight="1">
      <c r="A228" s="5"/>
    </row>
    <row r="229" ht="15.75" customHeight="1">
      <c r="A229" s="5"/>
    </row>
    <row r="230" ht="15.75" customHeight="1">
      <c r="A230" s="5"/>
    </row>
    <row r="231" ht="15.75" customHeight="1">
      <c r="A231" s="5"/>
    </row>
    <row r="232" ht="15.75" customHeight="1">
      <c r="A232" s="5"/>
    </row>
    <row r="233" ht="15.75" customHeight="1">
      <c r="A233" s="5"/>
    </row>
    <row r="234" ht="15.75" customHeight="1">
      <c r="A234" s="5"/>
    </row>
    <row r="235" ht="15.75" customHeight="1">
      <c r="A235" s="5"/>
    </row>
    <row r="236" ht="15.75" customHeight="1">
      <c r="A236" s="5"/>
    </row>
    <row r="237" ht="15.75" customHeight="1">
      <c r="A237" s="5"/>
    </row>
    <row r="238" ht="15.75" customHeight="1">
      <c r="A238" s="5"/>
    </row>
    <row r="239" ht="15.75" customHeight="1">
      <c r="A239" s="5"/>
    </row>
    <row r="240" ht="15.75" customHeight="1">
      <c r="A240" s="5"/>
    </row>
    <row r="241" ht="15.75" customHeight="1">
      <c r="A241" s="5"/>
    </row>
    <row r="242" ht="15.75" customHeight="1">
      <c r="A242" s="5"/>
    </row>
    <row r="243" ht="15.75" customHeight="1">
      <c r="A243" s="5"/>
    </row>
    <row r="244" ht="15.75" customHeight="1">
      <c r="A244" s="5"/>
    </row>
    <row r="245" ht="15.75" customHeight="1">
      <c r="A245" s="5"/>
    </row>
    <row r="246" ht="15.75" customHeight="1">
      <c r="A246" s="5"/>
    </row>
    <row r="247" ht="15.75" customHeight="1">
      <c r="A247" s="5"/>
    </row>
    <row r="248" ht="15.75" customHeight="1">
      <c r="A248" s="5"/>
    </row>
    <row r="249" ht="15.75" customHeight="1">
      <c r="A249" s="5"/>
    </row>
    <row r="250" ht="15.75" customHeight="1">
      <c r="A250" s="5"/>
    </row>
    <row r="251" ht="15.75" customHeight="1">
      <c r="A251" s="5"/>
    </row>
    <row r="252" ht="15.75" customHeight="1">
      <c r="A252" s="5"/>
    </row>
    <row r="253" ht="15.75" customHeight="1">
      <c r="A253" s="5"/>
    </row>
    <row r="254" ht="15.75" customHeight="1">
      <c r="A254" s="5"/>
    </row>
    <row r="255" ht="15.75" customHeight="1">
      <c r="A255" s="5"/>
    </row>
    <row r="256" ht="15.75" customHeight="1">
      <c r="A256" s="5"/>
    </row>
    <row r="257" ht="15.75" customHeight="1">
      <c r="A257" s="5"/>
    </row>
    <row r="258" ht="15.75" customHeight="1">
      <c r="A258" s="5"/>
    </row>
    <row r="259" ht="15.75" customHeight="1">
      <c r="A259" s="5"/>
    </row>
    <row r="260" ht="15.75" customHeight="1">
      <c r="A260" s="5"/>
    </row>
    <row r="261" ht="15.75" customHeight="1">
      <c r="A261" s="5"/>
    </row>
    <row r="262" ht="15.75" customHeight="1">
      <c r="A262" s="5"/>
    </row>
    <row r="263" ht="15.75" customHeight="1">
      <c r="A263" s="5"/>
    </row>
    <row r="264" ht="15.75" customHeight="1">
      <c r="A264" s="5"/>
    </row>
    <row r="265" ht="15.75" customHeight="1">
      <c r="A265" s="5"/>
    </row>
    <row r="266" ht="15.75" customHeight="1">
      <c r="A266" s="5"/>
    </row>
    <row r="267" ht="15.75" customHeight="1">
      <c r="A267" s="5"/>
    </row>
    <row r="268" ht="15.75" customHeight="1">
      <c r="A268" s="5"/>
    </row>
    <row r="269" ht="15.75" customHeight="1">
      <c r="A269" s="5"/>
    </row>
    <row r="270" ht="15.75" customHeight="1">
      <c r="A270" s="5"/>
    </row>
    <row r="271" ht="15.75" customHeight="1">
      <c r="A271" s="5"/>
    </row>
    <row r="272" ht="15.75" customHeight="1">
      <c r="A272" s="5"/>
    </row>
    <row r="273" ht="15.75" customHeight="1">
      <c r="A273" s="5"/>
    </row>
    <row r="274" ht="15.75" customHeight="1">
      <c r="A274" s="5"/>
    </row>
    <row r="275" ht="15.75" customHeight="1">
      <c r="A275" s="5"/>
    </row>
    <row r="276" ht="15.75" customHeight="1">
      <c r="A276" s="5"/>
    </row>
    <row r="277" ht="15.75" customHeight="1">
      <c r="A277" s="5"/>
    </row>
    <row r="278" ht="15.75" customHeight="1">
      <c r="A278" s="5"/>
    </row>
    <row r="279" ht="15.75" customHeight="1">
      <c r="A279" s="5"/>
    </row>
    <row r="280" ht="15.75" customHeight="1">
      <c r="A280" s="5"/>
    </row>
    <row r="281" ht="15.75" customHeight="1">
      <c r="A281" s="5"/>
    </row>
    <row r="282" ht="15.75" customHeight="1">
      <c r="A282" s="5"/>
    </row>
    <row r="283" ht="15.75" customHeight="1">
      <c r="A283" s="5"/>
    </row>
    <row r="284" ht="15.75" customHeight="1">
      <c r="A284" s="5"/>
    </row>
    <row r="285" ht="15.75" customHeight="1">
      <c r="A285" s="5"/>
    </row>
    <row r="286" ht="15.75" customHeight="1">
      <c r="A286" s="5"/>
    </row>
    <row r="287" ht="15.75" customHeight="1">
      <c r="A287" s="5"/>
    </row>
    <row r="288" ht="15.75" customHeight="1">
      <c r="A288" s="5"/>
    </row>
    <row r="289" ht="15.75" customHeight="1">
      <c r="A289" s="5"/>
    </row>
    <row r="290" ht="15.75" customHeight="1">
      <c r="A290" s="5"/>
    </row>
    <row r="291" ht="15.75" customHeight="1">
      <c r="A291" s="5"/>
    </row>
    <row r="292" ht="15.75" customHeight="1">
      <c r="A292" s="5"/>
    </row>
    <row r="293" ht="15.75" customHeight="1">
      <c r="A293" s="5"/>
    </row>
    <row r="294" ht="15.75" customHeight="1">
      <c r="A294" s="5"/>
    </row>
    <row r="295" ht="15.75" customHeight="1">
      <c r="A295" s="5"/>
    </row>
    <row r="296" ht="15.75" customHeight="1">
      <c r="A296" s="5"/>
    </row>
    <row r="297" ht="15.75" customHeight="1">
      <c r="A297" s="5"/>
    </row>
    <row r="298" ht="15.75" customHeight="1">
      <c r="A298" s="5"/>
    </row>
    <row r="299" ht="15.75" customHeight="1">
      <c r="A299" s="5"/>
    </row>
    <row r="300" ht="15.75" customHeight="1">
      <c r="A300" s="5"/>
    </row>
    <row r="301" ht="15.75" customHeight="1">
      <c r="A301" s="5"/>
    </row>
    <row r="302" ht="15.75" customHeight="1">
      <c r="A302" s="5"/>
    </row>
    <row r="303" ht="15.75" customHeight="1">
      <c r="A303" s="5"/>
    </row>
    <row r="304" ht="15.75" customHeight="1">
      <c r="A304" s="5"/>
    </row>
    <row r="305" ht="15.75" customHeight="1">
      <c r="A305" s="5"/>
    </row>
    <row r="306" ht="15.75" customHeight="1">
      <c r="A306" s="5"/>
    </row>
    <row r="307" ht="15.75" customHeight="1">
      <c r="A307" s="5"/>
    </row>
    <row r="308" ht="15.75" customHeight="1">
      <c r="A308" s="5"/>
    </row>
    <row r="309" ht="15.75" customHeight="1">
      <c r="A309" s="5"/>
    </row>
    <row r="310" ht="15.75" customHeight="1">
      <c r="A310" s="5"/>
    </row>
    <row r="311" ht="15.75" customHeight="1">
      <c r="A311" s="5"/>
    </row>
    <row r="312" ht="15.75" customHeight="1">
      <c r="A312" s="5"/>
    </row>
    <row r="313" ht="15.75" customHeight="1">
      <c r="A313" s="5"/>
    </row>
    <row r="314" ht="15.75" customHeight="1">
      <c r="A314" s="5"/>
    </row>
    <row r="315" ht="15.75" customHeight="1">
      <c r="A315" s="5"/>
    </row>
    <row r="316" ht="15.75" customHeight="1">
      <c r="A316" s="5"/>
    </row>
    <row r="317" ht="15.75" customHeight="1">
      <c r="A317" s="5"/>
    </row>
    <row r="318" ht="15.75" customHeight="1">
      <c r="A318" s="5"/>
    </row>
    <row r="319" ht="15.75" customHeight="1">
      <c r="A319" s="5"/>
    </row>
    <row r="320" ht="15.75" customHeight="1">
      <c r="A320" s="5"/>
    </row>
    <row r="321" ht="15.75" customHeight="1">
      <c r="A321" s="5"/>
    </row>
    <row r="322" ht="15.75" customHeight="1">
      <c r="A322" s="5"/>
    </row>
    <row r="323" ht="15.75" customHeight="1">
      <c r="A323" s="5"/>
    </row>
    <row r="324" ht="15.75" customHeight="1">
      <c r="A324" s="5"/>
    </row>
    <row r="325" ht="15.75" customHeight="1">
      <c r="A325" s="5"/>
    </row>
    <row r="326" ht="15.75" customHeight="1">
      <c r="A326" s="5"/>
    </row>
    <row r="327" ht="15.75" customHeight="1">
      <c r="A327" s="5"/>
    </row>
    <row r="328" ht="15.75" customHeight="1">
      <c r="A328" s="5"/>
    </row>
    <row r="329" ht="15.75" customHeight="1">
      <c r="A329" s="5"/>
    </row>
    <row r="330" ht="15.75" customHeight="1">
      <c r="A330" s="5"/>
    </row>
    <row r="331" ht="15.75" customHeight="1">
      <c r="A331" s="5"/>
    </row>
    <row r="332" ht="15.75" customHeight="1">
      <c r="A332" s="5"/>
    </row>
    <row r="333" ht="15.75" customHeight="1">
      <c r="A333" s="5"/>
    </row>
    <row r="334" ht="15.75" customHeight="1">
      <c r="A334" s="5"/>
    </row>
    <row r="335" ht="15.75" customHeight="1">
      <c r="A335" s="5"/>
    </row>
    <row r="336" ht="15.75" customHeight="1">
      <c r="A336" s="5"/>
    </row>
    <row r="337" ht="15.75" customHeight="1">
      <c r="A337" s="5"/>
    </row>
    <row r="338" ht="15.75" customHeight="1">
      <c r="A338" s="5"/>
    </row>
    <row r="339" ht="15.75" customHeight="1">
      <c r="A339" s="5"/>
    </row>
    <row r="340" ht="15.75" customHeight="1">
      <c r="A340" s="5"/>
    </row>
    <row r="341" ht="15.75" customHeight="1">
      <c r="A341" s="5"/>
    </row>
    <row r="342" ht="15.75" customHeight="1">
      <c r="A342" s="5"/>
    </row>
    <row r="343" ht="15.75" customHeight="1">
      <c r="A343" s="5"/>
    </row>
    <row r="344" ht="15.75" customHeight="1">
      <c r="A344" s="5"/>
    </row>
    <row r="345" ht="15.75" customHeight="1">
      <c r="A345" s="5"/>
    </row>
    <row r="346" ht="15.75" customHeight="1">
      <c r="A346" s="5"/>
    </row>
    <row r="347" ht="15.75" customHeight="1">
      <c r="A347" s="5"/>
    </row>
    <row r="348" ht="15.75" customHeight="1">
      <c r="A348" s="5"/>
    </row>
    <row r="349" ht="15.75" customHeight="1">
      <c r="A349" s="5"/>
    </row>
    <row r="350" ht="15.75" customHeight="1">
      <c r="A350" s="5"/>
    </row>
    <row r="351" ht="15.75" customHeight="1">
      <c r="A351" s="5"/>
    </row>
    <row r="352" ht="15.75" customHeight="1">
      <c r="A352" s="5"/>
    </row>
    <row r="353" ht="15.75" customHeight="1">
      <c r="A353" s="5"/>
    </row>
    <row r="354" ht="15.75" customHeight="1">
      <c r="A354" s="5"/>
    </row>
    <row r="355" ht="15.75" customHeight="1">
      <c r="A355" s="5"/>
    </row>
    <row r="356" ht="15.75" customHeight="1">
      <c r="A356" s="5"/>
    </row>
    <row r="357" ht="15.75" customHeight="1">
      <c r="A357" s="5"/>
    </row>
    <row r="358" ht="15.75" customHeight="1">
      <c r="A358" s="5"/>
    </row>
    <row r="359" ht="15.75" customHeight="1">
      <c r="A359" s="5"/>
    </row>
    <row r="360" ht="15.75" customHeight="1">
      <c r="A360" s="5"/>
    </row>
    <row r="361" ht="15.75" customHeight="1">
      <c r="A361" s="5"/>
    </row>
    <row r="362" ht="15.75" customHeight="1">
      <c r="A362" s="5"/>
    </row>
    <row r="363" ht="15.75" customHeight="1">
      <c r="A363" s="5"/>
    </row>
    <row r="364" ht="15.75" customHeight="1">
      <c r="A364" s="5"/>
    </row>
    <row r="365" ht="15.75" customHeight="1">
      <c r="A365" s="5"/>
    </row>
    <row r="366" ht="15.75" customHeight="1">
      <c r="A366" s="5"/>
    </row>
    <row r="367" ht="15.75" customHeight="1">
      <c r="A367" s="5"/>
    </row>
    <row r="368" ht="15.75" customHeight="1">
      <c r="A368" s="5"/>
    </row>
    <row r="369" ht="15.75" customHeight="1">
      <c r="A369" s="5"/>
    </row>
    <row r="370" ht="15.75" customHeight="1">
      <c r="A370" s="5"/>
    </row>
    <row r="371" ht="15.75" customHeight="1">
      <c r="A371" s="5"/>
    </row>
    <row r="372" ht="15.75" customHeight="1">
      <c r="A372" s="5"/>
    </row>
    <row r="373" ht="15.75" customHeight="1">
      <c r="A373" s="5"/>
    </row>
    <row r="374" ht="15.75" customHeight="1">
      <c r="A374" s="5"/>
    </row>
    <row r="375" ht="15.75" customHeight="1">
      <c r="A375" s="5"/>
    </row>
    <row r="376" ht="15.75" customHeight="1">
      <c r="A376" s="5"/>
    </row>
    <row r="377" ht="15.75" customHeight="1">
      <c r="A377" s="5"/>
    </row>
    <row r="378" ht="15.75" customHeight="1">
      <c r="A378" s="5"/>
    </row>
    <row r="379" ht="15.75" customHeight="1">
      <c r="A379" s="5"/>
    </row>
    <row r="380" ht="15.75" customHeight="1">
      <c r="A380" s="5"/>
    </row>
    <row r="381" ht="15.75" customHeight="1">
      <c r="A381" s="5"/>
    </row>
    <row r="382" ht="15.75" customHeight="1">
      <c r="A382" s="5"/>
    </row>
    <row r="383" ht="15.75" customHeight="1">
      <c r="A383" s="5"/>
    </row>
    <row r="384" ht="15.75" customHeight="1">
      <c r="A384" s="5"/>
    </row>
    <row r="385" ht="15.75" customHeight="1">
      <c r="A385" s="5"/>
    </row>
    <row r="386" ht="15.75" customHeight="1">
      <c r="A386" s="5"/>
    </row>
    <row r="387" ht="15.75" customHeight="1">
      <c r="A387" s="5"/>
    </row>
    <row r="388" ht="15.75" customHeight="1">
      <c r="A388" s="5"/>
    </row>
    <row r="389" ht="15.75" customHeight="1">
      <c r="A389" s="5"/>
    </row>
    <row r="390" ht="15.75" customHeight="1">
      <c r="A390" s="5"/>
    </row>
    <row r="391" ht="15.75" customHeight="1">
      <c r="A391" s="5"/>
    </row>
    <row r="392" ht="15.75" customHeight="1">
      <c r="A392" s="5"/>
    </row>
    <row r="393" ht="15.75" customHeight="1">
      <c r="A393" s="5"/>
    </row>
    <row r="394" ht="15.75" customHeight="1">
      <c r="A394" s="5"/>
    </row>
    <row r="395" ht="15.75" customHeight="1">
      <c r="A395" s="5"/>
    </row>
    <row r="396" ht="15.75" customHeight="1">
      <c r="A396" s="5"/>
    </row>
    <row r="397" ht="15.75" customHeight="1">
      <c r="A397" s="5"/>
    </row>
    <row r="398" ht="15.75" customHeight="1">
      <c r="A398" s="5"/>
    </row>
    <row r="399" ht="15.75" customHeight="1">
      <c r="A399" s="5"/>
    </row>
    <row r="400" ht="15.75" customHeight="1">
      <c r="A400" s="5"/>
    </row>
    <row r="401" ht="15.75" customHeight="1">
      <c r="A401" s="5"/>
    </row>
    <row r="402" ht="15.75" customHeight="1">
      <c r="A402" s="5"/>
    </row>
    <row r="403" ht="15.75" customHeight="1">
      <c r="A403" s="5"/>
    </row>
    <row r="404" ht="15.75" customHeight="1">
      <c r="A404" s="5"/>
    </row>
    <row r="405" ht="15.75" customHeight="1">
      <c r="A405" s="5"/>
    </row>
    <row r="406" ht="15.75" customHeight="1">
      <c r="A406" s="5"/>
    </row>
    <row r="407" ht="15.75" customHeight="1">
      <c r="A407" s="5"/>
    </row>
    <row r="408" ht="15.75" customHeight="1">
      <c r="A408" s="5"/>
    </row>
    <row r="409" ht="15.75" customHeight="1">
      <c r="A409" s="5"/>
    </row>
    <row r="410" ht="15.75" customHeight="1">
      <c r="A410" s="5"/>
    </row>
    <row r="411" ht="15.75" customHeight="1">
      <c r="A411" s="5"/>
    </row>
    <row r="412" ht="15.75" customHeight="1">
      <c r="A412" s="5"/>
    </row>
    <row r="413" ht="15.75" customHeight="1">
      <c r="A413" s="5"/>
    </row>
    <row r="414" ht="15.75" customHeight="1">
      <c r="A414" s="5"/>
    </row>
    <row r="415" ht="15.75" customHeight="1">
      <c r="A415" s="5"/>
    </row>
    <row r="416" ht="15.75" customHeight="1">
      <c r="A416" s="5"/>
    </row>
    <row r="417" ht="15.75" customHeight="1">
      <c r="A417" s="5"/>
    </row>
    <row r="418" ht="15.75" customHeight="1">
      <c r="A418" s="5"/>
    </row>
    <row r="419" ht="15.75" customHeight="1">
      <c r="A419" s="5"/>
    </row>
    <row r="420" ht="15.75" customHeight="1">
      <c r="A420" s="5"/>
    </row>
    <row r="421" ht="15.75" customHeight="1">
      <c r="A421" s="5"/>
    </row>
    <row r="422" ht="15.75" customHeight="1">
      <c r="A422" s="5"/>
    </row>
    <row r="423" ht="15.75" customHeight="1">
      <c r="A423" s="5"/>
    </row>
    <row r="424" ht="15.75" customHeight="1">
      <c r="A424" s="5"/>
    </row>
    <row r="425" ht="15.75" customHeight="1">
      <c r="A425" s="5"/>
    </row>
    <row r="426" ht="15.75" customHeight="1">
      <c r="A426" s="5"/>
    </row>
    <row r="427" ht="15.75" customHeight="1">
      <c r="A427" s="5"/>
    </row>
    <row r="428" ht="15.75" customHeight="1">
      <c r="A428" s="5"/>
    </row>
    <row r="429" ht="15.75" customHeight="1">
      <c r="A429" s="5"/>
    </row>
    <row r="430" ht="15.75" customHeight="1">
      <c r="A430" s="5"/>
    </row>
    <row r="431" ht="15.75" customHeight="1">
      <c r="A431" s="5"/>
    </row>
    <row r="432" ht="15.75" customHeight="1">
      <c r="A432" s="5"/>
    </row>
    <row r="433" ht="15.75" customHeight="1">
      <c r="A433" s="5"/>
    </row>
    <row r="434" ht="15.75" customHeight="1">
      <c r="A434" s="5"/>
    </row>
    <row r="435" ht="15.75" customHeight="1">
      <c r="A435" s="5"/>
    </row>
    <row r="436" ht="15.75" customHeight="1">
      <c r="A436" s="5"/>
    </row>
    <row r="437" ht="15.75" customHeight="1">
      <c r="A437" s="5"/>
    </row>
    <row r="438" ht="15.75" customHeight="1">
      <c r="A438" s="5"/>
    </row>
    <row r="439" ht="15.75" customHeight="1">
      <c r="A439" s="5"/>
    </row>
    <row r="440" ht="15.75" customHeight="1">
      <c r="A440" s="5"/>
    </row>
    <row r="441" ht="15.75" customHeight="1">
      <c r="A441" s="5"/>
    </row>
    <row r="442" ht="15.75" customHeight="1">
      <c r="A442" s="5"/>
    </row>
    <row r="443" ht="15.75" customHeight="1">
      <c r="A443" s="5"/>
    </row>
    <row r="444" ht="15.75" customHeight="1">
      <c r="A444" s="5"/>
    </row>
    <row r="445" ht="15.75" customHeight="1">
      <c r="A445" s="5"/>
    </row>
    <row r="446" ht="15.75" customHeight="1">
      <c r="A446" s="5"/>
    </row>
    <row r="447" ht="15.75" customHeight="1">
      <c r="A447" s="5"/>
    </row>
    <row r="448" ht="15.75" customHeight="1">
      <c r="A448" s="5"/>
    </row>
    <row r="449" ht="15.75" customHeight="1">
      <c r="A449" s="5"/>
    </row>
    <row r="450" ht="15.75" customHeight="1">
      <c r="A450" s="5"/>
    </row>
    <row r="451" ht="15.75" customHeight="1">
      <c r="A451" s="5"/>
    </row>
    <row r="452" ht="15.75" customHeight="1">
      <c r="A452" s="5"/>
    </row>
    <row r="453" ht="15.75" customHeight="1">
      <c r="A453" s="5"/>
    </row>
    <row r="454" ht="15.75" customHeight="1">
      <c r="A454" s="5"/>
    </row>
    <row r="455" ht="15.75" customHeight="1">
      <c r="A455" s="5"/>
    </row>
    <row r="456" ht="15.75" customHeight="1">
      <c r="A456" s="5"/>
    </row>
    <row r="457" ht="15.75" customHeight="1">
      <c r="A457" s="5"/>
    </row>
    <row r="458" ht="15.75" customHeight="1">
      <c r="A458" s="5"/>
    </row>
    <row r="459" ht="15.75" customHeight="1">
      <c r="A459" s="5"/>
    </row>
    <row r="460" ht="15.75" customHeight="1">
      <c r="A460" s="5"/>
    </row>
    <row r="461" ht="15.75" customHeight="1">
      <c r="A461" s="5"/>
    </row>
    <row r="462" ht="15.75" customHeight="1">
      <c r="A462" s="5"/>
    </row>
    <row r="463" ht="15.75" customHeight="1">
      <c r="A463" s="5"/>
    </row>
    <row r="464" ht="15.75" customHeight="1">
      <c r="A464" s="5"/>
    </row>
    <row r="465" ht="15.75" customHeight="1">
      <c r="A465" s="5"/>
    </row>
    <row r="466" ht="15.75" customHeight="1">
      <c r="A466" s="5"/>
    </row>
    <row r="467" ht="15.75" customHeight="1">
      <c r="A467" s="5"/>
    </row>
    <row r="468" ht="15.75" customHeight="1">
      <c r="A468" s="5"/>
    </row>
    <row r="469" ht="15.75" customHeight="1">
      <c r="A469" s="5"/>
    </row>
    <row r="470" ht="15.75" customHeight="1">
      <c r="A470" s="5"/>
    </row>
    <row r="471" ht="15.75" customHeight="1">
      <c r="A471" s="5"/>
    </row>
    <row r="472" ht="15.75" customHeight="1">
      <c r="A472" s="5"/>
    </row>
    <row r="473" ht="15.75" customHeight="1">
      <c r="A473" s="5"/>
    </row>
    <row r="474" ht="15.75" customHeight="1">
      <c r="A474" s="5"/>
    </row>
    <row r="475" ht="15.75" customHeight="1">
      <c r="A475" s="5"/>
    </row>
    <row r="476" ht="15.75" customHeight="1">
      <c r="A476" s="5"/>
    </row>
    <row r="477" ht="15.75" customHeight="1">
      <c r="A477" s="5"/>
    </row>
    <row r="478" ht="15.75" customHeight="1">
      <c r="A478" s="5"/>
    </row>
    <row r="479" ht="15.75" customHeight="1">
      <c r="A479" s="5"/>
    </row>
    <row r="480" ht="15.75" customHeight="1">
      <c r="A480" s="5"/>
    </row>
    <row r="481" ht="15.75" customHeight="1">
      <c r="A481" s="5"/>
    </row>
    <row r="482" ht="15.75" customHeight="1">
      <c r="A482" s="5"/>
    </row>
    <row r="483" ht="15.75" customHeight="1">
      <c r="A483" s="5"/>
    </row>
    <row r="484" ht="15.75" customHeight="1">
      <c r="A484" s="5"/>
    </row>
    <row r="485" ht="15.75" customHeight="1">
      <c r="A485" s="5"/>
    </row>
    <row r="486" ht="15.75" customHeight="1">
      <c r="A486" s="5"/>
    </row>
    <row r="487" ht="15.75" customHeight="1">
      <c r="A487" s="5"/>
    </row>
    <row r="488" ht="15.75" customHeight="1">
      <c r="A488" s="5"/>
    </row>
    <row r="489" ht="15.75" customHeight="1">
      <c r="A489" s="5"/>
    </row>
    <row r="490" ht="15.75" customHeight="1">
      <c r="A490" s="5"/>
    </row>
    <row r="491" ht="15.75" customHeight="1">
      <c r="A491" s="5"/>
    </row>
    <row r="492" ht="15.75" customHeight="1">
      <c r="A492" s="5"/>
    </row>
    <row r="493" ht="15.75" customHeight="1">
      <c r="A493" s="5"/>
    </row>
    <row r="494" ht="15.75" customHeight="1">
      <c r="A494" s="5"/>
    </row>
    <row r="495" ht="15.75" customHeight="1">
      <c r="A495" s="5"/>
    </row>
    <row r="496" ht="15.75" customHeight="1">
      <c r="A496" s="5"/>
    </row>
    <row r="497" ht="15.75" customHeight="1">
      <c r="A497" s="5"/>
    </row>
    <row r="498" ht="15.75" customHeight="1">
      <c r="A498" s="5"/>
    </row>
    <row r="499" ht="15.75" customHeight="1">
      <c r="A499" s="5"/>
    </row>
    <row r="500" ht="15.75" customHeight="1">
      <c r="A500" s="5"/>
    </row>
    <row r="501" ht="15.75" customHeight="1">
      <c r="A501" s="5"/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20.0"/>
    <col customWidth="1" min="4" max="26" width="8.71"/>
  </cols>
  <sheetData>
    <row r="1" ht="23.25" customHeight="1">
      <c r="A1" s="2" t="s">
        <v>1</v>
      </c>
      <c r="B1" s="2" t="s">
        <v>4</v>
      </c>
      <c r="C1" s="2" t="s">
        <v>6</v>
      </c>
    </row>
    <row r="2" ht="15.0" customHeight="1">
      <c r="A2" s="4" t="s">
        <v>8</v>
      </c>
      <c r="B2" s="5">
        <f>COUNTIF('Master Leads'!$D$2:$D$1000,A2)</f>
        <v>1</v>
      </c>
      <c r="C2" s="5">
        <f>COUNTIFS('Master Leads'!$D$2:$D$1000,A2,'Master Leads'!$F$2:$F$1000,"Converted")</f>
        <v>1</v>
      </c>
    </row>
    <row r="3" ht="15.0" customHeight="1">
      <c r="A3" s="4" t="s">
        <v>56</v>
      </c>
      <c r="B3" s="5">
        <f>COUNTIF('Master Leads'!$D$2:$D$1000,A3)</f>
        <v>0</v>
      </c>
      <c r="C3" s="5">
        <f>COUNTIFS('Master Leads'!$D$2:$D$1000,A3,'Master Leads'!$F$2:$F$1000,"Converted")</f>
        <v>0</v>
      </c>
    </row>
    <row r="4" ht="15.0" customHeight="1">
      <c r="A4" s="4" t="s">
        <v>62</v>
      </c>
      <c r="B4" s="5">
        <f>COUNTIF('Master Leads'!$D$2:$D$1000,A4)</f>
        <v>2</v>
      </c>
      <c r="C4" s="5">
        <f>COUNTIFS('Master Leads'!$D$2:$D$1000,A4,'Master Leads'!$F$2:$F$1000,"Converted")</f>
        <v>0</v>
      </c>
    </row>
    <row r="5" ht="15.0" customHeight="1">
      <c r="A5" s="4" t="s">
        <v>63</v>
      </c>
      <c r="B5" s="5">
        <f>COUNTIF('Master Leads'!$D$2:$D$1000,A5)</f>
        <v>4</v>
      </c>
      <c r="C5" s="5">
        <f>COUNTIFS('Master Leads'!$D$2:$D$1000,A5,'Master Leads'!$F$2:$F$1000,"Converted")</f>
        <v>1</v>
      </c>
    </row>
    <row r="6" ht="15.0" customHeight="1">
      <c r="A6" s="4" t="s">
        <v>65</v>
      </c>
      <c r="B6" s="5">
        <f>COUNTIF('Master Leads'!$D$2:$D$1000,A6)</f>
        <v>0</v>
      </c>
      <c r="C6" s="5">
        <f>COUNTIFS('Master Leads'!$D$2:$D$1000,A6,'Master Leads'!$F$2:$F$1000,"Converted")</f>
        <v>0</v>
      </c>
    </row>
    <row r="7" ht="15.0" customHeight="1">
      <c r="A7" s="4" t="s">
        <v>67</v>
      </c>
      <c r="B7" s="5">
        <f>COUNTIF('Master Leads'!$D$2:$D$1000,A7)</f>
        <v>0</v>
      </c>
      <c r="C7" s="5">
        <f>COUNTIFS('Master Leads'!$D$2:$D$1000,A7,'Master Leads'!$F$2:$F$1000,"Converted")</f>
        <v>0</v>
      </c>
    </row>
    <row r="8" ht="15.0" customHeight="1">
      <c r="A8" s="4" t="s">
        <v>68</v>
      </c>
      <c r="B8" s="5">
        <f>COUNTIF('Master Leads'!$D$2:$D$1000,A8)</f>
        <v>1</v>
      </c>
      <c r="C8" s="5">
        <f>COUNTIFS('Master Leads'!$D$2:$D$1000,A8,'Master Leads'!$F$2:$F$1000,"Converted")</f>
        <v>0</v>
      </c>
    </row>
    <row r="9" ht="15.0" customHeight="1">
      <c r="A9" s="4" t="s">
        <v>69</v>
      </c>
      <c r="B9" s="5">
        <f>COUNTIF('Master Leads'!$D$2:$D$1000,A9)</f>
        <v>0</v>
      </c>
      <c r="C9" s="5">
        <f>COUNTIFS('Master Leads'!$D$2:$D$1000,A9,'Master Leads'!$F$2:$F$1000,"Converted")</f>
        <v>0</v>
      </c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 ht="15.75" customHeight="1">
      <c r="A21" s="5"/>
      <c r="B21" s="5"/>
      <c r="C21" s="5"/>
    </row>
    <row r="22" ht="15.75" customHeight="1">
      <c r="A22" s="5"/>
      <c r="B22" s="5"/>
      <c r="C22" s="5"/>
    </row>
    <row r="23" ht="15.75" customHeight="1">
      <c r="A23" s="5"/>
      <c r="B23" s="5"/>
      <c r="C23" s="5"/>
    </row>
    <row r="24" ht="15.75" customHeight="1">
      <c r="A24" s="5"/>
      <c r="B24" s="5"/>
      <c r="C24" s="5"/>
    </row>
    <row r="25" ht="15.75" customHeight="1">
      <c r="A25" s="5"/>
      <c r="B25" s="5"/>
      <c r="C25" s="5"/>
    </row>
    <row r="26" ht="15.75" customHeight="1">
      <c r="A26" s="5"/>
      <c r="B26" s="5"/>
      <c r="C26" s="5"/>
    </row>
    <row r="27" ht="15.75" customHeight="1">
      <c r="A27" s="5"/>
      <c r="B27" s="5"/>
      <c r="C27" s="5"/>
    </row>
    <row r="28" ht="15.75" customHeight="1">
      <c r="A28" s="5"/>
      <c r="B28" s="5"/>
      <c r="C28" s="5"/>
    </row>
    <row r="29" ht="15.75" customHeight="1">
      <c r="A29" s="5"/>
      <c r="B29" s="5"/>
      <c r="C29" s="5"/>
    </row>
    <row r="30" ht="15.75" customHeight="1">
      <c r="A30" s="5"/>
      <c r="B30" s="5"/>
      <c r="C30" s="5"/>
    </row>
    <row r="31" ht="15.75" customHeight="1">
      <c r="A31" s="5"/>
      <c r="B31" s="5"/>
      <c r="C31" s="5"/>
    </row>
    <row r="32" ht="15.75" customHeight="1">
      <c r="A32" s="5"/>
      <c r="B32" s="5"/>
      <c r="C32" s="5"/>
    </row>
    <row r="33" ht="15.75" customHeight="1">
      <c r="A33" s="5"/>
      <c r="B33" s="5"/>
      <c r="C33" s="5"/>
    </row>
    <row r="34" ht="15.75" customHeight="1">
      <c r="A34" s="5"/>
      <c r="B34" s="5"/>
      <c r="C34" s="5"/>
    </row>
    <row r="35" ht="15.75" customHeight="1">
      <c r="A35" s="5"/>
      <c r="B35" s="5"/>
      <c r="C35" s="5"/>
    </row>
    <row r="36" ht="15.75" customHeight="1">
      <c r="A36" s="5"/>
      <c r="B36" s="5"/>
      <c r="C36" s="5"/>
    </row>
    <row r="37" ht="15.75" customHeight="1">
      <c r="A37" s="5"/>
      <c r="B37" s="5"/>
      <c r="C37" s="5"/>
    </row>
    <row r="38" ht="15.75" customHeight="1">
      <c r="A38" s="5"/>
      <c r="B38" s="5"/>
      <c r="C38" s="5"/>
    </row>
    <row r="39" ht="15.75" customHeight="1">
      <c r="A39" s="5"/>
      <c r="B39" s="5"/>
      <c r="C39" s="5"/>
    </row>
    <row r="40" ht="15.75" customHeight="1">
      <c r="A40" s="5"/>
      <c r="B40" s="5"/>
      <c r="C40" s="5"/>
    </row>
    <row r="41" ht="15.75" customHeight="1">
      <c r="A41" s="5"/>
      <c r="B41" s="5"/>
      <c r="C41" s="5"/>
    </row>
    <row r="42" ht="15.75" customHeight="1">
      <c r="A42" s="5"/>
      <c r="B42" s="5"/>
      <c r="C42" s="5"/>
    </row>
    <row r="43" ht="15.75" customHeight="1">
      <c r="A43" s="5"/>
      <c r="B43" s="5"/>
      <c r="C43" s="5"/>
    </row>
    <row r="44" ht="15.75" customHeight="1">
      <c r="A44" s="5"/>
      <c r="B44" s="5"/>
      <c r="C44" s="5"/>
    </row>
    <row r="45" ht="15.75" customHeight="1">
      <c r="A45" s="5"/>
      <c r="B45" s="5"/>
      <c r="C45" s="5"/>
    </row>
    <row r="46" ht="15.75" customHeight="1">
      <c r="A46" s="5"/>
      <c r="B46" s="5"/>
      <c r="C46" s="5"/>
    </row>
    <row r="47" ht="15.75" customHeight="1">
      <c r="A47" s="5"/>
      <c r="B47" s="5"/>
      <c r="C47" s="5"/>
    </row>
    <row r="48" ht="15.75" customHeight="1">
      <c r="A48" s="5"/>
      <c r="B48" s="5"/>
      <c r="C48" s="5"/>
    </row>
    <row r="49" ht="15.75" customHeight="1">
      <c r="A49" s="5"/>
      <c r="B49" s="5"/>
      <c r="C49" s="5"/>
    </row>
    <row r="50" ht="15.75" customHeight="1">
      <c r="A50" s="5"/>
      <c r="B50" s="5"/>
      <c r="C50" s="5"/>
    </row>
    <row r="51" ht="15.75" customHeight="1">
      <c r="A51" s="5"/>
      <c r="B51" s="5"/>
      <c r="C51" s="5"/>
    </row>
    <row r="52" ht="15.75" customHeight="1">
      <c r="A52" s="5"/>
      <c r="B52" s="5"/>
      <c r="C52" s="5"/>
    </row>
    <row r="53" ht="15.75" customHeight="1">
      <c r="A53" s="5"/>
      <c r="B53" s="5"/>
      <c r="C53" s="5"/>
    </row>
    <row r="54" ht="15.75" customHeight="1">
      <c r="A54" s="5"/>
      <c r="B54" s="5"/>
      <c r="C54" s="5"/>
    </row>
    <row r="55" ht="15.75" customHeight="1">
      <c r="A55" s="5"/>
      <c r="B55" s="5"/>
      <c r="C55" s="5"/>
    </row>
    <row r="56" ht="15.75" customHeight="1">
      <c r="A56" s="5"/>
      <c r="B56" s="5"/>
      <c r="C56" s="5"/>
    </row>
    <row r="57" ht="15.75" customHeight="1">
      <c r="A57" s="5"/>
      <c r="B57" s="5"/>
      <c r="C57" s="5"/>
    </row>
    <row r="58" ht="15.75" customHeight="1">
      <c r="A58" s="5"/>
      <c r="B58" s="5"/>
      <c r="C58" s="5"/>
    </row>
    <row r="59" ht="15.75" customHeight="1">
      <c r="A59" s="5"/>
      <c r="B59" s="5"/>
      <c r="C59" s="5"/>
    </row>
    <row r="60" ht="15.75" customHeight="1">
      <c r="A60" s="5"/>
      <c r="B60" s="5"/>
      <c r="C60" s="5"/>
    </row>
    <row r="61" ht="15.75" customHeight="1">
      <c r="A61" s="5"/>
      <c r="B61" s="5"/>
      <c r="C61" s="5"/>
    </row>
    <row r="62" ht="15.75" customHeight="1">
      <c r="A62" s="5"/>
      <c r="B62" s="5"/>
      <c r="C62" s="5"/>
    </row>
    <row r="63" ht="15.75" customHeight="1">
      <c r="A63" s="5"/>
      <c r="B63" s="5"/>
      <c r="C63" s="5"/>
    </row>
    <row r="64" ht="15.75" customHeight="1">
      <c r="A64" s="5"/>
      <c r="B64" s="5"/>
      <c r="C64" s="5"/>
    </row>
    <row r="65" ht="15.75" customHeight="1">
      <c r="A65" s="5"/>
      <c r="B65" s="5"/>
      <c r="C65" s="5"/>
    </row>
    <row r="66" ht="15.75" customHeight="1">
      <c r="A66" s="5"/>
      <c r="B66" s="5"/>
      <c r="C66" s="5"/>
    </row>
    <row r="67" ht="15.75" customHeight="1">
      <c r="A67" s="5"/>
      <c r="B67" s="5"/>
      <c r="C67" s="5"/>
    </row>
    <row r="68" ht="15.75" customHeight="1">
      <c r="A68" s="5"/>
      <c r="B68" s="5"/>
      <c r="C68" s="5"/>
    </row>
    <row r="69" ht="15.75" customHeight="1">
      <c r="A69" s="5"/>
      <c r="B69" s="5"/>
      <c r="C69" s="5"/>
    </row>
    <row r="70" ht="15.75" customHeight="1">
      <c r="A70" s="5"/>
      <c r="B70" s="5"/>
      <c r="C70" s="5"/>
    </row>
    <row r="71" ht="15.75" customHeight="1">
      <c r="A71" s="5"/>
      <c r="B71" s="5"/>
      <c r="C71" s="5"/>
    </row>
    <row r="72" ht="15.75" customHeight="1">
      <c r="A72" s="5"/>
      <c r="B72" s="5"/>
      <c r="C72" s="5"/>
    </row>
    <row r="73" ht="15.75" customHeight="1">
      <c r="A73" s="5"/>
      <c r="B73" s="5"/>
      <c r="C73" s="5"/>
    </row>
    <row r="74" ht="15.75" customHeight="1">
      <c r="A74" s="5"/>
      <c r="B74" s="5"/>
      <c r="C74" s="5"/>
    </row>
    <row r="75" ht="15.75" customHeight="1">
      <c r="A75" s="5"/>
      <c r="B75" s="5"/>
      <c r="C75" s="5"/>
    </row>
    <row r="76" ht="15.75" customHeight="1">
      <c r="A76" s="5"/>
      <c r="B76" s="5"/>
      <c r="C76" s="5"/>
    </row>
    <row r="77" ht="15.75" customHeight="1">
      <c r="A77" s="5"/>
      <c r="B77" s="5"/>
      <c r="C77" s="5"/>
    </row>
    <row r="78" ht="15.75" customHeight="1">
      <c r="A78" s="5"/>
      <c r="B78" s="5"/>
      <c r="C78" s="5"/>
    </row>
    <row r="79" ht="15.75" customHeight="1">
      <c r="A79" s="5"/>
      <c r="B79" s="5"/>
      <c r="C79" s="5"/>
    </row>
    <row r="80" ht="15.75" customHeight="1">
      <c r="A80" s="5"/>
      <c r="B80" s="5"/>
      <c r="C80" s="5"/>
    </row>
    <row r="81" ht="15.75" customHeight="1">
      <c r="A81" s="5"/>
      <c r="B81" s="5"/>
      <c r="C81" s="5"/>
    </row>
    <row r="82" ht="15.75" customHeight="1">
      <c r="A82" s="5"/>
      <c r="B82" s="5"/>
      <c r="C82" s="5"/>
    </row>
    <row r="83" ht="15.75" customHeight="1">
      <c r="A83" s="5"/>
      <c r="B83" s="5"/>
      <c r="C83" s="5"/>
    </row>
    <row r="84" ht="15.75" customHeight="1">
      <c r="A84" s="5"/>
      <c r="B84" s="5"/>
      <c r="C84" s="5"/>
    </row>
    <row r="85" ht="15.75" customHeight="1">
      <c r="A85" s="5"/>
      <c r="B85" s="5"/>
      <c r="C85" s="5"/>
    </row>
    <row r="86" ht="15.75" customHeight="1">
      <c r="A86" s="5"/>
      <c r="B86" s="5"/>
      <c r="C86" s="5"/>
    </row>
    <row r="87" ht="15.75" customHeight="1">
      <c r="A87" s="5"/>
      <c r="B87" s="5"/>
      <c r="C87" s="5"/>
    </row>
    <row r="88" ht="15.75" customHeight="1">
      <c r="A88" s="5"/>
      <c r="B88" s="5"/>
      <c r="C88" s="5"/>
    </row>
    <row r="89" ht="15.75" customHeight="1">
      <c r="A89" s="5"/>
      <c r="B89" s="5"/>
      <c r="C89" s="5"/>
    </row>
    <row r="90" ht="15.75" customHeight="1">
      <c r="A90" s="5"/>
      <c r="B90" s="5"/>
      <c r="C90" s="5"/>
    </row>
    <row r="91" ht="15.75" customHeight="1">
      <c r="A91" s="5"/>
      <c r="B91" s="5"/>
      <c r="C91" s="5"/>
    </row>
    <row r="92" ht="15.75" customHeight="1">
      <c r="A92" s="5"/>
      <c r="B92" s="5"/>
      <c r="C92" s="5"/>
    </row>
    <row r="93" ht="15.75" customHeight="1">
      <c r="A93" s="5"/>
      <c r="B93" s="5"/>
      <c r="C93" s="5"/>
    </row>
    <row r="94" ht="15.75" customHeight="1">
      <c r="A94" s="5"/>
      <c r="B94" s="5"/>
      <c r="C94" s="5"/>
    </row>
    <row r="95" ht="15.75" customHeight="1">
      <c r="A95" s="5"/>
      <c r="B95" s="5"/>
      <c r="C95" s="5"/>
    </row>
    <row r="96" ht="15.75" customHeight="1">
      <c r="A96" s="5"/>
      <c r="B96" s="5"/>
      <c r="C96" s="5"/>
    </row>
    <row r="97" ht="15.75" customHeight="1">
      <c r="A97" s="5"/>
      <c r="B97" s="5"/>
      <c r="C97" s="5"/>
    </row>
    <row r="98" ht="15.75" customHeight="1">
      <c r="A98" s="5"/>
      <c r="B98" s="5"/>
      <c r="C98" s="5"/>
    </row>
    <row r="99" ht="15.75" customHeight="1">
      <c r="A99" s="5"/>
      <c r="B99" s="5"/>
      <c r="C99" s="5"/>
    </row>
    <row r="100" ht="15.75" customHeight="1">
      <c r="A100" s="5"/>
      <c r="B100" s="5"/>
      <c r="C100" s="5"/>
    </row>
    <row r="101" ht="15.75" customHeight="1">
      <c r="A101" s="5"/>
      <c r="B101" s="5"/>
      <c r="C101" s="5"/>
    </row>
    <row r="102" ht="15.75" customHeight="1">
      <c r="A102" s="5"/>
      <c r="B102" s="5"/>
      <c r="C102" s="5"/>
    </row>
    <row r="103" ht="15.75" customHeight="1">
      <c r="A103" s="5"/>
      <c r="B103" s="5"/>
      <c r="C103" s="5"/>
    </row>
    <row r="104" ht="15.75" customHeight="1">
      <c r="A104" s="5"/>
      <c r="B104" s="5"/>
      <c r="C104" s="5"/>
    </row>
    <row r="105" ht="15.75" customHeight="1">
      <c r="A105" s="5"/>
      <c r="B105" s="5"/>
      <c r="C105" s="5"/>
    </row>
    <row r="106" ht="15.75" customHeight="1">
      <c r="A106" s="5"/>
      <c r="B106" s="5"/>
      <c r="C106" s="5"/>
    </row>
    <row r="107" ht="15.75" customHeight="1">
      <c r="A107" s="5"/>
      <c r="B107" s="5"/>
      <c r="C107" s="5"/>
    </row>
    <row r="108" ht="15.75" customHeight="1">
      <c r="A108" s="5"/>
      <c r="B108" s="5"/>
      <c r="C108" s="5"/>
    </row>
    <row r="109" ht="15.75" customHeight="1">
      <c r="A109" s="5"/>
      <c r="B109" s="5"/>
      <c r="C109" s="5"/>
    </row>
    <row r="110" ht="15.75" customHeight="1">
      <c r="A110" s="5"/>
      <c r="B110" s="5"/>
      <c r="C110" s="5"/>
    </row>
    <row r="111" ht="15.75" customHeight="1">
      <c r="A111" s="5"/>
      <c r="B111" s="5"/>
      <c r="C111" s="5"/>
    </row>
    <row r="112" ht="15.75" customHeight="1">
      <c r="A112" s="5"/>
      <c r="B112" s="5"/>
      <c r="C112" s="5"/>
    </row>
    <row r="113" ht="15.75" customHeight="1">
      <c r="A113" s="5"/>
      <c r="B113" s="5"/>
      <c r="C113" s="5"/>
    </row>
    <row r="114" ht="15.75" customHeight="1">
      <c r="A114" s="5"/>
      <c r="B114" s="5"/>
      <c r="C114" s="5"/>
    </row>
    <row r="115" ht="15.75" customHeight="1">
      <c r="A115" s="5"/>
      <c r="B115" s="5"/>
      <c r="C115" s="5"/>
    </row>
    <row r="116" ht="15.75" customHeight="1">
      <c r="A116" s="5"/>
      <c r="B116" s="5"/>
      <c r="C116" s="5"/>
    </row>
    <row r="117" ht="15.75" customHeight="1">
      <c r="A117" s="5"/>
      <c r="B117" s="5"/>
      <c r="C117" s="5"/>
    </row>
    <row r="118" ht="15.75" customHeight="1">
      <c r="A118" s="5"/>
      <c r="B118" s="5"/>
      <c r="C118" s="5"/>
    </row>
    <row r="119" ht="15.75" customHeight="1">
      <c r="A119" s="5"/>
      <c r="B119" s="5"/>
      <c r="C119" s="5"/>
    </row>
    <row r="120" ht="15.75" customHeight="1">
      <c r="A120" s="5"/>
      <c r="B120" s="5"/>
      <c r="C120" s="5"/>
    </row>
    <row r="121" ht="15.75" customHeight="1">
      <c r="A121" s="5"/>
      <c r="B121" s="5"/>
      <c r="C121" s="5"/>
    </row>
    <row r="122" ht="15.75" customHeight="1">
      <c r="A122" s="5"/>
      <c r="B122" s="5"/>
      <c r="C122" s="5"/>
    </row>
    <row r="123" ht="15.75" customHeight="1">
      <c r="A123" s="5"/>
      <c r="B123" s="5"/>
      <c r="C123" s="5"/>
    </row>
    <row r="124" ht="15.75" customHeight="1">
      <c r="A124" s="5"/>
      <c r="B124" s="5"/>
      <c r="C124" s="5"/>
    </row>
    <row r="125" ht="15.75" customHeight="1">
      <c r="A125" s="5"/>
      <c r="B125" s="5"/>
      <c r="C125" s="5"/>
    </row>
    <row r="126" ht="15.75" customHeight="1">
      <c r="A126" s="5"/>
      <c r="B126" s="5"/>
      <c r="C126" s="5"/>
    </row>
    <row r="127" ht="15.75" customHeight="1">
      <c r="A127" s="5"/>
      <c r="B127" s="5"/>
      <c r="C127" s="5"/>
    </row>
    <row r="128" ht="15.75" customHeight="1">
      <c r="A128" s="5"/>
      <c r="B128" s="5"/>
      <c r="C128" s="5"/>
    </row>
    <row r="129" ht="15.75" customHeight="1">
      <c r="A129" s="5"/>
      <c r="B129" s="5"/>
      <c r="C129" s="5"/>
    </row>
    <row r="130" ht="15.75" customHeight="1">
      <c r="A130" s="5"/>
      <c r="B130" s="5"/>
      <c r="C130" s="5"/>
    </row>
    <row r="131" ht="15.75" customHeight="1">
      <c r="A131" s="5"/>
      <c r="B131" s="5"/>
      <c r="C131" s="5"/>
    </row>
    <row r="132" ht="15.75" customHeight="1">
      <c r="A132" s="5"/>
      <c r="B132" s="5"/>
      <c r="C132" s="5"/>
    </row>
    <row r="133" ht="15.75" customHeight="1">
      <c r="A133" s="5"/>
      <c r="B133" s="5"/>
      <c r="C133" s="5"/>
    </row>
    <row r="134" ht="15.75" customHeight="1">
      <c r="A134" s="5"/>
      <c r="B134" s="5"/>
      <c r="C134" s="5"/>
    </row>
    <row r="135" ht="15.75" customHeight="1">
      <c r="A135" s="5"/>
      <c r="B135" s="5"/>
      <c r="C135" s="5"/>
    </row>
    <row r="136" ht="15.75" customHeight="1">
      <c r="A136" s="5"/>
      <c r="B136" s="5"/>
      <c r="C136" s="5"/>
    </row>
    <row r="137" ht="15.75" customHeight="1">
      <c r="A137" s="5"/>
      <c r="B137" s="5"/>
      <c r="C137" s="5"/>
    </row>
    <row r="138" ht="15.75" customHeight="1">
      <c r="A138" s="5"/>
      <c r="B138" s="5"/>
      <c r="C138" s="5"/>
    </row>
    <row r="139" ht="15.75" customHeight="1">
      <c r="A139" s="5"/>
      <c r="B139" s="5"/>
      <c r="C139" s="5"/>
    </row>
    <row r="140" ht="15.75" customHeight="1">
      <c r="A140" s="5"/>
      <c r="B140" s="5"/>
      <c r="C140" s="5"/>
    </row>
    <row r="141" ht="15.75" customHeight="1">
      <c r="A141" s="5"/>
      <c r="B141" s="5"/>
      <c r="C141" s="5"/>
    </row>
    <row r="142" ht="15.75" customHeight="1">
      <c r="A142" s="5"/>
      <c r="B142" s="5"/>
      <c r="C142" s="5"/>
    </row>
    <row r="143" ht="15.75" customHeight="1">
      <c r="A143" s="5"/>
      <c r="B143" s="5"/>
      <c r="C143" s="5"/>
    </row>
    <row r="144" ht="15.75" customHeight="1">
      <c r="A144" s="5"/>
      <c r="B144" s="5"/>
      <c r="C144" s="5"/>
    </row>
    <row r="145" ht="15.75" customHeight="1">
      <c r="A145" s="5"/>
      <c r="B145" s="5"/>
      <c r="C145" s="5"/>
    </row>
    <row r="146" ht="15.75" customHeight="1">
      <c r="A146" s="5"/>
      <c r="B146" s="5"/>
      <c r="C146" s="5"/>
    </row>
    <row r="147" ht="15.75" customHeight="1">
      <c r="A147" s="5"/>
      <c r="B147" s="5"/>
      <c r="C147" s="5"/>
    </row>
    <row r="148" ht="15.75" customHeight="1">
      <c r="A148" s="5"/>
      <c r="B148" s="5"/>
      <c r="C148" s="5"/>
    </row>
    <row r="149" ht="15.75" customHeight="1">
      <c r="A149" s="5"/>
      <c r="B149" s="5"/>
      <c r="C149" s="5"/>
    </row>
    <row r="150" ht="15.75" customHeight="1">
      <c r="A150" s="5"/>
      <c r="B150" s="5"/>
      <c r="C150" s="5"/>
    </row>
    <row r="151" ht="15.75" customHeight="1">
      <c r="A151" s="5"/>
      <c r="B151" s="5"/>
      <c r="C151" s="5"/>
    </row>
    <row r="152" ht="15.75" customHeight="1">
      <c r="A152" s="5"/>
      <c r="B152" s="5"/>
      <c r="C152" s="5"/>
    </row>
    <row r="153" ht="15.75" customHeight="1">
      <c r="A153" s="5"/>
      <c r="B153" s="5"/>
      <c r="C153" s="5"/>
    </row>
    <row r="154" ht="15.75" customHeight="1">
      <c r="A154" s="5"/>
      <c r="B154" s="5"/>
      <c r="C154" s="5"/>
    </row>
    <row r="155" ht="15.75" customHeight="1">
      <c r="A155" s="5"/>
      <c r="B155" s="5"/>
      <c r="C155" s="5"/>
    </row>
    <row r="156" ht="15.75" customHeight="1">
      <c r="A156" s="5"/>
      <c r="B156" s="5"/>
      <c r="C156" s="5"/>
    </row>
    <row r="157" ht="15.75" customHeight="1">
      <c r="A157" s="5"/>
      <c r="B157" s="5"/>
      <c r="C157" s="5"/>
    </row>
    <row r="158" ht="15.75" customHeight="1">
      <c r="A158" s="5"/>
      <c r="B158" s="5"/>
      <c r="C158" s="5"/>
    </row>
    <row r="159" ht="15.75" customHeight="1">
      <c r="A159" s="5"/>
      <c r="B159" s="5"/>
      <c r="C159" s="5"/>
    </row>
    <row r="160" ht="15.75" customHeight="1">
      <c r="A160" s="5"/>
      <c r="B160" s="5"/>
      <c r="C160" s="5"/>
    </row>
    <row r="161" ht="15.75" customHeight="1">
      <c r="A161" s="5"/>
      <c r="B161" s="5"/>
      <c r="C161" s="5"/>
    </row>
    <row r="162" ht="15.75" customHeight="1">
      <c r="A162" s="5"/>
      <c r="B162" s="5"/>
      <c r="C162" s="5"/>
    </row>
    <row r="163" ht="15.75" customHeight="1">
      <c r="A163" s="5"/>
      <c r="B163" s="5"/>
      <c r="C163" s="5"/>
    </row>
    <row r="164" ht="15.75" customHeight="1">
      <c r="A164" s="5"/>
      <c r="B164" s="5"/>
      <c r="C164" s="5"/>
    </row>
    <row r="165" ht="15.75" customHeight="1">
      <c r="A165" s="5"/>
      <c r="B165" s="5"/>
      <c r="C165" s="5"/>
    </row>
    <row r="166" ht="15.75" customHeight="1">
      <c r="A166" s="5"/>
      <c r="B166" s="5"/>
      <c r="C166" s="5"/>
    </row>
    <row r="167" ht="15.75" customHeight="1">
      <c r="A167" s="5"/>
      <c r="B167" s="5"/>
      <c r="C167" s="5"/>
    </row>
    <row r="168" ht="15.75" customHeight="1">
      <c r="A168" s="5"/>
      <c r="B168" s="5"/>
      <c r="C168" s="5"/>
    </row>
    <row r="169" ht="15.75" customHeight="1">
      <c r="A169" s="5"/>
      <c r="B169" s="5"/>
      <c r="C169" s="5"/>
    </row>
    <row r="170" ht="15.75" customHeight="1">
      <c r="A170" s="5"/>
      <c r="B170" s="5"/>
      <c r="C170" s="5"/>
    </row>
    <row r="171" ht="15.75" customHeight="1">
      <c r="A171" s="5"/>
      <c r="B171" s="5"/>
      <c r="C171" s="5"/>
    </row>
    <row r="172" ht="15.75" customHeight="1">
      <c r="A172" s="5"/>
      <c r="B172" s="5"/>
      <c r="C172" s="5"/>
    </row>
    <row r="173" ht="15.75" customHeight="1">
      <c r="A173" s="5"/>
      <c r="B173" s="5"/>
      <c r="C173" s="5"/>
    </row>
    <row r="174" ht="15.75" customHeight="1">
      <c r="A174" s="5"/>
      <c r="B174" s="5"/>
      <c r="C174" s="5"/>
    </row>
    <row r="175" ht="15.75" customHeight="1">
      <c r="A175" s="5"/>
      <c r="B175" s="5"/>
      <c r="C175" s="5"/>
    </row>
    <row r="176" ht="15.75" customHeight="1">
      <c r="A176" s="5"/>
      <c r="B176" s="5"/>
      <c r="C176" s="5"/>
    </row>
    <row r="177" ht="15.75" customHeight="1">
      <c r="A177" s="5"/>
      <c r="B177" s="5"/>
      <c r="C177" s="5"/>
    </row>
    <row r="178" ht="15.75" customHeight="1">
      <c r="A178" s="5"/>
      <c r="B178" s="5"/>
      <c r="C178" s="5"/>
    </row>
    <row r="179" ht="15.75" customHeight="1">
      <c r="A179" s="5"/>
      <c r="B179" s="5"/>
      <c r="C179" s="5"/>
    </row>
    <row r="180" ht="15.75" customHeight="1">
      <c r="A180" s="5"/>
      <c r="B180" s="5"/>
      <c r="C180" s="5"/>
    </row>
    <row r="181" ht="15.75" customHeight="1">
      <c r="A181" s="5"/>
      <c r="B181" s="5"/>
      <c r="C181" s="5"/>
    </row>
    <row r="182" ht="15.75" customHeight="1">
      <c r="A182" s="5"/>
      <c r="B182" s="5"/>
      <c r="C182" s="5"/>
    </row>
    <row r="183" ht="15.75" customHeight="1">
      <c r="A183" s="5"/>
      <c r="B183" s="5"/>
      <c r="C183" s="5"/>
    </row>
    <row r="184" ht="15.75" customHeight="1">
      <c r="A184" s="5"/>
      <c r="B184" s="5"/>
      <c r="C184" s="5"/>
    </row>
    <row r="185" ht="15.75" customHeight="1">
      <c r="A185" s="5"/>
      <c r="B185" s="5"/>
      <c r="C185" s="5"/>
    </row>
    <row r="186" ht="15.75" customHeight="1">
      <c r="A186" s="5"/>
      <c r="B186" s="5"/>
      <c r="C186" s="5"/>
    </row>
    <row r="187" ht="15.75" customHeight="1">
      <c r="A187" s="5"/>
      <c r="B187" s="5"/>
      <c r="C187" s="5"/>
    </row>
    <row r="188" ht="15.75" customHeight="1">
      <c r="A188" s="5"/>
      <c r="B188" s="5"/>
      <c r="C188" s="5"/>
    </row>
    <row r="189" ht="15.75" customHeight="1">
      <c r="A189" s="5"/>
      <c r="B189" s="5"/>
      <c r="C189" s="5"/>
    </row>
    <row r="190" ht="15.75" customHeight="1">
      <c r="A190" s="5"/>
      <c r="B190" s="5"/>
      <c r="C190" s="5"/>
    </row>
    <row r="191" ht="15.75" customHeight="1">
      <c r="A191" s="5"/>
      <c r="B191" s="5"/>
      <c r="C191" s="5"/>
    </row>
    <row r="192" ht="15.75" customHeight="1">
      <c r="A192" s="5"/>
      <c r="B192" s="5"/>
      <c r="C192" s="5"/>
    </row>
    <row r="193" ht="15.75" customHeight="1">
      <c r="A193" s="5"/>
      <c r="B193" s="5"/>
      <c r="C193" s="5"/>
    </row>
    <row r="194" ht="15.75" customHeight="1">
      <c r="A194" s="5"/>
      <c r="B194" s="5"/>
      <c r="C194" s="5"/>
    </row>
    <row r="195" ht="15.75" customHeight="1">
      <c r="A195" s="5"/>
      <c r="B195" s="5"/>
      <c r="C195" s="5"/>
    </row>
    <row r="196" ht="15.75" customHeight="1">
      <c r="A196" s="5"/>
      <c r="B196" s="5"/>
      <c r="C196" s="5"/>
    </row>
    <row r="197" ht="15.75" customHeight="1">
      <c r="A197" s="5"/>
      <c r="B197" s="5"/>
      <c r="C197" s="5"/>
    </row>
    <row r="198" ht="15.75" customHeight="1">
      <c r="A198" s="5"/>
      <c r="B198" s="5"/>
      <c r="C198" s="5"/>
    </row>
    <row r="199" ht="15.75" customHeight="1">
      <c r="A199" s="5"/>
      <c r="B199" s="5"/>
      <c r="C199" s="5"/>
    </row>
    <row r="200" ht="15.75" customHeight="1">
      <c r="A200" s="5"/>
      <c r="B200" s="5"/>
      <c r="C200" s="5"/>
    </row>
    <row r="201" ht="15.75" customHeight="1">
      <c r="A201" s="5"/>
      <c r="B201" s="5"/>
      <c r="C201" s="5"/>
    </row>
    <row r="202" ht="15.75" customHeight="1">
      <c r="A202" s="5"/>
      <c r="B202" s="5"/>
      <c r="C202" s="5"/>
    </row>
    <row r="203" ht="15.75" customHeight="1">
      <c r="A203" s="5"/>
      <c r="B203" s="5"/>
      <c r="C203" s="5"/>
    </row>
    <row r="204" ht="15.75" customHeight="1">
      <c r="A204" s="5"/>
      <c r="B204" s="5"/>
      <c r="C204" s="5"/>
    </row>
    <row r="205" ht="15.75" customHeight="1">
      <c r="A205" s="5"/>
      <c r="B205" s="5"/>
      <c r="C205" s="5"/>
    </row>
    <row r="206" ht="15.75" customHeight="1">
      <c r="A206" s="5"/>
      <c r="B206" s="5"/>
      <c r="C206" s="5"/>
    </row>
    <row r="207" ht="15.75" customHeight="1">
      <c r="A207" s="5"/>
      <c r="B207" s="5"/>
      <c r="C207" s="5"/>
    </row>
    <row r="208" ht="15.75" customHeight="1">
      <c r="A208" s="5"/>
      <c r="B208" s="5"/>
      <c r="C208" s="5"/>
    </row>
    <row r="209" ht="15.75" customHeight="1">
      <c r="A209" s="5"/>
      <c r="B209" s="5"/>
      <c r="C209" s="5"/>
    </row>
    <row r="210" ht="15.75" customHeight="1">
      <c r="A210" s="5"/>
      <c r="B210" s="5"/>
      <c r="C210" s="5"/>
    </row>
    <row r="211" ht="15.75" customHeight="1">
      <c r="A211" s="5"/>
      <c r="B211" s="5"/>
      <c r="C211" s="5"/>
    </row>
    <row r="212" ht="15.75" customHeight="1">
      <c r="A212" s="5"/>
      <c r="B212" s="5"/>
      <c r="C212" s="5"/>
    </row>
    <row r="213" ht="15.75" customHeight="1">
      <c r="A213" s="5"/>
      <c r="B213" s="5"/>
      <c r="C213" s="5"/>
    </row>
    <row r="214" ht="15.75" customHeight="1">
      <c r="A214" s="5"/>
      <c r="B214" s="5"/>
      <c r="C214" s="5"/>
    </row>
    <row r="215" ht="15.75" customHeight="1">
      <c r="A215" s="5"/>
      <c r="B215" s="5"/>
      <c r="C215" s="5"/>
    </row>
    <row r="216" ht="15.75" customHeight="1">
      <c r="A216" s="5"/>
      <c r="B216" s="5"/>
      <c r="C216" s="5"/>
    </row>
    <row r="217" ht="15.75" customHeight="1">
      <c r="A217" s="5"/>
      <c r="B217" s="5"/>
      <c r="C217" s="5"/>
    </row>
    <row r="218" ht="15.75" customHeight="1">
      <c r="A218" s="5"/>
      <c r="B218" s="5"/>
      <c r="C218" s="5"/>
    </row>
    <row r="219" ht="15.75" customHeight="1">
      <c r="A219" s="5"/>
      <c r="B219" s="5"/>
      <c r="C219" s="5"/>
    </row>
    <row r="220" ht="15.75" customHeight="1">
      <c r="A220" s="5"/>
      <c r="B220" s="5"/>
      <c r="C220" s="5"/>
    </row>
    <row r="221" ht="15.75" customHeight="1">
      <c r="A221" s="5"/>
      <c r="B221" s="5"/>
      <c r="C221" s="5"/>
    </row>
    <row r="222" ht="15.75" customHeight="1">
      <c r="A222" s="5"/>
      <c r="B222" s="5"/>
      <c r="C222" s="5"/>
    </row>
    <row r="223" ht="15.75" customHeight="1">
      <c r="A223" s="5"/>
      <c r="B223" s="5"/>
      <c r="C223" s="5"/>
    </row>
    <row r="224" ht="15.75" customHeight="1">
      <c r="A224" s="5"/>
      <c r="B224" s="5"/>
      <c r="C224" s="5"/>
    </row>
    <row r="225" ht="15.75" customHeight="1">
      <c r="A225" s="5"/>
      <c r="B225" s="5"/>
      <c r="C225" s="5"/>
    </row>
    <row r="226" ht="15.75" customHeight="1">
      <c r="A226" s="5"/>
      <c r="B226" s="5"/>
      <c r="C226" s="5"/>
    </row>
    <row r="227" ht="15.75" customHeight="1">
      <c r="A227" s="5"/>
      <c r="B227" s="5"/>
      <c r="C227" s="5"/>
    </row>
    <row r="228" ht="15.75" customHeight="1">
      <c r="A228" s="5"/>
      <c r="B228" s="5"/>
      <c r="C228" s="5"/>
    </row>
    <row r="229" ht="15.75" customHeight="1">
      <c r="A229" s="5"/>
      <c r="B229" s="5"/>
      <c r="C229" s="5"/>
    </row>
    <row r="230" ht="15.75" customHeight="1">
      <c r="A230" s="5"/>
      <c r="B230" s="5"/>
      <c r="C230" s="5"/>
    </row>
    <row r="231" ht="15.75" customHeight="1">
      <c r="A231" s="5"/>
      <c r="B231" s="5"/>
      <c r="C231" s="5"/>
    </row>
    <row r="232" ht="15.75" customHeight="1">
      <c r="A232" s="5"/>
      <c r="B232" s="5"/>
      <c r="C232" s="5"/>
    </row>
    <row r="233" ht="15.75" customHeight="1">
      <c r="A233" s="5"/>
      <c r="B233" s="5"/>
      <c r="C233" s="5"/>
    </row>
    <row r="234" ht="15.75" customHeight="1">
      <c r="A234" s="5"/>
      <c r="B234" s="5"/>
      <c r="C234" s="5"/>
    </row>
    <row r="235" ht="15.75" customHeight="1">
      <c r="A235" s="5"/>
      <c r="B235" s="5"/>
      <c r="C235" s="5"/>
    </row>
    <row r="236" ht="15.75" customHeight="1">
      <c r="A236" s="5"/>
      <c r="B236" s="5"/>
      <c r="C236" s="5"/>
    </row>
    <row r="237" ht="15.75" customHeight="1">
      <c r="A237" s="5"/>
      <c r="B237" s="5"/>
      <c r="C237" s="5"/>
    </row>
    <row r="238" ht="15.75" customHeight="1">
      <c r="A238" s="5"/>
      <c r="B238" s="5"/>
      <c r="C238" s="5"/>
    </row>
    <row r="239" ht="15.75" customHeight="1">
      <c r="A239" s="5"/>
      <c r="B239" s="5"/>
      <c r="C239" s="5"/>
    </row>
    <row r="240" ht="15.75" customHeight="1">
      <c r="A240" s="5"/>
      <c r="B240" s="5"/>
      <c r="C240" s="5"/>
    </row>
    <row r="241" ht="15.75" customHeight="1">
      <c r="A241" s="5"/>
      <c r="B241" s="5"/>
      <c r="C241" s="5"/>
    </row>
    <row r="242" ht="15.75" customHeight="1">
      <c r="A242" s="5"/>
      <c r="B242" s="5"/>
      <c r="C242" s="5"/>
    </row>
    <row r="243" ht="15.75" customHeight="1">
      <c r="A243" s="5"/>
      <c r="B243" s="5"/>
      <c r="C243" s="5"/>
    </row>
    <row r="244" ht="15.75" customHeight="1">
      <c r="A244" s="5"/>
      <c r="B244" s="5"/>
      <c r="C244" s="5"/>
    </row>
    <row r="245" ht="15.75" customHeight="1">
      <c r="A245" s="5"/>
      <c r="B245" s="5"/>
      <c r="C245" s="5"/>
    </row>
    <row r="246" ht="15.75" customHeight="1">
      <c r="A246" s="5"/>
      <c r="B246" s="5"/>
      <c r="C246" s="5"/>
    </row>
    <row r="247" ht="15.75" customHeight="1">
      <c r="A247" s="5"/>
      <c r="B247" s="5"/>
      <c r="C247" s="5"/>
    </row>
    <row r="248" ht="15.75" customHeight="1">
      <c r="A248" s="5"/>
      <c r="B248" s="5"/>
      <c r="C248" s="5"/>
    </row>
    <row r="249" ht="15.75" customHeight="1">
      <c r="A249" s="5"/>
      <c r="B249" s="5"/>
      <c r="C249" s="5"/>
    </row>
    <row r="250" ht="15.75" customHeight="1">
      <c r="A250" s="5"/>
      <c r="B250" s="5"/>
      <c r="C250" s="5"/>
    </row>
    <row r="251" ht="15.75" customHeight="1">
      <c r="A251" s="5"/>
      <c r="B251" s="5"/>
      <c r="C251" s="5"/>
    </row>
    <row r="252" ht="15.75" customHeight="1">
      <c r="A252" s="5"/>
      <c r="B252" s="5"/>
      <c r="C252" s="5"/>
    </row>
    <row r="253" ht="15.75" customHeight="1">
      <c r="A253" s="5"/>
      <c r="B253" s="5"/>
      <c r="C253" s="5"/>
    </row>
    <row r="254" ht="15.75" customHeight="1">
      <c r="A254" s="5"/>
      <c r="B254" s="5"/>
      <c r="C254" s="5"/>
    </row>
    <row r="255" ht="15.75" customHeight="1">
      <c r="A255" s="5"/>
      <c r="B255" s="5"/>
      <c r="C255" s="5"/>
    </row>
    <row r="256" ht="15.75" customHeight="1">
      <c r="A256" s="5"/>
      <c r="B256" s="5"/>
      <c r="C256" s="5"/>
    </row>
    <row r="257" ht="15.75" customHeight="1">
      <c r="A257" s="5"/>
      <c r="B257" s="5"/>
      <c r="C257" s="5"/>
    </row>
    <row r="258" ht="15.75" customHeight="1">
      <c r="A258" s="5"/>
      <c r="B258" s="5"/>
      <c r="C258" s="5"/>
    </row>
    <row r="259" ht="15.75" customHeight="1">
      <c r="A259" s="5"/>
      <c r="B259" s="5"/>
      <c r="C259" s="5"/>
    </row>
    <row r="260" ht="15.75" customHeight="1">
      <c r="A260" s="5"/>
      <c r="B260" s="5"/>
      <c r="C260" s="5"/>
    </row>
    <row r="261" ht="15.75" customHeight="1">
      <c r="A261" s="5"/>
      <c r="B261" s="5"/>
      <c r="C261" s="5"/>
    </row>
    <row r="262" ht="15.75" customHeight="1">
      <c r="A262" s="5"/>
      <c r="B262" s="5"/>
      <c r="C262" s="5"/>
    </row>
    <row r="263" ht="15.75" customHeight="1">
      <c r="A263" s="5"/>
      <c r="B263" s="5"/>
      <c r="C263" s="5"/>
    </row>
    <row r="264" ht="15.75" customHeight="1">
      <c r="A264" s="5"/>
      <c r="B264" s="5"/>
      <c r="C264" s="5"/>
    </row>
    <row r="265" ht="15.75" customHeight="1">
      <c r="A265" s="5"/>
      <c r="B265" s="5"/>
      <c r="C265" s="5"/>
    </row>
    <row r="266" ht="15.75" customHeight="1">
      <c r="A266" s="5"/>
      <c r="B266" s="5"/>
      <c r="C266" s="5"/>
    </row>
    <row r="267" ht="15.75" customHeight="1">
      <c r="A267" s="5"/>
      <c r="B267" s="5"/>
      <c r="C267" s="5"/>
    </row>
    <row r="268" ht="15.75" customHeight="1">
      <c r="A268" s="5"/>
      <c r="B268" s="5"/>
      <c r="C268" s="5"/>
    </row>
    <row r="269" ht="15.75" customHeight="1">
      <c r="A269" s="5"/>
      <c r="B269" s="5"/>
      <c r="C269" s="5"/>
    </row>
    <row r="270" ht="15.75" customHeight="1">
      <c r="A270" s="5"/>
      <c r="B270" s="5"/>
      <c r="C270" s="5"/>
    </row>
    <row r="271" ht="15.75" customHeight="1">
      <c r="A271" s="5"/>
      <c r="B271" s="5"/>
      <c r="C271" s="5"/>
    </row>
    <row r="272" ht="15.75" customHeight="1">
      <c r="A272" s="5"/>
      <c r="B272" s="5"/>
      <c r="C272" s="5"/>
    </row>
    <row r="273" ht="15.75" customHeight="1">
      <c r="A273" s="5"/>
      <c r="B273" s="5"/>
      <c r="C273" s="5"/>
    </row>
    <row r="274" ht="15.75" customHeight="1">
      <c r="A274" s="5"/>
      <c r="B274" s="5"/>
      <c r="C274" s="5"/>
    </row>
    <row r="275" ht="15.75" customHeight="1">
      <c r="A275" s="5"/>
      <c r="B275" s="5"/>
      <c r="C275" s="5"/>
    </row>
    <row r="276" ht="15.75" customHeight="1">
      <c r="A276" s="5"/>
      <c r="B276" s="5"/>
      <c r="C276" s="5"/>
    </row>
    <row r="277" ht="15.75" customHeight="1">
      <c r="A277" s="5"/>
      <c r="B277" s="5"/>
      <c r="C277" s="5"/>
    </row>
    <row r="278" ht="15.75" customHeight="1">
      <c r="A278" s="5"/>
      <c r="B278" s="5"/>
      <c r="C278" s="5"/>
    </row>
    <row r="279" ht="15.75" customHeight="1">
      <c r="A279" s="5"/>
      <c r="B279" s="5"/>
      <c r="C279" s="5"/>
    </row>
    <row r="280" ht="15.75" customHeight="1">
      <c r="A280" s="5"/>
      <c r="B280" s="5"/>
      <c r="C280" s="5"/>
    </row>
    <row r="281" ht="15.75" customHeight="1">
      <c r="A281" s="5"/>
      <c r="B281" s="5"/>
      <c r="C281" s="5"/>
    </row>
    <row r="282" ht="15.75" customHeight="1">
      <c r="A282" s="5"/>
      <c r="B282" s="5"/>
      <c r="C282" s="5"/>
    </row>
    <row r="283" ht="15.75" customHeight="1">
      <c r="A283" s="5"/>
      <c r="B283" s="5"/>
      <c r="C283" s="5"/>
    </row>
    <row r="284" ht="15.75" customHeight="1">
      <c r="A284" s="5"/>
      <c r="B284" s="5"/>
      <c r="C284" s="5"/>
    </row>
    <row r="285" ht="15.75" customHeight="1">
      <c r="A285" s="5"/>
      <c r="B285" s="5"/>
      <c r="C285" s="5"/>
    </row>
    <row r="286" ht="15.75" customHeight="1">
      <c r="A286" s="5"/>
      <c r="B286" s="5"/>
      <c r="C286" s="5"/>
    </row>
    <row r="287" ht="15.75" customHeight="1">
      <c r="A287" s="5"/>
      <c r="B287" s="5"/>
      <c r="C287" s="5"/>
    </row>
    <row r="288" ht="15.75" customHeight="1">
      <c r="A288" s="5"/>
      <c r="B288" s="5"/>
      <c r="C288" s="5"/>
    </row>
    <row r="289" ht="15.75" customHeight="1">
      <c r="A289" s="5"/>
      <c r="B289" s="5"/>
      <c r="C289" s="5"/>
    </row>
    <row r="290" ht="15.75" customHeight="1">
      <c r="A290" s="5"/>
      <c r="B290" s="5"/>
      <c r="C290" s="5"/>
    </row>
    <row r="291" ht="15.75" customHeight="1">
      <c r="A291" s="5"/>
      <c r="B291" s="5"/>
      <c r="C291" s="5"/>
    </row>
    <row r="292" ht="15.75" customHeight="1">
      <c r="A292" s="5"/>
      <c r="B292" s="5"/>
      <c r="C292" s="5"/>
    </row>
    <row r="293" ht="15.75" customHeight="1">
      <c r="A293" s="5"/>
      <c r="B293" s="5"/>
      <c r="C293" s="5"/>
    </row>
    <row r="294" ht="15.75" customHeight="1">
      <c r="A294" s="5"/>
      <c r="B294" s="5"/>
      <c r="C294" s="5"/>
    </row>
    <row r="295" ht="15.75" customHeight="1">
      <c r="A295" s="5"/>
      <c r="B295" s="5"/>
      <c r="C295" s="5"/>
    </row>
    <row r="296" ht="15.75" customHeight="1">
      <c r="A296" s="5"/>
      <c r="B296" s="5"/>
      <c r="C296" s="5"/>
    </row>
    <row r="297" ht="15.75" customHeight="1">
      <c r="A297" s="5"/>
      <c r="B297" s="5"/>
      <c r="C297" s="5"/>
    </row>
    <row r="298" ht="15.75" customHeight="1">
      <c r="A298" s="5"/>
      <c r="B298" s="5"/>
      <c r="C298" s="5"/>
    </row>
    <row r="299" ht="15.75" customHeight="1">
      <c r="A299" s="5"/>
      <c r="B299" s="5"/>
      <c r="C299" s="5"/>
    </row>
    <row r="300" ht="15.75" customHeight="1">
      <c r="A300" s="5"/>
      <c r="B300" s="5"/>
      <c r="C300" s="5"/>
    </row>
    <row r="301" ht="15.75" customHeight="1">
      <c r="A301" s="5"/>
      <c r="B301" s="5"/>
      <c r="C301" s="5"/>
    </row>
    <row r="302" ht="15.75" customHeight="1">
      <c r="A302" s="5"/>
      <c r="B302" s="5"/>
      <c r="C302" s="5"/>
    </row>
    <row r="303" ht="15.75" customHeight="1">
      <c r="A303" s="5"/>
      <c r="B303" s="5"/>
      <c r="C303" s="5"/>
    </row>
    <row r="304" ht="15.75" customHeight="1">
      <c r="A304" s="5"/>
      <c r="B304" s="5"/>
      <c r="C304" s="5"/>
    </row>
    <row r="305" ht="15.75" customHeight="1">
      <c r="A305" s="5"/>
      <c r="B305" s="5"/>
      <c r="C305" s="5"/>
    </row>
    <row r="306" ht="15.75" customHeight="1">
      <c r="A306" s="5"/>
      <c r="B306" s="5"/>
      <c r="C306" s="5"/>
    </row>
    <row r="307" ht="15.75" customHeight="1">
      <c r="A307" s="5"/>
      <c r="B307" s="5"/>
      <c r="C307" s="5"/>
    </row>
    <row r="308" ht="15.75" customHeight="1">
      <c r="A308" s="5"/>
      <c r="B308" s="5"/>
      <c r="C308" s="5"/>
    </row>
    <row r="309" ht="15.75" customHeight="1">
      <c r="A309" s="5"/>
      <c r="B309" s="5"/>
      <c r="C309" s="5"/>
    </row>
    <row r="310" ht="15.75" customHeight="1">
      <c r="A310" s="5"/>
      <c r="B310" s="5"/>
      <c r="C310" s="5"/>
    </row>
    <row r="311" ht="15.75" customHeight="1">
      <c r="A311" s="5"/>
      <c r="B311" s="5"/>
      <c r="C311" s="5"/>
    </row>
    <row r="312" ht="15.75" customHeight="1">
      <c r="A312" s="5"/>
      <c r="B312" s="5"/>
      <c r="C312" s="5"/>
    </row>
    <row r="313" ht="15.75" customHeight="1">
      <c r="A313" s="5"/>
      <c r="B313" s="5"/>
      <c r="C313" s="5"/>
    </row>
    <row r="314" ht="15.75" customHeight="1">
      <c r="A314" s="5"/>
      <c r="B314" s="5"/>
      <c r="C314" s="5"/>
    </row>
    <row r="315" ht="15.75" customHeight="1">
      <c r="A315" s="5"/>
      <c r="B315" s="5"/>
      <c r="C315" s="5"/>
    </row>
    <row r="316" ht="15.75" customHeight="1">
      <c r="A316" s="5"/>
      <c r="B316" s="5"/>
      <c r="C316" s="5"/>
    </row>
    <row r="317" ht="15.75" customHeight="1">
      <c r="A317" s="5"/>
      <c r="B317" s="5"/>
      <c r="C317" s="5"/>
    </row>
    <row r="318" ht="15.75" customHeight="1">
      <c r="A318" s="5"/>
      <c r="B318" s="5"/>
      <c r="C318" s="5"/>
    </row>
    <row r="319" ht="15.75" customHeight="1">
      <c r="A319" s="5"/>
      <c r="B319" s="5"/>
      <c r="C319" s="5"/>
    </row>
    <row r="320" ht="15.75" customHeight="1">
      <c r="A320" s="5"/>
      <c r="B320" s="5"/>
      <c r="C320" s="5"/>
    </row>
    <row r="321" ht="15.75" customHeight="1">
      <c r="A321" s="5"/>
      <c r="B321" s="5"/>
      <c r="C321" s="5"/>
    </row>
    <row r="322" ht="15.75" customHeight="1">
      <c r="A322" s="5"/>
      <c r="B322" s="5"/>
      <c r="C322" s="5"/>
    </row>
    <row r="323" ht="15.75" customHeight="1">
      <c r="A323" s="5"/>
      <c r="B323" s="5"/>
      <c r="C323" s="5"/>
    </row>
    <row r="324" ht="15.75" customHeight="1">
      <c r="A324" s="5"/>
      <c r="B324" s="5"/>
      <c r="C324" s="5"/>
    </row>
    <row r="325" ht="15.75" customHeight="1">
      <c r="A325" s="5"/>
      <c r="B325" s="5"/>
      <c r="C325" s="5"/>
    </row>
    <row r="326" ht="15.75" customHeight="1">
      <c r="A326" s="5"/>
      <c r="B326" s="5"/>
      <c r="C326" s="5"/>
    </row>
    <row r="327" ht="15.75" customHeight="1">
      <c r="A327" s="5"/>
      <c r="B327" s="5"/>
      <c r="C327" s="5"/>
    </row>
    <row r="328" ht="15.75" customHeight="1">
      <c r="A328" s="5"/>
      <c r="B328" s="5"/>
      <c r="C328" s="5"/>
    </row>
    <row r="329" ht="15.75" customHeight="1">
      <c r="A329" s="5"/>
      <c r="B329" s="5"/>
      <c r="C329" s="5"/>
    </row>
    <row r="330" ht="15.75" customHeight="1">
      <c r="A330" s="5"/>
      <c r="B330" s="5"/>
      <c r="C330" s="5"/>
    </row>
    <row r="331" ht="15.75" customHeight="1">
      <c r="A331" s="5"/>
      <c r="B331" s="5"/>
      <c r="C331" s="5"/>
    </row>
    <row r="332" ht="15.75" customHeight="1">
      <c r="A332" s="5"/>
      <c r="B332" s="5"/>
      <c r="C332" s="5"/>
    </row>
    <row r="333" ht="15.75" customHeight="1">
      <c r="A333" s="5"/>
      <c r="B333" s="5"/>
      <c r="C333" s="5"/>
    </row>
    <row r="334" ht="15.75" customHeight="1">
      <c r="A334" s="5"/>
      <c r="B334" s="5"/>
      <c r="C334" s="5"/>
    </row>
    <row r="335" ht="15.75" customHeight="1">
      <c r="A335" s="5"/>
      <c r="B335" s="5"/>
      <c r="C335" s="5"/>
    </row>
    <row r="336" ht="15.75" customHeight="1">
      <c r="A336" s="5"/>
      <c r="B336" s="5"/>
      <c r="C336" s="5"/>
    </row>
    <row r="337" ht="15.75" customHeight="1">
      <c r="A337" s="5"/>
      <c r="B337" s="5"/>
      <c r="C337" s="5"/>
    </row>
    <row r="338" ht="15.75" customHeight="1">
      <c r="A338" s="5"/>
      <c r="B338" s="5"/>
      <c r="C338" s="5"/>
    </row>
    <row r="339" ht="15.75" customHeight="1">
      <c r="A339" s="5"/>
      <c r="B339" s="5"/>
      <c r="C339" s="5"/>
    </row>
    <row r="340" ht="15.75" customHeight="1">
      <c r="A340" s="5"/>
      <c r="B340" s="5"/>
      <c r="C340" s="5"/>
    </row>
    <row r="341" ht="15.75" customHeight="1">
      <c r="A341" s="5"/>
      <c r="B341" s="5"/>
      <c r="C341" s="5"/>
    </row>
    <row r="342" ht="15.75" customHeight="1">
      <c r="A342" s="5"/>
      <c r="B342" s="5"/>
      <c r="C342" s="5"/>
    </row>
    <row r="343" ht="15.75" customHeight="1">
      <c r="A343" s="5"/>
      <c r="B343" s="5"/>
      <c r="C343" s="5"/>
    </row>
    <row r="344" ht="15.75" customHeight="1">
      <c r="A344" s="5"/>
      <c r="B344" s="5"/>
      <c r="C344" s="5"/>
    </row>
    <row r="345" ht="15.75" customHeight="1">
      <c r="A345" s="5"/>
      <c r="B345" s="5"/>
      <c r="C345" s="5"/>
    </row>
    <row r="346" ht="15.75" customHeight="1">
      <c r="A346" s="5"/>
      <c r="B346" s="5"/>
      <c r="C346" s="5"/>
    </row>
    <row r="347" ht="15.75" customHeight="1">
      <c r="A347" s="5"/>
      <c r="B347" s="5"/>
      <c r="C347" s="5"/>
    </row>
    <row r="348" ht="15.75" customHeight="1">
      <c r="A348" s="5"/>
      <c r="B348" s="5"/>
      <c r="C348" s="5"/>
    </row>
    <row r="349" ht="15.75" customHeight="1">
      <c r="A349" s="5"/>
      <c r="B349" s="5"/>
      <c r="C349" s="5"/>
    </row>
    <row r="350" ht="15.75" customHeight="1">
      <c r="A350" s="5"/>
      <c r="B350" s="5"/>
      <c r="C350" s="5"/>
    </row>
    <row r="351" ht="15.75" customHeight="1">
      <c r="A351" s="5"/>
      <c r="B351" s="5"/>
      <c r="C351" s="5"/>
    </row>
    <row r="352" ht="15.75" customHeight="1">
      <c r="A352" s="5"/>
      <c r="B352" s="5"/>
      <c r="C352" s="5"/>
    </row>
    <row r="353" ht="15.75" customHeight="1">
      <c r="A353" s="5"/>
      <c r="B353" s="5"/>
      <c r="C353" s="5"/>
    </row>
    <row r="354" ht="15.75" customHeight="1">
      <c r="A354" s="5"/>
      <c r="B354" s="5"/>
      <c r="C354" s="5"/>
    </row>
    <row r="355" ht="15.75" customHeight="1">
      <c r="A355" s="5"/>
      <c r="B355" s="5"/>
      <c r="C355" s="5"/>
    </row>
    <row r="356" ht="15.75" customHeight="1">
      <c r="A356" s="5"/>
      <c r="B356" s="5"/>
      <c r="C356" s="5"/>
    </row>
    <row r="357" ht="15.75" customHeight="1">
      <c r="A357" s="5"/>
      <c r="B357" s="5"/>
      <c r="C357" s="5"/>
    </row>
    <row r="358" ht="15.75" customHeight="1">
      <c r="A358" s="5"/>
      <c r="B358" s="5"/>
      <c r="C358" s="5"/>
    </row>
    <row r="359" ht="15.75" customHeight="1">
      <c r="A359" s="5"/>
      <c r="B359" s="5"/>
      <c r="C359" s="5"/>
    </row>
    <row r="360" ht="15.75" customHeight="1">
      <c r="A360" s="5"/>
      <c r="B360" s="5"/>
      <c r="C360" s="5"/>
    </row>
    <row r="361" ht="15.75" customHeight="1">
      <c r="A361" s="5"/>
      <c r="B361" s="5"/>
      <c r="C361" s="5"/>
    </row>
    <row r="362" ht="15.75" customHeight="1">
      <c r="A362" s="5"/>
      <c r="B362" s="5"/>
      <c r="C362" s="5"/>
    </row>
    <row r="363" ht="15.75" customHeight="1">
      <c r="A363" s="5"/>
      <c r="B363" s="5"/>
      <c r="C363" s="5"/>
    </row>
    <row r="364" ht="15.75" customHeight="1">
      <c r="A364" s="5"/>
      <c r="B364" s="5"/>
      <c r="C364" s="5"/>
    </row>
    <row r="365" ht="15.75" customHeight="1">
      <c r="A365" s="5"/>
      <c r="B365" s="5"/>
      <c r="C365" s="5"/>
    </row>
    <row r="366" ht="15.75" customHeight="1">
      <c r="A366" s="5"/>
      <c r="B366" s="5"/>
      <c r="C366" s="5"/>
    </row>
    <row r="367" ht="15.75" customHeight="1">
      <c r="A367" s="5"/>
      <c r="B367" s="5"/>
      <c r="C367" s="5"/>
    </row>
    <row r="368" ht="15.75" customHeight="1">
      <c r="A368" s="5"/>
      <c r="B368" s="5"/>
      <c r="C368" s="5"/>
    </row>
    <row r="369" ht="15.75" customHeight="1">
      <c r="A369" s="5"/>
      <c r="B369" s="5"/>
      <c r="C369" s="5"/>
    </row>
    <row r="370" ht="15.75" customHeight="1">
      <c r="A370" s="5"/>
      <c r="B370" s="5"/>
      <c r="C370" s="5"/>
    </row>
    <row r="371" ht="15.75" customHeight="1">
      <c r="A371" s="5"/>
      <c r="B371" s="5"/>
      <c r="C371" s="5"/>
    </row>
    <row r="372" ht="15.75" customHeight="1">
      <c r="A372" s="5"/>
      <c r="B372" s="5"/>
      <c r="C372" s="5"/>
    </row>
    <row r="373" ht="15.75" customHeight="1">
      <c r="A373" s="5"/>
      <c r="B373" s="5"/>
      <c r="C373" s="5"/>
    </row>
    <row r="374" ht="15.75" customHeight="1">
      <c r="A374" s="5"/>
      <c r="B374" s="5"/>
      <c r="C374" s="5"/>
    </row>
    <row r="375" ht="15.75" customHeight="1">
      <c r="A375" s="5"/>
      <c r="B375" s="5"/>
      <c r="C375" s="5"/>
    </row>
    <row r="376" ht="15.75" customHeight="1">
      <c r="A376" s="5"/>
      <c r="B376" s="5"/>
      <c r="C376" s="5"/>
    </row>
    <row r="377" ht="15.75" customHeight="1">
      <c r="A377" s="5"/>
      <c r="B377" s="5"/>
      <c r="C377" s="5"/>
    </row>
    <row r="378" ht="15.75" customHeight="1">
      <c r="A378" s="5"/>
      <c r="B378" s="5"/>
      <c r="C378" s="5"/>
    </row>
    <row r="379" ht="15.75" customHeight="1">
      <c r="A379" s="5"/>
      <c r="B379" s="5"/>
      <c r="C379" s="5"/>
    </row>
    <row r="380" ht="15.75" customHeight="1">
      <c r="A380" s="5"/>
      <c r="B380" s="5"/>
      <c r="C380" s="5"/>
    </row>
    <row r="381" ht="15.75" customHeight="1">
      <c r="A381" s="5"/>
      <c r="B381" s="5"/>
      <c r="C381" s="5"/>
    </row>
    <row r="382" ht="15.75" customHeight="1">
      <c r="A382" s="5"/>
      <c r="B382" s="5"/>
      <c r="C382" s="5"/>
    </row>
    <row r="383" ht="15.75" customHeight="1">
      <c r="A383" s="5"/>
      <c r="B383" s="5"/>
      <c r="C383" s="5"/>
    </row>
    <row r="384" ht="15.75" customHeight="1">
      <c r="A384" s="5"/>
      <c r="B384" s="5"/>
      <c r="C384" s="5"/>
    </row>
    <row r="385" ht="15.75" customHeight="1">
      <c r="A385" s="5"/>
      <c r="B385" s="5"/>
      <c r="C385" s="5"/>
    </row>
    <row r="386" ht="15.75" customHeight="1">
      <c r="A386" s="5"/>
      <c r="B386" s="5"/>
      <c r="C386" s="5"/>
    </row>
    <row r="387" ht="15.75" customHeight="1">
      <c r="A387" s="5"/>
      <c r="B387" s="5"/>
      <c r="C387" s="5"/>
    </row>
    <row r="388" ht="15.75" customHeight="1">
      <c r="A388" s="5"/>
      <c r="B388" s="5"/>
      <c r="C388" s="5"/>
    </row>
    <row r="389" ht="15.75" customHeight="1">
      <c r="A389" s="5"/>
      <c r="B389" s="5"/>
      <c r="C389" s="5"/>
    </row>
    <row r="390" ht="15.75" customHeight="1">
      <c r="A390" s="5"/>
      <c r="B390" s="5"/>
      <c r="C390" s="5"/>
    </row>
    <row r="391" ht="15.75" customHeight="1">
      <c r="A391" s="5"/>
      <c r="B391" s="5"/>
      <c r="C391" s="5"/>
    </row>
    <row r="392" ht="15.75" customHeight="1">
      <c r="A392" s="5"/>
      <c r="B392" s="5"/>
      <c r="C392" s="5"/>
    </row>
    <row r="393" ht="15.75" customHeight="1">
      <c r="A393" s="5"/>
      <c r="B393" s="5"/>
      <c r="C393" s="5"/>
    </row>
    <row r="394" ht="15.75" customHeight="1">
      <c r="A394" s="5"/>
      <c r="B394" s="5"/>
      <c r="C394" s="5"/>
    </row>
    <row r="395" ht="15.75" customHeight="1">
      <c r="A395" s="5"/>
      <c r="B395" s="5"/>
      <c r="C395" s="5"/>
    </row>
    <row r="396" ht="15.75" customHeight="1">
      <c r="A396" s="5"/>
      <c r="B396" s="5"/>
      <c r="C396" s="5"/>
    </row>
    <row r="397" ht="15.75" customHeight="1">
      <c r="A397" s="5"/>
      <c r="B397" s="5"/>
      <c r="C397" s="5"/>
    </row>
    <row r="398" ht="15.75" customHeight="1">
      <c r="A398" s="5"/>
      <c r="B398" s="5"/>
      <c r="C398" s="5"/>
    </row>
    <row r="399" ht="15.75" customHeight="1">
      <c r="A399" s="5"/>
      <c r="B399" s="5"/>
      <c r="C399" s="5"/>
    </row>
    <row r="400" ht="15.75" customHeight="1">
      <c r="A400" s="5"/>
      <c r="B400" s="5"/>
      <c r="C400" s="5"/>
    </row>
    <row r="401" ht="15.75" customHeight="1">
      <c r="A401" s="5"/>
      <c r="B401" s="5"/>
      <c r="C401" s="5"/>
    </row>
    <row r="402" ht="15.75" customHeight="1">
      <c r="A402" s="5"/>
      <c r="B402" s="5"/>
      <c r="C402" s="5"/>
    </row>
    <row r="403" ht="15.75" customHeight="1">
      <c r="A403" s="5"/>
      <c r="B403" s="5"/>
      <c r="C403" s="5"/>
    </row>
    <row r="404" ht="15.75" customHeight="1">
      <c r="A404" s="5"/>
      <c r="B404" s="5"/>
      <c r="C404" s="5"/>
    </row>
    <row r="405" ht="15.75" customHeight="1">
      <c r="A405" s="5"/>
      <c r="B405" s="5"/>
      <c r="C405" s="5"/>
    </row>
    <row r="406" ht="15.75" customHeight="1">
      <c r="A406" s="5"/>
      <c r="B406" s="5"/>
      <c r="C406" s="5"/>
    </row>
    <row r="407" ht="15.75" customHeight="1">
      <c r="A407" s="5"/>
      <c r="B407" s="5"/>
      <c r="C407" s="5"/>
    </row>
    <row r="408" ht="15.75" customHeight="1">
      <c r="A408" s="5"/>
      <c r="B408" s="5"/>
      <c r="C408" s="5"/>
    </row>
    <row r="409" ht="15.75" customHeight="1">
      <c r="A409" s="5"/>
      <c r="B409" s="5"/>
      <c r="C409" s="5"/>
    </row>
    <row r="410" ht="15.75" customHeight="1">
      <c r="A410" s="5"/>
      <c r="B410" s="5"/>
      <c r="C410" s="5"/>
    </row>
    <row r="411" ht="15.75" customHeight="1">
      <c r="A411" s="5"/>
      <c r="B411" s="5"/>
      <c r="C411" s="5"/>
    </row>
    <row r="412" ht="15.75" customHeight="1">
      <c r="A412" s="5"/>
      <c r="B412" s="5"/>
      <c r="C412" s="5"/>
    </row>
    <row r="413" ht="15.75" customHeight="1">
      <c r="A413" s="5"/>
      <c r="B413" s="5"/>
      <c r="C413" s="5"/>
    </row>
    <row r="414" ht="15.75" customHeight="1">
      <c r="A414" s="5"/>
      <c r="B414" s="5"/>
      <c r="C414" s="5"/>
    </row>
    <row r="415" ht="15.75" customHeight="1">
      <c r="A415" s="5"/>
      <c r="B415" s="5"/>
      <c r="C415" s="5"/>
    </row>
    <row r="416" ht="15.75" customHeight="1">
      <c r="A416" s="5"/>
      <c r="B416" s="5"/>
      <c r="C416" s="5"/>
    </row>
    <row r="417" ht="15.75" customHeight="1">
      <c r="A417" s="5"/>
      <c r="B417" s="5"/>
      <c r="C417" s="5"/>
    </row>
    <row r="418" ht="15.75" customHeight="1">
      <c r="A418" s="5"/>
      <c r="B418" s="5"/>
      <c r="C418" s="5"/>
    </row>
    <row r="419" ht="15.75" customHeight="1">
      <c r="A419" s="5"/>
      <c r="B419" s="5"/>
      <c r="C419" s="5"/>
    </row>
    <row r="420" ht="15.75" customHeight="1">
      <c r="A420" s="5"/>
      <c r="B420" s="5"/>
      <c r="C420" s="5"/>
    </row>
    <row r="421" ht="15.75" customHeight="1">
      <c r="A421" s="5"/>
      <c r="B421" s="5"/>
      <c r="C421" s="5"/>
    </row>
    <row r="422" ht="15.75" customHeight="1">
      <c r="A422" s="5"/>
      <c r="B422" s="5"/>
      <c r="C422" s="5"/>
    </row>
    <row r="423" ht="15.75" customHeight="1">
      <c r="A423" s="5"/>
      <c r="B423" s="5"/>
      <c r="C423" s="5"/>
    </row>
    <row r="424" ht="15.75" customHeight="1">
      <c r="A424" s="5"/>
      <c r="B424" s="5"/>
      <c r="C424" s="5"/>
    </row>
    <row r="425" ht="15.75" customHeight="1">
      <c r="A425" s="5"/>
      <c r="B425" s="5"/>
      <c r="C425" s="5"/>
    </row>
    <row r="426" ht="15.75" customHeight="1">
      <c r="A426" s="5"/>
      <c r="B426" s="5"/>
      <c r="C426" s="5"/>
    </row>
    <row r="427" ht="15.75" customHeight="1">
      <c r="A427" s="5"/>
      <c r="B427" s="5"/>
      <c r="C427" s="5"/>
    </row>
    <row r="428" ht="15.75" customHeight="1">
      <c r="A428" s="5"/>
      <c r="B428" s="5"/>
      <c r="C428" s="5"/>
    </row>
    <row r="429" ht="15.75" customHeight="1">
      <c r="A429" s="5"/>
      <c r="B429" s="5"/>
      <c r="C429" s="5"/>
    </row>
    <row r="430" ht="15.75" customHeight="1">
      <c r="A430" s="5"/>
      <c r="B430" s="5"/>
      <c r="C430" s="5"/>
    </row>
    <row r="431" ht="15.75" customHeight="1">
      <c r="A431" s="5"/>
      <c r="B431" s="5"/>
      <c r="C431" s="5"/>
    </row>
    <row r="432" ht="15.75" customHeight="1">
      <c r="A432" s="5"/>
      <c r="B432" s="5"/>
      <c r="C432" s="5"/>
    </row>
    <row r="433" ht="15.75" customHeight="1">
      <c r="A433" s="5"/>
      <c r="B433" s="5"/>
      <c r="C433" s="5"/>
    </row>
    <row r="434" ht="15.75" customHeight="1">
      <c r="A434" s="5"/>
      <c r="B434" s="5"/>
      <c r="C434" s="5"/>
    </row>
    <row r="435" ht="15.75" customHeight="1">
      <c r="A435" s="5"/>
      <c r="B435" s="5"/>
      <c r="C435" s="5"/>
    </row>
    <row r="436" ht="15.75" customHeight="1">
      <c r="A436" s="5"/>
      <c r="B436" s="5"/>
      <c r="C436" s="5"/>
    </row>
    <row r="437" ht="15.75" customHeight="1">
      <c r="A437" s="5"/>
      <c r="B437" s="5"/>
      <c r="C437" s="5"/>
    </row>
    <row r="438" ht="15.75" customHeight="1">
      <c r="A438" s="5"/>
      <c r="B438" s="5"/>
      <c r="C438" s="5"/>
    </row>
    <row r="439" ht="15.75" customHeight="1">
      <c r="A439" s="5"/>
      <c r="B439" s="5"/>
      <c r="C439" s="5"/>
    </row>
    <row r="440" ht="15.75" customHeight="1">
      <c r="A440" s="5"/>
      <c r="B440" s="5"/>
      <c r="C440" s="5"/>
    </row>
    <row r="441" ht="15.75" customHeight="1">
      <c r="A441" s="5"/>
      <c r="B441" s="5"/>
      <c r="C441" s="5"/>
    </row>
    <row r="442" ht="15.75" customHeight="1">
      <c r="A442" s="5"/>
      <c r="B442" s="5"/>
      <c r="C442" s="5"/>
    </row>
    <row r="443" ht="15.75" customHeight="1">
      <c r="A443" s="5"/>
      <c r="B443" s="5"/>
      <c r="C443" s="5"/>
    </row>
    <row r="444" ht="15.75" customHeight="1">
      <c r="A444" s="5"/>
      <c r="B444" s="5"/>
      <c r="C444" s="5"/>
    </row>
    <row r="445" ht="15.75" customHeight="1">
      <c r="A445" s="5"/>
      <c r="B445" s="5"/>
      <c r="C445" s="5"/>
    </row>
    <row r="446" ht="15.75" customHeight="1">
      <c r="A446" s="5"/>
      <c r="B446" s="5"/>
      <c r="C446" s="5"/>
    </row>
    <row r="447" ht="15.75" customHeight="1">
      <c r="A447" s="5"/>
      <c r="B447" s="5"/>
      <c r="C447" s="5"/>
    </row>
    <row r="448" ht="15.75" customHeight="1">
      <c r="A448" s="5"/>
      <c r="B448" s="5"/>
      <c r="C448" s="5"/>
    </row>
    <row r="449" ht="15.75" customHeight="1">
      <c r="A449" s="5"/>
      <c r="B449" s="5"/>
      <c r="C449" s="5"/>
    </row>
    <row r="450" ht="15.75" customHeight="1">
      <c r="A450" s="5"/>
      <c r="B450" s="5"/>
      <c r="C450" s="5"/>
    </row>
    <row r="451" ht="15.75" customHeight="1">
      <c r="A451" s="5"/>
      <c r="B451" s="5"/>
      <c r="C451" s="5"/>
    </row>
    <row r="452" ht="15.75" customHeight="1">
      <c r="A452" s="5"/>
      <c r="B452" s="5"/>
      <c r="C452" s="5"/>
    </row>
    <row r="453" ht="15.75" customHeight="1">
      <c r="A453" s="5"/>
      <c r="B453" s="5"/>
      <c r="C453" s="5"/>
    </row>
    <row r="454" ht="15.75" customHeight="1">
      <c r="A454" s="5"/>
      <c r="B454" s="5"/>
      <c r="C454" s="5"/>
    </row>
    <row r="455" ht="15.75" customHeight="1">
      <c r="A455" s="5"/>
      <c r="B455" s="5"/>
      <c r="C455" s="5"/>
    </row>
    <row r="456" ht="15.75" customHeight="1">
      <c r="A456" s="5"/>
      <c r="B456" s="5"/>
      <c r="C456" s="5"/>
    </row>
    <row r="457" ht="15.75" customHeight="1">
      <c r="A457" s="5"/>
      <c r="B457" s="5"/>
      <c r="C457" s="5"/>
    </row>
    <row r="458" ht="15.75" customHeight="1">
      <c r="A458" s="5"/>
      <c r="B458" s="5"/>
      <c r="C458" s="5"/>
    </row>
    <row r="459" ht="15.75" customHeight="1">
      <c r="A459" s="5"/>
      <c r="B459" s="5"/>
      <c r="C459" s="5"/>
    </row>
    <row r="460" ht="15.75" customHeight="1">
      <c r="A460" s="5"/>
      <c r="B460" s="5"/>
      <c r="C460" s="5"/>
    </row>
    <row r="461" ht="15.75" customHeight="1">
      <c r="A461" s="5"/>
      <c r="B461" s="5"/>
      <c r="C461" s="5"/>
    </row>
    <row r="462" ht="15.75" customHeight="1">
      <c r="A462" s="5"/>
      <c r="B462" s="5"/>
      <c r="C462" s="5"/>
    </row>
    <row r="463" ht="15.75" customHeight="1">
      <c r="A463" s="5"/>
      <c r="B463" s="5"/>
      <c r="C463" s="5"/>
    </row>
    <row r="464" ht="15.75" customHeight="1">
      <c r="A464" s="5"/>
      <c r="B464" s="5"/>
      <c r="C464" s="5"/>
    </row>
    <row r="465" ht="15.75" customHeight="1">
      <c r="A465" s="5"/>
      <c r="B465" s="5"/>
      <c r="C465" s="5"/>
    </row>
    <row r="466" ht="15.75" customHeight="1">
      <c r="A466" s="5"/>
      <c r="B466" s="5"/>
      <c r="C466" s="5"/>
    </row>
    <row r="467" ht="15.75" customHeight="1">
      <c r="A467" s="5"/>
      <c r="B467" s="5"/>
      <c r="C467" s="5"/>
    </row>
    <row r="468" ht="15.75" customHeight="1">
      <c r="A468" s="5"/>
      <c r="B468" s="5"/>
      <c r="C468" s="5"/>
    </row>
    <row r="469" ht="15.75" customHeight="1">
      <c r="A469" s="5"/>
      <c r="B469" s="5"/>
      <c r="C469" s="5"/>
    </row>
    <row r="470" ht="15.75" customHeight="1">
      <c r="A470" s="5"/>
      <c r="B470" s="5"/>
      <c r="C470" s="5"/>
    </row>
    <row r="471" ht="15.75" customHeight="1">
      <c r="A471" s="5"/>
      <c r="B471" s="5"/>
      <c r="C471" s="5"/>
    </row>
    <row r="472" ht="15.75" customHeight="1">
      <c r="A472" s="5"/>
      <c r="B472" s="5"/>
      <c r="C472" s="5"/>
    </row>
    <row r="473" ht="15.75" customHeight="1">
      <c r="A473" s="5"/>
      <c r="B473" s="5"/>
      <c r="C473" s="5"/>
    </row>
    <row r="474" ht="15.75" customHeight="1">
      <c r="A474" s="5"/>
      <c r="B474" s="5"/>
      <c r="C474" s="5"/>
    </row>
    <row r="475" ht="15.75" customHeight="1">
      <c r="A475" s="5"/>
      <c r="B475" s="5"/>
      <c r="C475" s="5"/>
    </row>
    <row r="476" ht="15.75" customHeight="1">
      <c r="A476" s="5"/>
      <c r="B476" s="5"/>
      <c r="C476" s="5"/>
    </row>
    <row r="477" ht="15.75" customHeight="1">
      <c r="A477" s="5"/>
      <c r="B477" s="5"/>
      <c r="C477" s="5"/>
    </row>
    <row r="478" ht="15.75" customHeight="1">
      <c r="A478" s="5"/>
      <c r="B478" s="5"/>
      <c r="C478" s="5"/>
    </row>
    <row r="479" ht="15.75" customHeight="1">
      <c r="A479" s="5"/>
      <c r="B479" s="5"/>
      <c r="C479" s="5"/>
    </row>
    <row r="480" ht="15.75" customHeight="1">
      <c r="A480" s="5"/>
      <c r="B480" s="5"/>
      <c r="C480" s="5"/>
    </row>
    <row r="481" ht="15.75" customHeight="1">
      <c r="A481" s="5"/>
      <c r="B481" s="5"/>
      <c r="C481" s="5"/>
    </row>
    <row r="482" ht="15.75" customHeight="1">
      <c r="A482" s="5"/>
      <c r="B482" s="5"/>
      <c r="C482" s="5"/>
    </row>
    <row r="483" ht="15.75" customHeight="1">
      <c r="A483" s="5"/>
      <c r="B483" s="5"/>
      <c r="C483" s="5"/>
    </row>
    <row r="484" ht="15.75" customHeight="1">
      <c r="A484" s="5"/>
      <c r="B484" s="5"/>
      <c r="C484" s="5"/>
    </row>
    <row r="485" ht="15.75" customHeight="1">
      <c r="A485" s="5"/>
      <c r="B485" s="5"/>
      <c r="C485" s="5"/>
    </row>
    <row r="486" ht="15.75" customHeight="1">
      <c r="A486" s="5"/>
      <c r="B486" s="5"/>
      <c r="C486" s="5"/>
    </row>
    <row r="487" ht="15.75" customHeight="1">
      <c r="A487" s="5"/>
      <c r="B487" s="5"/>
      <c r="C487" s="5"/>
    </row>
    <row r="488" ht="15.75" customHeight="1">
      <c r="A488" s="5"/>
      <c r="B488" s="5"/>
      <c r="C488" s="5"/>
    </row>
    <row r="489" ht="15.75" customHeight="1">
      <c r="A489" s="5"/>
      <c r="B489" s="5"/>
      <c r="C489" s="5"/>
    </row>
    <row r="490" ht="15.75" customHeight="1">
      <c r="A490" s="5"/>
      <c r="B490" s="5"/>
      <c r="C490" s="5"/>
    </row>
    <row r="491" ht="15.75" customHeight="1">
      <c r="A491" s="5"/>
      <c r="B491" s="5"/>
      <c r="C491" s="5"/>
    </row>
    <row r="492" ht="15.75" customHeight="1">
      <c r="A492" s="5"/>
      <c r="B492" s="5"/>
      <c r="C492" s="5"/>
    </row>
    <row r="493" ht="15.75" customHeight="1">
      <c r="A493" s="5"/>
      <c r="B493" s="5"/>
      <c r="C493" s="5"/>
    </row>
    <row r="494" ht="15.75" customHeight="1">
      <c r="A494" s="5"/>
      <c r="B494" s="5"/>
      <c r="C494" s="5"/>
    </row>
    <row r="495" ht="15.75" customHeight="1">
      <c r="A495" s="5"/>
      <c r="B495" s="5"/>
      <c r="C495" s="5"/>
    </row>
    <row r="496" ht="15.75" customHeight="1">
      <c r="A496" s="5"/>
      <c r="B496" s="5"/>
      <c r="C496" s="5"/>
    </row>
    <row r="497" ht="15.75" customHeight="1">
      <c r="A497" s="5"/>
      <c r="B497" s="5"/>
      <c r="C497" s="5"/>
    </row>
    <row r="498" ht="15.75" customHeight="1">
      <c r="A498" s="5"/>
      <c r="B498" s="5"/>
      <c r="C498" s="5"/>
    </row>
    <row r="499" ht="15.75" customHeight="1">
      <c r="A499" s="5"/>
      <c r="B499" s="5"/>
      <c r="C499" s="5"/>
    </row>
    <row r="500" ht="15.75" customHeight="1">
      <c r="A500" s="5"/>
      <c r="B500" s="5"/>
      <c r="C500" s="5"/>
    </row>
    <row r="501" ht="15.75" customHeight="1">
      <c r="A501" s="5"/>
      <c r="B501" s="5"/>
      <c r="C501" s="5"/>
    </row>
    <row r="502" ht="15.75" customHeight="1">
      <c r="A502" s="5"/>
      <c r="B502" s="5"/>
      <c r="C502" s="5"/>
    </row>
    <row r="503" ht="15.75" customHeight="1">
      <c r="A503" s="5"/>
      <c r="B503" s="5"/>
      <c r="C503" s="5"/>
    </row>
    <row r="504" ht="15.75" customHeight="1">
      <c r="A504" s="5"/>
      <c r="B504" s="5"/>
      <c r="C504" s="5"/>
    </row>
    <row r="505" ht="15.75" customHeight="1">
      <c r="A505" s="5"/>
      <c r="B505" s="5"/>
      <c r="C505" s="5"/>
    </row>
    <row r="506" ht="15.75" customHeight="1">
      <c r="A506" s="5"/>
      <c r="B506" s="5"/>
      <c r="C506" s="5"/>
    </row>
    <row r="507" ht="15.75" customHeight="1">
      <c r="A507" s="5"/>
      <c r="B507" s="5"/>
      <c r="C507" s="5"/>
    </row>
    <row r="508" ht="15.75" customHeight="1">
      <c r="A508" s="5"/>
      <c r="B508" s="5"/>
      <c r="C508" s="5"/>
    </row>
    <row r="509" ht="15.75" customHeight="1">
      <c r="A509" s="5"/>
      <c r="B509" s="5"/>
      <c r="C509" s="5"/>
    </row>
    <row r="510" ht="15.75" customHeight="1">
      <c r="A510" s="5"/>
      <c r="B510" s="5"/>
      <c r="C510" s="5"/>
    </row>
    <row r="511" ht="15.75" customHeight="1">
      <c r="A511" s="5"/>
      <c r="B511" s="5"/>
      <c r="C511" s="5"/>
    </row>
    <row r="512" ht="15.75" customHeight="1">
      <c r="A512" s="5"/>
      <c r="B512" s="5"/>
      <c r="C512" s="5"/>
    </row>
    <row r="513" ht="15.75" customHeight="1">
      <c r="A513" s="5"/>
      <c r="B513" s="5"/>
      <c r="C513" s="5"/>
    </row>
    <row r="514" ht="15.75" customHeight="1">
      <c r="A514" s="5"/>
      <c r="B514" s="5"/>
      <c r="C514" s="5"/>
    </row>
    <row r="515" ht="15.75" customHeight="1">
      <c r="A515" s="5"/>
      <c r="B515" s="5"/>
      <c r="C515" s="5"/>
    </row>
    <row r="516" ht="15.75" customHeight="1">
      <c r="A516" s="5"/>
      <c r="B516" s="5"/>
      <c r="C516" s="5"/>
    </row>
    <row r="517" ht="15.75" customHeight="1">
      <c r="A517" s="5"/>
      <c r="B517" s="5"/>
      <c r="C517" s="5"/>
    </row>
    <row r="518" ht="15.75" customHeight="1">
      <c r="A518" s="5"/>
      <c r="B518" s="5"/>
      <c r="C518" s="5"/>
    </row>
    <row r="519" ht="15.75" customHeight="1">
      <c r="A519" s="5"/>
      <c r="B519" s="5"/>
      <c r="C519" s="5"/>
    </row>
    <row r="520" ht="15.75" customHeight="1">
      <c r="A520" s="5"/>
      <c r="B520" s="5"/>
      <c r="C520" s="5"/>
    </row>
    <row r="521" ht="15.75" customHeight="1">
      <c r="A521" s="5"/>
      <c r="B521" s="5"/>
      <c r="C521" s="5"/>
    </row>
    <row r="522" ht="15.75" customHeight="1">
      <c r="A522" s="5"/>
      <c r="B522" s="5"/>
      <c r="C522" s="5"/>
    </row>
    <row r="523" ht="15.75" customHeight="1">
      <c r="A523" s="5"/>
      <c r="B523" s="5"/>
      <c r="C523" s="5"/>
    </row>
    <row r="524" ht="15.75" customHeight="1">
      <c r="A524" s="5"/>
      <c r="B524" s="5"/>
      <c r="C524" s="5"/>
    </row>
    <row r="525" ht="15.75" customHeight="1">
      <c r="A525" s="5"/>
      <c r="B525" s="5"/>
      <c r="C525" s="5"/>
    </row>
    <row r="526" ht="15.75" customHeight="1">
      <c r="A526" s="5"/>
      <c r="B526" s="5"/>
      <c r="C526" s="5"/>
    </row>
    <row r="527" ht="15.75" customHeight="1">
      <c r="A527" s="5"/>
      <c r="B527" s="5"/>
      <c r="C527" s="5"/>
    </row>
    <row r="528" ht="15.75" customHeight="1">
      <c r="A528" s="5"/>
      <c r="B528" s="5"/>
      <c r="C528" s="5"/>
    </row>
    <row r="529" ht="15.75" customHeight="1">
      <c r="A529" s="5"/>
      <c r="B529" s="5"/>
      <c r="C529" s="5"/>
    </row>
    <row r="530" ht="15.75" customHeight="1">
      <c r="A530" s="5"/>
      <c r="B530" s="5"/>
      <c r="C530" s="5"/>
    </row>
    <row r="531" ht="15.75" customHeight="1">
      <c r="A531" s="5"/>
      <c r="B531" s="5"/>
      <c r="C531" s="5"/>
    </row>
    <row r="532" ht="15.75" customHeight="1">
      <c r="A532" s="5"/>
      <c r="B532" s="5"/>
      <c r="C532" s="5"/>
    </row>
    <row r="533" ht="15.75" customHeight="1">
      <c r="A533" s="5"/>
      <c r="B533" s="5"/>
      <c r="C533" s="5"/>
    </row>
    <row r="534" ht="15.75" customHeight="1">
      <c r="A534" s="5"/>
      <c r="B534" s="5"/>
      <c r="C534" s="5"/>
    </row>
    <row r="535" ht="15.75" customHeight="1">
      <c r="A535" s="5"/>
      <c r="B535" s="5"/>
      <c r="C535" s="5"/>
    </row>
    <row r="536" ht="15.75" customHeight="1">
      <c r="A536" s="5"/>
      <c r="B536" s="5"/>
      <c r="C536" s="5"/>
    </row>
    <row r="537" ht="15.75" customHeight="1">
      <c r="A537" s="5"/>
      <c r="B537" s="5"/>
      <c r="C537" s="5"/>
    </row>
    <row r="538" ht="15.75" customHeight="1">
      <c r="A538" s="5"/>
      <c r="B538" s="5"/>
      <c r="C538" s="5"/>
    </row>
    <row r="539" ht="15.75" customHeight="1">
      <c r="A539" s="5"/>
      <c r="B539" s="5"/>
      <c r="C539" s="5"/>
    </row>
    <row r="540" ht="15.75" customHeight="1">
      <c r="A540" s="5"/>
      <c r="B540" s="5"/>
      <c r="C540" s="5"/>
    </row>
    <row r="541" ht="15.75" customHeight="1">
      <c r="A541" s="5"/>
      <c r="B541" s="5"/>
      <c r="C541" s="5"/>
    </row>
    <row r="542" ht="15.75" customHeight="1">
      <c r="A542" s="5"/>
      <c r="B542" s="5"/>
      <c r="C542" s="5"/>
    </row>
    <row r="543" ht="15.75" customHeight="1">
      <c r="A543" s="5"/>
      <c r="B543" s="5"/>
      <c r="C543" s="5"/>
    </row>
    <row r="544" ht="15.75" customHeight="1">
      <c r="A544" s="5"/>
      <c r="B544" s="5"/>
      <c r="C544" s="5"/>
    </row>
    <row r="545" ht="15.75" customHeight="1">
      <c r="A545" s="5"/>
      <c r="B545" s="5"/>
      <c r="C545" s="5"/>
    </row>
    <row r="546" ht="15.75" customHeight="1">
      <c r="A546" s="5"/>
      <c r="B546" s="5"/>
      <c r="C546" s="5"/>
    </row>
    <row r="547" ht="15.75" customHeight="1">
      <c r="A547" s="5"/>
      <c r="B547" s="5"/>
      <c r="C547" s="5"/>
    </row>
    <row r="548" ht="15.75" customHeight="1">
      <c r="A548" s="5"/>
      <c r="B548" s="5"/>
      <c r="C548" s="5"/>
    </row>
    <row r="549" ht="15.75" customHeight="1">
      <c r="A549" s="5"/>
      <c r="B549" s="5"/>
      <c r="C549" s="5"/>
    </row>
    <row r="550" ht="15.75" customHeight="1">
      <c r="A550" s="5"/>
      <c r="B550" s="5"/>
      <c r="C550" s="5"/>
    </row>
    <row r="551" ht="15.75" customHeight="1">
      <c r="A551" s="5"/>
      <c r="B551" s="5"/>
      <c r="C551" s="5"/>
    </row>
    <row r="552" ht="15.75" customHeight="1">
      <c r="A552" s="5"/>
      <c r="B552" s="5"/>
      <c r="C552" s="5"/>
    </row>
    <row r="553" ht="15.75" customHeight="1">
      <c r="A553" s="5"/>
      <c r="B553" s="5"/>
      <c r="C553" s="5"/>
    </row>
    <row r="554" ht="15.75" customHeight="1">
      <c r="A554" s="5"/>
      <c r="B554" s="5"/>
      <c r="C554" s="5"/>
    </row>
    <row r="555" ht="15.75" customHeight="1">
      <c r="A555" s="5"/>
      <c r="B555" s="5"/>
      <c r="C555" s="5"/>
    </row>
    <row r="556" ht="15.75" customHeight="1">
      <c r="A556" s="5"/>
      <c r="B556" s="5"/>
      <c r="C556" s="5"/>
    </row>
    <row r="557" ht="15.75" customHeight="1">
      <c r="A557" s="5"/>
      <c r="B557" s="5"/>
      <c r="C557" s="5"/>
    </row>
    <row r="558" ht="15.75" customHeight="1">
      <c r="A558" s="5"/>
      <c r="B558" s="5"/>
      <c r="C558" s="5"/>
    </row>
    <row r="559" ht="15.75" customHeight="1">
      <c r="A559" s="5"/>
      <c r="B559" s="5"/>
      <c r="C559" s="5"/>
    </row>
    <row r="560" ht="15.75" customHeight="1">
      <c r="A560" s="5"/>
      <c r="B560" s="5"/>
      <c r="C560" s="5"/>
    </row>
    <row r="561" ht="15.75" customHeight="1">
      <c r="A561" s="5"/>
      <c r="B561" s="5"/>
      <c r="C561" s="5"/>
    </row>
    <row r="562" ht="15.75" customHeight="1">
      <c r="A562" s="5"/>
      <c r="B562" s="5"/>
      <c r="C562" s="5"/>
    </row>
    <row r="563" ht="15.75" customHeight="1">
      <c r="A563" s="5"/>
      <c r="B563" s="5"/>
      <c r="C563" s="5"/>
    </row>
    <row r="564" ht="15.75" customHeight="1">
      <c r="A564" s="5"/>
      <c r="B564" s="5"/>
      <c r="C564" s="5"/>
    </row>
    <row r="565" ht="15.75" customHeight="1">
      <c r="A565" s="5"/>
      <c r="B565" s="5"/>
      <c r="C565" s="5"/>
    </row>
    <row r="566" ht="15.75" customHeight="1">
      <c r="A566" s="5"/>
      <c r="B566" s="5"/>
      <c r="C566" s="5"/>
    </row>
    <row r="567" ht="15.75" customHeight="1">
      <c r="A567" s="5"/>
      <c r="B567" s="5"/>
      <c r="C567" s="5"/>
    </row>
    <row r="568" ht="15.75" customHeight="1">
      <c r="A568" s="5"/>
      <c r="B568" s="5"/>
      <c r="C568" s="5"/>
    </row>
    <row r="569" ht="15.75" customHeight="1">
      <c r="A569" s="5"/>
      <c r="B569" s="5"/>
      <c r="C569" s="5"/>
    </row>
    <row r="570" ht="15.75" customHeight="1">
      <c r="A570" s="5"/>
      <c r="B570" s="5"/>
      <c r="C570" s="5"/>
    </row>
    <row r="571" ht="15.75" customHeight="1">
      <c r="A571" s="5"/>
      <c r="B571" s="5"/>
      <c r="C571" s="5"/>
    </row>
    <row r="572" ht="15.75" customHeight="1">
      <c r="A572" s="5"/>
      <c r="B572" s="5"/>
      <c r="C572" s="5"/>
    </row>
    <row r="573" ht="15.75" customHeight="1">
      <c r="A573" s="5"/>
      <c r="B573" s="5"/>
      <c r="C573" s="5"/>
    </row>
    <row r="574" ht="15.75" customHeight="1">
      <c r="A574" s="5"/>
      <c r="B574" s="5"/>
      <c r="C574" s="5"/>
    </row>
    <row r="575" ht="15.75" customHeight="1">
      <c r="A575" s="5"/>
      <c r="B575" s="5"/>
      <c r="C575" s="5"/>
    </row>
    <row r="576" ht="15.75" customHeight="1">
      <c r="A576" s="5"/>
      <c r="B576" s="5"/>
      <c r="C576" s="5"/>
    </row>
    <row r="577" ht="15.75" customHeight="1">
      <c r="A577" s="5"/>
      <c r="B577" s="5"/>
      <c r="C577" s="5"/>
    </row>
    <row r="578" ht="15.75" customHeight="1">
      <c r="A578" s="5"/>
      <c r="B578" s="5"/>
      <c r="C578" s="5"/>
    </row>
    <row r="579" ht="15.75" customHeight="1">
      <c r="A579" s="5"/>
      <c r="B579" s="5"/>
      <c r="C579" s="5"/>
    </row>
    <row r="580" ht="15.75" customHeight="1">
      <c r="A580" s="5"/>
      <c r="B580" s="5"/>
      <c r="C580" s="5"/>
    </row>
    <row r="581" ht="15.75" customHeight="1">
      <c r="A581" s="5"/>
      <c r="B581" s="5"/>
      <c r="C581" s="5"/>
    </row>
    <row r="582" ht="15.75" customHeight="1">
      <c r="A582" s="5"/>
      <c r="B582" s="5"/>
      <c r="C582" s="5"/>
    </row>
    <row r="583" ht="15.75" customHeight="1">
      <c r="A583" s="5"/>
      <c r="B583" s="5"/>
      <c r="C583" s="5"/>
    </row>
    <row r="584" ht="15.75" customHeight="1">
      <c r="A584" s="5"/>
      <c r="B584" s="5"/>
      <c r="C584" s="5"/>
    </row>
    <row r="585" ht="15.75" customHeight="1">
      <c r="A585" s="5"/>
      <c r="B585" s="5"/>
      <c r="C585" s="5"/>
    </row>
    <row r="586" ht="15.75" customHeight="1">
      <c r="A586" s="5"/>
      <c r="B586" s="5"/>
      <c r="C586" s="5"/>
    </row>
    <row r="587" ht="15.75" customHeight="1">
      <c r="A587" s="5"/>
      <c r="B587" s="5"/>
      <c r="C587" s="5"/>
    </row>
    <row r="588" ht="15.75" customHeight="1">
      <c r="A588" s="5"/>
      <c r="B588" s="5"/>
      <c r="C588" s="5"/>
    </row>
    <row r="589" ht="15.75" customHeight="1">
      <c r="A589" s="5"/>
      <c r="B589" s="5"/>
      <c r="C589" s="5"/>
    </row>
    <row r="590" ht="15.75" customHeight="1">
      <c r="A590" s="5"/>
      <c r="B590" s="5"/>
      <c r="C590" s="5"/>
    </row>
    <row r="591" ht="15.75" customHeight="1">
      <c r="A591" s="5"/>
      <c r="B591" s="5"/>
      <c r="C591" s="5"/>
    </row>
    <row r="592" ht="15.75" customHeight="1">
      <c r="A592" s="5"/>
      <c r="B592" s="5"/>
      <c r="C592" s="5"/>
    </row>
    <row r="593" ht="15.75" customHeight="1">
      <c r="A593" s="5"/>
      <c r="B593" s="5"/>
      <c r="C593" s="5"/>
    </row>
    <row r="594" ht="15.75" customHeight="1">
      <c r="A594" s="5"/>
      <c r="B594" s="5"/>
      <c r="C594" s="5"/>
    </row>
    <row r="595" ht="15.75" customHeight="1">
      <c r="A595" s="5"/>
      <c r="B595" s="5"/>
      <c r="C595" s="5"/>
    </row>
    <row r="596" ht="15.75" customHeight="1">
      <c r="A596" s="5"/>
      <c r="B596" s="5"/>
      <c r="C596" s="5"/>
    </row>
    <row r="597" ht="15.75" customHeight="1">
      <c r="A597" s="5"/>
      <c r="B597" s="5"/>
      <c r="C597" s="5"/>
    </row>
    <row r="598" ht="15.75" customHeight="1">
      <c r="A598" s="5"/>
      <c r="B598" s="5"/>
      <c r="C598" s="5"/>
    </row>
    <row r="599" ht="15.75" customHeight="1">
      <c r="A599" s="5"/>
      <c r="B599" s="5"/>
      <c r="C599" s="5"/>
    </row>
    <row r="600" ht="15.75" customHeight="1">
      <c r="A600" s="5"/>
      <c r="B600" s="5"/>
      <c r="C600" s="5"/>
    </row>
    <row r="601" ht="15.75" customHeight="1">
      <c r="A601" s="5"/>
      <c r="B601" s="5"/>
      <c r="C601" s="5"/>
    </row>
    <row r="602" ht="15.75" customHeight="1">
      <c r="A602" s="5"/>
      <c r="B602" s="5"/>
      <c r="C602" s="5"/>
    </row>
    <row r="603" ht="15.75" customHeight="1">
      <c r="A603" s="5"/>
      <c r="B603" s="5"/>
      <c r="C603" s="5"/>
    </row>
    <row r="604" ht="15.75" customHeight="1">
      <c r="A604" s="5"/>
      <c r="B604" s="5"/>
      <c r="C604" s="5"/>
    </row>
    <row r="605" ht="15.75" customHeight="1">
      <c r="A605" s="5"/>
      <c r="B605" s="5"/>
      <c r="C605" s="5"/>
    </row>
    <row r="606" ht="15.75" customHeight="1">
      <c r="A606" s="5"/>
      <c r="B606" s="5"/>
      <c r="C606" s="5"/>
    </row>
    <row r="607" ht="15.75" customHeight="1">
      <c r="A607" s="5"/>
      <c r="B607" s="5"/>
      <c r="C607" s="5"/>
    </row>
    <row r="608" ht="15.75" customHeight="1">
      <c r="A608" s="5"/>
      <c r="B608" s="5"/>
      <c r="C608" s="5"/>
    </row>
    <row r="609" ht="15.75" customHeight="1">
      <c r="A609" s="5"/>
      <c r="B609" s="5"/>
      <c r="C609" s="5"/>
    </row>
    <row r="610" ht="15.75" customHeight="1">
      <c r="A610" s="5"/>
      <c r="B610" s="5"/>
      <c r="C610" s="5"/>
    </row>
    <row r="611" ht="15.75" customHeight="1">
      <c r="A611" s="5"/>
      <c r="B611" s="5"/>
      <c r="C611" s="5"/>
    </row>
    <row r="612" ht="15.75" customHeight="1">
      <c r="A612" s="5"/>
      <c r="B612" s="5"/>
      <c r="C612" s="5"/>
    </row>
    <row r="613" ht="15.75" customHeight="1">
      <c r="A613" s="5"/>
      <c r="B613" s="5"/>
      <c r="C613" s="5"/>
    </row>
    <row r="614" ht="15.75" customHeight="1">
      <c r="A614" s="5"/>
      <c r="B614" s="5"/>
      <c r="C614" s="5"/>
    </row>
    <row r="615" ht="15.75" customHeight="1">
      <c r="A615" s="5"/>
      <c r="B615" s="5"/>
      <c r="C615" s="5"/>
    </row>
    <row r="616" ht="15.75" customHeight="1">
      <c r="A616" s="5"/>
      <c r="B616" s="5"/>
      <c r="C616" s="5"/>
    </row>
    <row r="617" ht="15.75" customHeight="1">
      <c r="A617" s="5"/>
      <c r="B617" s="5"/>
      <c r="C617" s="5"/>
    </row>
    <row r="618" ht="15.75" customHeight="1">
      <c r="A618" s="5"/>
      <c r="B618" s="5"/>
      <c r="C618" s="5"/>
    </row>
    <row r="619" ht="15.75" customHeight="1">
      <c r="A619" s="5"/>
      <c r="B619" s="5"/>
      <c r="C619" s="5"/>
    </row>
    <row r="620" ht="15.75" customHeight="1">
      <c r="A620" s="5"/>
      <c r="B620" s="5"/>
      <c r="C620" s="5"/>
    </row>
    <row r="621" ht="15.75" customHeight="1">
      <c r="A621" s="5"/>
      <c r="B621" s="5"/>
      <c r="C621" s="5"/>
    </row>
    <row r="622" ht="15.75" customHeight="1">
      <c r="A622" s="5"/>
      <c r="B622" s="5"/>
      <c r="C622" s="5"/>
    </row>
    <row r="623" ht="15.75" customHeight="1">
      <c r="A623" s="5"/>
      <c r="B623" s="5"/>
      <c r="C623" s="5"/>
    </row>
    <row r="624" ht="15.75" customHeight="1">
      <c r="A624" s="5"/>
      <c r="B624" s="5"/>
      <c r="C624" s="5"/>
    </row>
    <row r="625" ht="15.75" customHeight="1">
      <c r="A625" s="5"/>
      <c r="B625" s="5"/>
      <c r="C625" s="5"/>
    </row>
    <row r="626" ht="15.75" customHeight="1">
      <c r="A626" s="5"/>
      <c r="B626" s="5"/>
      <c r="C626" s="5"/>
    </row>
    <row r="627" ht="15.75" customHeight="1">
      <c r="A627" s="5"/>
      <c r="B627" s="5"/>
      <c r="C627" s="5"/>
    </row>
    <row r="628" ht="15.75" customHeight="1">
      <c r="A628" s="5"/>
      <c r="B628" s="5"/>
      <c r="C628" s="5"/>
    </row>
    <row r="629" ht="15.75" customHeight="1">
      <c r="A629" s="5"/>
      <c r="B629" s="5"/>
      <c r="C629" s="5"/>
    </row>
    <row r="630" ht="15.75" customHeight="1">
      <c r="A630" s="5"/>
      <c r="B630" s="5"/>
      <c r="C630" s="5"/>
    </row>
    <row r="631" ht="15.75" customHeight="1">
      <c r="A631" s="5"/>
      <c r="B631" s="5"/>
      <c r="C631" s="5"/>
    </row>
    <row r="632" ht="15.75" customHeight="1">
      <c r="A632" s="5"/>
      <c r="B632" s="5"/>
      <c r="C632" s="5"/>
    </row>
    <row r="633" ht="15.75" customHeight="1">
      <c r="A633" s="5"/>
      <c r="B633" s="5"/>
      <c r="C633" s="5"/>
    </row>
    <row r="634" ht="15.75" customHeight="1">
      <c r="A634" s="5"/>
      <c r="B634" s="5"/>
      <c r="C634" s="5"/>
    </row>
    <row r="635" ht="15.75" customHeight="1">
      <c r="A635" s="5"/>
      <c r="B635" s="5"/>
      <c r="C635" s="5"/>
    </row>
    <row r="636" ht="15.75" customHeight="1">
      <c r="A636" s="5"/>
      <c r="B636" s="5"/>
      <c r="C636" s="5"/>
    </row>
    <row r="637" ht="15.75" customHeight="1">
      <c r="A637" s="5"/>
      <c r="B637" s="5"/>
      <c r="C637" s="5"/>
    </row>
    <row r="638" ht="15.75" customHeight="1">
      <c r="A638" s="5"/>
      <c r="B638" s="5"/>
      <c r="C638" s="5"/>
    </row>
    <row r="639" ht="15.75" customHeight="1">
      <c r="A639" s="5"/>
      <c r="B639" s="5"/>
      <c r="C639" s="5"/>
    </row>
    <row r="640" ht="15.75" customHeight="1">
      <c r="A640" s="5"/>
      <c r="B640" s="5"/>
      <c r="C640" s="5"/>
    </row>
    <row r="641" ht="15.75" customHeight="1">
      <c r="A641" s="5"/>
      <c r="B641" s="5"/>
      <c r="C641" s="5"/>
    </row>
    <row r="642" ht="15.75" customHeight="1">
      <c r="A642" s="5"/>
      <c r="B642" s="5"/>
      <c r="C642" s="5"/>
    </row>
    <row r="643" ht="15.75" customHeight="1">
      <c r="A643" s="5"/>
      <c r="B643" s="5"/>
      <c r="C643" s="5"/>
    </row>
    <row r="644" ht="15.75" customHeight="1">
      <c r="A644" s="5"/>
      <c r="B644" s="5"/>
      <c r="C644" s="5"/>
    </row>
    <row r="645" ht="15.75" customHeight="1">
      <c r="A645" s="5"/>
      <c r="B645" s="5"/>
      <c r="C645" s="5"/>
    </row>
    <row r="646" ht="15.75" customHeight="1">
      <c r="A646" s="5"/>
      <c r="B646" s="5"/>
      <c r="C646" s="5"/>
    </row>
    <row r="647" ht="15.75" customHeight="1">
      <c r="A647" s="5"/>
      <c r="B647" s="5"/>
      <c r="C647" s="5"/>
    </row>
    <row r="648" ht="15.75" customHeight="1">
      <c r="A648" s="5"/>
      <c r="B648" s="5"/>
      <c r="C648" s="5"/>
    </row>
    <row r="649" ht="15.75" customHeight="1">
      <c r="A649" s="5"/>
      <c r="B649" s="5"/>
      <c r="C649" s="5"/>
    </row>
    <row r="650" ht="15.75" customHeight="1">
      <c r="A650" s="5"/>
      <c r="B650" s="5"/>
      <c r="C650" s="5"/>
    </row>
    <row r="651" ht="15.75" customHeight="1">
      <c r="A651" s="5"/>
      <c r="B651" s="5"/>
      <c r="C651" s="5"/>
    </row>
    <row r="652" ht="15.75" customHeight="1">
      <c r="A652" s="5"/>
      <c r="B652" s="5"/>
      <c r="C652" s="5"/>
    </row>
    <row r="653" ht="15.75" customHeight="1">
      <c r="A653" s="5"/>
      <c r="B653" s="5"/>
      <c r="C653" s="5"/>
    </row>
    <row r="654" ht="15.75" customHeight="1">
      <c r="A654" s="5"/>
      <c r="B654" s="5"/>
      <c r="C654" s="5"/>
    </row>
    <row r="655" ht="15.75" customHeight="1">
      <c r="A655" s="5"/>
      <c r="B655" s="5"/>
      <c r="C655" s="5"/>
    </row>
    <row r="656" ht="15.75" customHeight="1">
      <c r="A656" s="5"/>
      <c r="B656" s="5"/>
      <c r="C656" s="5"/>
    </row>
    <row r="657" ht="15.75" customHeight="1">
      <c r="A657" s="5"/>
      <c r="B657" s="5"/>
      <c r="C657" s="5"/>
    </row>
    <row r="658" ht="15.75" customHeight="1">
      <c r="A658" s="5"/>
      <c r="B658" s="5"/>
      <c r="C658" s="5"/>
    </row>
    <row r="659" ht="15.75" customHeight="1">
      <c r="A659" s="5"/>
      <c r="B659" s="5"/>
      <c r="C659" s="5"/>
    </row>
    <row r="660" ht="15.75" customHeight="1">
      <c r="A660" s="5"/>
      <c r="B660" s="5"/>
      <c r="C660" s="5"/>
    </row>
    <row r="661" ht="15.75" customHeight="1">
      <c r="A661" s="5"/>
      <c r="B661" s="5"/>
      <c r="C661" s="5"/>
    </row>
    <row r="662" ht="15.75" customHeight="1">
      <c r="A662" s="5"/>
      <c r="B662" s="5"/>
      <c r="C662" s="5"/>
    </row>
    <row r="663" ht="15.75" customHeight="1">
      <c r="A663" s="5"/>
      <c r="B663" s="5"/>
      <c r="C663" s="5"/>
    </row>
    <row r="664" ht="15.75" customHeight="1">
      <c r="A664" s="5"/>
      <c r="B664" s="5"/>
      <c r="C664" s="5"/>
    </row>
    <row r="665" ht="15.75" customHeight="1">
      <c r="A665" s="5"/>
      <c r="B665" s="5"/>
      <c r="C665" s="5"/>
    </row>
    <row r="666" ht="15.75" customHeight="1">
      <c r="A666" s="5"/>
      <c r="B666" s="5"/>
      <c r="C666" s="5"/>
    </row>
    <row r="667" ht="15.75" customHeight="1">
      <c r="A667" s="5"/>
      <c r="B667" s="5"/>
      <c r="C667" s="5"/>
    </row>
    <row r="668" ht="15.75" customHeight="1">
      <c r="A668" s="5"/>
      <c r="B668" s="5"/>
      <c r="C668" s="5"/>
    </row>
    <row r="669" ht="15.75" customHeight="1">
      <c r="A669" s="5"/>
      <c r="B669" s="5"/>
      <c r="C669" s="5"/>
    </row>
    <row r="670" ht="15.75" customHeight="1">
      <c r="A670" s="5"/>
      <c r="B670" s="5"/>
      <c r="C670" s="5"/>
    </row>
    <row r="671" ht="15.75" customHeight="1">
      <c r="A671" s="5"/>
      <c r="B671" s="5"/>
      <c r="C671" s="5"/>
    </row>
    <row r="672" ht="15.75" customHeight="1">
      <c r="A672" s="5"/>
      <c r="B672" s="5"/>
      <c r="C672" s="5"/>
    </row>
    <row r="673" ht="15.75" customHeight="1">
      <c r="A673" s="5"/>
      <c r="B673" s="5"/>
      <c r="C673" s="5"/>
    </row>
    <row r="674" ht="15.75" customHeight="1">
      <c r="A674" s="5"/>
      <c r="B674" s="5"/>
      <c r="C674" s="5"/>
    </row>
    <row r="675" ht="15.75" customHeight="1">
      <c r="A675" s="5"/>
      <c r="B675" s="5"/>
      <c r="C675" s="5"/>
    </row>
    <row r="676" ht="15.75" customHeight="1">
      <c r="A676" s="5"/>
      <c r="B676" s="5"/>
      <c r="C676" s="5"/>
    </row>
    <row r="677" ht="15.75" customHeight="1">
      <c r="A677" s="5"/>
      <c r="B677" s="5"/>
      <c r="C677" s="5"/>
    </row>
    <row r="678" ht="15.75" customHeight="1">
      <c r="A678" s="5"/>
      <c r="B678" s="5"/>
      <c r="C678" s="5"/>
    </row>
    <row r="679" ht="15.75" customHeight="1">
      <c r="A679" s="5"/>
      <c r="B679" s="5"/>
      <c r="C679" s="5"/>
    </row>
    <row r="680" ht="15.75" customHeight="1">
      <c r="A680" s="5"/>
      <c r="B680" s="5"/>
      <c r="C680" s="5"/>
    </row>
    <row r="681" ht="15.75" customHeight="1">
      <c r="A681" s="5"/>
      <c r="B681" s="5"/>
      <c r="C681" s="5"/>
    </row>
    <row r="682" ht="15.75" customHeight="1">
      <c r="A682" s="5"/>
      <c r="B682" s="5"/>
      <c r="C682" s="5"/>
    </row>
    <row r="683" ht="15.75" customHeight="1">
      <c r="A683" s="5"/>
      <c r="B683" s="5"/>
      <c r="C683" s="5"/>
    </row>
    <row r="684" ht="15.75" customHeight="1">
      <c r="A684" s="5"/>
      <c r="B684" s="5"/>
      <c r="C684" s="5"/>
    </row>
    <row r="685" ht="15.75" customHeight="1">
      <c r="A685" s="5"/>
      <c r="B685" s="5"/>
      <c r="C685" s="5"/>
    </row>
    <row r="686" ht="15.75" customHeight="1">
      <c r="A686" s="5"/>
      <c r="B686" s="5"/>
      <c r="C686" s="5"/>
    </row>
    <row r="687" ht="15.75" customHeight="1">
      <c r="A687" s="5"/>
      <c r="B687" s="5"/>
      <c r="C687" s="5"/>
    </row>
    <row r="688" ht="15.75" customHeight="1">
      <c r="A688" s="5"/>
      <c r="B688" s="5"/>
      <c r="C688" s="5"/>
    </row>
    <row r="689" ht="15.75" customHeight="1">
      <c r="A689" s="5"/>
      <c r="B689" s="5"/>
      <c r="C689" s="5"/>
    </row>
    <row r="690" ht="15.75" customHeight="1">
      <c r="A690" s="5"/>
      <c r="B690" s="5"/>
      <c r="C690" s="5"/>
    </row>
    <row r="691" ht="15.75" customHeight="1">
      <c r="A691" s="5"/>
      <c r="B691" s="5"/>
      <c r="C691" s="5"/>
    </row>
    <row r="692" ht="15.75" customHeight="1">
      <c r="A692" s="5"/>
      <c r="B692" s="5"/>
      <c r="C692" s="5"/>
    </row>
    <row r="693" ht="15.75" customHeight="1">
      <c r="A693" s="5"/>
      <c r="B693" s="5"/>
      <c r="C693" s="5"/>
    </row>
    <row r="694" ht="15.75" customHeight="1">
      <c r="A694" s="5"/>
      <c r="B694" s="5"/>
      <c r="C694" s="5"/>
    </row>
    <row r="695" ht="15.75" customHeight="1">
      <c r="A695" s="5"/>
      <c r="B695" s="5"/>
      <c r="C695" s="5"/>
    </row>
    <row r="696" ht="15.75" customHeight="1">
      <c r="A696" s="5"/>
      <c r="B696" s="5"/>
      <c r="C696" s="5"/>
    </row>
    <row r="697" ht="15.75" customHeight="1">
      <c r="A697" s="5"/>
      <c r="B697" s="5"/>
      <c r="C697" s="5"/>
    </row>
    <row r="698" ht="15.75" customHeight="1">
      <c r="A698" s="5"/>
      <c r="B698" s="5"/>
      <c r="C698" s="5"/>
    </row>
    <row r="699" ht="15.75" customHeight="1">
      <c r="A699" s="5"/>
      <c r="B699" s="5"/>
      <c r="C699" s="5"/>
    </row>
    <row r="700" ht="15.75" customHeight="1">
      <c r="A700" s="5"/>
      <c r="B700" s="5"/>
      <c r="C700" s="5"/>
    </row>
    <row r="701" ht="15.75" customHeight="1">
      <c r="A701" s="5"/>
      <c r="B701" s="5"/>
      <c r="C701" s="5"/>
    </row>
    <row r="702" ht="15.75" customHeight="1">
      <c r="A702" s="5"/>
      <c r="B702" s="5"/>
      <c r="C702" s="5"/>
    </row>
    <row r="703" ht="15.75" customHeight="1">
      <c r="A703" s="5"/>
      <c r="B703" s="5"/>
      <c r="C703" s="5"/>
    </row>
    <row r="704" ht="15.75" customHeight="1">
      <c r="A704" s="5"/>
      <c r="B704" s="5"/>
      <c r="C704" s="5"/>
    </row>
    <row r="705" ht="15.75" customHeight="1">
      <c r="A705" s="5"/>
      <c r="B705" s="5"/>
      <c r="C705" s="5"/>
    </row>
    <row r="706" ht="15.75" customHeight="1">
      <c r="A706" s="5"/>
      <c r="B706" s="5"/>
      <c r="C706" s="5"/>
    </row>
    <row r="707" ht="15.75" customHeight="1">
      <c r="A707" s="5"/>
      <c r="B707" s="5"/>
      <c r="C707" s="5"/>
    </row>
    <row r="708" ht="15.75" customHeight="1">
      <c r="A708" s="5"/>
      <c r="B708" s="5"/>
      <c r="C708" s="5"/>
    </row>
    <row r="709" ht="15.75" customHeight="1">
      <c r="A709" s="5"/>
      <c r="B709" s="5"/>
      <c r="C709" s="5"/>
    </row>
    <row r="710" ht="15.75" customHeight="1">
      <c r="A710" s="5"/>
      <c r="B710" s="5"/>
      <c r="C710" s="5"/>
    </row>
    <row r="711" ht="15.75" customHeight="1">
      <c r="A711" s="5"/>
      <c r="B711" s="5"/>
      <c r="C711" s="5"/>
    </row>
    <row r="712" ht="15.75" customHeight="1">
      <c r="A712" s="5"/>
      <c r="B712" s="5"/>
      <c r="C712" s="5"/>
    </row>
    <row r="713" ht="15.75" customHeight="1">
      <c r="A713" s="5"/>
      <c r="B713" s="5"/>
      <c r="C713" s="5"/>
    </row>
    <row r="714" ht="15.75" customHeight="1">
      <c r="A714" s="5"/>
      <c r="B714" s="5"/>
      <c r="C714" s="5"/>
    </row>
    <row r="715" ht="15.75" customHeight="1">
      <c r="A715" s="5"/>
      <c r="B715" s="5"/>
      <c r="C715" s="5"/>
    </row>
    <row r="716" ht="15.75" customHeight="1">
      <c r="A716" s="5"/>
      <c r="B716" s="5"/>
      <c r="C716" s="5"/>
    </row>
    <row r="717" ht="15.75" customHeight="1">
      <c r="A717" s="5"/>
      <c r="B717" s="5"/>
      <c r="C717" s="5"/>
    </row>
    <row r="718" ht="15.75" customHeight="1">
      <c r="A718" s="5"/>
      <c r="B718" s="5"/>
      <c r="C718" s="5"/>
    </row>
    <row r="719" ht="15.75" customHeight="1">
      <c r="A719" s="5"/>
      <c r="B719" s="5"/>
      <c r="C719" s="5"/>
    </row>
    <row r="720" ht="15.75" customHeight="1">
      <c r="A720" s="5"/>
      <c r="B720" s="5"/>
      <c r="C720" s="5"/>
    </row>
    <row r="721" ht="15.75" customHeight="1">
      <c r="A721" s="5"/>
      <c r="B721" s="5"/>
      <c r="C721" s="5"/>
    </row>
    <row r="722" ht="15.75" customHeight="1">
      <c r="A722" s="5"/>
      <c r="B722" s="5"/>
      <c r="C722" s="5"/>
    </row>
    <row r="723" ht="15.75" customHeight="1">
      <c r="A723" s="5"/>
      <c r="B723" s="5"/>
      <c r="C723" s="5"/>
    </row>
    <row r="724" ht="15.75" customHeight="1">
      <c r="A724" s="5"/>
      <c r="B724" s="5"/>
      <c r="C724" s="5"/>
    </row>
    <row r="725" ht="15.75" customHeight="1">
      <c r="A725" s="5"/>
      <c r="B725" s="5"/>
      <c r="C725" s="5"/>
    </row>
    <row r="726" ht="15.75" customHeight="1">
      <c r="A726" s="5"/>
      <c r="B726" s="5"/>
      <c r="C726" s="5"/>
    </row>
    <row r="727" ht="15.75" customHeight="1">
      <c r="A727" s="5"/>
      <c r="B727" s="5"/>
      <c r="C727" s="5"/>
    </row>
    <row r="728" ht="15.75" customHeight="1">
      <c r="A728" s="5"/>
      <c r="B728" s="5"/>
      <c r="C728" s="5"/>
    </row>
    <row r="729" ht="15.75" customHeight="1">
      <c r="A729" s="5"/>
      <c r="B729" s="5"/>
      <c r="C729" s="5"/>
    </row>
    <row r="730" ht="15.75" customHeight="1">
      <c r="A730" s="5"/>
      <c r="B730" s="5"/>
      <c r="C730" s="5"/>
    </row>
    <row r="731" ht="15.75" customHeight="1">
      <c r="A731" s="5"/>
      <c r="B731" s="5"/>
      <c r="C731" s="5"/>
    </row>
    <row r="732" ht="15.75" customHeight="1">
      <c r="A732" s="5"/>
      <c r="B732" s="5"/>
      <c r="C732" s="5"/>
    </row>
    <row r="733" ht="15.75" customHeight="1">
      <c r="A733" s="5"/>
      <c r="B733" s="5"/>
      <c r="C733" s="5"/>
    </row>
    <row r="734" ht="15.75" customHeight="1">
      <c r="A734" s="5"/>
      <c r="B734" s="5"/>
      <c r="C734" s="5"/>
    </row>
    <row r="735" ht="15.75" customHeight="1">
      <c r="A735" s="5"/>
      <c r="B735" s="5"/>
      <c r="C735" s="5"/>
    </row>
    <row r="736" ht="15.75" customHeight="1">
      <c r="A736" s="5"/>
      <c r="B736" s="5"/>
      <c r="C736" s="5"/>
    </row>
    <row r="737" ht="15.75" customHeight="1">
      <c r="A737" s="5"/>
      <c r="B737" s="5"/>
      <c r="C737" s="5"/>
    </row>
    <row r="738" ht="15.75" customHeight="1">
      <c r="A738" s="5"/>
      <c r="B738" s="5"/>
      <c r="C738" s="5"/>
    </row>
    <row r="739" ht="15.75" customHeight="1">
      <c r="A739" s="5"/>
      <c r="B739" s="5"/>
      <c r="C739" s="5"/>
    </row>
    <row r="740" ht="15.75" customHeight="1">
      <c r="A740" s="5"/>
      <c r="B740" s="5"/>
      <c r="C740" s="5"/>
    </row>
    <row r="741" ht="15.75" customHeight="1">
      <c r="A741" s="5"/>
      <c r="B741" s="5"/>
      <c r="C741" s="5"/>
    </row>
    <row r="742" ht="15.75" customHeight="1">
      <c r="A742" s="5"/>
      <c r="B742" s="5"/>
      <c r="C742" s="5"/>
    </row>
    <row r="743" ht="15.75" customHeight="1">
      <c r="A743" s="5"/>
      <c r="B743" s="5"/>
      <c r="C743" s="5"/>
    </row>
    <row r="744" ht="15.75" customHeight="1">
      <c r="A744" s="5"/>
      <c r="B744" s="5"/>
      <c r="C744" s="5"/>
    </row>
    <row r="745" ht="15.75" customHeight="1">
      <c r="A745" s="5"/>
      <c r="B745" s="5"/>
      <c r="C745" s="5"/>
    </row>
    <row r="746" ht="15.75" customHeight="1">
      <c r="A746" s="5"/>
      <c r="B746" s="5"/>
      <c r="C746" s="5"/>
    </row>
    <row r="747" ht="15.75" customHeight="1">
      <c r="A747" s="5"/>
      <c r="B747" s="5"/>
      <c r="C747" s="5"/>
    </row>
    <row r="748" ht="15.75" customHeight="1">
      <c r="A748" s="5"/>
      <c r="B748" s="5"/>
      <c r="C748" s="5"/>
    </row>
    <row r="749" ht="15.75" customHeight="1">
      <c r="A749" s="5"/>
      <c r="B749" s="5"/>
      <c r="C749" s="5"/>
    </row>
    <row r="750" ht="15.75" customHeight="1">
      <c r="A750" s="5"/>
      <c r="B750" s="5"/>
      <c r="C750" s="5"/>
    </row>
    <row r="751" ht="15.75" customHeight="1">
      <c r="A751" s="5"/>
      <c r="B751" s="5"/>
      <c r="C751" s="5"/>
    </row>
    <row r="752" ht="15.75" customHeight="1">
      <c r="A752" s="5"/>
      <c r="B752" s="5"/>
      <c r="C752" s="5"/>
    </row>
    <row r="753" ht="15.75" customHeight="1">
      <c r="A753" s="5"/>
      <c r="B753" s="5"/>
      <c r="C753" s="5"/>
    </row>
    <row r="754" ht="15.75" customHeight="1">
      <c r="A754" s="5"/>
      <c r="B754" s="5"/>
      <c r="C754" s="5"/>
    </row>
    <row r="755" ht="15.75" customHeight="1">
      <c r="A755" s="5"/>
      <c r="B755" s="5"/>
      <c r="C755" s="5"/>
    </row>
    <row r="756" ht="15.75" customHeight="1">
      <c r="A756" s="5"/>
      <c r="B756" s="5"/>
      <c r="C756" s="5"/>
    </row>
    <row r="757" ht="15.75" customHeight="1">
      <c r="A757" s="5"/>
      <c r="B757" s="5"/>
      <c r="C757" s="5"/>
    </row>
    <row r="758" ht="15.75" customHeight="1">
      <c r="A758" s="5"/>
      <c r="B758" s="5"/>
      <c r="C758" s="5"/>
    </row>
    <row r="759" ht="15.75" customHeight="1">
      <c r="A759" s="5"/>
      <c r="B759" s="5"/>
      <c r="C759" s="5"/>
    </row>
    <row r="760" ht="15.75" customHeight="1">
      <c r="A760" s="5"/>
      <c r="B760" s="5"/>
      <c r="C760" s="5"/>
    </row>
    <row r="761" ht="15.75" customHeight="1">
      <c r="A761" s="5"/>
      <c r="B761" s="5"/>
      <c r="C761" s="5"/>
    </row>
    <row r="762" ht="15.75" customHeight="1">
      <c r="A762" s="5"/>
      <c r="B762" s="5"/>
      <c r="C762" s="5"/>
    </row>
    <row r="763" ht="15.75" customHeight="1">
      <c r="A763" s="5"/>
      <c r="B763" s="5"/>
      <c r="C763" s="5"/>
    </row>
    <row r="764" ht="15.75" customHeight="1">
      <c r="A764" s="5"/>
      <c r="B764" s="5"/>
      <c r="C764" s="5"/>
    </row>
    <row r="765" ht="15.75" customHeight="1">
      <c r="A765" s="5"/>
      <c r="B765" s="5"/>
      <c r="C765" s="5"/>
    </row>
    <row r="766" ht="15.75" customHeight="1">
      <c r="A766" s="5"/>
      <c r="B766" s="5"/>
      <c r="C766" s="5"/>
    </row>
    <row r="767" ht="15.75" customHeight="1">
      <c r="A767" s="5"/>
      <c r="B767" s="5"/>
      <c r="C767" s="5"/>
    </row>
    <row r="768" ht="15.75" customHeight="1">
      <c r="A768" s="5"/>
      <c r="B768" s="5"/>
      <c r="C768" s="5"/>
    </row>
    <row r="769" ht="15.75" customHeight="1">
      <c r="A769" s="5"/>
      <c r="B769" s="5"/>
      <c r="C769" s="5"/>
    </row>
    <row r="770" ht="15.75" customHeight="1">
      <c r="A770" s="5"/>
      <c r="B770" s="5"/>
      <c r="C770" s="5"/>
    </row>
    <row r="771" ht="15.75" customHeight="1">
      <c r="A771" s="5"/>
      <c r="B771" s="5"/>
      <c r="C771" s="5"/>
    </row>
    <row r="772" ht="15.75" customHeight="1">
      <c r="A772" s="5"/>
      <c r="B772" s="5"/>
      <c r="C772" s="5"/>
    </row>
    <row r="773" ht="15.75" customHeight="1">
      <c r="A773" s="5"/>
      <c r="B773" s="5"/>
      <c r="C773" s="5"/>
    </row>
    <row r="774" ht="15.75" customHeight="1">
      <c r="A774" s="5"/>
      <c r="B774" s="5"/>
      <c r="C774" s="5"/>
    </row>
    <row r="775" ht="15.75" customHeight="1">
      <c r="A775" s="5"/>
      <c r="B775" s="5"/>
      <c r="C775" s="5"/>
    </row>
    <row r="776" ht="15.75" customHeight="1">
      <c r="A776" s="5"/>
      <c r="B776" s="5"/>
      <c r="C776" s="5"/>
    </row>
    <row r="777" ht="15.75" customHeight="1">
      <c r="A777" s="5"/>
      <c r="B777" s="5"/>
      <c r="C777" s="5"/>
    </row>
    <row r="778" ht="15.75" customHeight="1">
      <c r="A778" s="5"/>
      <c r="B778" s="5"/>
      <c r="C778" s="5"/>
    </row>
    <row r="779" ht="15.75" customHeight="1">
      <c r="A779" s="5"/>
      <c r="B779" s="5"/>
      <c r="C779" s="5"/>
    </row>
    <row r="780" ht="15.75" customHeight="1">
      <c r="A780" s="5"/>
      <c r="B780" s="5"/>
      <c r="C780" s="5"/>
    </row>
    <row r="781" ht="15.75" customHeight="1">
      <c r="A781" s="5"/>
      <c r="B781" s="5"/>
      <c r="C781" s="5"/>
    </row>
    <row r="782" ht="15.75" customHeight="1">
      <c r="A782" s="5"/>
      <c r="B782" s="5"/>
      <c r="C782" s="5"/>
    </row>
    <row r="783" ht="15.75" customHeight="1">
      <c r="A783" s="5"/>
      <c r="B783" s="5"/>
      <c r="C783" s="5"/>
    </row>
    <row r="784" ht="15.75" customHeight="1">
      <c r="A784" s="5"/>
      <c r="B784" s="5"/>
      <c r="C784" s="5"/>
    </row>
    <row r="785" ht="15.75" customHeight="1">
      <c r="A785" s="5"/>
      <c r="B785" s="5"/>
      <c r="C785" s="5"/>
    </row>
    <row r="786" ht="15.75" customHeight="1">
      <c r="A786" s="5"/>
      <c r="B786" s="5"/>
      <c r="C786" s="5"/>
    </row>
    <row r="787" ht="15.75" customHeight="1">
      <c r="A787" s="5"/>
      <c r="B787" s="5"/>
      <c r="C787" s="5"/>
    </row>
    <row r="788" ht="15.75" customHeight="1">
      <c r="A788" s="5"/>
      <c r="B788" s="5"/>
      <c r="C788" s="5"/>
    </row>
    <row r="789" ht="15.75" customHeight="1">
      <c r="A789" s="5"/>
      <c r="B789" s="5"/>
      <c r="C789" s="5"/>
    </row>
    <row r="790" ht="15.75" customHeight="1">
      <c r="A790" s="5"/>
      <c r="B790" s="5"/>
      <c r="C790" s="5"/>
    </row>
    <row r="791" ht="15.75" customHeight="1">
      <c r="A791" s="5"/>
      <c r="B791" s="5"/>
      <c r="C791" s="5"/>
    </row>
    <row r="792" ht="15.75" customHeight="1">
      <c r="A792" s="5"/>
      <c r="B792" s="5"/>
      <c r="C792" s="5"/>
    </row>
    <row r="793" ht="15.75" customHeight="1">
      <c r="A793" s="5"/>
      <c r="B793" s="5"/>
      <c r="C793" s="5"/>
    </row>
    <row r="794" ht="15.75" customHeight="1">
      <c r="A794" s="5"/>
      <c r="B794" s="5"/>
      <c r="C794" s="5"/>
    </row>
    <row r="795" ht="15.75" customHeight="1">
      <c r="A795" s="5"/>
      <c r="B795" s="5"/>
      <c r="C795" s="5"/>
    </row>
    <row r="796" ht="15.75" customHeight="1">
      <c r="A796" s="5"/>
      <c r="B796" s="5"/>
      <c r="C796" s="5"/>
    </row>
    <row r="797" ht="15.75" customHeight="1">
      <c r="A797" s="5"/>
      <c r="B797" s="5"/>
      <c r="C797" s="5"/>
    </row>
    <row r="798" ht="15.75" customHeight="1">
      <c r="A798" s="5"/>
      <c r="B798" s="5"/>
      <c r="C798" s="5"/>
    </row>
    <row r="799" ht="15.75" customHeight="1">
      <c r="A799" s="5"/>
      <c r="B799" s="5"/>
      <c r="C799" s="5"/>
    </row>
    <row r="800" ht="15.75" customHeight="1">
      <c r="A800" s="5"/>
      <c r="B800" s="5"/>
      <c r="C800" s="5"/>
    </row>
    <row r="801" ht="15.75" customHeight="1">
      <c r="A801" s="5"/>
      <c r="B801" s="5"/>
      <c r="C801" s="5"/>
    </row>
    <row r="802" ht="15.75" customHeight="1">
      <c r="A802" s="5"/>
      <c r="B802" s="5"/>
      <c r="C802" s="5"/>
    </row>
    <row r="803" ht="15.75" customHeight="1">
      <c r="A803" s="5"/>
      <c r="B803" s="5"/>
      <c r="C803" s="5"/>
    </row>
    <row r="804" ht="15.75" customHeight="1">
      <c r="A804" s="5"/>
      <c r="B804" s="5"/>
      <c r="C804" s="5"/>
    </row>
    <row r="805" ht="15.75" customHeight="1">
      <c r="A805" s="5"/>
      <c r="B805" s="5"/>
      <c r="C805" s="5"/>
    </row>
    <row r="806" ht="15.75" customHeight="1">
      <c r="A806" s="5"/>
      <c r="B806" s="5"/>
      <c r="C806" s="5"/>
    </row>
    <row r="807" ht="15.75" customHeight="1">
      <c r="A807" s="5"/>
      <c r="B807" s="5"/>
      <c r="C807" s="5"/>
    </row>
    <row r="808" ht="15.75" customHeight="1">
      <c r="A808" s="5"/>
      <c r="B808" s="5"/>
      <c r="C808" s="5"/>
    </row>
    <row r="809" ht="15.75" customHeight="1">
      <c r="A809" s="5"/>
      <c r="B809" s="5"/>
      <c r="C809" s="5"/>
    </row>
    <row r="810" ht="15.75" customHeight="1">
      <c r="A810" s="5"/>
      <c r="B810" s="5"/>
      <c r="C810" s="5"/>
    </row>
    <row r="811" ht="15.75" customHeight="1">
      <c r="A811" s="5"/>
      <c r="B811" s="5"/>
      <c r="C811" s="5"/>
    </row>
    <row r="812" ht="15.75" customHeight="1">
      <c r="A812" s="5"/>
      <c r="B812" s="5"/>
      <c r="C812" s="5"/>
    </row>
    <row r="813" ht="15.75" customHeight="1">
      <c r="A813" s="5"/>
      <c r="B813" s="5"/>
      <c r="C813" s="5"/>
    </row>
    <row r="814" ht="15.75" customHeight="1">
      <c r="A814" s="5"/>
      <c r="B814" s="5"/>
      <c r="C814" s="5"/>
    </row>
    <row r="815" ht="15.75" customHeight="1">
      <c r="A815" s="5"/>
      <c r="B815" s="5"/>
      <c r="C815" s="5"/>
    </row>
    <row r="816" ht="15.75" customHeight="1">
      <c r="A816" s="5"/>
      <c r="B816" s="5"/>
      <c r="C816" s="5"/>
    </row>
    <row r="817" ht="15.75" customHeight="1">
      <c r="A817" s="5"/>
      <c r="B817" s="5"/>
      <c r="C817" s="5"/>
    </row>
    <row r="818" ht="15.75" customHeight="1">
      <c r="A818" s="5"/>
      <c r="B818" s="5"/>
      <c r="C818" s="5"/>
    </row>
    <row r="819" ht="15.75" customHeight="1">
      <c r="A819" s="5"/>
      <c r="B819" s="5"/>
      <c r="C819" s="5"/>
    </row>
    <row r="820" ht="15.75" customHeight="1">
      <c r="A820" s="5"/>
      <c r="B820" s="5"/>
      <c r="C820" s="5"/>
    </row>
    <row r="821" ht="15.75" customHeight="1">
      <c r="A821" s="5"/>
      <c r="B821" s="5"/>
      <c r="C821" s="5"/>
    </row>
    <row r="822" ht="15.75" customHeight="1">
      <c r="A822" s="5"/>
      <c r="B822" s="5"/>
      <c r="C822" s="5"/>
    </row>
    <row r="823" ht="15.75" customHeight="1">
      <c r="A823" s="5"/>
      <c r="B823" s="5"/>
      <c r="C823" s="5"/>
    </row>
    <row r="824" ht="15.75" customHeight="1">
      <c r="A824" s="5"/>
      <c r="B824" s="5"/>
      <c r="C824" s="5"/>
    </row>
    <row r="825" ht="15.75" customHeight="1">
      <c r="A825" s="5"/>
      <c r="B825" s="5"/>
      <c r="C825" s="5"/>
    </row>
    <row r="826" ht="15.75" customHeight="1">
      <c r="A826" s="5"/>
      <c r="B826" s="5"/>
      <c r="C826" s="5"/>
    </row>
    <row r="827" ht="15.75" customHeight="1">
      <c r="A827" s="5"/>
      <c r="B827" s="5"/>
      <c r="C827" s="5"/>
    </row>
    <row r="828" ht="15.75" customHeight="1">
      <c r="A828" s="5"/>
      <c r="B828" s="5"/>
      <c r="C828" s="5"/>
    </row>
    <row r="829" ht="15.75" customHeight="1">
      <c r="A829" s="5"/>
      <c r="B829" s="5"/>
      <c r="C829" s="5"/>
    </row>
    <row r="830" ht="15.75" customHeight="1">
      <c r="A830" s="5"/>
      <c r="B830" s="5"/>
      <c r="C830" s="5"/>
    </row>
    <row r="831" ht="15.75" customHeight="1">
      <c r="A831" s="5"/>
      <c r="B831" s="5"/>
      <c r="C831" s="5"/>
    </row>
    <row r="832" ht="15.75" customHeight="1">
      <c r="A832" s="5"/>
      <c r="B832" s="5"/>
      <c r="C832" s="5"/>
    </row>
    <row r="833" ht="15.75" customHeight="1">
      <c r="A833" s="5"/>
      <c r="B833" s="5"/>
      <c r="C833" s="5"/>
    </row>
    <row r="834" ht="15.75" customHeight="1">
      <c r="A834" s="5"/>
      <c r="B834" s="5"/>
      <c r="C834" s="5"/>
    </row>
    <row r="835" ht="15.75" customHeight="1">
      <c r="A835" s="5"/>
      <c r="B835" s="5"/>
      <c r="C835" s="5"/>
    </row>
    <row r="836" ht="15.75" customHeight="1">
      <c r="A836" s="5"/>
      <c r="B836" s="5"/>
      <c r="C836" s="5"/>
    </row>
    <row r="837" ht="15.75" customHeight="1">
      <c r="A837" s="5"/>
      <c r="B837" s="5"/>
      <c r="C837" s="5"/>
    </row>
    <row r="838" ht="15.75" customHeight="1">
      <c r="A838" s="5"/>
      <c r="B838" s="5"/>
      <c r="C838" s="5"/>
    </row>
    <row r="839" ht="15.75" customHeight="1">
      <c r="A839" s="5"/>
      <c r="B839" s="5"/>
      <c r="C839" s="5"/>
    </row>
    <row r="840" ht="15.75" customHeight="1">
      <c r="A840" s="5"/>
      <c r="B840" s="5"/>
      <c r="C840" s="5"/>
    </row>
    <row r="841" ht="15.75" customHeight="1">
      <c r="A841" s="5"/>
      <c r="B841" s="5"/>
      <c r="C841" s="5"/>
    </row>
    <row r="842" ht="15.75" customHeight="1">
      <c r="A842" s="5"/>
      <c r="B842" s="5"/>
      <c r="C842" s="5"/>
    </row>
    <row r="843" ht="15.75" customHeight="1">
      <c r="A843" s="5"/>
      <c r="B843" s="5"/>
      <c r="C843" s="5"/>
    </row>
    <row r="844" ht="15.75" customHeight="1">
      <c r="A844" s="5"/>
      <c r="B844" s="5"/>
      <c r="C844" s="5"/>
    </row>
    <row r="845" ht="15.75" customHeight="1">
      <c r="A845" s="5"/>
      <c r="B845" s="5"/>
      <c r="C845" s="5"/>
    </row>
    <row r="846" ht="15.75" customHeight="1">
      <c r="A846" s="5"/>
      <c r="B846" s="5"/>
      <c r="C846" s="5"/>
    </row>
    <row r="847" ht="15.75" customHeight="1">
      <c r="A847" s="5"/>
      <c r="B847" s="5"/>
      <c r="C847" s="5"/>
    </row>
    <row r="848" ht="15.75" customHeight="1">
      <c r="A848" s="5"/>
      <c r="B848" s="5"/>
      <c r="C848" s="5"/>
    </row>
    <row r="849" ht="15.75" customHeight="1">
      <c r="A849" s="5"/>
      <c r="B849" s="5"/>
      <c r="C849" s="5"/>
    </row>
    <row r="850" ht="15.75" customHeight="1">
      <c r="A850" s="5"/>
      <c r="B850" s="5"/>
      <c r="C850" s="5"/>
    </row>
    <row r="851" ht="15.75" customHeight="1">
      <c r="A851" s="5"/>
      <c r="B851" s="5"/>
      <c r="C851" s="5"/>
    </row>
    <row r="852" ht="15.75" customHeight="1">
      <c r="A852" s="5"/>
      <c r="B852" s="5"/>
      <c r="C852" s="5"/>
    </row>
    <row r="853" ht="15.75" customHeight="1">
      <c r="A853" s="5"/>
      <c r="B853" s="5"/>
      <c r="C853" s="5"/>
    </row>
    <row r="854" ht="15.75" customHeight="1">
      <c r="A854" s="5"/>
      <c r="B854" s="5"/>
      <c r="C854" s="5"/>
    </row>
    <row r="855" ht="15.75" customHeight="1">
      <c r="A855" s="5"/>
      <c r="B855" s="5"/>
      <c r="C855" s="5"/>
    </row>
    <row r="856" ht="15.75" customHeight="1">
      <c r="A856" s="5"/>
      <c r="B856" s="5"/>
      <c r="C856" s="5"/>
    </row>
    <row r="857" ht="15.75" customHeight="1">
      <c r="A857" s="5"/>
      <c r="B857" s="5"/>
      <c r="C857" s="5"/>
    </row>
    <row r="858" ht="15.75" customHeight="1">
      <c r="A858" s="5"/>
      <c r="B858" s="5"/>
      <c r="C858" s="5"/>
    </row>
    <row r="859" ht="15.75" customHeight="1">
      <c r="A859" s="5"/>
      <c r="B859" s="5"/>
      <c r="C859" s="5"/>
    </row>
    <row r="860" ht="15.75" customHeight="1">
      <c r="A860" s="5"/>
      <c r="B860" s="5"/>
      <c r="C860" s="5"/>
    </row>
    <row r="861" ht="15.75" customHeight="1">
      <c r="A861" s="5"/>
      <c r="B861" s="5"/>
      <c r="C861" s="5"/>
    </row>
    <row r="862" ht="15.75" customHeight="1">
      <c r="A862" s="5"/>
      <c r="B862" s="5"/>
      <c r="C862" s="5"/>
    </row>
    <row r="863" ht="15.75" customHeight="1">
      <c r="A863" s="5"/>
      <c r="B863" s="5"/>
      <c r="C863" s="5"/>
    </row>
    <row r="864" ht="15.75" customHeight="1">
      <c r="A864" s="5"/>
      <c r="B864" s="5"/>
      <c r="C864" s="5"/>
    </row>
    <row r="865" ht="15.75" customHeight="1">
      <c r="A865" s="5"/>
      <c r="B865" s="5"/>
      <c r="C865" s="5"/>
    </row>
    <row r="866" ht="15.75" customHeight="1">
      <c r="A866" s="5"/>
      <c r="B866" s="5"/>
      <c r="C866" s="5"/>
    </row>
    <row r="867" ht="15.75" customHeight="1">
      <c r="A867" s="5"/>
      <c r="B867" s="5"/>
      <c r="C867" s="5"/>
    </row>
    <row r="868" ht="15.75" customHeight="1">
      <c r="A868" s="5"/>
      <c r="B868" s="5"/>
      <c r="C868" s="5"/>
    </row>
    <row r="869" ht="15.75" customHeight="1">
      <c r="A869" s="5"/>
      <c r="B869" s="5"/>
      <c r="C869" s="5"/>
    </row>
    <row r="870" ht="15.75" customHeight="1">
      <c r="A870" s="5"/>
      <c r="B870" s="5"/>
      <c r="C870" s="5"/>
    </row>
    <row r="871" ht="15.75" customHeight="1">
      <c r="A871" s="5"/>
      <c r="B871" s="5"/>
      <c r="C871" s="5"/>
    </row>
    <row r="872" ht="15.75" customHeight="1">
      <c r="A872" s="5"/>
      <c r="B872" s="5"/>
      <c r="C872" s="5"/>
    </row>
    <row r="873" ht="15.75" customHeight="1">
      <c r="A873" s="5"/>
      <c r="B873" s="5"/>
      <c r="C873" s="5"/>
    </row>
    <row r="874" ht="15.75" customHeight="1">
      <c r="A874" s="5"/>
      <c r="B874" s="5"/>
      <c r="C874" s="5"/>
    </row>
    <row r="875" ht="15.75" customHeight="1">
      <c r="A875" s="5"/>
      <c r="B875" s="5"/>
      <c r="C875" s="5"/>
    </row>
    <row r="876" ht="15.75" customHeight="1">
      <c r="A876" s="5"/>
      <c r="B876" s="5"/>
      <c r="C876" s="5"/>
    </row>
    <row r="877" ht="15.75" customHeight="1">
      <c r="A877" s="5"/>
      <c r="B877" s="5"/>
      <c r="C877" s="5"/>
    </row>
    <row r="878" ht="15.75" customHeight="1">
      <c r="A878" s="5"/>
      <c r="B878" s="5"/>
      <c r="C878" s="5"/>
    </row>
    <row r="879" ht="15.75" customHeight="1">
      <c r="A879" s="5"/>
      <c r="B879" s="5"/>
      <c r="C879" s="5"/>
    </row>
    <row r="880" ht="15.75" customHeight="1">
      <c r="A880" s="5"/>
      <c r="B880" s="5"/>
      <c r="C880" s="5"/>
    </row>
    <row r="881" ht="15.75" customHeight="1">
      <c r="A881" s="5"/>
      <c r="B881" s="5"/>
      <c r="C881" s="5"/>
    </row>
    <row r="882" ht="15.75" customHeight="1">
      <c r="A882" s="5"/>
      <c r="B882" s="5"/>
      <c r="C882" s="5"/>
    </row>
    <row r="883" ht="15.75" customHeight="1">
      <c r="A883" s="5"/>
      <c r="B883" s="5"/>
      <c r="C883" s="5"/>
    </row>
    <row r="884" ht="15.75" customHeight="1">
      <c r="A884" s="5"/>
      <c r="B884" s="5"/>
      <c r="C884" s="5"/>
    </row>
    <row r="885" ht="15.75" customHeight="1">
      <c r="A885" s="5"/>
      <c r="B885" s="5"/>
      <c r="C885" s="5"/>
    </row>
    <row r="886" ht="15.75" customHeight="1">
      <c r="A886" s="5"/>
      <c r="B886" s="5"/>
      <c r="C886" s="5"/>
    </row>
    <row r="887" ht="15.75" customHeight="1">
      <c r="A887" s="5"/>
      <c r="B887" s="5"/>
      <c r="C887" s="5"/>
    </row>
    <row r="888" ht="15.75" customHeight="1">
      <c r="A888" s="5"/>
      <c r="B888" s="5"/>
      <c r="C888" s="5"/>
    </row>
    <row r="889" ht="15.75" customHeight="1">
      <c r="A889" s="5"/>
      <c r="B889" s="5"/>
      <c r="C889" s="5"/>
    </row>
    <row r="890" ht="15.75" customHeight="1">
      <c r="A890" s="5"/>
      <c r="B890" s="5"/>
      <c r="C890" s="5"/>
    </row>
    <row r="891" ht="15.75" customHeight="1">
      <c r="A891" s="5"/>
      <c r="B891" s="5"/>
      <c r="C891" s="5"/>
    </row>
    <row r="892" ht="15.75" customHeight="1">
      <c r="A892" s="5"/>
      <c r="B892" s="5"/>
      <c r="C892" s="5"/>
    </row>
    <row r="893" ht="15.75" customHeight="1">
      <c r="A893" s="5"/>
      <c r="B893" s="5"/>
      <c r="C893" s="5"/>
    </row>
    <row r="894" ht="15.75" customHeight="1">
      <c r="A894" s="5"/>
      <c r="B894" s="5"/>
      <c r="C894" s="5"/>
    </row>
    <row r="895" ht="15.75" customHeight="1">
      <c r="A895" s="5"/>
      <c r="B895" s="5"/>
      <c r="C895" s="5"/>
    </row>
    <row r="896" ht="15.75" customHeight="1">
      <c r="A896" s="5"/>
      <c r="B896" s="5"/>
      <c r="C896" s="5"/>
    </row>
    <row r="897" ht="15.75" customHeight="1">
      <c r="A897" s="5"/>
      <c r="B897" s="5"/>
      <c r="C897" s="5"/>
    </row>
    <row r="898" ht="15.75" customHeight="1">
      <c r="A898" s="5"/>
      <c r="B898" s="5"/>
      <c r="C898" s="5"/>
    </row>
    <row r="899" ht="15.75" customHeight="1">
      <c r="A899" s="5"/>
      <c r="B899" s="5"/>
      <c r="C899" s="5"/>
    </row>
    <row r="900" ht="15.75" customHeight="1">
      <c r="A900" s="5"/>
      <c r="B900" s="5"/>
      <c r="C900" s="5"/>
    </row>
    <row r="901" ht="15.75" customHeight="1">
      <c r="A901" s="5"/>
      <c r="B901" s="5"/>
      <c r="C901" s="5"/>
    </row>
    <row r="902" ht="15.75" customHeight="1">
      <c r="A902" s="5"/>
      <c r="B902" s="5"/>
      <c r="C902" s="5"/>
    </row>
    <row r="903" ht="15.75" customHeight="1">
      <c r="A903" s="5"/>
      <c r="B903" s="5"/>
      <c r="C903" s="5"/>
    </row>
    <row r="904" ht="15.75" customHeight="1">
      <c r="A904" s="5"/>
      <c r="B904" s="5"/>
      <c r="C904" s="5"/>
    </row>
    <row r="905" ht="15.75" customHeight="1">
      <c r="A905" s="5"/>
      <c r="B905" s="5"/>
      <c r="C905" s="5"/>
    </row>
    <row r="906" ht="15.75" customHeight="1">
      <c r="A906" s="5"/>
      <c r="B906" s="5"/>
      <c r="C906" s="5"/>
    </row>
    <row r="907" ht="15.75" customHeight="1">
      <c r="A907" s="5"/>
      <c r="B907" s="5"/>
      <c r="C907" s="5"/>
    </row>
    <row r="908" ht="15.75" customHeight="1">
      <c r="A908" s="5"/>
      <c r="B908" s="5"/>
      <c r="C908" s="5"/>
    </row>
    <row r="909" ht="15.75" customHeight="1">
      <c r="A909" s="5"/>
      <c r="B909" s="5"/>
      <c r="C909" s="5"/>
    </row>
    <row r="910" ht="15.75" customHeight="1">
      <c r="A910" s="5"/>
      <c r="B910" s="5"/>
      <c r="C910" s="5"/>
    </row>
    <row r="911" ht="15.75" customHeight="1">
      <c r="A911" s="5"/>
      <c r="B911" s="5"/>
      <c r="C911" s="5"/>
    </row>
    <row r="912" ht="15.75" customHeight="1">
      <c r="A912" s="5"/>
      <c r="B912" s="5"/>
      <c r="C912" s="5"/>
    </row>
    <row r="913" ht="15.75" customHeight="1">
      <c r="A913" s="5"/>
      <c r="B913" s="5"/>
      <c r="C913" s="5"/>
    </row>
    <row r="914" ht="15.75" customHeight="1">
      <c r="A914" s="5"/>
      <c r="B914" s="5"/>
      <c r="C914" s="5"/>
    </row>
    <row r="915" ht="15.75" customHeight="1">
      <c r="A915" s="5"/>
      <c r="B915" s="5"/>
      <c r="C915" s="5"/>
    </row>
    <row r="916" ht="15.75" customHeight="1">
      <c r="A916" s="5"/>
      <c r="B916" s="5"/>
      <c r="C916" s="5"/>
    </row>
    <row r="917" ht="15.75" customHeight="1">
      <c r="A917" s="5"/>
      <c r="B917" s="5"/>
      <c r="C917" s="5"/>
    </row>
    <row r="918" ht="15.75" customHeight="1">
      <c r="A918" s="5"/>
      <c r="B918" s="5"/>
      <c r="C918" s="5"/>
    </row>
    <row r="919" ht="15.75" customHeight="1">
      <c r="A919" s="5"/>
      <c r="B919" s="5"/>
      <c r="C919" s="5"/>
    </row>
    <row r="920" ht="15.75" customHeight="1">
      <c r="A920" s="5"/>
      <c r="B920" s="5"/>
      <c r="C920" s="5"/>
    </row>
    <row r="921" ht="15.75" customHeight="1">
      <c r="A921" s="5"/>
      <c r="B921" s="5"/>
      <c r="C921" s="5"/>
    </row>
    <row r="922" ht="15.75" customHeight="1">
      <c r="A922" s="5"/>
      <c r="B922" s="5"/>
      <c r="C922" s="5"/>
    </row>
    <row r="923" ht="15.75" customHeight="1">
      <c r="A923" s="5"/>
      <c r="B923" s="5"/>
      <c r="C923" s="5"/>
    </row>
    <row r="924" ht="15.75" customHeight="1">
      <c r="A924" s="5"/>
      <c r="B924" s="5"/>
      <c r="C924" s="5"/>
    </row>
    <row r="925" ht="15.75" customHeight="1">
      <c r="A925" s="5"/>
      <c r="B925" s="5"/>
      <c r="C925" s="5"/>
    </row>
    <row r="926" ht="15.75" customHeight="1">
      <c r="A926" s="5"/>
      <c r="B926" s="5"/>
      <c r="C926" s="5"/>
    </row>
    <row r="927" ht="15.75" customHeight="1">
      <c r="A927" s="5"/>
      <c r="B927" s="5"/>
      <c r="C927" s="5"/>
    </row>
    <row r="928" ht="15.75" customHeight="1">
      <c r="A928" s="5"/>
      <c r="B928" s="5"/>
      <c r="C928" s="5"/>
    </row>
    <row r="929" ht="15.75" customHeight="1">
      <c r="A929" s="5"/>
      <c r="B929" s="5"/>
      <c r="C929" s="5"/>
    </row>
    <row r="930" ht="15.75" customHeight="1">
      <c r="A930" s="5"/>
      <c r="B930" s="5"/>
      <c r="C930" s="5"/>
    </row>
    <row r="931" ht="15.75" customHeight="1">
      <c r="A931" s="5"/>
      <c r="B931" s="5"/>
      <c r="C931" s="5"/>
    </row>
    <row r="932" ht="15.75" customHeight="1">
      <c r="A932" s="5"/>
      <c r="B932" s="5"/>
      <c r="C932" s="5"/>
    </row>
    <row r="933" ht="15.75" customHeight="1">
      <c r="A933" s="5"/>
      <c r="B933" s="5"/>
      <c r="C933" s="5"/>
    </row>
    <row r="934" ht="15.75" customHeight="1">
      <c r="A934" s="5"/>
      <c r="B934" s="5"/>
      <c r="C934" s="5"/>
    </row>
    <row r="935" ht="15.75" customHeight="1">
      <c r="A935" s="5"/>
      <c r="B935" s="5"/>
      <c r="C935" s="5"/>
    </row>
    <row r="936" ht="15.75" customHeight="1">
      <c r="A936" s="5"/>
      <c r="B936" s="5"/>
      <c r="C936" s="5"/>
    </row>
    <row r="937" ht="15.75" customHeight="1">
      <c r="A937" s="5"/>
      <c r="B937" s="5"/>
      <c r="C937" s="5"/>
    </row>
    <row r="938" ht="15.75" customHeight="1">
      <c r="A938" s="5"/>
      <c r="B938" s="5"/>
      <c r="C938" s="5"/>
    </row>
    <row r="939" ht="15.75" customHeight="1">
      <c r="A939" s="5"/>
      <c r="B939" s="5"/>
      <c r="C939" s="5"/>
    </row>
    <row r="940" ht="15.75" customHeight="1">
      <c r="A940" s="5"/>
      <c r="B940" s="5"/>
      <c r="C940" s="5"/>
    </row>
    <row r="941" ht="15.75" customHeight="1">
      <c r="A941" s="5"/>
      <c r="B941" s="5"/>
      <c r="C941" s="5"/>
    </row>
    <row r="942" ht="15.75" customHeight="1">
      <c r="A942" s="5"/>
      <c r="B942" s="5"/>
      <c r="C942" s="5"/>
    </row>
    <row r="943" ht="15.75" customHeight="1">
      <c r="A943" s="5"/>
      <c r="B943" s="5"/>
      <c r="C943" s="5"/>
    </row>
    <row r="944" ht="15.75" customHeight="1">
      <c r="A944" s="5"/>
      <c r="B944" s="5"/>
      <c r="C944" s="5"/>
    </row>
    <row r="945" ht="15.75" customHeight="1">
      <c r="A945" s="5"/>
      <c r="B945" s="5"/>
      <c r="C945" s="5"/>
    </row>
    <row r="946" ht="15.75" customHeight="1">
      <c r="A946" s="5"/>
      <c r="B946" s="5"/>
      <c r="C946" s="5"/>
    </row>
    <row r="947" ht="15.75" customHeight="1">
      <c r="A947" s="5"/>
      <c r="B947" s="5"/>
      <c r="C947" s="5"/>
    </row>
    <row r="948" ht="15.75" customHeight="1">
      <c r="A948" s="5"/>
      <c r="B948" s="5"/>
      <c r="C948" s="5"/>
    </row>
    <row r="949" ht="15.75" customHeight="1">
      <c r="A949" s="5"/>
      <c r="B949" s="5"/>
      <c r="C949" s="5"/>
    </row>
    <row r="950" ht="15.75" customHeight="1">
      <c r="A950" s="5"/>
      <c r="B950" s="5"/>
      <c r="C950" s="5"/>
    </row>
    <row r="951" ht="15.75" customHeight="1">
      <c r="A951" s="5"/>
      <c r="B951" s="5"/>
      <c r="C951" s="5"/>
    </row>
    <row r="952" ht="15.75" customHeight="1">
      <c r="A952" s="5"/>
      <c r="B952" s="5"/>
      <c r="C952" s="5"/>
    </row>
    <row r="953" ht="15.75" customHeight="1">
      <c r="A953" s="5"/>
      <c r="B953" s="5"/>
      <c r="C953" s="5"/>
    </row>
    <row r="954" ht="15.75" customHeight="1">
      <c r="A954" s="5"/>
      <c r="B954" s="5"/>
      <c r="C954" s="5"/>
    </row>
    <row r="955" ht="15.75" customHeight="1">
      <c r="A955" s="5"/>
      <c r="B955" s="5"/>
      <c r="C955" s="5"/>
    </row>
    <row r="956" ht="15.75" customHeight="1">
      <c r="A956" s="5"/>
      <c r="B956" s="5"/>
      <c r="C956" s="5"/>
    </row>
    <row r="957" ht="15.75" customHeight="1">
      <c r="A957" s="5"/>
      <c r="B957" s="5"/>
      <c r="C957" s="5"/>
    </row>
    <row r="958" ht="15.75" customHeight="1">
      <c r="A958" s="5"/>
      <c r="B958" s="5"/>
      <c r="C958" s="5"/>
    </row>
    <row r="959" ht="15.75" customHeight="1">
      <c r="A959" s="5"/>
      <c r="B959" s="5"/>
      <c r="C959" s="5"/>
    </row>
    <row r="960" ht="15.75" customHeight="1">
      <c r="A960" s="5"/>
      <c r="B960" s="5"/>
      <c r="C960" s="5"/>
    </row>
    <row r="961" ht="15.75" customHeight="1">
      <c r="A961" s="5"/>
      <c r="B961" s="5"/>
      <c r="C961" s="5"/>
    </row>
    <row r="962" ht="15.75" customHeight="1">
      <c r="A962" s="5"/>
      <c r="B962" s="5"/>
      <c r="C962" s="5"/>
    </row>
    <row r="963" ht="15.75" customHeight="1">
      <c r="A963" s="5"/>
      <c r="B963" s="5"/>
      <c r="C963" s="5"/>
    </row>
    <row r="964" ht="15.75" customHeight="1">
      <c r="A964" s="5"/>
      <c r="B964" s="5"/>
      <c r="C964" s="5"/>
    </row>
    <row r="965" ht="15.75" customHeight="1">
      <c r="A965" s="5"/>
      <c r="B965" s="5"/>
      <c r="C965" s="5"/>
    </row>
    <row r="966" ht="15.75" customHeight="1">
      <c r="A966" s="5"/>
      <c r="B966" s="5"/>
      <c r="C966" s="5"/>
    </row>
    <row r="967" ht="15.75" customHeight="1">
      <c r="A967" s="5"/>
      <c r="B967" s="5"/>
      <c r="C967" s="5"/>
    </row>
    <row r="968" ht="15.75" customHeight="1">
      <c r="A968" s="5"/>
      <c r="B968" s="5"/>
      <c r="C968" s="5"/>
    </row>
    <row r="969" ht="15.75" customHeight="1">
      <c r="A969" s="5"/>
      <c r="B969" s="5"/>
      <c r="C969" s="5"/>
    </row>
    <row r="970" ht="15.75" customHeight="1">
      <c r="A970" s="5"/>
      <c r="B970" s="5"/>
      <c r="C970" s="5"/>
    </row>
    <row r="971" ht="15.75" customHeight="1">
      <c r="A971" s="5"/>
      <c r="B971" s="5"/>
      <c r="C971" s="5"/>
    </row>
    <row r="972" ht="15.75" customHeight="1">
      <c r="A972" s="5"/>
      <c r="B972" s="5"/>
      <c r="C972" s="5"/>
    </row>
    <row r="973" ht="15.75" customHeight="1">
      <c r="A973" s="5"/>
      <c r="B973" s="5"/>
      <c r="C973" s="5"/>
    </row>
    <row r="974" ht="15.75" customHeight="1">
      <c r="A974" s="5"/>
      <c r="B974" s="5"/>
      <c r="C974" s="5"/>
    </row>
    <row r="975" ht="15.75" customHeight="1">
      <c r="A975" s="5"/>
      <c r="B975" s="5"/>
      <c r="C975" s="5"/>
    </row>
    <row r="976" ht="15.75" customHeight="1">
      <c r="A976" s="5"/>
      <c r="B976" s="5"/>
      <c r="C976" s="5"/>
    </row>
    <row r="977" ht="15.75" customHeight="1">
      <c r="A977" s="5"/>
      <c r="B977" s="5"/>
      <c r="C977" s="5"/>
    </row>
    <row r="978" ht="15.75" customHeight="1">
      <c r="A978" s="5"/>
      <c r="B978" s="5"/>
      <c r="C978" s="5"/>
    </row>
    <row r="979" ht="15.75" customHeight="1">
      <c r="A979" s="5"/>
      <c r="B979" s="5"/>
      <c r="C979" s="5"/>
    </row>
    <row r="980" ht="15.75" customHeight="1">
      <c r="A980" s="5"/>
      <c r="B980" s="5"/>
      <c r="C980" s="5"/>
    </row>
    <row r="981" ht="15.75" customHeight="1">
      <c r="A981" s="5"/>
      <c r="B981" s="5"/>
      <c r="C981" s="5"/>
    </row>
    <row r="982" ht="15.75" customHeight="1">
      <c r="A982" s="5"/>
      <c r="B982" s="5"/>
      <c r="C982" s="5"/>
    </row>
    <row r="983" ht="15.75" customHeight="1">
      <c r="A983" s="5"/>
      <c r="B983" s="5"/>
      <c r="C983" s="5"/>
    </row>
    <row r="984" ht="15.75" customHeight="1">
      <c r="A984" s="5"/>
      <c r="B984" s="5"/>
      <c r="C984" s="5"/>
    </row>
    <row r="985" ht="15.75" customHeight="1">
      <c r="A985" s="5"/>
      <c r="B985" s="5"/>
      <c r="C985" s="5"/>
    </row>
    <row r="986" ht="15.75" customHeight="1">
      <c r="A986" s="5"/>
      <c r="B986" s="5"/>
      <c r="C986" s="5"/>
    </row>
    <row r="987" ht="15.75" customHeight="1">
      <c r="A987" s="5"/>
      <c r="B987" s="5"/>
      <c r="C987" s="5"/>
    </row>
    <row r="988" ht="15.75" customHeight="1">
      <c r="A988" s="5"/>
      <c r="B988" s="5"/>
      <c r="C988" s="5"/>
    </row>
    <row r="989" ht="15.75" customHeight="1">
      <c r="A989" s="5"/>
      <c r="B989" s="5"/>
      <c r="C989" s="5"/>
    </row>
    <row r="990" ht="15.75" customHeight="1">
      <c r="A990" s="5"/>
      <c r="B990" s="5"/>
      <c r="C990" s="5"/>
    </row>
    <row r="991" ht="15.75" customHeight="1">
      <c r="A991" s="5"/>
      <c r="B991" s="5"/>
      <c r="C991" s="5"/>
    </row>
    <row r="992" ht="15.75" customHeight="1">
      <c r="A992" s="5"/>
      <c r="B992" s="5"/>
      <c r="C992" s="5"/>
    </row>
    <row r="993" ht="15.75" customHeight="1">
      <c r="A993" s="5"/>
      <c r="B993" s="5"/>
      <c r="C993" s="5"/>
    </row>
    <row r="994" ht="15.75" customHeight="1">
      <c r="A994" s="5"/>
      <c r="B994" s="5"/>
      <c r="C994" s="5"/>
    </row>
    <row r="995" ht="15.75" customHeight="1">
      <c r="A995" s="5"/>
      <c r="B995" s="5"/>
      <c r="C995" s="5"/>
    </row>
    <row r="996" ht="15.75" customHeight="1">
      <c r="A996" s="5"/>
      <c r="B996" s="5"/>
      <c r="C996" s="5"/>
    </row>
    <row r="997" ht="15.75" customHeight="1">
      <c r="A997" s="5"/>
      <c r="B997" s="5"/>
      <c r="C997" s="5"/>
    </row>
    <row r="998" ht="15.75" customHeight="1">
      <c r="A998" s="5"/>
      <c r="B998" s="5"/>
      <c r="C998" s="5"/>
    </row>
    <row r="999" ht="15.75" customHeight="1">
      <c r="A999" s="5"/>
      <c r="B999" s="5"/>
      <c r="C999" s="5"/>
    </row>
    <row r="1000" ht="15.75" customHeight="1">
      <c r="A1000" s="5"/>
      <c r="B1000" s="5"/>
      <c r="C1000" s="5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0.0"/>
    <col customWidth="1" min="3" max="3" width="10.0"/>
    <col customWidth="1" min="4" max="4" width="16.0"/>
    <col customWidth="1" min="5" max="5" width="12.0"/>
    <col customWidth="1" min="6" max="6" width="14.0"/>
    <col customWidth="1" min="7" max="7" width="17.14"/>
    <col customWidth="1" min="8" max="8" width="20.0"/>
    <col customWidth="1" min="9" max="9" width="15.86"/>
    <col customWidth="1" min="10" max="10" width="18.0"/>
    <col customWidth="1" min="11" max="11" width="14.71"/>
    <col customWidth="1" min="12" max="12" width="24.0"/>
    <col customWidth="1" min="13" max="13" width="20.71"/>
    <col customWidth="1" min="14" max="14" width="20.0"/>
    <col customWidth="1" min="15" max="15" width="11.14"/>
    <col customWidth="1" min="16" max="16" width="17.14"/>
    <col customWidth="1" min="17" max="26" width="8.71"/>
  </cols>
  <sheetData>
    <row r="1" ht="23.25" customHeight="1">
      <c r="A1" s="2" t="s">
        <v>3</v>
      </c>
      <c r="B1" s="2" t="s">
        <v>37</v>
      </c>
      <c r="C1" s="2" t="s">
        <v>43</v>
      </c>
      <c r="D1" s="2" t="s">
        <v>48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57</v>
      </c>
      <c r="L1" s="2" t="s">
        <v>58</v>
      </c>
      <c r="M1" s="2" t="s">
        <v>59</v>
      </c>
      <c r="N1" s="2" t="s">
        <v>60</v>
      </c>
      <c r="O1" s="8" t="s">
        <v>61</v>
      </c>
      <c r="P1" s="2" t="s">
        <v>52</v>
      </c>
    </row>
    <row r="2" ht="15.0" customHeight="1">
      <c r="A2" s="9" t="str">
        <f>IFERROR(__xludf.DUMMYFUNCTION("IF(B2="""","""",RIGHT(regexreplace(B2&amp;"""",""[^0-9]"",""""),9))"),"778625101")</f>
        <v>778625101</v>
      </c>
      <c r="B2" s="10" t="s">
        <v>64</v>
      </c>
      <c r="C2" s="10" t="s">
        <v>66</v>
      </c>
      <c r="D2" s="10" t="s">
        <v>8</v>
      </c>
      <c r="E2" s="12" t="s">
        <v>71</v>
      </c>
      <c r="F2" s="13" t="s">
        <v>72</v>
      </c>
      <c r="G2" s="13" t="s">
        <v>73</v>
      </c>
      <c r="H2" s="12"/>
      <c r="I2" s="12" t="s">
        <v>74</v>
      </c>
      <c r="J2" s="12"/>
      <c r="K2" s="10" t="str">
        <f t="shared" ref="K2:K1000" si="1">IF(COUNTIFS($A$2:A2,A2,$L$2:L2,L2)&gt;1,"DUPLICATE - CHECK","")</f>
        <v/>
      </c>
      <c r="L2" s="14" t="s">
        <v>75</v>
      </c>
      <c r="M2" s="10" t="str">
        <f>IF(COUNTIF($A1:A$2,A)&gt;0,"Yes - see Previous F-Code","No")</f>
        <v>No</v>
      </c>
      <c r="N2" s="10" t="str">
        <f t="array" ref="N2">IF(COUNTIF($A1:A$2,A)&gt;0,INDEX($C1:C$2,MATCH(A2,$A1:A$2,0)),"")</f>
        <v/>
      </c>
      <c r="O2" s="15" t="s">
        <v>74</v>
      </c>
      <c r="P2" s="16" t="s">
        <v>76</v>
      </c>
    </row>
    <row r="3" ht="15.0" customHeight="1">
      <c r="A3" s="9" t="str">
        <f>IFERROR(__xludf.DUMMYFUNCTION("IF(B3="""","""",RIGHT(regexreplace(B3&amp;"""",""[^0-9]"",""""),9))"),"766820157")</f>
        <v>766820157</v>
      </c>
      <c r="B3" s="10" t="s">
        <v>77</v>
      </c>
      <c r="C3" s="10" t="s">
        <v>78</v>
      </c>
      <c r="D3" s="10" t="s">
        <v>63</v>
      </c>
      <c r="E3" s="12" t="s">
        <v>79</v>
      </c>
      <c r="F3" s="13" t="s">
        <v>80</v>
      </c>
      <c r="G3" s="13"/>
      <c r="H3" s="12" t="s">
        <v>81</v>
      </c>
      <c r="I3" s="12" t="s">
        <v>74</v>
      </c>
      <c r="J3" s="12"/>
      <c r="K3" s="10" t="str">
        <f t="shared" si="1"/>
        <v/>
      </c>
      <c r="L3" s="14" t="s">
        <v>75</v>
      </c>
      <c r="M3" s="10" t="str">
        <f t="shared" ref="M3:M22" si="2">IF(COUNTIF($A2:A$2,A3)&gt;0,"Yes - see Previous F-Code","No")</f>
        <v>No</v>
      </c>
      <c r="N3" s="10" t="str">
        <f t="shared" ref="N3:N4" si="3">IF(COUNTIF($A2:A$2,A3)&gt;0,INDEX($C2:C$2,MATCH(A3,$A2:A$2,0)),"")</f>
        <v/>
      </c>
      <c r="O3" s="17"/>
      <c r="P3" s="16"/>
    </row>
    <row r="4" ht="15.0" customHeight="1">
      <c r="A4" s="9" t="str">
        <f>IFERROR(__xludf.DUMMYFUNCTION("IF(B4="""","""",RIGHT(regexreplace(B4&amp;"""",""[^0-9]"",""""),9))"),"712197438")</f>
        <v>712197438</v>
      </c>
      <c r="B4" s="10" t="s">
        <v>82</v>
      </c>
      <c r="C4" s="10" t="s">
        <v>83</v>
      </c>
      <c r="D4" s="10" t="s">
        <v>62</v>
      </c>
      <c r="E4" s="12" t="s">
        <v>84</v>
      </c>
      <c r="F4" s="13" t="s">
        <v>85</v>
      </c>
      <c r="G4" s="18" t="s">
        <v>86</v>
      </c>
      <c r="H4" s="12"/>
      <c r="I4" s="12" t="s">
        <v>87</v>
      </c>
      <c r="J4" s="12" t="s">
        <v>88</v>
      </c>
      <c r="K4" s="10" t="str">
        <f t="shared" si="1"/>
        <v/>
      </c>
      <c r="L4" s="14"/>
      <c r="M4" s="10" t="str">
        <f t="shared" si="2"/>
        <v>No</v>
      </c>
      <c r="N4" s="10" t="str">
        <f t="shared" si="3"/>
        <v/>
      </c>
      <c r="O4" s="17"/>
      <c r="P4" s="19"/>
    </row>
    <row r="5" ht="15.0" customHeight="1">
      <c r="A5" s="9" t="str">
        <f>IFERROR(__xludf.DUMMYFUNCTION("IF(B5="""","""",RIGHT(regexreplace(B5&amp;"""",""[^0-9]"",""""),9))"),"716030661")</f>
        <v>716030661</v>
      </c>
      <c r="B5" s="15">
        <v>7.16030661E8</v>
      </c>
      <c r="C5" s="15" t="s">
        <v>89</v>
      </c>
      <c r="D5" s="15" t="s">
        <v>63</v>
      </c>
      <c r="E5" s="20">
        <v>46223.351065995375</v>
      </c>
      <c r="F5" s="21" t="s">
        <v>85</v>
      </c>
      <c r="G5" s="22" t="s">
        <v>90</v>
      </c>
      <c r="H5" s="21" t="s">
        <v>91</v>
      </c>
      <c r="I5" s="21"/>
      <c r="J5" s="23"/>
      <c r="K5" s="10" t="str">
        <f t="shared" si="1"/>
        <v/>
      </c>
      <c r="L5" s="24"/>
      <c r="M5" s="10" t="str">
        <f t="shared" si="2"/>
        <v>No</v>
      </c>
      <c r="N5" s="10" t="str">
        <f t="array" ref="N5">IF(COUNTIF($A$2:A4,A)&gt;0,INDEX($C$2:C4,MATCH(A5,$A$2:A4,0)),"")</f>
        <v/>
      </c>
      <c r="O5" s="17"/>
      <c r="P5" s="25" t="s">
        <v>92</v>
      </c>
    </row>
    <row r="6" ht="15.0" customHeight="1">
      <c r="A6" s="9" t="str">
        <f>IFERROR(__xludf.DUMMYFUNCTION("IF(B6="""","""",RIGHT(regexreplace(B6&amp;"""",""[^0-9]"",""""),9))"),"781833131")</f>
        <v>781833131</v>
      </c>
      <c r="B6" s="15">
        <v>7.81833131E8</v>
      </c>
      <c r="C6" s="15" t="s">
        <v>93</v>
      </c>
      <c r="D6" s="15" t="s">
        <v>63</v>
      </c>
      <c r="E6" s="20">
        <v>46223.35123208333</v>
      </c>
      <c r="F6" s="21" t="s">
        <v>72</v>
      </c>
      <c r="G6" s="22" t="s">
        <v>92</v>
      </c>
      <c r="H6" s="21"/>
      <c r="I6" s="21"/>
      <c r="J6" s="23"/>
      <c r="K6" s="10" t="str">
        <f t="shared" si="1"/>
        <v/>
      </c>
      <c r="L6" s="14"/>
      <c r="M6" s="10" t="str">
        <f t="shared" si="2"/>
        <v>No</v>
      </c>
      <c r="N6" s="10" t="str">
        <f t="shared" ref="N6:N7" si="4">IF(COUNTIF($A$2:A5,A6)&gt;0,INDEX($C$2:C5,MATCH(A6,$A$2:A5,0)),"")</f>
        <v/>
      </c>
      <c r="O6" s="17"/>
      <c r="P6" s="25"/>
    </row>
    <row r="7" ht="15.0" customHeight="1">
      <c r="A7" s="9" t="str">
        <f>IFERROR(__xludf.DUMMYFUNCTION("IF(B7="""","""",RIGHT(regexreplace(B7&amp;"""",""[^0-9]"",""""),9))"),"716030661")</f>
        <v>716030661</v>
      </c>
      <c r="B7" s="15">
        <v>7.16030661E8</v>
      </c>
      <c r="C7" s="15" t="s">
        <v>89</v>
      </c>
      <c r="D7" s="5"/>
      <c r="E7" s="20">
        <v>46223.35471478009</v>
      </c>
      <c r="F7" s="21" t="s">
        <v>94</v>
      </c>
      <c r="G7" s="26" t="s">
        <v>95</v>
      </c>
      <c r="H7" s="23"/>
      <c r="I7" s="23"/>
      <c r="J7" s="23"/>
      <c r="K7" s="10" t="str">
        <f t="shared" si="1"/>
        <v/>
      </c>
      <c r="L7" s="27"/>
      <c r="M7" s="10" t="str">
        <f t="shared" si="2"/>
        <v>Yes - see Previous F-Code</v>
      </c>
      <c r="N7" s="10" t="str">
        <f t="shared" si="4"/>
        <v>F00004</v>
      </c>
      <c r="O7" s="17"/>
      <c r="P7" s="28"/>
    </row>
    <row r="8" ht="15.0" customHeight="1">
      <c r="A8" s="9" t="str">
        <f>IFERROR(__xludf.DUMMYFUNCTION("IF(B8="""","""",RIGHT(regexreplace(B8&amp;"""",""[^0-9]"",""""),9))"),"752945180")</f>
        <v>752945180</v>
      </c>
      <c r="B8" s="15">
        <v>7.5294518E8</v>
      </c>
      <c r="C8" s="15" t="s">
        <v>96</v>
      </c>
      <c r="D8" s="15" t="s">
        <v>62</v>
      </c>
      <c r="E8" s="20">
        <v>46223.35978436343</v>
      </c>
      <c r="F8" s="21" t="s">
        <v>97</v>
      </c>
      <c r="G8" s="26"/>
      <c r="H8" s="23"/>
      <c r="I8" s="21" t="s">
        <v>74</v>
      </c>
      <c r="J8" s="23"/>
      <c r="K8" s="10" t="str">
        <f t="shared" si="1"/>
        <v/>
      </c>
      <c r="L8" s="24" t="s">
        <v>75</v>
      </c>
      <c r="M8" s="10" t="str">
        <f t="shared" si="2"/>
        <v>No</v>
      </c>
      <c r="N8" s="10" t="str">
        <f t="array" ref="N8">IF(COUNTIF($A$2:A7,A)&gt;0,INDEX($C$2:C7,MATCH(A8,$A$2:A7,0)),"")</f>
        <v/>
      </c>
      <c r="O8" s="17"/>
      <c r="P8" s="29"/>
    </row>
    <row r="9" ht="15.0" customHeight="1">
      <c r="A9" s="9" t="str">
        <f>IFERROR(__xludf.DUMMYFUNCTION("IF(B9="""","""",RIGHT(regexreplace(B9&amp;"""",""[^0-9]"",""""),9))"),"752945180")</f>
        <v>752945180</v>
      </c>
      <c r="B9" s="15">
        <v>9.475294518E10</v>
      </c>
      <c r="C9" s="15" t="s">
        <v>96</v>
      </c>
      <c r="D9" s="15" t="s">
        <v>68</v>
      </c>
      <c r="E9" s="20">
        <v>46223.36035150463</v>
      </c>
      <c r="F9" s="21" t="s">
        <v>85</v>
      </c>
      <c r="G9" s="26" t="s">
        <v>98</v>
      </c>
      <c r="H9" s="23"/>
      <c r="I9" s="23"/>
      <c r="J9" s="23"/>
      <c r="K9" s="10" t="str">
        <f t="shared" si="1"/>
        <v>DUPLICATE - CHECK</v>
      </c>
      <c r="L9" s="24" t="s">
        <v>75</v>
      </c>
      <c r="M9" s="10" t="str">
        <f t="shared" si="2"/>
        <v>Yes - see Previous F-Code</v>
      </c>
      <c r="N9" s="10" t="str">
        <f t="shared" ref="N9:N10" si="5">IF(COUNTIF($A$2:A8,A9)&gt;0,INDEX($C$2:C8,MATCH(A9,$A$2:A8,0)),"")</f>
        <v>F00006</v>
      </c>
      <c r="O9" s="17"/>
      <c r="P9" s="28"/>
    </row>
    <row r="10" ht="15.0" customHeight="1">
      <c r="A10" s="9" t="str">
        <f>IFERROR(__xludf.DUMMYFUNCTION("IF(B10="""","""",RIGHT(regexreplace(B10&amp;"""",""[^0-9]"",""""),9))"),"778625101")</f>
        <v>778625101</v>
      </c>
      <c r="B10" s="15">
        <v>7.78625101E8</v>
      </c>
      <c r="C10" s="15" t="s">
        <v>66</v>
      </c>
      <c r="D10" s="15" t="s">
        <v>63</v>
      </c>
      <c r="E10" s="20">
        <v>46223.36055262732</v>
      </c>
      <c r="F10" s="21" t="s">
        <v>85</v>
      </c>
      <c r="G10" s="26" t="s">
        <v>99</v>
      </c>
      <c r="H10" s="23"/>
      <c r="I10" s="23"/>
      <c r="J10" s="23"/>
      <c r="K10" s="10" t="str">
        <f t="shared" si="1"/>
        <v/>
      </c>
      <c r="L10" s="24" t="s">
        <v>100</v>
      </c>
      <c r="M10" s="10" t="str">
        <f t="shared" si="2"/>
        <v>Yes - see Previous F-Code</v>
      </c>
      <c r="N10" s="10" t="str">
        <f t="shared" si="5"/>
        <v>F00001</v>
      </c>
      <c r="O10" s="17"/>
      <c r="P10" s="29"/>
    </row>
    <row r="11" ht="15.0" customHeight="1">
      <c r="A11" s="9" t="str">
        <f>IFERROR(__xludf.DUMMYFUNCTION("IF(B11="""","""",RIGHT(regexreplace(B11&amp;"""",""[^0-9]"",""""),9))"),"789632546")</f>
        <v>789632546</v>
      </c>
      <c r="B11" s="15">
        <v>7.89632546E8</v>
      </c>
      <c r="C11" s="15" t="s">
        <v>101</v>
      </c>
      <c r="D11" s="5"/>
      <c r="E11" s="20">
        <v>46223.36384722222</v>
      </c>
      <c r="F11" s="23"/>
      <c r="G11" s="23"/>
      <c r="H11" s="23"/>
      <c r="I11" s="23"/>
      <c r="J11" s="23"/>
      <c r="K11" s="10" t="str">
        <f t="shared" si="1"/>
        <v/>
      </c>
      <c r="L11" s="24"/>
      <c r="M11" s="10" t="str">
        <f t="shared" si="2"/>
        <v>No</v>
      </c>
      <c r="N11" s="10" t="str">
        <f t="array" ref="N11">IF(COUNTIF($A$2:A10,A)&gt;0,INDEX($C$2:C10,MATCH(A11,$A$2:A10,0)),"")</f>
        <v/>
      </c>
      <c r="O11" s="17"/>
      <c r="P11" s="29"/>
    </row>
    <row r="12" ht="15.0" customHeight="1">
      <c r="A12" s="9" t="str">
        <f>IFERROR(__xludf.DUMMYFUNCTION("IF(B12="""","""",RIGHT(regexreplace(B12&amp;"""",""[^0-9]"",""""),9))"),"")</f>
        <v/>
      </c>
      <c r="B12" s="15"/>
      <c r="C12" s="15"/>
      <c r="D12" s="15"/>
      <c r="E12" s="20"/>
      <c r="F12" s="23"/>
      <c r="G12" s="23"/>
      <c r="H12" s="23"/>
      <c r="I12" s="23"/>
      <c r="J12" s="23"/>
      <c r="K12" s="10" t="str">
        <f t="shared" si="1"/>
        <v/>
      </c>
      <c r="L12" s="27"/>
      <c r="M12" s="10" t="str">
        <f t="shared" si="2"/>
        <v>No</v>
      </c>
      <c r="N12" s="10" t="str">
        <f t="shared" ref="N12:N13" si="6">IF(COUNTIF($A$2:A11,A12)&gt;0,INDEX($C$2:C11,MATCH(A12,$A$2:A11,0)),"")</f>
        <v/>
      </c>
      <c r="O12" s="17"/>
      <c r="P12" s="29"/>
    </row>
    <row r="13" ht="15.0" customHeight="1">
      <c r="A13" s="9" t="str">
        <f>IFERROR(__xludf.DUMMYFUNCTION("IF(B13="""","""",RIGHT(regexreplace(B13&amp;"""",""[^0-9]"",""""),9))"),"")</f>
        <v/>
      </c>
      <c r="B13" s="15"/>
      <c r="C13" s="15"/>
      <c r="D13" s="15"/>
      <c r="E13" s="20"/>
      <c r="F13" s="21"/>
      <c r="G13" s="23"/>
      <c r="H13" s="23"/>
      <c r="I13" s="23"/>
      <c r="J13" s="23"/>
      <c r="K13" s="10" t="str">
        <f t="shared" si="1"/>
        <v/>
      </c>
      <c r="L13" s="27"/>
      <c r="M13" s="10" t="str">
        <f t="shared" si="2"/>
        <v>Yes - see Previous F-Code</v>
      </c>
      <c r="N13" s="10" t="str">
        <f t="shared" si="6"/>
        <v/>
      </c>
      <c r="O13" s="17"/>
      <c r="P13" s="29"/>
    </row>
    <row r="14" ht="15.0" customHeight="1">
      <c r="A14" s="9" t="str">
        <f>IFERROR(__xludf.DUMMYFUNCTION("IF(B14="""","""",RIGHT(regexreplace(B14&amp;"""",""[^0-9]"",""""),9))"),"")</f>
        <v/>
      </c>
      <c r="B14" s="15"/>
      <c r="C14" s="15"/>
      <c r="D14" s="5"/>
      <c r="E14" s="20"/>
      <c r="F14" s="23"/>
      <c r="G14" s="23"/>
      <c r="H14" s="23"/>
      <c r="I14" s="23"/>
      <c r="J14" s="23"/>
      <c r="K14" s="10" t="str">
        <f t="shared" si="1"/>
        <v/>
      </c>
      <c r="L14" s="27"/>
      <c r="M14" s="10" t="str">
        <f t="shared" si="2"/>
        <v>Yes - see Previous F-Code</v>
      </c>
      <c r="N14" s="10" t="str">
        <f t="array" ref="N14">IF(COUNTIF($A$2:A13,A)&gt;0,INDEX($C$2:C13,MATCH(A14,$A$2:A13,0)),"")</f>
        <v/>
      </c>
      <c r="O14" s="17"/>
      <c r="P14" s="29"/>
    </row>
    <row r="15" ht="15.0" customHeight="1">
      <c r="A15" s="9" t="str">
        <f>IFERROR(__xludf.DUMMYFUNCTION("IF(B15="""","""",RIGHT(regexreplace(B15&amp;"""",""[^0-9]"",""""),9))"),"")</f>
        <v/>
      </c>
      <c r="B15" s="15"/>
      <c r="C15" s="5"/>
      <c r="D15" s="5"/>
      <c r="E15" s="23"/>
      <c r="F15" s="23"/>
      <c r="G15" s="23"/>
      <c r="H15" s="23"/>
      <c r="I15" s="23"/>
      <c r="J15" s="23"/>
      <c r="K15" s="10" t="str">
        <f t="shared" si="1"/>
        <v/>
      </c>
      <c r="L15" s="27"/>
      <c r="M15" s="10" t="str">
        <f t="shared" si="2"/>
        <v>Yes - see Previous F-Code</v>
      </c>
      <c r="N15" s="10" t="str">
        <f t="shared" ref="N15:N16" si="7">IF(COUNTIF($A$2:A14,A15)&gt;0,INDEX($C$2:C14,MATCH(A15,$A$2:A14,0)),"")</f>
        <v/>
      </c>
      <c r="O15" s="17"/>
      <c r="P15" s="29"/>
    </row>
    <row r="16" ht="15.0" customHeight="1">
      <c r="A16" s="9" t="str">
        <f>IFERROR(__xludf.DUMMYFUNCTION("IF(B16="""","""",RIGHT(regexreplace(B16&amp;"""",""[^0-9]"",""""),9))"),"")</f>
        <v/>
      </c>
      <c r="B16" s="15"/>
      <c r="C16" s="15"/>
      <c r="D16" s="5"/>
      <c r="E16" s="20"/>
      <c r="F16" s="23"/>
      <c r="G16" s="23"/>
      <c r="H16" s="23"/>
      <c r="I16" s="23"/>
      <c r="J16" s="23"/>
      <c r="K16" s="10" t="str">
        <f t="shared" si="1"/>
        <v/>
      </c>
      <c r="L16" s="27"/>
      <c r="M16" s="10" t="str">
        <f t="shared" si="2"/>
        <v>Yes - see Previous F-Code</v>
      </c>
      <c r="N16" s="10" t="str">
        <f t="shared" si="7"/>
        <v/>
      </c>
      <c r="O16" s="17"/>
      <c r="P16" s="29"/>
    </row>
    <row r="17" ht="15.0" customHeight="1">
      <c r="A17" s="9" t="str">
        <f>IFERROR(__xludf.DUMMYFUNCTION("IF(B17="""","""",RIGHT(regexreplace(B17&amp;"""",""[^0-9]"",""""),9))"),"")</f>
        <v/>
      </c>
      <c r="B17" s="5"/>
      <c r="C17" s="5"/>
      <c r="D17" s="5"/>
      <c r="E17" s="23"/>
      <c r="F17" s="23"/>
      <c r="G17" s="23"/>
      <c r="H17" s="23"/>
      <c r="I17" s="23"/>
      <c r="J17" s="23"/>
      <c r="K17" s="10" t="str">
        <f t="shared" si="1"/>
        <v/>
      </c>
      <c r="L17" s="27"/>
      <c r="M17" s="10" t="str">
        <f t="shared" si="2"/>
        <v>Yes - see Previous F-Code</v>
      </c>
      <c r="N17" s="10" t="str">
        <f t="array" ref="N17">IF(COUNTIF($A$2:A16,A)&gt;0,INDEX($C$2:C16,MATCH(A17,$A$2:A16,0)),"")</f>
        <v/>
      </c>
      <c r="O17" s="17"/>
      <c r="P17" s="29"/>
    </row>
    <row r="18" ht="15.0" customHeight="1">
      <c r="A18" s="9" t="str">
        <f>IFERROR(__xludf.DUMMYFUNCTION("IF(B18="""","""",RIGHT(regexreplace(B18&amp;"""",""[^0-9]"",""""),9))"),"")</f>
        <v/>
      </c>
      <c r="B18" s="5"/>
      <c r="C18" s="5"/>
      <c r="D18" s="5"/>
      <c r="E18" s="23"/>
      <c r="F18" s="23"/>
      <c r="G18" s="23"/>
      <c r="H18" s="23"/>
      <c r="I18" s="23"/>
      <c r="J18" s="23"/>
      <c r="K18" s="10" t="str">
        <f t="shared" si="1"/>
        <v/>
      </c>
      <c r="L18" s="27"/>
      <c r="M18" s="10" t="str">
        <f t="shared" si="2"/>
        <v>Yes - see Previous F-Code</v>
      </c>
      <c r="N18" s="10" t="str">
        <f t="shared" ref="N18:N19" si="8">IF(COUNTIF($A$2:A17,A18)&gt;0,INDEX($C$2:C17,MATCH(A18,$A$2:A17,0)),"")</f>
        <v/>
      </c>
      <c r="O18" s="17"/>
      <c r="P18" s="29"/>
    </row>
    <row r="19" ht="15.0" customHeight="1">
      <c r="A19" s="9" t="str">
        <f>IFERROR(__xludf.DUMMYFUNCTION("IF(B19="""","""",RIGHT(regexreplace(B19&amp;"""",""[^0-9]"",""""),9))"),"")</f>
        <v/>
      </c>
      <c r="B19" s="5"/>
      <c r="C19" s="5"/>
      <c r="D19" s="5"/>
      <c r="E19" s="23"/>
      <c r="F19" s="23"/>
      <c r="G19" s="23"/>
      <c r="H19" s="23"/>
      <c r="I19" s="23"/>
      <c r="J19" s="23"/>
      <c r="K19" s="10" t="str">
        <f t="shared" si="1"/>
        <v/>
      </c>
      <c r="L19" s="27"/>
      <c r="M19" s="10" t="str">
        <f t="shared" si="2"/>
        <v>Yes - see Previous F-Code</v>
      </c>
      <c r="N19" s="10" t="str">
        <f t="shared" si="8"/>
        <v/>
      </c>
      <c r="O19" s="17"/>
      <c r="P19" s="29"/>
    </row>
    <row r="20" ht="15.0" customHeight="1">
      <c r="A20" s="9" t="str">
        <f>IFERROR(__xludf.DUMMYFUNCTION("IF(B20="""","""",RIGHT(regexreplace(B20&amp;"""",""[^0-9]"",""""),9))"),"")</f>
        <v/>
      </c>
      <c r="B20" s="5"/>
      <c r="C20" s="5"/>
      <c r="D20" s="5"/>
      <c r="E20" s="23"/>
      <c r="F20" s="23"/>
      <c r="G20" s="23"/>
      <c r="H20" s="23"/>
      <c r="I20" s="23"/>
      <c r="J20" s="23"/>
      <c r="K20" s="10" t="str">
        <f t="shared" si="1"/>
        <v/>
      </c>
      <c r="L20" s="27"/>
      <c r="M20" s="10" t="str">
        <f t="shared" si="2"/>
        <v>Yes - see Previous F-Code</v>
      </c>
      <c r="N20" s="10" t="str">
        <f t="array" ref="N20">IF(COUNTIF($A$2:A19,A)&gt;0,INDEX($C$2:C19,MATCH(A20,$A$2:A19,0)),"")</f>
        <v/>
      </c>
      <c r="O20" s="17"/>
      <c r="P20" s="29"/>
    </row>
    <row r="21" ht="15.0" customHeight="1">
      <c r="A21" s="9" t="str">
        <f>IFERROR(__xludf.DUMMYFUNCTION("IF(B21="""","""",RIGHT(regexreplace(B21&amp;"""",""[^0-9]"",""""),9))"),"")</f>
        <v/>
      </c>
      <c r="B21" s="5"/>
      <c r="C21" s="5"/>
      <c r="D21" s="5"/>
      <c r="E21" s="23"/>
      <c r="F21" s="23"/>
      <c r="G21" s="23"/>
      <c r="H21" s="23"/>
      <c r="I21" s="23"/>
      <c r="J21" s="23"/>
      <c r="K21" s="10" t="str">
        <f t="shared" si="1"/>
        <v/>
      </c>
      <c r="L21" s="27"/>
      <c r="M21" s="10" t="str">
        <f t="shared" si="2"/>
        <v>Yes - see Previous F-Code</v>
      </c>
      <c r="N21" s="10" t="str">
        <f t="shared" ref="N21:N22" si="9">IF(COUNTIF($A$2:A20,A21)&gt;0,INDEX($C$2:C20,MATCH(A21,$A$2:A20,0)),"")</f>
        <v/>
      </c>
      <c r="O21" s="17"/>
      <c r="P21" s="29"/>
    </row>
    <row r="22" ht="15.0" customHeight="1">
      <c r="A22" s="9" t="str">
        <f>IFERROR(__xludf.DUMMYFUNCTION("IF(B22="""","""",RIGHT(regexreplace(B22&amp;"""",""[^0-9]"",""""),9))"),"")</f>
        <v/>
      </c>
      <c r="B22" s="5"/>
      <c r="C22" s="5"/>
      <c r="D22" s="5"/>
      <c r="E22" s="23"/>
      <c r="F22" s="23"/>
      <c r="G22" s="23"/>
      <c r="H22" s="23"/>
      <c r="I22" s="23"/>
      <c r="J22" s="23"/>
      <c r="K22" s="10" t="str">
        <f t="shared" si="1"/>
        <v/>
      </c>
      <c r="L22" s="27"/>
      <c r="M22" s="10" t="str">
        <f t="shared" si="2"/>
        <v>Yes - see Previous F-Code</v>
      </c>
      <c r="N22" s="10" t="str">
        <f t="shared" si="9"/>
        <v/>
      </c>
      <c r="O22" s="17"/>
      <c r="P22" s="29"/>
    </row>
    <row r="23" ht="15.0" customHeight="1">
      <c r="A23" s="9" t="str">
        <f>IFERROR(__xludf.DUMMYFUNCTION("IF(B23="""","""",RIGHT(regexreplace(B23&amp;"""",""[^0-9]"",""""),9))"),"")</f>
        <v/>
      </c>
      <c r="B23" s="5"/>
      <c r="C23" s="5"/>
      <c r="D23" s="5"/>
      <c r="E23" s="23"/>
      <c r="F23" s="23"/>
      <c r="G23" s="23"/>
      <c r="H23" s="23"/>
      <c r="I23" s="23"/>
      <c r="J23" s="23"/>
      <c r="K23" s="10" t="str">
        <f t="shared" si="1"/>
        <v/>
      </c>
      <c r="L23" s="27"/>
      <c r="M23" s="27"/>
      <c r="N23" s="10" t="str">
        <f t="array" ref="N23">IF(COUNTIF($A$2:A22,A)&gt;0,INDEX($C$2:C22,MATCH(A23,$A$2:A22,0)),"")</f>
        <v/>
      </c>
      <c r="O23" s="17"/>
      <c r="P23" s="29"/>
    </row>
    <row r="24" ht="15.0" customHeight="1">
      <c r="A24" s="9" t="str">
        <f>IFERROR(__xludf.DUMMYFUNCTION("IF(B24="""","""",RIGHT(regexreplace(B24&amp;"""",""[^0-9]"",""""),9))"),"")</f>
        <v/>
      </c>
      <c r="B24" s="5"/>
      <c r="C24" s="5"/>
      <c r="D24" s="5"/>
      <c r="E24" s="23"/>
      <c r="F24" s="23"/>
      <c r="G24" s="23"/>
      <c r="H24" s="23"/>
      <c r="I24" s="23"/>
      <c r="J24" s="23"/>
      <c r="K24" s="10" t="str">
        <f t="shared" si="1"/>
        <v/>
      </c>
      <c r="L24" s="27"/>
      <c r="M24" s="27"/>
      <c r="N24" s="10" t="str">
        <f t="shared" ref="N24:N25" si="10">IF(COUNTIF($A$2:A23,A24)&gt;0,INDEX($C$2:C23,MATCH(A24,$A$2:A23,0)),"")</f>
        <v/>
      </c>
      <c r="O24" s="17"/>
      <c r="P24" s="29"/>
    </row>
    <row r="25" ht="15.0" customHeight="1">
      <c r="A25" s="9" t="str">
        <f>IFERROR(__xludf.DUMMYFUNCTION("IF(B25="""","""",RIGHT(regexreplace(B25&amp;"""",""[^0-9]"",""""),9))"),"")</f>
        <v/>
      </c>
      <c r="B25" s="5"/>
      <c r="C25" s="5"/>
      <c r="D25" s="5"/>
      <c r="E25" s="23"/>
      <c r="F25" s="23"/>
      <c r="G25" s="23"/>
      <c r="H25" s="23"/>
      <c r="I25" s="23"/>
      <c r="J25" s="23"/>
      <c r="K25" s="10" t="str">
        <f t="shared" si="1"/>
        <v/>
      </c>
      <c r="L25" s="27"/>
      <c r="M25" s="27"/>
      <c r="N25" s="10" t="str">
        <f t="shared" si="10"/>
        <v/>
      </c>
      <c r="O25" s="17"/>
      <c r="P25" s="29"/>
    </row>
    <row r="26" ht="15.0" customHeight="1">
      <c r="A26" s="9" t="str">
        <f>IFERROR(__xludf.DUMMYFUNCTION("IF(B26="""","""",RIGHT(regexreplace(B26&amp;"""",""[^0-9]"",""""),9))"),"")</f>
        <v/>
      </c>
      <c r="B26" s="5"/>
      <c r="C26" s="5"/>
      <c r="D26" s="5"/>
      <c r="E26" s="23"/>
      <c r="F26" s="23"/>
      <c r="G26" s="23"/>
      <c r="H26" s="23"/>
      <c r="I26" s="23"/>
      <c r="J26" s="23"/>
      <c r="K26" s="10" t="str">
        <f t="shared" si="1"/>
        <v/>
      </c>
      <c r="L26" s="27"/>
      <c r="M26" s="27"/>
      <c r="N26" s="10" t="str">
        <f t="array" ref="N26">IF(COUNTIF($A$2:A25,A)&gt;0,INDEX($C$2:C25,MATCH(A26,$A$2:A25,0)),"")</f>
        <v/>
      </c>
      <c r="O26" s="17"/>
      <c r="P26" s="29"/>
    </row>
    <row r="27" ht="15.0" customHeight="1">
      <c r="A27" s="9" t="str">
        <f>IFERROR(__xludf.DUMMYFUNCTION("IF(B27="""","""",RIGHT(regexreplace(B27&amp;"""",""[^0-9]"",""""),9))"),"")</f>
        <v/>
      </c>
      <c r="B27" s="5"/>
      <c r="C27" s="5"/>
      <c r="D27" s="5"/>
      <c r="E27" s="23"/>
      <c r="F27" s="23"/>
      <c r="G27" s="23"/>
      <c r="H27" s="23"/>
      <c r="I27" s="23"/>
      <c r="J27" s="23"/>
      <c r="K27" s="10" t="str">
        <f t="shared" si="1"/>
        <v/>
      </c>
      <c r="L27" s="27"/>
      <c r="M27" s="27"/>
      <c r="N27" s="10" t="str">
        <f t="shared" ref="N27:N28" si="11">IF(COUNTIF($A$2:A26,A27)&gt;0,INDEX($C$2:C26,MATCH(A27,$A$2:A26,0)),"")</f>
        <v/>
      </c>
      <c r="O27" s="17"/>
      <c r="P27" s="29"/>
    </row>
    <row r="28" ht="15.0" customHeight="1">
      <c r="A28" s="9" t="str">
        <f>IFERROR(__xludf.DUMMYFUNCTION("IF(B28="""","""",RIGHT(regexreplace(B28&amp;"""",""[^0-9]"",""""),9))"),"")</f>
        <v/>
      </c>
      <c r="B28" s="5"/>
      <c r="C28" s="5"/>
      <c r="D28" s="5"/>
      <c r="E28" s="23"/>
      <c r="F28" s="23"/>
      <c r="G28" s="23"/>
      <c r="H28" s="23"/>
      <c r="I28" s="23"/>
      <c r="J28" s="23"/>
      <c r="K28" s="10" t="str">
        <f t="shared" si="1"/>
        <v/>
      </c>
      <c r="L28" s="27"/>
      <c r="M28" s="27"/>
      <c r="N28" s="10" t="str">
        <f t="shared" si="11"/>
        <v/>
      </c>
      <c r="O28" s="17"/>
      <c r="P28" s="29"/>
    </row>
    <row r="29" ht="15.0" customHeight="1">
      <c r="A29" s="9" t="str">
        <f>IFERROR(__xludf.DUMMYFUNCTION("IF(B29="""","""",RIGHT(regexreplace(B29&amp;"""",""[^0-9]"",""""),9))"),"")</f>
        <v/>
      </c>
      <c r="B29" s="5"/>
      <c r="C29" s="5"/>
      <c r="D29" s="5"/>
      <c r="E29" s="23"/>
      <c r="F29" s="23"/>
      <c r="G29" s="23"/>
      <c r="H29" s="23"/>
      <c r="I29" s="23"/>
      <c r="J29" s="23"/>
      <c r="K29" s="10" t="str">
        <f t="shared" si="1"/>
        <v/>
      </c>
      <c r="L29" s="27"/>
      <c r="M29" s="27"/>
      <c r="N29" s="10" t="str">
        <f t="array" ref="N29">IF(COUNTIF($A$2:A28,A)&gt;0,INDEX($C$2:C28,MATCH(A29,$A$2:A28,0)),"")</f>
        <v/>
      </c>
      <c r="O29" s="17"/>
      <c r="P29" s="29"/>
    </row>
    <row r="30" ht="15.0" customHeight="1">
      <c r="A30" s="9" t="str">
        <f>IFERROR(__xludf.DUMMYFUNCTION("IF(B30="""","""",RIGHT(regexreplace(B30&amp;"""",""[^0-9]"",""""),9))"),"")</f>
        <v/>
      </c>
      <c r="B30" s="5"/>
      <c r="C30" s="5"/>
      <c r="D30" s="5"/>
      <c r="E30" s="23"/>
      <c r="F30" s="23"/>
      <c r="G30" s="23"/>
      <c r="H30" s="23"/>
      <c r="I30" s="23"/>
      <c r="J30" s="23"/>
      <c r="K30" s="10" t="str">
        <f t="shared" si="1"/>
        <v/>
      </c>
      <c r="L30" s="27"/>
      <c r="M30" s="27"/>
      <c r="N30" s="10" t="str">
        <f t="shared" ref="N30:N31" si="12">IF(COUNTIF($A$2:A29,A30)&gt;0,INDEX($C$2:C29,MATCH(A30,$A$2:A29,0)),"")</f>
        <v/>
      </c>
      <c r="O30" s="17"/>
      <c r="P30" s="29"/>
    </row>
    <row r="31" ht="15.0" customHeight="1">
      <c r="A31" s="9" t="str">
        <f>IFERROR(__xludf.DUMMYFUNCTION("IF(B31="""","""",RIGHT(regexreplace(B31&amp;"""",""[^0-9]"",""""),9))"),"")</f>
        <v/>
      </c>
      <c r="B31" s="5"/>
      <c r="C31" s="5"/>
      <c r="D31" s="5"/>
      <c r="E31" s="23"/>
      <c r="F31" s="23"/>
      <c r="G31" s="23"/>
      <c r="H31" s="23"/>
      <c r="I31" s="23"/>
      <c r="J31" s="23"/>
      <c r="K31" s="10" t="str">
        <f t="shared" si="1"/>
        <v/>
      </c>
      <c r="L31" s="27"/>
      <c r="M31" s="27"/>
      <c r="N31" s="10" t="str">
        <f t="shared" si="12"/>
        <v/>
      </c>
      <c r="O31" s="17"/>
      <c r="P31" s="29"/>
    </row>
    <row r="32" ht="15.0" customHeight="1">
      <c r="A32" s="9" t="str">
        <f>IFERROR(__xludf.DUMMYFUNCTION("IF(B32="""","""",RIGHT(regexreplace(B32&amp;"""",""[^0-9]"",""""),9))"),"")</f>
        <v/>
      </c>
      <c r="B32" s="5"/>
      <c r="C32" s="5"/>
      <c r="D32" s="5"/>
      <c r="E32" s="23"/>
      <c r="F32" s="23"/>
      <c r="G32" s="23"/>
      <c r="H32" s="23"/>
      <c r="I32" s="23"/>
      <c r="J32" s="23"/>
      <c r="K32" s="10" t="str">
        <f t="shared" si="1"/>
        <v/>
      </c>
      <c r="L32" s="27"/>
      <c r="M32" s="27"/>
      <c r="N32" s="10" t="str">
        <f t="array" ref="N32">IF(COUNTIF($A$2:A31,A)&gt;0,INDEX($C$2:C31,MATCH(A32,$A$2:A31,0)),"")</f>
        <v/>
      </c>
      <c r="O32" s="17"/>
      <c r="P32" s="29"/>
    </row>
    <row r="33" ht="15.0" customHeight="1">
      <c r="A33" s="9" t="str">
        <f>IFERROR(__xludf.DUMMYFUNCTION("IF(B33="""","""",RIGHT(regexreplace(B33&amp;"""",""[^0-9]"",""""),9))"),"")</f>
        <v/>
      </c>
      <c r="B33" s="5"/>
      <c r="C33" s="5"/>
      <c r="D33" s="5"/>
      <c r="E33" s="23"/>
      <c r="F33" s="23"/>
      <c r="G33" s="23"/>
      <c r="H33" s="23"/>
      <c r="I33" s="23"/>
      <c r="J33" s="23"/>
      <c r="K33" s="10" t="str">
        <f t="shared" si="1"/>
        <v/>
      </c>
      <c r="L33" s="27"/>
      <c r="M33" s="27"/>
      <c r="N33" s="10" t="str">
        <f t="shared" ref="N33:N34" si="13">IF(COUNTIF($A$2:A32,A33)&gt;0,INDEX($C$2:C32,MATCH(A33,$A$2:A32,0)),"")</f>
        <v/>
      </c>
      <c r="O33" s="17"/>
      <c r="P33" s="29"/>
    </row>
    <row r="34" ht="15.0" customHeight="1">
      <c r="A34" s="9" t="str">
        <f>IFERROR(__xludf.DUMMYFUNCTION("IF(B34="""","""",RIGHT(regexreplace(B34&amp;"""",""[^0-9]"",""""),9))"),"")</f>
        <v/>
      </c>
      <c r="B34" s="5"/>
      <c r="C34" s="5"/>
      <c r="D34" s="5"/>
      <c r="E34" s="23"/>
      <c r="F34" s="23"/>
      <c r="G34" s="23"/>
      <c r="H34" s="23"/>
      <c r="I34" s="23"/>
      <c r="J34" s="23"/>
      <c r="K34" s="10" t="str">
        <f t="shared" si="1"/>
        <v/>
      </c>
      <c r="L34" s="27"/>
      <c r="M34" s="27"/>
      <c r="N34" s="10" t="str">
        <f t="shared" si="13"/>
        <v/>
      </c>
      <c r="O34" s="17"/>
      <c r="P34" s="29"/>
    </row>
    <row r="35" ht="15.0" customHeight="1">
      <c r="A35" s="9" t="str">
        <f>IFERROR(__xludf.DUMMYFUNCTION("IF(B35="""","""",RIGHT(regexreplace(B35&amp;"""",""[^0-9]"",""""),9))"),"")</f>
        <v/>
      </c>
      <c r="B35" s="5"/>
      <c r="C35" s="5"/>
      <c r="D35" s="5"/>
      <c r="E35" s="23"/>
      <c r="F35" s="23"/>
      <c r="G35" s="23"/>
      <c r="H35" s="23"/>
      <c r="I35" s="23"/>
      <c r="J35" s="23"/>
      <c r="K35" s="10" t="str">
        <f t="shared" si="1"/>
        <v/>
      </c>
      <c r="L35" s="27"/>
      <c r="M35" s="27"/>
      <c r="N35" s="10" t="str">
        <f t="array" ref="N35">IF(COUNTIF($A$2:A34,A)&gt;0,INDEX($C$2:C34,MATCH(A35,$A$2:A34,0)),"")</f>
        <v/>
      </c>
      <c r="O35" s="17"/>
      <c r="P35" s="29"/>
    </row>
    <row r="36" ht="15.0" customHeight="1">
      <c r="A36" s="9" t="str">
        <f>IFERROR(__xludf.DUMMYFUNCTION("IF(B36="""","""",RIGHT(regexreplace(B36&amp;"""",""[^0-9]"",""""),9))"),"")</f>
        <v/>
      </c>
      <c r="B36" s="5"/>
      <c r="C36" s="5"/>
      <c r="D36" s="5"/>
      <c r="E36" s="23"/>
      <c r="F36" s="23"/>
      <c r="G36" s="23"/>
      <c r="H36" s="23"/>
      <c r="I36" s="23"/>
      <c r="J36" s="23"/>
      <c r="K36" s="10" t="str">
        <f t="shared" si="1"/>
        <v/>
      </c>
      <c r="L36" s="27"/>
      <c r="M36" s="27"/>
      <c r="N36" s="10" t="str">
        <f t="shared" ref="N36:N37" si="14">IF(COUNTIF($A$2:A35,A36)&gt;0,INDEX($C$2:C35,MATCH(A36,$A$2:A35,0)),"")</f>
        <v/>
      </c>
      <c r="O36" s="17"/>
      <c r="P36" s="29"/>
    </row>
    <row r="37" ht="15.0" customHeight="1">
      <c r="A37" s="9" t="str">
        <f>IFERROR(__xludf.DUMMYFUNCTION("IF(B37="""","""",RIGHT(regexreplace(B37&amp;"""",""[^0-9]"",""""),9))"),"")</f>
        <v/>
      </c>
      <c r="B37" s="5"/>
      <c r="C37" s="5"/>
      <c r="D37" s="5"/>
      <c r="E37" s="23"/>
      <c r="F37" s="23"/>
      <c r="G37" s="23"/>
      <c r="H37" s="23"/>
      <c r="I37" s="23"/>
      <c r="J37" s="23"/>
      <c r="K37" s="10" t="str">
        <f t="shared" si="1"/>
        <v/>
      </c>
      <c r="L37" s="27"/>
      <c r="M37" s="27"/>
      <c r="N37" s="10" t="str">
        <f t="shared" si="14"/>
        <v/>
      </c>
      <c r="O37" s="17"/>
      <c r="P37" s="29"/>
    </row>
    <row r="38" ht="15.0" customHeight="1">
      <c r="A38" s="9" t="str">
        <f>IFERROR(__xludf.DUMMYFUNCTION("IF(B38="""","""",RIGHT(regexreplace(B38&amp;"""",""[^0-9]"",""""),9))"),"")</f>
        <v/>
      </c>
      <c r="B38" s="5"/>
      <c r="C38" s="5"/>
      <c r="D38" s="5"/>
      <c r="E38" s="23"/>
      <c r="F38" s="23"/>
      <c r="G38" s="23"/>
      <c r="H38" s="23"/>
      <c r="I38" s="23"/>
      <c r="J38" s="23"/>
      <c r="K38" s="10" t="str">
        <f t="shared" si="1"/>
        <v/>
      </c>
      <c r="L38" s="27"/>
      <c r="M38" s="27"/>
      <c r="N38" s="10" t="str">
        <f t="array" ref="N38">IF(COUNTIF($A$2:A37,A)&gt;0,INDEX($C$2:C37,MATCH(A38,$A$2:A37,0)),"")</f>
        <v/>
      </c>
      <c r="O38" s="17"/>
      <c r="P38" s="29"/>
    </row>
    <row r="39" ht="15.0" customHeight="1">
      <c r="A39" s="9" t="str">
        <f>IFERROR(__xludf.DUMMYFUNCTION("IF(B39="""","""",RIGHT(regexreplace(B39&amp;"""",""[^0-9]"",""""),9))"),"")</f>
        <v/>
      </c>
      <c r="B39" s="5"/>
      <c r="C39" s="5"/>
      <c r="D39" s="5"/>
      <c r="E39" s="23"/>
      <c r="F39" s="23"/>
      <c r="G39" s="23"/>
      <c r="H39" s="23"/>
      <c r="I39" s="23"/>
      <c r="J39" s="23"/>
      <c r="K39" s="10" t="str">
        <f t="shared" si="1"/>
        <v/>
      </c>
      <c r="L39" s="27"/>
      <c r="M39" s="27"/>
      <c r="N39" s="10" t="str">
        <f t="shared" ref="N39:N40" si="15">IF(COUNTIF($A$2:A38,A39)&gt;0,INDEX($C$2:C38,MATCH(A39,$A$2:A38,0)),"")</f>
        <v/>
      </c>
      <c r="O39" s="17"/>
      <c r="P39" s="29"/>
    </row>
    <row r="40" ht="15.0" customHeight="1">
      <c r="A40" s="9" t="str">
        <f>IFERROR(__xludf.DUMMYFUNCTION("IF(B40="""","""",RIGHT(regexreplace(B40&amp;"""",""[^0-9]"",""""),9))"),"")</f>
        <v/>
      </c>
      <c r="B40" s="5"/>
      <c r="C40" s="5"/>
      <c r="D40" s="5"/>
      <c r="E40" s="23"/>
      <c r="F40" s="23"/>
      <c r="G40" s="23"/>
      <c r="H40" s="23"/>
      <c r="I40" s="23"/>
      <c r="J40" s="23"/>
      <c r="K40" s="10" t="str">
        <f t="shared" si="1"/>
        <v/>
      </c>
      <c r="L40" s="27"/>
      <c r="M40" s="27"/>
      <c r="N40" s="10" t="str">
        <f t="shared" si="15"/>
        <v/>
      </c>
      <c r="O40" s="17"/>
      <c r="P40" s="29"/>
    </row>
    <row r="41" ht="15.0" customHeight="1">
      <c r="A41" s="9" t="str">
        <f>IFERROR(__xludf.DUMMYFUNCTION("IF(B41="""","""",RIGHT(regexreplace(B41&amp;"""",""[^0-9]"",""""),9))"),"")</f>
        <v/>
      </c>
      <c r="B41" s="5"/>
      <c r="C41" s="5"/>
      <c r="D41" s="5"/>
      <c r="E41" s="23"/>
      <c r="F41" s="23"/>
      <c r="G41" s="23"/>
      <c r="H41" s="23"/>
      <c r="I41" s="23"/>
      <c r="J41" s="23"/>
      <c r="K41" s="10" t="str">
        <f t="shared" si="1"/>
        <v/>
      </c>
      <c r="L41" s="27"/>
      <c r="M41" s="27"/>
      <c r="N41" s="10" t="str">
        <f t="array" ref="N41">IF(COUNTIF($A$2:A40,A)&gt;0,INDEX($C$2:C40,MATCH(A41,$A$2:A40,0)),"")</f>
        <v/>
      </c>
      <c r="O41" s="17"/>
      <c r="P41" s="29"/>
    </row>
    <row r="42" ht="15.0" customHeight="1">
      <c r="A42" s="9" t="str">
        <f>IFERROR(__xludf.DUMMYFUNCTION("IF(B42="""","""",RIGHT(regexreplace(B42&amp;"""",""[^0-9]"",""""),9))"),"")</f>
        <v/>
      </c>
      <c r="B42" s="5"/>
      <c r="C42" s="5"/>
      <c r="D42" s="5"/>
      <c r="E42" s="23"/>
      <c r="F42" s="23"/>
      <c r="G42" s="23"/>
      <c r="H42" s="23"/>
      <c r="I42" s="23"/>
      <c r="J42" s="23"/>
      <c r="K42" s="10" t="str">
        <f t="shared" si="1"/>
        <v/>
      </c>
      <c r="L42" s="27"/>
      <c r="M42" s="27"/>
      <c r="N42" s="10" t="str">
        <f t="shared" ref="N42:N43" si="16">IF(COUNTIF($A$2:A41,A42)&gt;0,INDEX($C$2:C41,MATCH(A42,$A$2:A41,0)),"")</f>
        <v/>
      </c>
      <c r="O42" s="17"/>
      <c r="P42" s="29"/>
    </row>
    <row r="43" ht="15.0" customHeight="1">
      <c r="A43" s="9" t="str">
        <f>IFERROR(__xludf.DUMMYFUNCTION("IF(B43="""","""",RIGHT(regexreplace(B43&amp;"""",""[^0-9]"",""""),9))"),"")</f>
        <v/>
      </c>
      <c r="B43" s="5"/>
      <c r="C43" s="5"/>
      <c r="D43" s="5"/>
      <c r="E43" s="23"/>
      <c r="F43" s="23"/>
      <c r="G43" s="23"/>
      <c r="H43" s="23"/>
      <c r="I43" s="23"/>
      <c r="J43" s="23"/>
      <c r="K43" s="10" t="str">
        <f t="shared" si="1"/>
        <v/>
      </c>
      <c r="L43" s="27"/>
      <c r="M43" s="27"/>
      <c r="N43" s="10" t="str">
        <f t="shared" si="16"/>
        <v/>
      </c>
      <c r="O43" s="17"/>
      <c r="P43" s="29"/>
    </row>
    <row r="44" ht="15.0" customHeight="1">
      <c r="A44" s="9" t="str">
        <f>IFERROR(__xludf.DUMMYFUNCTION("IF(B44="""","""",RIGHT(regexreplace(B44&amp;"""",""[^0-9]"",""""),9))"),"")</f>
        <v/>
      </c>
      <c r="B44" s="5"/>
      <c r="C44" s="5"/>
      <c r="D44" s="5"/>
      <c r="E44" s="23"/>
      <c r="F44" s="23"/>
      <c r="G44" s="23"/>
      <c r="H44" s="23"/>
      <c r="I44" s="23"/>
      <c r="J44" s="23"/>
      <c r="K44" s="10" t="str">
        <f t="shared" si="1"/>
        <v/>
      </c>
      <c r="L44" s="27"/>
      <c r="M44" s="27"/>
      <c r="N44" s="10" t="str">
        <f t="array" ref="N44">IF(COUNTIF($A$2:A43,A)&gt;0,INDEX($C$2:C43,MATCH(A44,$A$2:A43,0)),"")</f>
        <v/>
      </c>
      <c r="O44" s="17"/>
      <c r="P44" s="29"/>
    </row>
    <row r="45" ht="15.0" customHeight="1">
      <c r="A45" s="9" t="str">
        <f>IFERROR(__xludf.DUMMYFUNCTION("IF(B45="""","""",RIGHT(regexreplace(B45&amp;"""",""[^0-9]"",""""),9))"),"")</f>
        <v/>
      </c>
      <c r="B45" s="5"/>
      <c r="C45" s="5"/>
      <c r="D45" s="5"/>
      <c r="E45" s="23"/>
      <c r="F45" s="23"/>
      <c r="G45" s="23"/>
      <c r="H45" s="23"/>
      <c r="I45" s="23"/>
      <c r="J45" s="23"/>
      <c r="K45" s="10" t="str">
        <f t="shared" si="1"/>
        <v/>
      </c>
      <c r="L45" s="27"/>
      <c r="M45" s="27"/>
      <c r="N45" s="10" t="str">
        <f t="shared" ref="N45:N46" si="17">IF(COUNTIF($A$2:A44,A45)&gt;0,INDEX($C$2:C44,MATCH(A45,$A$2:A44,0)),"")</f>
        <v/>
      </c>
      <c r="O45" s="17"/>
      <c r="P45" s="29"/>
    </row>
    <row r="46" ht="15.0" customHeight="1">
      <c r="A46" s="9" t="str">
        <f>IFERROR(__xludf.DUMMYFUNCTION("IF(B46="""","""",RIGHT(regexreplace(B46&amp;"""",""[^0-9]"",""""),9))"),"")</f>
        <v/>
      </c>
      <c r="B46" s="5"/>
      <c r="C46" s="5"/>
      <c r="D46" s="5"/>
      <c r="E46" s="23"/>
      <c r="F46" s="23"/>
      <c r="G46" s="23"/>
      <c r="H46" s="23"/>
      <c r="I46" s="23"/>
      <c r="J46" s="23"/>
      <c r="K46" s="10" t="str">
        <f t="shared" si="1"/>
        <v/>
      </c>
      <c r="L46" s="27"/>
      <c r="M46" s="27"/>
      <c r="N46" s="10" t="str">
        <f t="shared" si="17"/>
        <v/>
      </c>
      <c r="O46" s="17"/>
      <c r="P46" s="29"/>
    </row>
    <row r="47" ht="15.0" customHeight="1">
      <c r="A47" s="9" t="str">
        <f>IFERROR(__xludf.DUMMYFUNCTION("IF(B47="""","""",RIGHT(regexreplace(B47&amp;"""",""[^0-9]"",""""),9))"),"")</f>
        <v/>
      </c>
      <c r="B47" s="5"/>
      <c r="C47" s="5"/>
      <c r="D47" s="5"/>
      <c r="E47" s="23"/>
      <c r="F47" s="23"/>
      <c r="G47" s="23"/>
      <c r="H47" s="23"/>
      <c r="I47" s="23"/>
      <c r="J47" s="23"/>
      <c r="K47" s="10" t="str">
        <f t="shared" si="1"/>
        <v/>
      </c>
      <c r="L47" s="27"/>
      <c r="M47" s="27"/>
      <c r="N47" s="10" t="str">
        <f t="array" ref="N47">IF(COUNTIF($A$2:A46,A)&gt;0,INDEX($C$2:C46,MATCH(A47,$A$2:A46,0)),"")</f>
        <v/>
      </c>
      <c r="O47" s="17"/>
      <c r="P47" s="29"/>
    </row>
    <row r="48" ht="15.0" customHeight="1">
      <c r="A48" s="9" t="str">
        <f>IFERROR(__xludf.DUMMYFUNCTION("IF(B48="""","""",RIGHT(regexreplace(B48&amp;"""",""[^0-9]"",""""),9))"),"")</f>
        <v/>
      </c>
      <c r="B48" s="5"/>
      <c r="C48" s="5"/>
      <c r="D48" s="5"/>
      <c r="E48" s="23"/>
      <c r="F48" s="23"/>
      <c r="G48" s="23"/>
      <c r="H48" s="23"/>
      <c r="I48" s="23"/>
      <c r="J48" s="23"/>
      <c r="K48" s="10" t="str">
        <f t="shared" si="1"/>
        <v/>
      </c>
      <c r="L48" s="27"/>
      <c r="M48" s="27"/>
      <c r="N48" s="10" t="str">
        <f t="shared" ref="N48:N49" si="18">IF(COUNTIF($A$2:A47,A48)&gt;0,INDEX($C$2:C47,MATCH(A48,$A$2:A47,0)),"")</f>
        <v/>
      </c>
      <c r="O48" s="17"/>
      <c r="P48" s="29"/>
    </row>
    <row r="49" ht="15.0" customHeight="1">
      <c r="A49" s="9" t="str">
        <f>IFERROR(__xludf.DUMMYFUNCTION("IF(B49="""","""",RIGHT(regexreplace(B49&amp;"""",""[^0-9]"",""""),9))"),"")</f>
        <v/>
      </c>
      <c r="B49" s="5"/>
      <c r="C49" s="5"/>
      <c r="D49" s="5"/>
      <c r="E49" s="23"/>
      <c r="F49" s="23"/>
      <c r="G49" s="23"/>
      <c r="H49" s="23"/>
      <c r="I49" s="23"/>
      <c r="J49" s="23"/>
      <c r="K49" s="10" t="str">
        <f t="shared" si="1"/>
        <v/>
      </c>
      <c r="L49" s="27"/>
      <c r="M49" s="27"/>
      <c r="N49" s="10" t="str">
        <f t="shared" si="18"/>
        <v/>
      </c>
      <c r="O49" s="17"/>
      <c r="P49" s="29"/>
    </row>
    <row r="50" ht="15.0" customHeight="1">
      <c r="A50" s="9" t="str">
        <f>IFERROR(__xludf.DUMMYFUNCTION("IF(B50="""","""",RIGHT(regexreplace(B50&amp;"""",""[^0-9]"",""""),9))"),"")</f>
        <v/>
      </c>
      <c r="B50" s="5"/>
      <c r="C50" s="5"/>
      <c r="D50" s="5"/>
      <c r="E50" s="23"/>
      <c r="F50" s="23"/>
      <c r="G50" s="23"/>
      <c r="H50" s="23"/>
      <c r="I50" s="23"/>
      <c r="J50" s="23"/>
      <c r="K50" s="10" t="str">
        <f t="shared" si="1"/>
        <v/>
      </c>
      <c r="L50" s="27"/>
      <c r="M50" s="27"/>
      <c r="N50" s="10" t="str">
        <f t="array" ref="N50">IF(COUNTIF($A$2:A49,A)&gt;0,INDEX($C$2:C49,MATCH(A50,$A$2:A49,0)),"")</f>
        <v/>
      </c>
      <c r="O50" s="17"/>
      <c r="P50" s="29"/>
    </row>
    <row r="51" ht="15.75" customHeight="1">
      <c r="A51" s="9" t="str">
        <f>IFERROR(__xludf.DUMMYFUNCTION("IF(B51="""","""",RIGHT(regexreplace(B51&amp;"""",""[^0-9]"",""""),9))"),"")</f>
        <v/>
      </c>
      <c r="B51" s="5"/>
      <c r="C51" s="5"/>
      <c r="D51" s="5"/>
      <c r="E51" s="23"/>
      <c r="F51" s="23"/>
      <c r="G51" s="23"/>
      <c r="H51" s="23"/>
      <c r="I51" s="23"/>
      <c r="J51" s="23"/>
      <c r="K51" s="10" t="str">
        <f t="shared" si="1"/>
        <v/>
      </c>
      <c r="L51" s="27"/>
      <c r="M51" s="27"/>
      <c r="N51" s="10" t="str">
        <f t="shared" ref="N51:N52" si="19">IF(COUNTIF($A$2:A50,A51)&gt;0,INDEX($C$2:C50,MATCH(A51,$A$2:A50,0)),"")</f>
        <v/>
      </c>
      <c r="O51" s="17"/>
      <c r="P51" s="29"/>
    </row>
    <row r="52" ht="15.75" customHeight="1">
      <c r="A52" s="9" t="str">
        <f>IFERROR(__xludf.DUMMYFUNCTION("IF(B52="""","""",RIGHT(regexreplace(B52&amp;"""",""[^0-9]"",""""),9))"),"")</f>
        <v/>
      </c>
      <c r="B52" s="5"/>
      <c r="C52" s="5"/>
      <c r="D52" s="5"/>
      <c r="E52" s="23"/>
      <c r="F52" s="23"/>
      <c r="G52" s="23"/>
      <c r="H52" s="23"/>
      <c r="I52" s="23"/>
      <c r="J52" s="23"/>
      <c r="K52" s="10" t="str">
        <f t="shared" si="1"/>
        <v/>
      </c>
      <c r="L52" s="27"/>
      <c r="M52" s="27"/>
      <c r="N52" s="10" t="str">
        <f t="shared" si="19"/>
        <v/>
      </c>
      <c r="O52" s="17"/>
      <c r="P52" s="29"/>
    </row>
    <row r="53" ht="15.75" customHeight="1">
      <c r="A53" s="9" t="str">
        <f>IFERROR(__xludf.DUMMYFUNCTION("IF(B53="""","""",RIGHT(regexreplace(B53&amp;"""",""[^0-9]"",""""),9))"),"")</f>
        <v/>
      </c>
      <c r="B53" s="5"/>
      <c r="C53" s="5"/>
      <c r="D53" s="5"/>
      <c r="E53" s="23"/>
      <c r="F53" s="23"/>
      <c r="G53" s="23"/>
      <c r="H53" s="23"/>
      <c r="I53" s="23"/>
      <c r="J53" s="23"/>
      <c r="K53" s="10" t="str">
        <f t="shared" si="1"/>
        <v/>
      </c>
      <c r="L53" s="27"/>
      <c r="M53" s="27"/>
      <c r="N53" s="10" t="str">
        <f t="array" ref="N53">IF(COUNTIF($A$2:A52,A)&gt;0,INDEX($C$2:C52,MATCH(A53,$A$2:A52,0)),"")</f>
        <v/>
      </c>
      <c r="O53" s="17"/>
      <c r="P53" s="29"/>
    </row>
    <row r="54" ht="15.75" customHeight="1">
      <c r="A54" s="9" t="str">
        <f>IFERROR(__xludf.DUMMYFUNCTION("IF(B54="""","""",RIGHT(regexreplace(B54&amp;"""",""[^0-9]"",""""),9))"),"")</f>
        <v/>
      </c>
      <c r="B54" s="5"/>
      <c r="C54" s="5"/>
      <c r="D54" s="5"/>
      <c r="E54" s="23"/>
      <c r="F54" s="23"/>
      <c r="G54" s="23"/>
      <c r="H54" s="23"/>
      <c r="I54" s="23"/>
      <c r="J54" s="23"/>
      <c r="K54" s="10" t="str">
        <f t="shared" si="1"/>
        <v/>
      </c>
      <c r="L54" s="27"/>
      <c r="M54" s="27"/>
      <c r="N54" s="10" t="str">
        <f t="shared" ref="N54:N55" si="20">IF(COUNTIF($A$2:A53,A54)&gt;0,INDEX($C$2:C53,MATCH(A54,$A$2:A53,0)),"")</f>
        <v/>
      </c>
      <c r="O54" s="17"/>
      <c r="P54" s="29"/>
    </row>
    <row r="55" ht="15.75" customHeight="1">
      <c r="A55" s="9" t="str">
        <f>IFERROR(__xludf.DUMMYFUNCTION("IF(B55="""","""",RIGHT(regexreplace(B55&amp;"""",""[^0-9]"",""""),9))"),"")</f>
        <v/>
      </c>
      <c r="B55" s="5"/>
      <c r="C55" s="5"/>
      <c r="D55" s="5"/>
      <c r="E55" s="23"/>
      <c r="F55" s="23"/>
      <c r="G55" s="23"/>
      <c r="H55" s="23"/>
      <c r="I55" s="23"/>
      <c r="J55" s="23"/>
      <c r="K55" s="10" t="str">
        <f t="shared" si="1"/>
        <v/>
      </c>
      <c r="L55" s="27"/>
      <c r="M55" s="27"/>
      <c r="N55" s="10" t="str">
        <f t="shared" si="20"/>
        <v/>
      </c>
      <c r="O55" s="17"/>
      <c r="P55" s="29"/>
    </row>
    <row r="56" ht="15.75" customHeight="1">
      <c r="A56" s="9" t="str">
        <f>IFERROR(__xludf.DUMMYFUNCTION("IF(B56="""","""",RIGHT(regexreplace(B56&amp;"""",""[^0-9]"",""""),9))"),"")</f>
        <v/>
      </c>
      <c r="B56" s="5"/>
      <c r="C56" s="5"/>
      <c r="D56" s="5"/>
      <c r="E56" s="23"/>
      <c r="F56" s="23"/>
      <c r="G56" s="23"/>
      <c r="H56" s="23"/>
      <c r="I56" s="23"/>
      <c r="J56" s="23"/>
      <c r="K56" s="10" t="str">
        <f t="shared" si="1"/>
        <v/>
      </c>
      <c r="L56" s="27"/>
      <c r="M56" s="27"/>
      <c r="N56" s="10" t="str">
        <f t="array" ref="N56">IF(COUNTIF($A$2:A55,A)&gt;0,INDEX($C$2:C55,MATCH(A56,$A$2:A55,0)),"")</f>
        <v/>
      </c>
      <c r="O56" s="17"/>
      <c r="P56" s="29"/>
    </row>
    <row r="57" ht="15.75" customHeight="1">
      <c r="A57" s="9" t="str">
        <f>IFERROR(__xludf.DUMMYFUNCTION("IF(B57="""","""",RIGHT(regexreplace(B57&amp;"""",""[^0-9]"",""""),9))"),"")</f>
        <v/>
      </c>
      <c r="B57" s="5"/>
      <c r="C57" s="5"/>
      <c r="D57" s="5"/>
      <c r="E57" s="23"/>
      <c r="F57" s="23"/>
      <c r="G57" s="23"/>
      <c r="H57" s="23"/>
      <c r="I57" s="23"/>
      <c r="J57" s="23"/>
      <c r="K57" s="10" t="str">
        <f t="shared" si="1"/>
        <v/>
      </c>
      <c r="L57" s="27"/>
      <c r="M57" s="27"/>
      <c r="N57" s="10" t="str">
        <f t="shared" ref="N57:N58" si="21">IF(COUNTIF($A$2:A56,A57)&gt;0,INDEX($C$2:C56,MATCH(A57,$A$2:A56,0)),"")</f>
        <v/>
      </c>
      <c r="O57" s="17"/>
      <c r="P57" s="29"/>
    </row>
    <row r="58" ht="15.75" customHeight="1">
      <c r="A58" s="9" t="str">
        <f>IFERROR(__xludf.DUMMYFUNCTION("IF(B58="""","""",RIGHT(regexreplace(B58&amp;"""",""[^0-9]"",""""),9))"),"")</f>
        <v/>
      </c>
      <c r="B58" s="5"/>
      <c r="C58" s="5"/>
      <c r="D58" s="5"/>
      <c r="E58" s="23"/>
      <c r="F58" s="23"/>
      <c r="G58" s="23"/>
      <c r="H58" s="23"/>
      <c r="I58" s="23"/>
      <c r="J58" s="23"/>
      <c r="K58" s="10" t="str">
        <f t="shared" si="1"/>
        <v/>
      </c>
      <c r="L58" s="27"/>
      <c r="M58" s="27"/>
      <c r="N58" s="10" t="str">
        <f t="shared" si="21"/>
        <v/>
      </c>
      <c r="O58" s="17"/>
      <c r="P58" s="29"/>
    </row>
    <row r="59" ht="15.75" customHeight="1">
      <c r="A59" s="9" t="str">
        <f>IFERROR(__xludf.DUMMYFUNCTION("IF(B59="""","""",RIGHT(regexreplace(B59&amp;"""",""[^0-9]"",""""),9))"),"")</f>
        <v/>
      </c>
      <c r="B59" s="5"/>
      <c r="C59" s="5"/>
      <c r="D59" s="5"/>
      <c r="E59" s="23"/>
      <c r="F59" s="23"/>
      <c r="G59" s="23"/>
      <c r="H59" s="23"/>
      <c r="I59" s="23"/>
      <c r="J59" s="23"/>
      <c r="K59" s="10" t="str">
        <f t="shared" si="1"/>
        <v/>
      </c>
      <c r="L59" s="27"/>
      <c r="M59" s="27"/>
      <c r="N59" s="10" t="str">
        <f t="array" ref="N59">IF(COUNTIF($A$2:A58,A)&gt;0,INDEX($C$2:C58,MATCH(A59,$A$2:A58,0)),"")</f>
        <v/>
      </c>
      <c r="O59" s="17"/>
      <c r="P59" s="29"/>
    </row>
    <row r="60" ht="15.75" customHeight="1">
      <c r="A60" s="9" t="str">
        <f>IFERROR(__xludf.DUMMYFUNCTION("IF(B60="""","""",RIGHT(regexreplace(B60&amp;"""",""[^0-9]"",""""),9))"),"")</f>
        <v/>
      </c>
      <c r="B60" s="5"/>
      <c r="C60" s="5"/>
      <c r="D60" s="5"/>
      <c r="E60" s="23"/>
      <c r="F60" s="23"/>
      <c r="G60" s="23"/>
      <c r="H60" s="23"/>
      <c r="I60" s="23"/>
      <c r="J60" s="23"/>
      <c r="K60" s="10" t="str">
        <f t="shared" si="1"/>
        <v/>
      </c>
      <c r="L60" s="27"/>
      <c r="M60" s="27"/>
      <c r="N60" s="10" t="str">
        <f t="shared" ref="N60:N61" si="22">IF(COUNTIF($A$2:A59,A60)&gt;0,INDEX($C$2:C59,MATCH(A60,$A$2:A59,0)),"")</f>
        <v/>
      </c>
      <c r="O60" s="17"/>
      <c r="P60" s="29"/>
    </row>
    <row r="61" ht="15.75" customHeight="1">
      <c r="A61" s="9" t="str">
        <f>IFERROR(__xludf.DUMMYFUNCTION("IF(B61="""","""",RIGHT(regexreplace(B61&amp;"""",""[^0-9]"",""""),9))"),"")</f>
        <v/>
      </c>
      <c r="B61" s="5"/>
      <c r="C61" s="5"/>
      <c r="D61" s="5"/>
      <c r="E61" s="23"/>
      <c r="F61" s="23"/>
      <c r="G61" s="23"/>
      <c r="H61" s="23"/>
      <c r="I61" s="23"/>
      <c r="J61" s="23"/>
      <c r="K61" s="10" t="str">
        <f t="shared" si="1"/>
        <v/>
      </c>
      <c r="L61" s="27"/>
      <c r="M61" s="27"/>
      <c r="N61" s="10" t="str">
        <f t="shared" si="22"/>
        <v/>
      </c>
      <c r="O61" s="17"/>
      <c r="P61" s="29"/>
    </row>
    <row r="62" ht="15.75" customHeight="1">
      <c r="A62" s="9" t="str">
        <f>IFERROR(__xludf.DUMMYFUNCTION("IF(B62="""","""",RIGHT(regexreplace(B62&amp;"""",""[^0-9]"",""""),9))"),"")</f>
        <v/>
      </c>
      <c r="B62" s="5"/>
      <c r="C62" s="5"/>
      <c r="D62" s="5"/>
      <c r="E62" s="23"/>
      <c r="F62" s="23"/>
      <c r="G62" s="23"/>
      <c r="H62" s="23"/>
      <c r="I62" s="23"/>
      <c r="J62" s="23"/>
      <c r="K62" s="10" t="str">
        <f t="shared" si="1"/>
        <v/>
      </c>
      <c r="L62" s="27"/>
      <c r="M62" s="27"/>
      <c r="N62" s="10" t="str">
        <f t="array" ref="N62">IF(COUNTIF($A$2:A61,A)&gt;0,INDEX($C$2:C61,MATCH(A62,$A$2:A61,0)),"")</f>
        <v/>
      </c>
      <c r="O62" s="17"/>
      <c r="P62" s="29"/>
    </row>
    <row r="63" ht="15.75" customHeight="1">
      <c r="A63" s="9" t="str">
        <f>IFERROR(__xludf.DUMMYFUNCTION("IF(B63="""","""",RIGHT(regexreplace(B63&amp;"""",""[^0-9]"",""""),9))"),"")</f>
        <v/>
      </c>
      <c r="B63" s="5"/>
      <c r="C63" s="5"/>
      <c r="D63" s="5"/>
      <c r="E63" s="23"/>
      <c r="F63" s="23"/>
      <c r="G63" s="23"/>
      <c r="H63" s="23"/>
      <c r="I63" s="23"/>
      <c r="J63" s="23"/>
      <c r="K63" s="10" t="str">
        <f t="shared" si="1"/>
        <v/>
      </c>
      <c r="L63" s="27"/>
      <c r="M63" s="27"/>
      <c r="N63" s="10" t="str">
        <f t="shared" ref="N63:N64" si="23">IF(COUNTIF($A$2:A62,A63)&gt;0,INDEX($C$2:C62,MATCH(A63,$A$2:A62,0)),"")</f>
        <v/>
      </c>
      <c r="O63" s="17"/>
      <c r="P63" s="29"/>
    </row>
    <row r="64" ht="15.75" customHeight="1">
      <c r="A64" s="9" t="str">
        <f>IFERROR(__xludf.DUMMYFUNCTION("IF(B64="""","""",RIGHT(regexreplace(B64&amp;"""",""[^0-9]"",""""),9))"),"")</f>
        <v/>
      </c>
      <c r="B64" s="5"/>
      <c r="C64" s="5"/>
      <c r="D64" s="5"/>
      <c r="E64" s="23"/>
      <c r="F64" s="23"/>
      <c r="G64" s="23"/>
      <c r="H64" s="23"/>
      <c r="I64" s="23"/>
      <c r="J64" s="23"/>
      <c r="K64" s="10" t="str">
        <f t="shared" si="1"/>
        <v/>
      </c>
      <c r="L64" s="27"/>
      <c r="M64" s="27"/>
      <c r="N64" s="10" t="str">
        <f t="shared" si="23"/>
        <v/>
      </c>
      <c r="O64" s="17"/>
      <c r="P64" s="29"/>
    </row>
    <row r="65" ht="15.75" customHeight="1">
      <c r="A65" s="9" t="str">
        <f>IFERROR(__xludf.DUMMYFUNCTION("IF(B65="""","""",RIGHT(regexreplace(B65&amp;"""",""[^0-9]"",""""),9))"),"")</f>
        <v/>
      </c>
      <c r="B65" s="5"/>
      <c r="C65" s="5"/>
      <c r="D65" s="5"/>
      <c r="E65" s="23"/>
      <c r="F65" s="23"/>
      <c r="G65" s="23"/>
      <c r="H65" s="23"/>
      <c r="I65" s="23"/>
      <c r="J65" s="23"/>
      <c r="K65" s="10" t="str">
        <f t="shared" si="1"/>
        <v/>
      </c>
      <c r="L65" s="27"/>
      <c r="M65" s="27"/>
      <c r="N65" s="10" t="str">
        <f t="array" ref="N65">IF(COUNTIF($A$2:A64,A)&gt;0,INDEX($C$2:C64,MATCH(A65,$A$2:A64,0)),"")</f>
        <v/>
      </c>
      <c r="O65" s="17"/>
      <c r="P65" s="29"/>
    </row>
    <row r="66" ht="15.75" customHeight="1">
      <c r="A66" s="9" t="str">
        <f>IFERROR(__xludf.DUMMYFUNCTION("IF(B66="""","""",RIGHT(regexreplace(B66&amp;"""",""[^0-9]"",""""),9))"),"")</f>
        <v/>
      </c>
      <c r="B66" s="5"/>
      <c r="C66" s="5"/>
      <c r="D66" s="5"/>
      <c r="E66" s="23"/>
      <c r="F66" s="23"/>
      <c r="G66" s="23"/>
      <c r="H66" s="23"/>
      <c r="I66" s="23"/>
      <c r="J66" s="23"/>
      <c r="K66" s="10" t="str">
        <f t="shared" si="1"/>
        <v/>
      </c>
      <c r="L66" s="27"/>
      <c r="M66" s="27"/>
      <c r="N66" s="10" t="str">
        <f t="shared" ref="N66:N67" si="24">IF(COUNTIF($A$2:A65,A66)&gt;0,INDEX($C$2:C65,MATCH(A66,$A$2:A65,0)),"")</f>
        <v/>
      </c>
      <c r="O66" s="17"/>
      <c r="P66" s="29"/>
    </row>
    <row r="67" ht="15.75" customHeight="1">
      <c r="A67" s="9" t="str">
        <f>IFERROR(__xludf.DUMMYFUNCTION("IF(B67="""","""",RIGHT(regexreplace(B67&amp;"""",""[^0-9]"",""""),9))"),"")</f>
        <v/>
      </c>
      <c r="B67" s="5"/>
      <c r="C67" s="5"/>
      <c r="D67" s="5"/>
      <c r="E67" s="23"/>
      <c r="F67" s="23"/>
      <c r="G67" s="23"/>
      <c r="H67" s="23"/>
      <c r="I67" s="23"/>
      <c r="J67" s="23"/>
      <c r="K67" s="10" t="str">
        <f t="shared" si="1"/>
        <v/>
      </c>
      <c r="L67" s="27"/>
      <c r="M67" s="27"/>
      <c r="N67" s="10" t="str">
        <f t="shared" si="24"/>
        <v/>
      </c>
      <c r="O67" s="17"/>
      <c r="P67" s="29"/>
    </row>
    <row r="68" ht="15.75" customHeight="1">
      <c r="A68" s="9" t="str">
        <f>IFERROR(__xludf.DUMMYFUNCTION("IF(B68="""","""",RIGHT(regexreplace(B68&amp;"""",""[^0-9]"",""""),9))"),"")</f>
        <v/>
      </c>
      <c r="B68" s="5"/>
      <c r="C68" s="5"/>
      <c r="D68" s="5"/>
      <c r="E68" s="23"/>
      <c r="F68" s="23"/>
      <c r="G68" s="23"/>
      <c r="H68" s="23"/>
      <c r="I68" s="23"/>
      <c r="J68" s="23"/>
      <c r="K68" s="10" t="str">
        <f t="shared" si="1"/>
        <v/>
      </c>
      <c r="L68" s="27"/>
      <c r="M68" s="27"/>
      <c r="N68" s="10" t="str">
        <f t="array" ref="N68">IF(COUNTIF($A$2:A67,A)&gt;0,INDEX($C$2:C67,MATCH(A68,$A$2:A67,0)),"")</f>
        <v/>
      </c>
      <c r="O68" s="17"/>
      <c r="P68" s="29"/>
    </row>
    <row r="69" ht="15.75" customHeight="1">
      <c r="A69" s="9" t="str">
        <f>IFERROR(__xludf.DUMMYFUNCTION("IF(B69="""","""",RIGHT(regexreplace(B69&amp;"""",""[^0-9]"",""""),9))"),"")</f>
        <v/>
      </c>
      <c r="B69" s="5"/>
      <c r="C69" s="5"/>
      <c r="D69" s="5"/>
      <c r="E69" s="23"/>
      <c r="F69" s="23"/>
      <c r="G69" s="23"/>
      <c r="H69" s="23"/>
      <c r="I69" s="23"/>
      <c r="J69" s="23"/>
      <c r="K69" s="10" t="str">
        <f t="shared" si="1"/>
        <v/>
      </c>
      <c r="L69" s="27"/>
      <c r="M69" s="27"/>
      <c r="N69" s="10" t="str">
        <f t="shared" ref="N69:N70" si="25">IF(COUNTIF($A$2:A68,A69)&gt;0,INDEX($C$2:C68,MATCH(A69,$A$2:A68,0)),"")</f>
        <v/>
      </c>
      <c r="O69" s="17"/>
      <c r="P69" s="29"/>
    </row>
    <row r="70" ht="15.75" customHeight="1">
      <c r="A70" s="9" t="str">
        <f>IFERROR(__xludf.DUMMYFUNCTION("IF(B70="""","""",RIGHT(regexreplace(B70&amp;"""",""[^0-9]"",""""),9))"),"")</f>
        <v/>
      </c>
      <c r="B70" s="5"/>
      <c r="C70" s="5"/>
      <c r="D70" s="5"/>
      <c r="E70" s="23"/>
      <c r="F70" s="23"/>
      <c r="G70" s="23"/>
      <c r="H70" s="23"/>
      <c r="I70" s="23"/>
      <c r="J70" s="23"/>
      <c r="K70" s="10" t="str">
        <f t="shared" si="1"/>
        <v/>
      </c>
      <c r="L70" s="27"/>
      <c r="M70" s="27"/>
      <c r="N70" s="10" t="str">
        <f t="shared" si="25"/>
        <v/>
      </c>
      <c r="O70" s="17"/>
      <c r="P70" s="29"/>
    </row>
    <row r="71" ht="15.75" customHeight="1">
      <c r="A71" s="9" t="str">
        <f>IFERROR(__xludf.DUMMYFUNCTION("IF(B71="""","""",RIGHT(regexreplace(B71&amp;"""",""[^0-9]"",""""),9))"),"")</f>
        <v/>
      </c>
      <c r="B71" s="5"/>
      <c r="C71" s="5"/>
      <c r="D71" s="5"/>
      <c r="E71" s="23"/>
      <c r="F71" s="23"/>
      <c r="G71" s="23"/>
      <c r="H71" s="23"/>
      <c r="I71" s="23"/>
      <c r="J71" s="23"/>
      <c r="K71" s="10" t="str">
        <f t="shared" si="1"/>
        <v/>
      </c>
      <c r="L71" s="27"/>
      <c r="M71" s="27"/>
      <c r="N71" s="10" t="str">
        <f t="array" ref="N71">IF(COUNTIF($A$2:A70,A)&gt;0,INDEX($C$2:C70,MATCH(A71,$A$2:A70,0)),"")</f>
        <v/>
      </c>
      <c r="O71" s="17"/>
      <c r="P71" s="29"/>
    </row>
    <row r="72" ht="15.75" customHeight="1">
      <c r="A72" s="9" t="str">
        <f>IFERROR(__xludf.DUMMYFUNCTION("IF(B72="""","""",RIGHT(regexreplace(B72&amp;"""",""[^0-9]"",""""),9))"),"")</f>
        <v/>
      </c>
      <c r="B72" s="5"/>
      <c r="C72" s="5"/>
      <c r="D72" s="5"/>
      <c r="E72" s="23"/>
      <c r="F72" s="23"/>
      <c r="G72" s="23"/>
      <c r="H72" s="23"/>
      <c r="I72" s="23"/>
      <c r="J72" s="23"/>
      <c r="K72" s="10" t="str">
        <f t="shared" si="1"/>
        <v/>
      </c>
      <c r="L72" s="27"/>
      <c r="M72" s="27"/>
      <c r="N72" s="10" t="str">
        <f t="shared" ref="N72:N73" si="26">IF(COUNTIF($A$2:A71,A72)&gt;0,INDEX($C$2:C71,MATCH(A72,$A$2:A71,0)),"")</f>
        <v/>
      </c>
      <c r="O72" s="17"/>
      <c r="P72" s="29"/>
    </row>
    <row r="73" ht="15.75" customHeight="1">
      <c r="A73" s="9" t="str">
        <f>IFERROR(__xludf.DUMMYFUNCTION("IF(B73="""","""",RIGHT(regexreplace(B73&amp;"""",""[^0-9]"",""""),9))"),"")</f>
        <v/>
      </c>
      <c r="B73" s="5"/>
      <c r="C73" s="5"/>
      <c r="D73" s="5"/>
      <c r="E73" s="23"/>
      <c r="F73" s="23"/>
      <c r="G73" s="23"/>
      <c r="H73" s="23"/>
      <c r="I73" s="23"/>
      <c r="J73" s="23"/>
      <c r="K73" s="10" t="str">
        <f t="shared" si="1"/>
        <v/>
      </c>
      <c r="L73" s="27"/>
      <c r="M73" s="27"/>
      <c r="N73" s="10" t="str">
        <f t="shared" si="26"/>
        <v/>
      </c>
      <c r="O73" s="17"/>
      <c r="P73" s="29"/>
    </row>
    <row r="74" ht="15.75" customHeight="1">
      <c r="A74" s="9" t="str">
        <f>IFERROR(__xludf.DUMMYFUNCTION("IF(B74="""","""",RIGHT(regexreplace(B74&amp;"""",""[^0-9]"",""""),9))"),"")</f>
        <v/>
      </c>
      <c r="B74" s="5"/>
      <c r="C74" s="5"/>
      <c r="D74" s="5"/>
      <c r="E74" s="23"/>
      <c r="F74" s="23"/>
      <c r="G74" s="23"/>
      <c r="H74" s="23"/>
      <c r="I74" s="23"/>
      <c r="J74" s="23"/>
      <c r="K74" s="10" t="str">
        <f t="shared" si="1"/>
        <v/>
      </c>
      <c r="L74" s="27"/>
      <c r="M74" s="27"/>
      <c r="N74" s="10" t="str">
        <f t="array" ref="N74">IF(COUNTIF($A$2:A73,A)&gt;0,INDEX($C$2:C73,MATCH(A74,$A$2:A73,0)),"")</f>
        <v/>
      </c>
      <c r="O74" s="17"/>
      <c r="P74" s="29"/>
    </row>
    <row r="75" ht="15.75" customHeight="1">
      <c r="A75" s="9" t="str">
        <f>IFERROR(__xludf.DUMMYFUNCTION("IF(B75="""","""",RIGHT(regexreplace(B75&amp;"""",""[^0-9]"",""""),9))"),"")</f>
        <v/>
      </c>
      <c r="B75" s="5"/>
      <c r="C75" s="5"/>
      <c r="D75" s="5"/>
      <c r="E75" s="23"/>
      <c r="F75" s="23"/>
      <c r="G75" s="23"/>
      <c r="H75" s="23"/>
      <c r="I75" s="23"/>
      <c r="J75" s="23"/>
      <c r="K75" s="10" t="str">
        <f t="shared" si="1"/>
        <v/>
      </c>
      <c r="L75" s="27"/>
      <c r="M75" s="27"/>
      <c r="N75" s="10" t="str">
        <f t="shared" ref="N75:N76" si="27">IF(COUNTIF($A$2:A74,A75)&gt;0,INDEX($C$2:C74,MATCH(A75,$A$2:A74,0)),"")</f>
        <v/>
      </c>
      <c r="O75" s="17"/>
      <c r="P75" s="29"/>
    </row>
    <row r="76" ht="15.75" customHeight="1">
      <c r="A76" s="9" t="str">
        <f>IFERROR(__xludf.DUMMYFUNCTION("IF(B76="""","""",RIGHT(regexreplace(B76&amp;"""",""[^0-9]"",""""),9))"),"")</f>
        <v/>
      </c>
      <c r="B76" s="5"/>
      <c r="C76" s="5"/>
      <c r="D76" s="5"/>
      <c r="E76" s="23"/>
      <c r="F76" s="23"/>
      <c r="G76" s="23"/>
      <c r="H76" s="23"/>
      <c r="I76" s="23"/>
      <c r="J76" s="23"/>
      <c r="K76" s="10" t="str">
        <f t="shared" si="1"/>
        <v/>
      </c>
      <c r="L76" s="27"/>
      <c r="M76" s="27"/>
      <c r="N76" s="10" t="str">
        <f t="shared" si="27"/>
        <v/>
      </c>
      <c r="O76" s="17"/>
      <c r="P76" s="29"/>
    </row>
    <row r="77" ht="15.75" customHeight="1">
      <c r="A77" s="9" t="str">
        <f>IFERROR(__xludf.DUMMYFUNCTION("IF(B77="""","""",RIGHT(regexreplace(B77&amp;"""",""[^0-9]"",""""),9))"),"")</f>
        <v/>
      </c>
      <c r="B77" s="5"/>
      <c r="C77" s="5"/>
      <c r="D77" s="5"/>
      <c r="E77" s="23"/>
      <c r="F77" s="23"/>
      <c r="G77" s="23"/>
      <c r="H77" s="23"/>
      <c r="I77" s="23"/>
      <c r="J77" s="23"/>
      <c r="K77" s="10" t="str">
        <f t="shared" si="1"/>
        <v/>
      </c>
      <c r="L77" s="27"/>
      <c r="M77" s="27"/>
      <c r="N77" s="10" t="str">
        <f t="array" ref="N77">IF(COUNTIF($A$2:A76,A)&gt;0,INDEX($C$2:C76,MATCH(A77,$A$2:A76,0)),"")</f>
        <v/>
      </c>
      <c r="O77" s="17"/>
      <c r="P77" s="29"/>
    </row>
    <row r="78" ht="15.75" customHeight="1">
      <c r="A78" s="9" t="str">
        <f>IFERROR(__xludf.DUMMYFUNCTION("IF(B78="""","""",RIGHT(regexreplace(B78&amp;"""",""[^0-9]"",""""),9))"),"")</f>
        <v/>
      </c>
      <c r="B78" s="5"/>
      <c r="C78" s="5"/>
      <c r="D78" s="5"/>
      <c r="E78" s="23"/>
      <c r="F78" s="23"/>
      <c r="G78" s="23"/>
      <c r="H78" s="23"/>
      <c r="I78" s="23"/>
      <c r="J78" s="23"/>
      <c r="K78" s="10" t="str">
        <f t="shared" si="1"/>
        <v/>
      </c>
      <c r="L78" s="27"/>
      <c r="M78" s="27"/>
      <c r="N78" s="10" t="str">
        <f t="shared" ref="N78:N79" si="28">IF(COUNTIF($A$2:A77,A78)&gt;0,INDEX($C$2:C77,MATCH(A78,$A$2:A77,0)),"")</f>
        <v/>
      </c>
      <c r="O78" s="17"/>
      <c r="P78" s="29"/>
    </row>
    <row r="79" ht="15.75" customHeight="1">
      <c r="A79" s="9" t="str">
        <f>IFERROR(__xludf.DUMMYFUNCTION("IF(B79="""","""",RIGHT(regexreplace(B79&amp;"""",""[^0-9]"",""""),9))"),"")</f>
        <v/>
      </c>
      <c r="B79" s="5"/>
      <c r="C79" s="5"/>
      <c r="D79" s="5"/>
      <c r="E79" s="23"/>
      <c r="F79" s="23"/>
      <c r="G79" s="23"/>
      <c r="H79" s="23"/>
      <c r="I79" s="23"/>
      <c r="J79" s="23"/>
      <c r="K79" s="10" t="str">
        <f t="shared" si="1"/>
        <v/>
      </c>
      <c r="L79" s="27"/>
      <c r="M79" s="27"/>
      <c r="N79" s="10" t="str">
        <f t="shared" si="28"/>
        <v/>
      </c>
      <c r="O79" s="17"/>
      <c r="P79" s="29"/>
    </row>
    <row r="80" ht="15.75" customHeight="1">
      <c r="A80" s="9" t="str">
        <f>IFERROR(__xludf.DUMMYFUNCTION("IF(B80="""","""",RIGHT(regexreplace(B80&amp;"""",""[^0-9]"",""""),9))"),"")</f>
        <v/>
      </c>
      <c r="B80" s="5"/>
      <c r="C80" s="5"/>
      <c r="D80" s="5"/>
      <c r="E80" s="23"/>
      <c r="F80" s="23"/>
      <c r="G80" s="23"/>
      <c r="H80" s="23"/>
      <c r="I80" s="23"/>
      <c r="J80" s="23"/>
      <c r="K80" s="10" t="str">
        <f t="shared" si="1"/>
        <v/>
      </c>
      <c r="L80" s="27"/>
      <c r="M80" s="27"/>
      <c r="N80" s="10" t="str">
        <f t="array" ref="N80">IF(COUNTIF($A$2:A79,A)&gt;0,INDEX($C$2:C79,MATCH(A80,$A$2:A79,0)),"")</f>
        <v/>
      </c>
      <c r="O80" s="17"/>
      <c r="P80" s="29"/>
    </row>
    <row r="81" ht="15.75" customHeight="1">
      <c r="A81" s="9" t="str">
        <f>IFERROR(__xludf.DUMMYFUNCTION("IF(B81="""","""",RIGHT(regexreplace(B81&amp;"""",""[^0-9]"",""""),9))"),"")</f>
        <v/>
      </c>
      <c r="B81" s="5"/>
      <c r="C81" s="5"/>
      <c r="D81" s="5"/>
      <c r="E81" s="23"/>
      <c r="F81" s="23"/>
      <c r="G81" s="23"/>
      <c r="H81" s="23"/>
      <c r="I81" s="23"/>
      <c r="J81" s="23"/>
      <c r="K81" s="10" t="str">
        <f t="shared" si="1"/>
        <v/>
      </c>
      <c r="L81" s="27"/>
      <c r="M81" s="27"/>
      <c r="N81" s="10" t="str">
        <f t="shared" ref="N81:N82" si="29">IF(COUNTIF($A$2:A80,A81)&gt;0,INDEX($C$2:C80,MATCH(A81,$A$2:A80,0)),"")</f>
        <v/>
      </c>
      <c r="O81" s="17"/>
      <c r="P81" s="29"/>
    </row>
    <row r="82" ht="15.75" customHeight="1">
      <c r="A82" s="9" t="str">
        <f>IFERROR(__xludf.DUMMYFUNCTION("IF(B82="""","""",RIGHT(regexreplace(B82&amp;"""",""[^0-9]"",""""),9))"),"")</f>
        <v/>
      </c>
      <c r="B82" s="5"/>
      <c r="C82" s="5"/>
      <c r="D82" s="5"/>
      <c r="E82" s="23"/>
      <c r="F82" s="23"/>
      <c r="G82" s="23"/>
      <c r="H82" s="23"/>
      <c r="I82" s="23"/>
      <c r="J82" s="23"/>
      <c r="K82" s="10" t="str">
        <f t="shared" si="1"/>
        <v/>
      </c>
      <c r="L82" s="27"/>
      <c r="M82" s="27"/>
      <c r="N82" s="10" t="str">
        <f t="shared" si="29"/>
        <v/>
      </c>
      <c r="O82" s="17"/>
      <c r="P82" s="29"/>
    </row>
    <row r="83" ht="15.75" customHeight="1">
      <c r="A83" s="9" t="str">
        <f>IFERROR(__xludf.DUMMYFUNCTION("IF(B83="""","""",RIGHT(regexreplace(B83&amp;"""",""[^0-9]"",""""),9))"),"")</f>
        <v/>
      </c>
      <c r="B83" s="5"/>
      <c r="C83" s="5"/>
      <c r="D83" s="5"/>
      <c r="E83" s="23"/>
      <c r="F83" s="23"/>
      <c r="G83" s="23"/>
      <c r="H83" s="23"/>
      <c r="I83" s="23"/>
      <c r="J83" s="23"/>
      <c r="K83" s="10" t="str">
        <f t="shared" si="1"/>
        <v/>
      </c>
      <c r="L83" s="27"/>
      <c r="M83" s="27"/>
      <c r="N83" s="10" t="str">
        <f t="array" ref="N83">IF(COUNTIF($A$2:A82,A)&gt;0,INDEX($C$2:C82,MATCH(A83,$A$2:A82,0)),"")</f>
        <v/>
      </c>
      <c r="O83" s="17"/>
      <c r="P83" s="29"/>
    </row>
    <row r="84" ht="15.75" customHeight="1">
      <c r="A84" s="9" t="str">
        <f>IFERROR(__xludf.DUMMYFUNCTION("IF(B84="""","""",RIGHT(regexreplace(B84&amp;"""",""[^0-9]"",""""),9))"),"")</f>
        <v/>
      </c>
      <c r="B84" s="5"/>
      <c r="C84" s="5"/>
      <c r="D84" s="5"/>
      <c r="E84" s="23"/>
      <c r="F84" s="23"/>
      <c r="G84" s="23"/>
      <c r="H84" s="23"/>
      <c r="I84" s="23"/>
      <c r="J84" s="23"/>
      <c r="K84" s="10" t="str">
        <f t="shared" si="1"/>
        <v/>
      </c>
      <c r="L84" s="27"/>
      <c r="M84" s="27"/>
      <c r="N84" s="10" t="str">
        <f t="shared" ref="N84:N85" si="30">IF(COUNTIF($A$2:A83,A84)&gt;0,INDEX($C$2:C83,MATCH(A84,$A$2:A83,0)),"")</f>
        <v/>
      </c>
      <c r="O84" s="17"/>
      <c r="P84" s="29"/>
    </row>
    <row r="85" ht="15.75" customHeight="1">
      <c r="A85" s="9" t="str">
        <f>IFERROR(__xludf.DUMMYFUNCTION("IF(B85="""","""",RIGHT(regexreplace(B85&amp;"""",""[^0-9]"",""""),9))"),"")</f>
        <v/>
      </c>
      <c r="B85" s="5"/>
      <c r="C85" s="5"/>
      <c r="D85" s="5"/>
      <c r="E85" s="23"/>
      <c r="F85" s="23"/>
      <c r="G85" s="23"/>
      <c r="H85" s="23"/>
      <c r="I85" s="23"/>
      <c r="J85" s="23"/>
      <c r="K85" s="10" t="str">
        <f t="shared" si="1"/>
        <v/>
      </c>
      <c r="L85" s="27"/>
      <c r="M85" s="27"/>
      <c r="N85" s="10" t="str">
        <f t="shared" si="30"/>
        <v/>
      </c>
      <c r="O85" s="17"/>
      <c r="P85" s="29"/>
    </row>
    <row r="86" ht="15.75" customHeight="1">
      <c r="A86" s="9" t="str">
        <f>IFERROR(__xludf.DUMMYFUNCTION("IF(B86="""","""",RIGHT(regexreplace(B86&amp;"""",""[^0-9]"",""""),9))"),"")</f>
        <v/>
      </c>
      <c r="B86" s="5"/>
      <c r="C86" s="5"/>
      <c r="D86" s="5"/>
      <c r="E86" s="23"/>
      <c r="F86" s="23"/>
      <c r="G86" s="23"/>
      <c r="H86" s="23"/>
      <c r="I86" s="23"/>
      <c r="J86" s="23"/>
      <c r="K86" s="10" t="str">
        <f t="shared" si="1"/>
        <v/>
      </c>
      <c r="L86" s="27"/>
      <c r="M86" s="27"/>
      <c r="N86" s="10" t="str">
        <f t="array" ref="N86">IF(COUNTIF($A$2:A85,A)&gt;0,INDEX($C$2:C85,MATCH(A86,$A$2:A85,0)),"")</f>
        <v/>
      </c>
      <c r="O86" s="17"/>
      <c r="P86" s="29"/>
    </row>
    <row r="87" ht="15.75" customHeight="1">
      <c r="A87" s="9" t="str">
        <f>IFERROR(__xludf.DUMMYFUNCTION("IF(B87="""","""",RIGHT(regexreplace(B87&amp;"""",""[^0-9]"",""""),9))"),"")</f>
        <v/>
      </c>
      <c r="B87" s="5"/>
      <c r="C87" s="5"/>
      <c r="D87" s="5"/>
      <c r="E87" s="23"/>
      <c r="F87" s="23"/>
      <c r="G87" s="23"/>
      <c r="H87" s="23"/>
      <c r="I87" s="23"/>
      <c r="J87" s="23"/>
      <c r="K87" s="10" t="str">
        <f t="shared" si="1"/>
        <v/>
      </c>
      <c r="L87" s="27"/>
      <c r="M87" s="27"/>
      <c r="N87" s="10" t="str">
        <f t="shared" ref="N87:N88" si="31">IF(COUNTIF($A$2:A86,A87)&gt;0,INDEX($C$2:C86,MATCH(A87,$A$2:A86,0)),"")</f>
        <v/>
      </c>
      <c r="O87" s="17"/>
      <c r="P87" s="29"/>
    </row>
    <row r="88" ht="15.75" customHeight="1">
      <c r="A88" s="9" t="str">
        <f>IFERROR(__xludf.DUMMYFUNCTION("IF(B88="""","""",RIGHT(regexreplace(B88&amp;"""",""[^0-9]"",""""),9))"),"")</f>
        <v/>
      </c>
      <c r="B88" s="5"/>
      <c r="C88" s="5"/>
      <c r="D88" s="5"/>
      <c r="E88" s="23"/>
      <c r="F88" s="23"/>
      <c r="G88" s="23"/>
      <c r="H88" s="23"/>
      <c r="I88" s="23"/>
      <c r="J88" s="23"/>
      <c r="K88" s="10" t="str">
        <f t="shared" si="1"/>
        <v/>
      </c>
      <c r="L88" s="27"/>
      <c r="M88" s="27"/>
      <c r="N88" s="10" t="str">
        <f t="shared" si="31"/>
        <v/>
      </c>
      <c r="O88" s="17"/>
      <c r="P88" s="29"/>
    </row>
    <row r="89" ht="15.75" customHeight="1">
      <c r="A89" s="9" t="str">
        <f>IFERROR(__xludf.DUMMYFUNCTION("IF(B89="""","""",RIGHT(regexreplace(B89&amp;"""",""[^0-9]"",""""),9))"),"")</f>
        <v/>
      </c>
      <c r="B89" s="5"/>
      <c r="C89" s="5"/>
      <c r="D89" s="5"/>
      <c r="E89" s="23"/>
      <c r="F89" s="23"/>
      <c r="G89" s="23"/>
      <c r="H89" s="23"/>
      <c r="I89" s="23"/>
      <c r="J89" s="23"/>
      <c r="K89" s="10" t="str">
        <f t="shared" si="1"/>
        <v/>
      </c>
      <c r="L89" s="27"/>
      <c r="M89" s="27"/>
      <c r="N89" s="10" t="str">
        <f t="array" ref="N89">IF(COUNTIF($A$2:A88,A)&gt;0,INDEX($C$2:C88,MATCH(A89,$A$2:A88,0)),"")</f>
        <v/>
      </c>
      <c r="O89" s="17"/>
      <c r="P89" s="29"/>
    </row>
    <row r="90" ht="15.75" customHeight="1">
      <c r="A90" s="9" t="str">
        <f>IFERROR(__xludf.DUMMYFUNCTION("IF(B90="""","""",RIGHT(regexreplace(B90&amp;"""",""[^0-9]"",""""),9))"),"")</f>
        <v/>
      </c>
      <c r="B90" s="5"/>
      <c r="C90" s="5"/>
      <c r="D90" s="5"/>
      <c r="E90" s="23"/>
      <c r="F90" s="23"/>
      <c r="G90" s="23"/>
      <c r="H90" s="23"/>
      <c r="I90" s="23"/>
      <c r="J90" s="23"/>
      <c r="K90" s="10" t="str">
        <f t="shared" si="1"/>
        <v/>
      </c>
      <c r="L90" s="27"/>
      <c r="M90" s="27"/>
      <c r="N90" s="10" t="str">
        <f t="shared" ref="N90:N91" si="32">IF(COUNTIF($A$2:A89,A90)&gt;0,INDEX($C$2:C89,MATCH(A90,$A$2:A89,0)),"")</f>
        <v/>
      </c>
      <c r="O90" s="17"/>
      <c r="P90" s="29"/>
    </row>
    <row r="91" ht="15.75" customHeight="1">
      <c r="A91" s="9" t="str">
        <f>IFERROR(__xludf.DUMMYFUNCTION("IF(B91="""","""",RIGHT(regexreplace(B91&amp;"""",""[^0-9]"",""""),9))"),"")</f>
        <v/>
      </c>
      <c r="B91" s="5"/>
      <c r="C91" s="5"/>
      <c r="D91" s="5"/>
      <c r="E91" s="23"/>
      <c r="F91" s="23"/>
      <c r="G91" s="23"/>
      <c r="H91" s="23"/>
      <c r="I91" s="23"/>
      <c r="J91" s="23"/>
      <c r="K91" s="10" t="str">
        <f t="shared" si="1"/>
        <v/>
      </c>
      <c r="L91" s="27"/>
      <c r="M91" s="27"/>
      <c r="N91" s="10" t="str">
        <f t="shared" si="32"/>
        <v/>
      </c>
      <c r="O91" s="17"/>
      <c r="P91" s="29"/>
    </row>
    <row r="92" ht="15.75" customHeight="1">
      <c r="A92" s="9" t="str">
        <f>IFERROR(__xludf.DUMMYFUNCTION("IF(B92="""","""",RIGHT(regexreplace(B92&amp;"""",""[^0-9]"",""""),9))"),"")</f>
        <v/>
      </c>
      <c r="B92" s="5"/>
      <c r="C92" s="5"/>
      <c r="D92" s="5"/>
      <c r="E92" s="23"/>
      <c r="F92" s="23"/>
      <c r="G92" s="23"/>
      <c r="H92" s="23"/>
      <c r="I92" s="23"/>
      <c r="J92" s="23"/>
      <c r="K92" s="10" t="str">
        <f t="shared" si="1"/>
        <v/>
      </c>
      <c r="L92" s="27"/>
      <c r="M92" s="27"/>
      <c r="N92" s="10" t="str">
        <f t="array" ref="N92">IF(COUNTIF($A$2:A91,A)&gt;0,INDEX($C$2:C91,MATCH(A92,$A$2:A91,0)),"")</f>
        <v/>
      </c>
      <c r="O92" s="17"/>
      <c r="P92" s="29"/>
    </row>
    <row r="93" ht="15.75" customHeight="1">
      <c r="A93" s="9" t="str">
        <f>IFERROR(__xludf.DUMMYFUNCTION("IF(B93="""","""",RIGHT(regexreplace(B93&amp;"""",""[^0-9]"",""""),9))"),"")</f>
        <v/>
      </c>
      <c r="B93" s="5"/>
      <c r="C93" s="5"/>
      <c r="D93" s="5"/>
      <c r="E93" s="23"/>
      <c r="F93" s="23"/>
      <c r="G93" s="23"/>
      <c r="H93" s="23"/>
      <c r="I93" s="23"/>
      <c r="J93" s="23"/>
      <c r="K93" s="10" t="str">
        <f t="shared" si="1"/>
        <v/>
      </c>
      <c r="L93" s="27"/>
      <c r="M93" s="27"/>
      <c r="N93" s="10" t="str">
        <f t="shared" ref="N93:N94" si="33">IF(COUNTIF($A$2:A92,A93)&gt;0,INDEX($C$2:C92,MATCH(A93,$A$2:A92,0)),"")</f>
        <v/>
      </c>
      <c r="O93" s="17"/>
      <c r="P93" s="29"/>
    </row>
    <row r="94" ht="15.75" customHeight="1">
      <c r="A94" s="9" t="str">
        <f>IFERROR(__xludf.DUMMYFUNCTION("IF(B94="""","""",RIGHT(regexreplace(B94&amp;"""",""[^0-9]"",""""),9))"),"")</f>
        <v/>
      </c>
      <c r="B94" s="5"/>
      <c r="C94" s="5"/>
      <c r="D94" s="5"/>
      <c r="E94" s="23"/>
      <c r="F94" s="23"/>
      <c r="G94" s="23"/>
      <c r="H94" s="23"/>
      <c r="I94" s="23"/>
      <c r="J94" s="23"/>
      <c r="K94" s="10" t="str">
        <f t="shared" si="1"/>
        <v/>
      </c>
      <c r="L94" s="27"/>
      <c r="M94" s="27"/>
      <c r="N94" s="10" t="str">
        <f t="shared" si="33"/>
        <v/>
      </c>
      <c r="O94" s="17"/>
      <c r="P94" s="29"/>
    </row>
    <row r="95" ht="15.75" customHeight="1">
      <c r="A95" s="9" t="str">
        <f>IFERROR(__xludf.DUMMYFUNCTION("IF(B95="""","""",RIGHT(regexreplace(B95&amp;"""",""[^0-9]"",""""),9))"),"")</f>
        <v/>
      </c>
      <c r="B95" s="5"/>
      <c r="C95" s="5"/>
      <c r="D95" s="5"/>
      <c r="E95" s="23"/>
      <c r="F95" s="23"/>
      <c r="G95" s="23"/>
      <c r="H95" s="23"/>
      <c r="I95" s="23"/>
      <c r="J95" s="23"/>
      <c r="K95" s="10" t="str">
        <f t="shared" si="1"/>
        <v/>
      </c>
      <c r="L95" s="27"/>
      <c r="M95" s="27"/>
      <c r="N95" s="10" t="str">
        <f t="array" ref="N95">IF(COUNTIF($A$2:A94,A)&gt;0,INDEX($C$2:C94,MATCH(A95,$A$2:A94,0)),"")</f>
        <v/>
      </c>
      <c r="O95" s="17"/>
      <c r="P95" s="29"/>
    </row>
    <row r="96" ht="15.75" customHeight="1">
      <c r="A96" s="9" t="str">
        <f>IFERROR(__xludf.DUMMYFUNCTION("IF(B96="""","""",RIGHT(regexreplace(B96&amp;"""",""[^0-9]"",""""),9))"),"")</f>
        <v/>
      </c>
      <c r="B96" s="5"/>
      <c r="C96" s="5"/>
      <c r="D96" s="5"/>
      <c r="E96" s="23"/>
      <c r="F96" s="23"/>
      <c r="G96" s="23"/>
      <c r="H96" s="23"/>
      <c r="I96" s="23"/>
      <c r="J96" s="23"/>
      <c r="K96" s="10" t="str">
        <f t="shared" si="1"/>
        <v/>
      </c>
      <c r="L96" s="27"/>
      <c r="M96" s="27"/>
      <c r="N96" s="10" t="str">
        <f t="shared" ref="N96:N97" si="34">IF(COUNTIF($A$2:A95,A96)&gt;0,INDEX($C$2:C95,MATCH(A96,$A$2:A95,0)),"")</f>
        <v/>
      </c>
      <c r="O96" s="17"/>
      <c r="P96" s="29"/>
    </row>
    <row r="97" ht="15.75" customHeight="1">
      <c r="A97" s="9" t="str">
        <f>IFERROR(__xludf.DUMMYFUNCTION("IF(B97="""","""",RIGHT(regexreplace(B97&amp;"""",""[^0-9]"",""""),9))"),"")</f>
        <v/>
      </c>
      <c r="B97" s="5"/>
      <c r="C97" s="5"/>
      <c r="D97" s="5"/>
      <c r="E97" s="23"/>
      <c r="F97" s="23"/>
      <c r="G97" s="23"/>
      <c r="H97" s="23"/>
      <c r="I97" s="23"/>
      <c r="J97" s="23"/>
      <c r="K97" s="10" t="str">
        <f t="shared" si="1"/>
        <v/>
      </c>
      <c r="L97" s="27"/>
      <c r="M97" s="27"/>
      <c r="N97" s="10" t="str">
        <f t="shared" si="34"/>
        <v/>
      </c>
      <c r="O97" s="17"/>
      <c r="P97" s="29"/>
    </row>
    <row r="98" ht="15.75" customHeight="1">
      <c r="A98" s="9" t="str">
        <f>IFERROR(__xludf.DUMMYFUNCTION("IF(B98="""","""",RIGHT(regexreplace(B98&amp;"""",""[^0-9]"",""""),9))"),"")</f>
        <v/>
      </c>
      <c r="B98" s="5"/>
      <c r="C98" s="5"/>
      <c r="D98" s="5"/>
      <c r="E98" s="23"/>
      <c r="F98" s="23"/>
      <c r="G98" s="23"/>
      <c r="H98" s="23"/>
      <c r="I98" s="23"/>
      <c r="J98" s="23"/>
      <c r="K98" s="10" t="str">
        <f t="shared" si="1"/>
        <v/>
      </c>
      <c r="L98" s="27"/>
      <c r="M98" s="27"/>
      <c r="N98" s="10" t="str">
        <f t="array" ref="N98">IF(COUNTIF($A$2:A97,A)&gt;0,INDEX($C$2:C97,MATCH(A98,$A$2:A97,0)),"")</f>
        <v/>
      </c>
      <c r="O98" s="17"/>
      <c r="P98" s="29"/>
    </row>
    <row r="99" ht="15.75" customHeight="1">
      <c r="A99" s="9" t="str">
        <f>IFERROR(__xludf.DUMMYFUNCTION("IF(B99="""","""",RIGHT(regexreplace(B99&amp;"""",""[^0-9]"",""""),9))"),"")</f>
        <v/>
      </c>
      <c r="B99" s="5"/>
      <c r="C99" s="5"/>
      <c r="D99" s="5"/>
      <c r="E99" s="23"/>
      <c r="F99" s="23"/>
      <c r="G99" s="23"/>
      <c r="H99" s="23"/>
      <c r="I99" s="23"/>
      <c r="J99" s="23"/>
      <c r="K99" s="10" t="str">
        <f t="shared" si="1"/>
        <v/>
      </c>
      <c r="L99" s="27"/>
      <c r="M99" s="27"/>
      <c r="N99" s="10" t="str">
        <f t="shared" ref="N99:N100" si="35">IF(COUNTIF($A$2:A98,A99)&gt;0,INDEX($C$2:C98,MATCH(A99,$A$2:A98,0)),"")</f>
        <v/>
      </c>
      <c r="O99" s="17"/>
      <c r="P99" s="29"/>
    </row>
    <row r="100" ht="15.75" customHeight="1">
      <c r="A100" s="9" t="str">
        <f>IFERROR(__xludf.DUMMYFUNCTION("IF(B100="""","""",RIGHT(regexreplace(B100&amp;"""",""[^0-9]"",""""),9))"),"")</f>
        <v/>
      </c>
      <c r="B100" s="5"/>
      <c r="C100" s="5"/>
      <c r="D100" s="5"/>
      <c r="E100" s="23"/>
      <c r="F100" s="23"/>
      <c r="G100" s="23"/>
      <c r="H100" s="23"/>
      <c r="I100" s="23"/>
      <c r="J100" s="23"/>
      <c r="K100" s="10" t="str">
        <f t="shared" si="1"/>
        <v/>
      </c>
      <c r="L100" s="27"/>
      <c r="M100" s="27"/>
      <c r="N100" s="10" t="str">
        <f t="shared" si="35"/>
        <v/>
      </c>
      <c r="O100" s="17"/>
      <c r="P100" s="29"/>
    </row>
    <row r="101" ht="15.75" customHeight="1">
      <c r="A101" s="9" t="str">
        <f>IFERROR(__xludf.DUMMYFUNCTION("IF(B101="""","""",RIGHT(regexreplace(B101&amp;"""",""[^0-9]"",""""),9))"),"")</f>
        <v/>
      </c>
      <c r="B101" s="5"/>
      <c r="C101" s="5"/>
      <c r="D101" s="5"/>
      <c r="E101" s="23"/>
      <c r="F101" s="23"/>
      <c r="G101" s="23"/>
      <c r="H101" s="23"/>
      <c r="I101" s="23"/>
      <c r="J101" s="23"/>
      <c r="K101" s="10" t="str">
        <f t="shared" si="1"/>
        <v/>
      </c>
      <c r="L101" s="27"/>
      <c r="M101" s="27"/>
      <c r="N101" s="10" t="str">
        <f t="array" ref="N101">IF(COUNTIF($A$2:A100,A)&gt;0,INDEX($C$2:C100,MATCH(A101,$A$2:A100,0)),"")</f>
        <v/>
      </c>
      <c r="O101" s="17"/>
      <c r="P101" s="29"/>
    </row>
    <row r="102" ht="15.75" customHeight="1">
      <c r="A102" s="9" t="str">
        <f>IFERROR(__xludf.DUMMYFUNCTION("IF(B102="""","""",RIGHT(regexreplace(B102&amp;"""",""[^0-9]"",""""),9))"),"")</f>
        <v/>
      </c>
      <c r="B102" s="5"/>
      <c r="C102" s="5"/>
      <c r="D102" s="5"/>
      <c r="E102" s="23"/>
      <c r="F102" s="23"/>
      <c r="G102" s="23"/>
      <c r="H102" s="23"/>
      <c r="I102" s="23"/>
      <c r="J102" s="23"/>
      <c r="K102" s="10" t="str">
        <f t="shared" si="1"/>
        <v/>
      </c>
      <c r="L102" s="27"/>
      <c r="M102" s="27"/>
      <c r="N102" s="10" t="str">
        <f t="shared" ref="N102:N103" si="36">IF(COUNTIF($A$2:A101,A102)&gt;0,INDEX($C$2:C101,MATCH(A102,$A$2:A101,0)),"")</f>
        <v/>
      </c>
      <c r="O102" s="17"/>
      <c r="P102" s="29"/>
    </row>
    <row r="103" ht="15.75" customHeight="1">
      <c r="A103" s="9" t="str">
        <f>IFERROR(__xludf.DUMMYFUNCTION("IF(B103="""","""",RIGHT(regexreplace(B103&amp;"""",""[^0-9]"",""""),9))"),"")</f>
        <v/>
      </c>
      <c r="B103" s="5"/>
      <c r="C103" s="5"/>
      <c r="D103" s="5"/>
      <c r="E103" s="23"/>
      <c r="F103" s="23"/>
      <c r="G103" s="23"/>
      <c r="H103" s="23"/>
      <c r="I103" s="23"/>
      <c r="J103" s="23"/>
      <c r="K103" s="10" t="str">
        <f t="shared" si="1"/>
        <v/>
      </c>
      <c r="L103" s="27"/>
      <c r="M103" s="27"/>
      <c r="N103" s="10" t="str">
        <f t="shared" si="36"/>
        <v/>
      </c>
      <c r="O103" s="17"/>
      <c r="P103" s="29"/>
    </row>
    <row r="104" ht="15.75" customHeight="1">
      <c r="A104" s="9" t="str">
        <f>IFERROR(__xludf.DUMMYFUNCTION("IF(B104="""","""",RIGHT(regexreplace(B104&amp;"""",""[^0-9]"",""""),9))"),"")</f>
        <v/>
      </c>
      <c r="B104" s="5"/>
      <c r="C104" s="5"/>
      <c r="D104" s="5"/>
      <c r="E104" s="23"/>
      <c r="F104" s="23"/>
      <c r="G104" s="23"/>
      <c r="H104" s="23"/>
      <c r="I104" s="23"/>
      <c r="J104" s="23"/>
      <c r="K104" s="10" t="str">
        <f t="shared" si="1"/>
        <v/>
      </c>
      <c r="L104" s="27"/>
      <c r="M104" s="27"/>
      <c r="N104" s="10" t="str">
        <f t="array" ref="N104">IF(COUNTIF($A$2:A103,A)&gt;0,INDEX($C$2:C103,MATCH(A104,$A$2:A103,0)),"")</f>
        <v/>
      </c>
      <c r="O104" s="17"/>
      <c r="P104" s="29"/>
    </row>
    <row r="105" ht="15.75" customHeight="1">
      <c r="A105" s="9" t="str">
        <f>IFERROR(__xludf.DUMMYFUNCTION("IF(B105="""","""",RIGHT(regexreplace(B105&amp;"""",""[^0-9]"",""""),9))"),"")</f>
        <v/>
      </c>
      <c r="B105" s="5"/>
      <c r="C105" s="5"/>
      <c r="D105" s="5"/>
      <c r="E105" s="23"/>
      <c r="F105" s="23"/>
      <c r="G105" s="23"/>
      <c r="H105" s="23"/>
      <c r="I105" s="23"/>
      <c r="J105" s="23"/>
      <c r="K105" s="10" t="str">
        <f t="shared" si="1"/>
        <v/>
      </c>
      <c r="L105" s="27"/>
      <c r="M105" s="27"/>
      <c r="N105" s="10" t="str">
        <f t="shared" ref="N105:N106" si="37">IF(COUNTIF($A$2:A104,A105)&gt;0,INDEX($C$2:C104,MATCH(A105,$A$2:A104,0)),"")</f>
        <v/>
      </c>
      <c r="O105" s="17"/>
      <c r="P105" s="29"/>
    </row>
    <row r="106" ht="15.75" customHeight="1">
      <c r="A106" s="9" t="str">
        <f>IFERROR(__xludf.DUMMYFUNCTION("IF(B106="""","""",RIGHT(regexreplace(B106&amp;"""",""[^0-9]"",""""),9))"),"")</f>
        <v/>
      </c>
      <c r="B106" s="5"/>
      <c r="C106" s="5"/>
      <c r="D106" s="5"/>
      <c r="E106" s="23"/>
      <c r="F106" s="23"/>
      <c r="G106" s="23"/>
      <c r="H106" s="23"/>
      <c r="I106" s="23"/>
      <c r="J106" s="23"/>
      <c r="K106" s="10" t="str">
        <f t="shared" si="1"/>
        <v/>
      </c>
      <c r="L106" s="27"/>
      <c r="M106" s="27"/>
      <c r="N106" s="10" t="str">
        <f t="shared" si="37"/>
        <v/>
      </c>
      <c r="O106" s="17"/>
      <c r="P106" s="29"/>
    </row>
    <row r="107" ht="15.75" customHeight="1">
      <c r="A107" s="9" t="str">
        <f>IFERROR(__xludf.DUMMYFUNCTION("IF(B107="""","""",RIGHT(regexreplace(B107&amp;"""",""[^0-9]"",""""),9))"),"")</f>
        <v/>
      </c>
      <c r="B107" s="5"/>
      <c r="C107" s="5"/>
      <c r="D107" s="5"/>
      <c r="E107" s="23"/>
      <c r="F107" s="23"/>
      <c r="G107" s="23"/>
      <c r="H107" s="23"/>
      <c r="I107" s="23"/>
      <c r="J107" s="23"/>
      <c r="K107" s="10" t="str">
        <f t="shared" si="1"/>
        <v/>
      </c>
      <c r="L107" s="27"/>
      <c r="M107" s="27"/>
      <c r="N107" s="10" t="str">
        <f t="array" ref="N107">IF(COUNTIF($A$2:A106,A)&gt;0,INDEX($C$2:C106,MATCH(A107,$A$2:A106,0)),"")</f>
        <v/>
      </c>
      <c r="O107" s="17"/>
      <c r="P107" s="29"/>
    </row>
    <row r="108" ht="15.75" customHeight="1">
      <c r="A108" s="9" t="str">
        <f>IFERROR(__xludf.DUMMYFUNCTION("IF(B108="""","""",RIGHT(regexreplace(B108&amp;"""",""[^0-9]"",""""),9))"),"")</f>
        <v/>
      </c>
      <c r="B108" s="5"/>
      <c r="C108" s="5"/>
      <c r="D108" s="5"/>
      <c r="E108" s="23"/>
      <c r="F108" s="23"/>
      <c r="G108" s="23"/>
      <c r="H108" s="23"/>
      <c r="I108" s="23"/>
      <c r="J108" s="23"/>
      <c r="K108" s="10" t="str">
        <f t="shared" si="1"/>
        <v/>
      </c>
      <c r="L108" s="27"/>
      <c r="M108" s="27"/>
      <c r="N108" s="10" t="str">
        <f t="shared" ref="N108:N109" si="38">IF(COUNTIF($A$2:A107,A108)&gt;0,INDEX($C$2:C107,MATCH(A108,$A$2:A107,0)),"")</f>
        <v/>
      </c>
      <c r="O108" s="17"/>
      <c r="P108" s="29"/>
    </row>
    <row r="109" ht="15.75" customHeight="1">
      <c r="A109" s="9" t="str">
        <f>IFERROR(__xludf.DUMMYFUNCTION("IF(B109="""","""",RIGHT(regexreplace(B109&amp;"""",""[^0-9]"",""""),9))"),"")</f>
        <v/>
      </c>
      <c r="B109" s="5"/>
      <c r="C109" s="5"/>
      <c r="D109" s="5"/>
      <c r="E109" s="23"/>
      <c r="F109" s="23"/>
      <c r="G109" s="23"/>
      <c r="H109" s="23"/>
      <c r="I109" s="23"/>
      <c r="J109" s="23"/>
      <c r="K109" s="10" t="str">
        <f t="shared" si="1"/>
        <v/>
      </c>
      <c r="L109" s="27"/>
      <c r="M109" s="27"/>
      <c r="N109" s="10" t="str">
        <f t="shared" si="38"/>
        <v/>
      </c>
      <c r="O109" s="17"/>
      <c r="P109" s="29"/>
    </row>
    <row r="110" ht="15.75" customHeight="1">
      <c r="A110" s="9" t="str">
        <f>IFERROR(__xludf.DUMMYFUNCTION("IF(B110="""","""",RIGHT(regexreplace(B110&amp;"""",""[^0-9]"",""""),9))"),"")</f>
        <v/>
      </c>
      <c r="B110" s="5"/>
      <c r="C110" s="5"/>
      <c r="D110" s="5"/>
      <c r="E110" s="23"/>
      <c r="F110" s="23"/>
      <c r="G110" s="23"/>
      <c r="H110" s="23"/>
      <c r="I110" s="23"/>
      <c r="J110" s="23"/>
      <c r="K110" s="10" t="str">
        <f t="shared" si="1"/>
        <v/>
      </c>
      <c r="L110" s="27"/>
      <c r="M110" s="27"/>
      <c r="N110" s="10" t="str">
        <f t="array" ref="N110">IF(COUNTIF($A$2:A109,A)&gt;0,INDEX($C$2:C109,MATCH(A110,$A$2:A109,0)),"")</f>
        <v/>
      </c>
      <c r="O110" s="17"/>
      <c r="P110" s="29"/>
    </row>
    <row r="111" ht="15.75" customHeight="1">
      <c r="A111" s="9" t="str">
        <f>IFERROR(__xludf.DUMMYFUNCTION("IF(B111="""","""",RIGHT(regexreplace(B111&amp;"""",""[^0-9]"",""""),9))"),"")</f>
        <v/>
      </c>
      <c r="B111" s="5"/>
      <c r="C111" s="5"/>
      <c r="D111" s="5"/>
      <c r="E111" s="23"/>
      <c r="F111" s="23"/>
      <c r="G111" s="23"/>
      <c r="H111" s="23"/>
      <c r="I111" s="23"/>
      <c r="J111" s="23"/>
      <c r="K111" s="10" t="str">
        <f t="shared" si="1"/>
        <v/>
      </c>
      <c r="L111" s="27"/>
      <c r="M111" s="27"/>
      <c r="N111" s="10" t="str">
        <f t="shared" ref="N111:N112" si="39">IF(COUNTIF($A$2:A110,A111)&gt;0,INDEX($C$2:C110,MATCH(A111,$A$2:A110,0)),"")</f>
        <v/>
      </c>
      <c r="O111" s="17"/>
      <c r="P111" s="29"/>
    </row>
    <row r="112" ht="15.75" customHeight="1">
      <c r="A112" s="9" t="str">
        <f>IFERROR(__xludf.DUMMYFUNCTION("IF(B112="""","""",RIGHT(regexreplace(B112&amp;"""",""[^0-9]"",""""),9))"),"")</f>
        <v/>
      </c>
      <c r="B112" s="5"/>
      <c r="C112" s="5"/>
      <c r="D112" s="5"/>
      <c r="E112" s="23"/>
      <c r="F112" s="23"/>
      <c r="G112" s="23"/>
      <c r="H112" s="23"/>
      <c r="I112" s="23"/>
      <c r="J112" s="23"/>
      <c r="K112" s="10" t="str">
        <f t="shared" si="1"/>
        <v/>
      </c>
      <c r="L112" s="27"/>
      <c r="M112" s="27"/>
      <c r="N112" s="10" t="str">
        <f t="shared" si="39"/>
        <v/>
      </c>
      <c r="O112" s="17"/>
      <c r="P112" s="29"/>
    </row>
    <row r="113" ht="15.75" customHeight="1">
      <c r="A113" s="9" t="str">
        <f>IFERROR(__xludf.DUMMYFUNCTION("IF(B113="""","""",RIGHT(regexreplace(B113&amp;"""",""[^0-9]"",""""),9))"),"")</f>
        <v/>
      </c>
      <c r="B113" s="5"/>
      <c r="C113" s="5"/>
      <c r="D113" s="5"/>
      <c r="E113" s="23"/>
      <c r="F113" s="23"/>
      <c r="G113" s="23"/>
      <c r="H113" s="23"/>
      <c r="I113" s="23"/>
      <c r="J113" s="23"/>
      <c r="K113" s="10" t="str">
        <f t="shared" si="1"/>
        <v/>
      </c>
      <c r="L113" s="27"/>
      <c r="M113" s="27"/>
      <c r="N113" s="10" t="str">
        <f t="array" ref="N113">IF(COUNTIF($A$2:A112,A)&gt;0,INDEX($C$2:C112,MATCH(A113,$A$2:A112,0)),"")</f>
        <v/>
      </c>
      <c r="O113" s="17"/>
      <c r="P113" s="29"/>
    </row>
    <row r="114" ht="15.75" customHeight="1">
      <c r="A114" s="9" t="str">
        <f>IFERROR(__xludf.DUMMYFUNCTION("IF(B114="""","""",RIGHT(regexreplace(B114&amp;"""",""[^0-9]"",""""),9))"),"")</f>
        <v/>
      </c>
      <c r="B114" s="5"/>
      <c r="C114" s="5"/>
      <c r="D114" s="5"/>
      <c r="E114" s="23"/>
      <c r="F114" s="23"/>
      <c r="G114" s="23"/>
      <c r="H114" s="23"/>
      <c r="I114" s="23"/>
      <c r="J114" s="23"/>
      <c r="K114" s="10" t="str">
        <f t="shared" si="1"/>
        <v/>
      </c>
      <c r="L114" s="27"/>
      <c r="M114" s="27"/>
      <c r="N114" s="10" t="str">
        <f t="shared" ref="N114:N115" si="40">IF(COUNTIF($A$2:A113,A114)&gt;0,INDEX($C$2:C113,MATCH(A114,$A$2:A113,0)),"")</f>
        <v/>
      </c>
      <c r="O114" s="17"/>
      <c r="P114" s="29"/>
    </row>
    <row r="115" ht="15.75" customHeight="1">
      <c r="A115" s="9" t="str">
        <f>IFERROR(__xludf.DUMMYFUNCTION("IF(B115="""","""",RIGHT(regexreplace(B115&amp;"""",""[^0-9]"",""""),9))"),"")</f>
        <v/>
      </c>
      <c r="B115" s="5"/>
      <c r="C115" s="5"/>
      <c r="D115" s="5"/>
      <c r="E115" s="23"/>
      <c r="F115" s="23"/>
      <c r="G115" s="23"/>
      <c r="H115" s="23"/>
      <c r="I115" s="23"/>
      <c r="J115" s="23"/>
      <c r="K115" s="10" t="str">
        <f t="shared" si="1"/>
        <v/>
      </c>
      <c r="L115" s="27"/>
      <c r="M115" s="27"/>
      <c r="N115" s="10" t="str">
        <f t="shared" si="40"/>
        <v/>
      </c>
      <c r="O115" s="17"/>
      <c r="P115" s="29"/>
    </row>
    <row r="116" ht="15.75" customHeight="1">
      <c r="A116" s="9" t="str">
        <f>IFERROR(__xludf.DUMMYFUNCTION("IF(B116="""","""",RIGHT(regexreplace(B116&amp;"""",""[^0-9]"",""""),9))"),"")</f>
        <v/>
      </c>
      <c r="B116" s="5"/>
      <c r="C116" s="5"/>
      <c r="D116" s="5"/>
      <c r="E116" s="23"/>
      <c r="F116" s="23"/>
      <c r="G116" s="23"/>
      <c r="H116" s="23"/>
      <c r="I116" s="23"/>
      <c r="J116" s="23"/>
      <c r="K116" s="10" t="str">
        <f t="shared" si="1"/>
        <v/>
      </c>
      <c r="L116" s="27"/>
      <c r="M116" s="27"/>
      <c r="N116" s="10" t="str">
        <f t="array" ref="N116">IF(COUNTIF($A$2:A115,A)&gt;0,INDEX($C$2:C115,MATCH(A116,$A$2:A115,0)),"")</f>
        <v/>
      </c>
      <c r="O116" s="17"/>
      <c r="P116" s="29"/>
    </row>
    <row r="117" ht="15.75" customHeight="1">
      <c r="A117" s="9" t="str">
        <f>IFERROR(__xludf.DUMMYFUNCTION("IF(B117="""","""",RIGHT(regexreplace(B117&amp;"""",""[^0-9]"",""""),9))"),"")</f>
        <v/>
      </c>
      <c r="B117" s="5"/>
      <c r="C117" s="5"/>
      <c r="D117" s="5"/>
      <c r="E117" s="23"/>
      <c r="F117" s="23"/>
      <c r="G117" s="23"/>
      <c r="H117" s="23"/>
      <c r="I117" s="23"/>
      <c r="J117" s="23"/>
      <c r="K117" s="10" t="str">
        <f t="shared" si="1"/>
        <v/>
      </c>
      <c r="L117" s="27"/>
      <c r="M117" s="27"/>
      <c r="N117" s="10" t="str">
        <f t="shared" ref="N117:N118" si="41">IF(COUNTIF($A$2:A116,A117)&gt;0,INDEX($C$2:C116,MATCH(A117,$A$2:A116,0)),"")</f>
        <v/>
      </c>
      <c r="O117" s="17"/>
      <c r="P117" s="29"/>
    </row>
    <row r="118" ht="15.75" customHeight="1">
      <c r="A118" s="9" t="str">
        <f>IFERROR(__xludf.DUMMYFUNCTION("IF(B118="""","""",RIGHT(regexreplace(B118&amp;"""",""[^0-9]"",""""),9))"),"")</f>
        <v/>
      </c>
      <c r="B118" s="5"/>
      <c r="C118" s="5"/>
      <c r="D118" s="5"/>
      <c r="E118" s="23"/>
      <c r="F118" s="23"/>
      <c r="G118" s="23"/>
      <c r="H118" s="23"/>
      <c r="I118" s="23"/>
      <c r="J118" s="23"/>
      <c r="K118" s="10" t="str">
        <f t="shared" si="1"/>
        <v/>
      </c>
      <c r="L118" s="27"/>
      <c r="M118" s="27"/>
      <c r="N118" s="10" t="str">
        <f t="shared" si="41"/>
        <v/>
      </c>
      <c r="O118" s="17"/>
      <c r="P118" s="29"/>
    </row>
    <row r="119" ht="15.75" customHeight="1">
      <c r="A119" s="9" t="str">
        <f>IFERROR(__xludf.DUMMYFUNCTION("IF(B119="""","""",RIGHT(regexreplace(B119&amp;"""",""[^0-9]"",""""),9))"),"")</f>
        <v/>
      </c>
      <c r="B119" s="5"/>
      <c r="C119" s="5"/>
      <c r="D119" s="5"/>
      <c r="E119" s="23"/>
      <c r="F119" s="23"/>
      <c r="G119" s="23"/>
      <c r="H119" s="23"/>
      <c r="I119" s="23"/>
      <c r="J119" s="23"/>
      <c r="K119" s="10" t="str">
        <f t="shared" si="1"/>
        <v/>
      </c>
      <c r="L119" s="27"/>
      <c r="M119" s="27"/>
      <c r="N119" s="10" t="str">
        <f t="array" ref="N119">IF(COUNTIF($A$2:A118,A)&gt;0,INDEX($C$2:C118,MATCH(A119,$A$2:A118,0)),"")</f>
        <v/>
      </c>
      <c r="O119" s="17"/>
      <c r="P119" s="29"/>
    </row>
    <row r="120" ht="15.75" customHeight="1">
      <c r="A120" s="9" t="str">
        <f>IFERROR(__xludf.DUMMYFUNCTION("IF(B120="""","""",RIGHT(regexreplace(B120&amp;"""",""[^0-9]"",""""),9))"),"")</f>
        <v/>
      </c>
      <c r="B120" s="5"/>
      <c r="C120" s="5"/>
      <c r="D120" s="5"/>
      <c r="E120" s="23"/>
      <c r="F120" s="23"/>
      <c r="G120" s="23"/>
      <c r="H120" s="23"/>
      <c r="I120" s="23"/>
      <c r="J120" s="23"/>
      <c r="K120" s="10" t="str">
        <f t="shared" si="1"/>
        <v/>
      </c>
      <c r="L120" s="27"/>
      <c r="M120" s="27"/>
      <c r="N120" s="10" t="str">
        <f t="shared" ref="N120:N121" si="42">IF(COUNTIF($A$2:A119,A120)&gt;0,INDEX($C$2:C119,MATCH(A120,$A$2:A119,0)),"")</f>
        <v/>
      </c>
      <c r="O120" s="17"/>
      <c r="P120" s="29"/>
    </row>
    <row r="121" ht="15.75" customHeight="1">
      <c r="A121" s="9" t="str">
        <f>IFERROR(__xludf.DUMMYFUNCTION("IF(B121="""","""",RIGHT(regexreplace(B121&amp;"""",""[^0-9]"",""""),9))"),"")</f>
        <v/>
      </c>
      <c r="B121" s="5"/>
      <c r="C121" s="5"/>
      <c r="D121" s="5"/>
      <c r="E121" s="23"/>
      <c r="F121" s="23"/>
      <c r="G121" s="23"/>
      <c r="H121" s="23"/>
      <c r="I121" s="23"/>
      <c r="J121" s="23"/>
      <c r="K121" s="10" t="str">
        <f t="shared" si="1"/>
        <v/>
      </c>
      <c r="L121" s="27"/>
      <c r="M121" s="27"/>
      <c r="N121" s="10" t="str">
        <f t="shared" si="42"/>
        <v/>
      </c>
      <c r="O121" s="17"/>
      <c r="P121" s="29"/>
    </row>
    <row r="122" ht="15.75" customHeight="1">
      <c r="A122" s="9" t="str">
        <f>IFERROR(__xludf.DUMMYFUNCTION("IF(B122="""","""",RIGHT(regexreplace(B122&amp;"""",""[^0-9]"",""""),9))"),"")</f>
        <v/>
      </c>
      <c r="B122" s="5"/>
      <c r="C122" s="5"/>
      <c r="D122" s="5"/>
      <c r="E122" s="23"/>
      <c r="F122" s="23"/>
      <c r="G122" s="23"/>
      <c r="H122" s="23"/>
      <c r="I122" s="23"/>
      <c r="J122" s="23"/>
      <c r="K122" s="10" t="str">
        <f t="shared" si="1"/>
        <v/>
      </c>
      <c r="L122" s="27"/>
      <c r="M122" s="27"/>
      <c r="N122" s="10" t="str">
        <f t="array" ref="N122">IF(COUNTIF($A$2:A121,A)&gt;0,INDEX($C$2:C121,MATCH(A122,$A$2:A121,0)),"")</f>
        <v/>
      </c>
      <c r="O122" s="17"/>
      <c r="P122" s="29"/>
    </row>
    <row r="123" ht="15.75" customHeight="1">
      <c r="A123" s="9" t="str">
        <f>IFERROR(__xludf.DUMMYFUNCTION("IF(B123="""","""",RIGHT(regexreplace(B123&amp;"""",""[^0-9]"",""""),9))"),"")</f>
        <v/>
      </c>
      <c r="B123" s="5"/>
      <c r="C123" s="5"/>
      <c r="D123" s="5"/>
      <c r="E123" s="23"/>
      <c r="F123" s="23"/>
      <c r="G123" s="23"/>
      <c r="H123" s="23"/>
      <c r="I123" s="23"/>
      <c r="J123" s="23"/>
      <c r="K123" s="10" t="str">
        <f t="shared" si="1"/>
        <v/>
      </c>
      <c r="L123" s="27"/>
      <c r="M123" s="27"/>
      <c r="N123" s="10" t="str">
        <f t="shared" ref="N123:N124" si="43">IF(COUNTIF($A$2:A122,A123)&gt;0,INDEX($C$2:C122,MATCH(A123,$A$2:A122,0)),"")</f>
        <v/>
      </c>
      <c r="O123" s="17"/>
      <c r="P123" s="29"/>
    </row>
    <row r="124" ht="15.75" customHeight="1">
      <c r="A124" s="9" t="str">
        <f>IFERROR(__xludf.DUMMYFUNCTION("IF(B124="""","""",RIGHT(regexreplace(B124&amp;"""",""[^0-9]"",""""),9))"),"")</f>
        <v/>
      </c>
      <c r="B124" s="5"/>
      <c r="C124" s="5"/>
      <c r="D124" s="5"/>
      <c r="E124" s="23"/>
      <c r="F124" s="23"/>
      <c r="G124" s="23"/>
      <c r="H124" s="23"/>
      <c r="I124" s="23"/>
      <c r="J124" s="23"/>
      <c r="K124" s="10" t="str">
        <f t="shared" si="1"/>
        <v/>
      </c>
      <c r="L124" s="27"/>
      <c r="M124" s="27"/>
      <c r="N124" s="10" t="str">
        <f t="shared" si="43"/>
        <v/>
      </c>
      <c r="O124" s="17"/>
      <c r="P124" s="29"/>
    </row>
    <row r="125" ht="15.75" customHeight="1">
      <c r="A125" s="9" t="str">
        <f>IFERROR(__xludf.DUMMYFUNCTION("IF(B125="""","""",RIGHT(regexreplace(B125&amp;"""",""[^0-9]"",""""),9))"),"")</f>
        <v/>
      </c>
      <c r="B125" s="5"/>
      <c r="C125" s="5"/>
      <c r="D125" s="5"/>
      <c r="E125" s="23"/>
      <c r="F125" s="23"/>
      <c r="G125" s="23"/>
      <c r="H125" s="23"/>
      <c r="I125" s="23"/>
      <c r="J125" s="23"/>
      <c r="K125" s="10" t="str">
        <f t="shared" si="1"/>
        <v/>
      </c>
      <c r="L125" s="27"/>
      <c r="M125" s="27"/>
      <c r="N125" s="10" t="str">
        <f t="array" ref="N125">IF(COUNTIF($A$2:A124,A)&gt;0,INDEX($C$2:C124,MATCH(A125,$A$2:A124,0)),"")</f>
        <v/>
      </c>
      <c r="O125" s="17"/>
      <c r="P125" s="29"/>
    </row>
    <row r="126" ht="15.75" customHeight="1">
      <c r="A126" s="9" t="str">
        <f>IFERROR(__xludf.DUMMYFUNCTION("IF(B126="""","""",RIGHT(regexreplace(B126&amp;"""",""[^0-9]"",""""),9))"),"")</f>
        <v/>
      </c>
      <c r="B126" s="5"/>
      <c r="C126" s="5"/>
      <c r="D126" s="5"/>
      <c r="E126" s="23"/>
      <c r="F126" s="23"/>
      <c r="G126" s="23"/>
      <c r="H126" s="23"/>
      <c r="I126" s="23"/>
      <c r="J126" s="23"/>
      <c r="K126" s="10" t="str">
        <f t="shared" si="1"/>
        <v/>
      </c>
      <c r="L126" s="27"/>
      <c r="M126" s="27"/>
      <c r="N126" s="10" t="str">
        <f t="shared" ref="N126:N127" si="44">IF(COUNTIF($A$2:A125,A126)&gt;0,INDEX($C$2:C125,MATCH(A126,$A$2:A125,0)),"")</f>
        <v/>
      </c>
      <c r="O126" s="17"/>
      <c r="P126" s="29"/>
    </row>
    <row r="127" ht="15.75" customHeight="1">
      <c r="A127" s="9" t="str">
        <f>IFERROR(__xludf.DUMMYFUNCTION("IF(B127="""","""",RIGHT(regexreplace(B127&amp;"""",""[^0-9]"",""""),9))"),"")</f>
        <v/>
      </c>
      <c r="B127" s="5"/>
      <c r="C127" s="5"/>
      <c r="D127" s="5"/>
      <c r="E127" s="23"/>
      <c r="F127" s="23"/>
      <c r="G127" s="23"/>
      <c r="H127" s="23"/>
      <c r="I127" s="23"/>
      <c r="J127" s="23"/>
      <c r="K127" s="10" t="str">
        <f t="shared" si="1"/>
        <v/>
      </c>
      <c r="L127" s="27"/>
      <c r="M127" s="27"/>
      <c r="N127" s="10" t="str">
        <f t="shared" si="44"/>
        <v/>
      </c>
      <c r="O127" s="17"/>
      <c r="P127" s="29"/>
    </row>
    <row r="128" ht="15.75" customHeight="1">
      <c r="A128" s="9" t="str">
        <f>IFERROR(__xludf.DUMMYFUNCTION("IF(B128="""","""",RIGHT(regexreplace(B128&amp;"""",""[^0-9]"",""""),9))"),"")</f>
        <v/>
      </c>
      <c r="B128" s="5"/>
      <c r="C128" s="5"/>
      <c r="D128" s="5"/>
      <c r="E128" s="23"/>
      <c r="F128" s="23"/>
      <c r="G128" s="23"/>
      <c r="H128" s="23"/>
      <c r="I128" s="23"/>
      <c r="J128" s="23"/>
      <c r="K128" s="10" t="str">
        <f t="shared" si="1"/>
        <v/>
      </c>
      <c r="L128" s="27"/>
      <c r="M128" s="27"/>
      <c r="N128" s="10" t="str">
        <f t="array" ref="N128">IF(COUNTIF($A$2:A127,A)&gt;0,INDEX($C$2:C127,MATCH(A128,$A$2:A127,0)),"")</f>
        <v/>
      </c>
      <c r="O128" s="17"/>
      <c r="P128" s="29"/>
    </row>
    <row r="129" ht="15.75" customHeight="1">
      <c r="A129" s="9" t="str">
        <f>IFERROR(__xludf.DUMMYFUNCTION("IF(B129="""","""",RIGHT(regexreplace(B129&amp;"""",""[^0-9]"",""""),9))"),"")</f>
        <v/>
      </c>
      <c r="B129" s="5"/>
      <c r="C129" s="5"/>
      <c r="D129" s="5"/>
      <c r="E129" s="23"/>
      <c r="F129" s="23"/>
      <c r="G129" s="23"/>
      <c r="H129" s="23"/>
      <c r="I129" s="23"/>
      <c r="J129" s="23"/>
      <c r="K129" s="10" t="str">
        <f t="shared" si="1"/>
        <v/>
      </c>
      <c r="L129" s="27"/>
      <c r="M129" s="27"/>
      <c r="N129" s="10" t="str">
        <f t="shared" ref="N129:N130" si="45">IF(COUNTIF($A$2:A128,A129)&gt;0,INDEX($C$2:C128,MATCH(A129,$A$2:A128,0)),"")</f>
        <v/>
      </c>
      <c r="O129" s="17"/>
      <c r="P129" s="29"/>
    </row>
    <row r="130" ht="15.75" customHeight="1">
      <c r="A130" s="9" t="str">
        <f>IFERROR(__xludf.DUMMYFUNCTION("IF(B130="""","""",RIGHT(regexreplace(B130&amp;"""",""[^0-9]"",""""),9))"),"")</f>
        <v/>
      </c>
      <c r="B130" s="5"/>
      <c r="C130" s="5"/>
      <c r="D130" s="5"/>
      <c r="E130" s="23"/>
      <c r="F130" s="23"/>
      <c r="G130" s="23"/>
      <c r="H130" s="23"/>
      <c r="I130" s="23"/>
      <c r="J130" s="23"/>
      <c r="K130" s="10" t="str">
        <f t="shared" si="1"/>
        <v/>
      </c>
      <c r="L130" s="27"/>
      <c r="M130" s="27"/>
      <c r="N130" s="10" t="str">
        <f t="shared" si="45"/>
        <v/>
      </c>
      <c r="O130" s="17"/>
      <c r="P130" s="29"/>
    </row>
    <row r="131" ht="15.75" customHeight="1">
      <c r="A131" s="9" t="str">
        <f>IFERROR(__xludf.DUMMYFUNCTION("IF(B131="""","""",RIGHT(regexreplace(B131&amp;"""",""[^0-9]"",""""),9))"),"")</f>
        <v/>
      </c>
      <c r="B131" s="5"/>
      <c r="C131" s="5"/>
      <c r="D131" s="5"/>
      <c r="E131" s="23"/>
      <c r="F131" s="23"/>
      <c r="G131" s="23"/>
      <c r="H131" s="23"/>
      <c r="I131" s="23"/>
      <c r="J131" s="23"/>
      <c r="K131" s="10" t="str">
        <f t="shared" si="1"/>
        <v/>
      </c>
      <c r="L131" s="27"/>
      <c r="M131" s="27"/>
      <c r="N131" s="10" t="str">
        <f t="array" ref="N131">IF(COUNTIF($A$2:A130,A)&gt;0,INDEX($C$2:C130,MATCH(A131,$A$2:A130,0)),"")</f>
        <v/>
      </c>
      <c r="O131" s="17"/>
      <c r="P131" s="29"/>
    </row>
    <row r="132" ht="15.75" customHeight="1">
      <c r="A132" s="9" t="str">
        <f>IFERROR(__xludf.DUMMYFUNCTION("IF(B132="""","""",RIGHT(regexreplace(B132&amp;"""",""[^0-9]"",""""),9))"),"")</f>
        <v/>
      </c>
      <c r="B132" s="5"/>
      <c r="C132" s="5"/>
      <c r="D132" s="5"/>
      <c r="E132" s="23"/>
      <c r="F132" s="23"/>
      <c r="G132" s="23"/>
      <c r="H132" s="23"/>
      <c r="I132" s="23"/>
      <c r="J132" s="23"/>
      <c r="K132" s="10" t="str">
        <f t="shared" si="1"/>
        <v/>
      </c>
      <c r="L132" s="27"/>
      <c r="M132" s="27"/>
      <c r="N132" s="10" t="str">
        <f t="shared" ref="N132:N133" si="46">IF(COUNTIF($A$2:A131,A132)&gt;0,INDEX($C$2:C131,MATCH(A132,$A$2:A131,0)),"")</f>
        <v/>
      </c>
      <c r="O132" s="17"/>
      <c r="P132" s="29"/>
    </row>
    <row r="133" ht="15.75" customHeight="1">
      <c r="A133" s="9" t="str">
        <f>IFERROR(__xludf.DUMMYFUNCTION("IF(B133="""","""",RIGHT(regexreplace(B133&amp;"""",""[^0-9]"",""""),9))"),"")</f>
        <v/>
      </c>
      <c r="B133" s="5"/>
      <c r="C133" s="5"/>
      <c r="D133" s="5"/>
      <c r="E133" s="23"/>
      <c r="F133" s="23"/>
      <c r="G133" s="23"/>
      <c r="H133" s="23"/>
      <c r="I133" s="23"/>
      <c r="J133" s="23"/>
      <c r="K133" s="10" t="str">
        <f t="shared" si="1"/>
        <v/>
      </c>
      <c r="L133" s="27"/>
      <c r="M133" s="27"/>
      <c r="N133" s="10" t="str">
        <f t="shared" si="46"/>
        <v/>
      </c>
      <c r="O133" s="17"/>
      <c r="P133" s="29"/>
    </row>
    <row r="134" ht="15.75" customHeight="1">
      <c r="A134" s="9" t="str">
        <f>IFERROR(__xludf.DUMMYFUNCTION("IF(B134="""","""",RIGHT(regexreplace(B134&amp;"""",""[^0-9]"",""""),9))"),"")</f>
        <v/>
      </c>
      <c r="B134" s="5"/>
      <c r="C134" s="5"/>
      <c r="D134" s="5"/>
      <c r="E134" s="23"/>
      <c r="F134" s="23"/>
      <c r="G134" s="23"/>
      <c r="H134" s="23"/>
      <c r="I134" s="23"/>
      <c r="J134" s="23"/>
      <c r="K134" s="10" t="str">
        <f t="shared" si="1"/>
        <v/>
      </c>
      <c r="L134" s="27"/>
      <c r="M134" s="27"/>
      <c r="N134" s="10" t="str">
        <f t="array" ref="N134">IF(COUNTIF($A$2:A133,A)&gt;0,INDEX($C$2:C133,MATCH(A134,$A$2:A133,0)),"")</f>
        <v/>
      </c>
      <c r="O134" s="17"/>
      <c r="P134" s="29"/>
    </row>
    <row r="135" ht="15.75" customHeight="1">
      <c r="A135" s="9" t="str">
        <f>IFERROR(__xludf.DUMMYFUNCTION("IF(B135="""","""",RIGHT(regexreplace(B135&amp;"""",""[^0-9]"",""""),9))"),"")</f>
        <v/>
      </c>
      <c r="B135" s="5"/>
      <c r="C135" s="5"/>
      <c r="D135" s="5"/>
      <c r="E135" s="23"/>
      <c r="F135" s="23"/>
      <c r="G135" s="23"/>
      <c r="H135" s="23"/>
      <c r="I135" s="23"/>
      <c r="J135" s="23"/>
      <c r="K135" s="10" t="str">
        <f t="shared" si="1"/>
        <v/>
      </c>
      <c r="L135" s="27"/>
      <c r="M135" s="27"/>
      <c r="N135" s="10" t="str">
        <f t="shared" ref="N135:N136" si="47">IF(COUNTIF($A$2:A134,A135)&gt;0,INDEX($C$2:C134,MATCH(A135,$A$2:A134,0)),"")</f>
        <v/>
      </c>
      <c r="O135" s="17"/>
      <c r="P135" s="29"/>
    </row>
    <row r="136" ht="15.75" customHeight="1">
      <c r="A136" s="9" t="str">
        <f>IFERROR(__xludf.DUMMYFUNCTION("IF(B136="""","""",RIGHT(regexreplace(B136&amp;"""",""[^0-9]"",""""),9))"),"")</f>
        <v/>
      </c>
      <c r="B136" s="5"/>
      <c r="C136" s="5"/>
      <c r="D136" s="5"/>
      <c r="E136" s="23"/>
      <c r="F136" s="23"/>
      <c r="G136" s="23"/>
      <c r="H136" s="23"/>
      <c r="I136" s="23"/>
      <c r="J136" s="23"/>
      <c r="K136" s="10" t="str">
        <f t="shared" si="1"/>
        <v/>
      </c>
      <c r="L136" s="27"/>
      <c r="M136" s="27"/>
      <c r="N136" s="10" t="str">
        <f t="shared" si="47"/>
        <v/>
      </c>
      <c r="O136" s="17"/>
      <c r="P136" s="29"/>
    </row>
    <row r="137" ht="15.75" customHeight="1">
      <c r="A137" s="9" t="str">
        <f>IFERROR(__xludf.DUMMYFUNCTION("IF(B137="""","""",RIGHT(regexreplace(B137&amp;"""",""[^0-9]"",""""),9))"),"")</f>
        <v/>
      </c>
      <c r="B137" s="5"/>
      <c r="C137" s="5"/>
      <c r="D137" s="5"/>
      <c r="E137" s="23"/>
      <c r="F137" s="23"/>
      <c r="G137" s="23"/>
      <c r="H137" s="23"/>
      <c r="I137" s="23"/>
      <c r="J137" s="23"/>
      <c r="K137" s="10" t="str">
        <f t="shared" si="1"/>
        <v/>
      </c>
      <c r="L137" s="27"/>
      <c r="M137" s="27"/>
      <c r="N137" s="10" t="str">
        <f t="array" ref="N137">IF(COUNTIF($A$2:A136,A)&gt;0,INDEX($C$2:C136,MATCH(A137,$A$2:A136,0)),"")</f>
        <v/>
      </c>
      <c r="O137" s="17"/>
      <c r="P137" s="29"/>
    </row>
    <row r="138" ht="15.75" customHeight="1">
      <c r="A138" s="9" t="str">
        <f>IFERROR(__xludf.DUMMYFUNCTION("IF(B138="""","""",RIGHT(regexreplace(B138&amp;"""",""[^0-9]"",""""),9))"),"")</f>
        <v/>
      </c>
      <c r="B138" s="5"/>
      <c r="C138" s="5"/>
      <c r="D138" s="5"/>
      <c r="E138" s="23"/>
      <c r="F138" s="23"/>
      <c r="G138" s="23"/>
      <c r="H138" s="23"/>
      <c r="I138" s="23"/>
      <c r="J138" s="23"/>
      <c r="K138" s="10" t="str">
        <f t="shared" si="1"/>
        <v/>
      </c>
      <c r="L138" s="27"/>
      <c r="M138" s="27"/>
      <c r="N138" s="10" t="str">
        <f t="shared" ref="N138:N139" si="48">IF(COUNTIF($A$2:A137,A138)&gt;0,INDEX($C$2:C137,MATCH(A138,$A$2:A137,0)),"")</f>
        <v/>
      </c>
      <c r="O138" s="17"/>
      <c r="P138" s="29"/>
    </row>
    <row r="139" ht="15.75" customHeight="1">
      <c r="A139" s="9" t="str">
        <f>IFERROR(__xludf.DUMMYFUNCTION("IF(B139="""","""",RIGHT(regexreplace(B139&amp;"""",""[^0-9]"",""""),9))"),"")</f>
        <v/>
      </c>
      <c r="B139" s="5"/>
      <c r="C139" s="5"/>
      <c r="D139" s="5"/>
      <c r="E139" s="23"/>
      <c r="F139" s="23"/>
      <c r="G139" s="23"/>
      <c r="H139" s="23"/>
      <c r="I139" s="23"/>
      <c r="J139" s="23"/>
      <c r="K139" s="10" t="str">
        <f t="shared" si="1"/>
        <v/>
      </c>
      <c r="L139" s="27"/>
      <c r="M139" s="27"/>
      <c r="N139" s="10" t="str">
        <f t="shared" si="48"/>
        <v/>
      </c>
      <c r="O139" s="17"/>
      <c r="P139" s="29"/>
    </row>
    <row r="140" ht="15.75" customHeight="1">
      <c r="A140" s="9" t="str">
        <f>IFERROR(__xludf.DUMMYFUNCTION("IF(B140="""","""",RIGHT(regexreplace(B140&amp;"""",""[^0-9]"",""""),9))"),"")</f>
        <v/>
      </c>
      <c r="B140" s="5"/>
      <c r="C140" s="5"/>
      <c r="D140" s="5"/>
      <c r="E140" s="23"/>
      <c r="F140" s="23"/>
      <c r="G140" s="23"/>
      <c r="H140" s="23"/>
      <c r="I140" s="23"/>
      <c r="J140" s="23"/>
      <c r="K140" s="10" t="str">
        <f t="shared" si="1"/>
        <v/>
      </c>
      <c r="L140" s="27"/>
      <c r="M140" s="27"/>
      <c r="N140" s="10" t="str">
        <f t="array" ref="N140">IF(COUNTIF($A$2:A139,A)&gt;0,INDEX($C$2:C139,MATCH(A140,$A$2:A139,0)),"")</f>
        <v/>
      </c>
      <c r="O140" s="17"/>
      <c r="P140" s="29"/>
    </row>
    <row r="141" ht="15.75" customHeight="1">
      <c r="A141" s="9" t="str">
        <f>IFERROR(__xludf.DUMMYFUNCTION("IF(B141="""","""",RIGHT(regexreplace(B141&amp;"""",""[^0-9]"",""""),9))"),"")</f>
        <v/>
      </c>
      <c r="B141" s="5"/>
      <c r="C141" s="5"/>
      <c r="D141" s="5"/>
      <c r="E141" s="23"/>
      <c r="F141" s="23"/>
      <c r="G141" s="23"/>
      <c r="H141" s="23"/>
      <c r="I141" s="23"/>
      <c r="J141" s="23"/>
      <c r="K141" s="10" t="str">
        <f t="shared" si="1"/>
        <v/>
      </c>
      <c r="L141" s="27"/>
      <c r="M141" s="27"/>
      <c r="N141" s="10" t="str">
        <f t="shared" ref="N141:N142" si="49">IF(COUNTIF($A$2:A140,A141)&gt;0,INDEX($C$2:C140,MATCH(A141,$A$2:A140,0)),"")</f>
        <v/>
      </c>
      <c r="O141" s="17"/>
      <c r="P141" s="29"/>
    </row>
    <row r="142" ht="15.75" customHeight="1">
      <c r="A142" s="9" t="str">
        <f>IFERROR(__xludf.DUMMYFUNCTION("IF(B142="""","""",RIGHT(regexreplace(B142&amp;"""",""[^0-9]"",""""),9))"),"")</f>
        <v/>
      </c>
      <c r="B142" s="5"/>
      <c r="C142" s="5"/>
      <c r="D142" s="5"/>
      <c r="E142" s="23"/>
      <c r="F142" s="23"/>
      <c r="G142" s="23"/>
      <c r="H142" s="23"/>
      <c r="I142" s="23"/>
      <c r="J142" s="23"/>
      <c r="K142" s="10" t="str">
        <f t="shared" si="1"/>
        <v/>
      </c>
      <c r="L142" s="27"/>
      <c r="M142" s="27"/>
      <c r="N142" s="10" t="str">
        <f t="shared" si="49"/>
        <v/>
      </c>
      <c r="O142" s="17"/>
      <c r="P142" s="29"/>
    </row>
    <row r="143" ht="15.75" customHeight="1">
      <c r="A143" s="9" t="str">
        <f>IFERROR(__xludf.DUMMYFUNCTION("IF(B143="""","""",RIGHT(regexreplace(B143&amp;"""",""[^0-9]"",""""),9))"),"")</f>
        <v/>
      </c>
      <c r="B143" s="5"/>
      <c r="C143" s="5"/>
      <c r="D143" s="5"/>
      <c r="E143" s="23"/>
      <c r="F143" s="23"/>
      <c r="G143" s="23"/>
      <c r="H143" s="23"/>
      <c r="I143" s="23"/>
      <c r="J143" s="23"/>
      <c r="K143" s="10" t="str">
        <f t="shared" si="1"/>
        <v/>
      </c>
      <c r="L143" s="27"/>
      <c r="M143" s="27"/>
      <c r="N143" s="10" t="str">
        <f t="array" ref="N143">IF(COUNTIF($A$2:A142,A)&gt;0,INDEX($C$2:C142,MATCH(A143,$A$2:A142,0)),"")</f>
        <v/>
      </c>
      <c r="O143" s="17"/>
      <c r="P143" s="29"/>
    </row>
    <row r="144" ht="15.75" customHeight="1">
      <c r="A144" s="9" t="str">
        <f>IFERROR(__xludf.DUMMYFUNCTION("IF(B144="""","""",RIGHT(regexreplace(B144&amp;"""",""[^0-9]"",""""),9))"),"")</f>
        <v/>
      </c>
      <c r="B144" s="5"/>
      <c r="C144" s="5"/>
      <c r="D144" s="5"/>
      <c r="E144" s="23"/>
      <c r="F144" s="23"/>
      <c r="G144" s="23"/>
      <c r="H144" s="23"/>
      <c r="I144" s="23"/>
      <c r="J144" s="23"/>
      <c r="K144" s="10" t="str">
        <f t="shared" si="1"/>
        <v/>
      </c>
      <c r="L144" s="27"/>
      <c r="M144" s="27"/>
      <c r="N144" s="10" t="str">
        <f t="shared" ref="N144:N145" si="50">IF(COUNTIF($A$2:A143,A144)&gt;0,INDEX($C$2:C143,MATCH(A144,$A$2:A143,0)),"")</f>
        <v/>
      </c>
      <c r="O144" s="17"/>
      <c r="P144" s="29"/>
    </row>
    <row r="145" ht="15.75" customHeight="1">
      <c r="A145" s="9" t="str">
        <f>IFERROR(__xludf.DUMMYFUNCTION("IF(B145="""","""",RIGHT(regexreplace(B145&amp;"""",""[^0-9]"",""""),9))"),"")</f>
        <v/>
      </c>
      <c r="B145" s="5"/>
      <c r="C145" s="5"/>
      <c r="D145" s="5"/>
      <c r="E145" s="23"/>
      <c r="F145" s="23"/>
      <c r="G145" s="23"/>
      <c r="H145" s="23"/>
      <c r="I145" s="23"/>
      <c r="J145" s="23"/>
      <c r="K145" s="10" t="str">
        <f t="shared" si="1"/>
        <v/>
      </c>
      <c r="L145" s="27"/>
      <c r="M145" s="27"/>
      <c r="N145" s="10" t="str">
        <f t="shared" si="50"/>
        <v/>
      </c>
      <c r="O145" s="17"/>
      <c r="P145" s="29"/>
    </row>
    <row r="146" ht="15.75" customHeight="1">
      <c r="A146" s="9" t="str">
        <f>IFERROR(__xludf.DUMMYFUNCTION("IF(B146="""","""",RIGHT(regexreplace(B146&amp;"""",""[^0-9]"",""""),9))"),"")</f>
        <v/>
      </c>
      <c r="B146" s="5"/>
      <c r="C146" s="5"/>
      <c r="D146" s="5"/>
      <c r="E146" s="23"/>
      <c r="F146" s="23"/>
      <c r="G146" s="23"/>
      <c r="H146" s="23"/>
      <c r="I146" s="23"/>
      <c r="J146" s="23"/>
      <c r="K146" s="10" t="str">
        <f t="shared" si="1"/>
        <v/>
      </c>
      <c r="L146" s="27"/>
      <c r="M146" s="27"/>
      <c r="N146" s="10" t="str">
        <f t="array" ref="N146">IF(COUNTIF($A$2:A145,A)&gt;0,INDEX($C$2:C145,MATCH(A146,$A$2:A145,0)),"")</f>
        <v/>
      </c>
      <c r="O146" s="17"/>
      <c r="P146" s="29"/>
    </row>
    <row r="147" ht="15.75" customHeight="1">
      <c r="A147" s="9" t="str">
        <f>IFERROR(__xludf.DUMMYFUNCTION("IF(B147="""","""",RIGHT(regexreplace(B147&amp;"""",""[^0-9]"",""""),9))"),"")</f>
        <v/>
      </c>
      <c r="B147" s="5"/>
      <c r="C147" s="5"/>
      <c r="D147" s="5"/>
      <c r="E147" s="23"/>
      <c r="F147" s="23"/>
      <c r="G147" s="23"/>
      <c r="H147" s="23"/>
      <c r="I147" s="23"/>
      <c r="J147" s="23"/>
      <c r="K147" s="10" t="str">
        <f t="shared" si="1"/>
        <v/>
      </c>
      <c r="L147" s="27"/>
      <c r="M147" s="27"/>
      <c r="N147" s="10" t="str">
        <f t="shared" ref="N147:N148" si="51">IF(COUNTIF($A$2:A146,A147)&gt;0,INDEX($C$2:C146,MATCH(A147,$A$2:A146,0)),"")</f>
        <v/>
      </c>
      <c r="O147" s="17"/>
      <c r="P147" s="29"/>
    </row>
    <row r="148" ht="15.75" customHeight="1">
      <c r="A148" s="9" t="str">
        <f>IFERROR(__xludf.DUMMYFUNCTION("IF(B148="""","""",RIGHT(regexreplace(B148&amp;"""",""[^0-9]"",""""),9))"),"")</f>
        <v/>
      </c>
      <c r="B148" s="5"/>
      <c r="C148" s="5"/>
      <c r="D148" s="5"/>
      <c r="E148" s="23"/>
      <c r="F148" s="23"/>
      <c r="G148" s="23"/>
      <c r="H148" s="23"/>
      <c r="I148" s="23"/>
      <c r="J148" s="23"/>
      <c r="K148" s="10" t="str">
        <f t="shared" si="1"/>
        <v/>
      </c>
      <c r="L148" s="27"/>
      <c r="M148" s="27"/>
      <c r="N148" s="10" t="str">
        <f t="shared" si="51"/>
        <v/>
      </c>
      <c r="O148" s="17"/>
      <c r="P148" s="29"/>
    </row>
    <row r="149" ht="15.75" customHeight="1">
      <c r="A149" s="9" t="str">
        <f>IFERROR(__xludf.DUMMYFUNCTION("IF(B149="""","""",RIGHT(regexreplace(B149&amp;"""",""[^0-9]"",""""),9))"),"")</f>
        <v/>
      </c>
      <c r="B149" s="5"/>
      <c r="C149" s="5"/>
      <c r="D149" s="5"/>
      <c r="E149" s="23"/>
      <c r="F149" s="23"/>
      <c r="G149" s="23"/>
      <c r="H149" s="23"/>
      <c r="I149" s="23"/>
      <c r="J149" s="23"/>
      <c r="K149" s="10" t="str">
        <f t="shared" si="1"/>
        <v/>
      </c>
      <c r="L149" s="27"/>
      <c r="M149" s="27"/>
      <c r="N149" s="10" t="str">
        <f t="array" ref="N149">IF(COUNTIF($A$2:A148,A)&gt;0,INDEX($C$2:C148,MATCH(A149,$A$2:A148,0)),"")</f>
        <v/>
      </c>
      <c r="O149" s="17"/>
      <c r="P149" s="29"/>
    </row>
    <row r="150" ht="15.75" customHeight="1">
      <c r="A150" s="9" t="str">
        <f>IFERROR(__xludf.DUMMYFUNCTION("IF(B150="""","""",RIGHT(regexreplace(B150&amp;"""",""[^0-9]"",""""),9))"),"")</f>
        <v/>
      </c>
      <c r="B150" s="5"/>
      <c r="C150" s="5"/>
      <c r="D150" s="5"/>
      <c r="E150" s="23"/>
      <c r="F150" s="23"/>
      <c r="G150" s="23"/>
      <c r="H150" s="23"/>
      <c r="I150" s="23"/>
      <c r="J150" s="23"/>
      <c r="K150" s="10" t="str">
        <f t="shared" si="1"/>
        <v/>
      </c>
      <c r="L150" s="27"/>
      <c r="M150" s="27"/>
      <c r="N150" s="10" t="str">
        <f t="shared" ref="N150:N151" si="52">IF(COUNTIF($A$2:A149,A150)&gt;0,INDEX($C$2:C149,MATCH(A150,$A$2:A149,0)),"")</f>
        <v/>
      </c>
      <c r="O150" s="17"/>
      <c r="P150" s="29"/>
    </row>
    <row r="151" ht="15.75" customHeight="1">
      <c r="A151" s="9" t="str">
        <f>IFERROR(__xludf.DUMMYFUNCTION("IF(B151="""","""",RIGHT(regexreplace(B151&amp;"""",""[^0-9]"",""""),9))"),"")</f>
        <v/>
      </c>
      <c r="B151" s="5"/>
      <c r="C151" s="5"/>
      <c r="D151" s="5"/>
      <c r="E151" s="23"/>
      <c r="F151" s="23"/>
      <c r="G151" s="23"/>
      <c r="H151" s="23"/>
      <c r="I151" s="23"/>
      <c r="J151" s="23"/>
      <c r="K151" s="10" t="str">
        <f t="shared" si="1"/>
        <v/>
      </c>
      <c r="L151" s="27"/>
      <c r="M151" s="27"/>
      <c r="N151" s="10" t="str">
        <f t="shared" si="52"/>
        <v/>
      </c>
      <c r="O151" s="17"/>
      <c r="P151" s="29"/>
    </row>
    <row r="152" ht="15.75" customHeight="1">
      <c r="A152" s="9" t="str">
        <f>IFERROR(__xludf.DUMMYFUNCTION("IF(B152="""","""",RIGHT(regexreplace(B152&amp;"""",""[^0-9]"",""""),9))"),"")</f>
        <v/>
      </c>
      <c r="B152" s="5"/>
      <c r="C152" s="5"/>
      <c r="D152" s="5"/>
      <c r="E152" s="23"/>
      <c r="F152" s="23"/>
      <c r="G152" s="23"/>
      <c r="H152" s="23"/>
      <c r="I152" s="23"/>
      <c r="J152" s="23"/>
      <c r="K152" s="10" t="str">
        <f t="shared" si="1"/>
        <v/>
      </c>
      <c r="L152" s="27"/>
      <c r="M152" s="27"/>
      <c r="N152" s="10" t="str">
        <f t="array" ref="N152">IF(COUNTIF($A$2:A151,A)&gt;0,INDEX($C$2:C151,MATCH(A152,$A$2:A151,0)),"")</f>
        <v/>
      </c>
      <c r="O152" s="17"/>
      <c r="P152" s="29"/>
    </row>
    <row r="153" ht="15.75" customHeight="1">
      <c r="A153" s="9" t="str">
        <f>IFERROR(__xludf.DUMMYFUNCTION("IF(B153="""","""",RIGHT(regexreplace(B153&amp;"""",""[^0-9]"",""""),9))"),"")</f>
        <v/>
      </c>
      <c r="B153" s="5"/>
      <c r="C153" s="5"/>
      <c r="D153" s="5"/>
      <c r="E153" s="23"/>
      <c r="F153" s="23"/>
      <c r="G153" s="23"/>
      <c r="H153" s="23"/>
      <c r="I153" s="23"/>
      <c r="J153" s="23"/>
      <c r="K153" s="10" t="str">
        <f t="shared" si="1"/>
        <v/>
      </c>
      <c r="L153" s="27"/>
      <c r="M153" s="27"/>
      <c r="N153" s="10" t="str">
        <f t="shared" ref="N153:N154" si="53">IF(COUNTIF($A$2:A152,A153)&gt;0,INDEX($C$2:C152,MATCH(A153,$A$2:A152,0)),"")</f>
        <v/>
      </c>
      <c r="O153" s="17"/>
      <c r="P153" s="29"/>
    </row>
    <row r="154" ht="15.75" customHeight="1">
      <c r="A154" s="9" t="str">
        <f>IFERROR(__xludf.DUMMYFUNCTION("IF(B154="""","""",RIGHT(regexreplace(B154&amp;"""",""[^0-9]"",""""),9))"),"")</f>
        <v/>
      </c>
      <c r="B154" s="5"/>
      <c r="C154" s="5"/>
      <c r="D154" s="5"/>
      <c r="E154" s="23"/>
      <c r="F154" s="23"/>
      <c r="G154" s="23"/>
      <c r="H154" s="23"/>
      <c r="I154" s="23"/>
      <c r="J154" s="23"/>
      <c r="K154" s="10" t="str">
        <f t="shared" si="1"/>
        <v/>
      </c>
      <c r="L154" s="27"/>
      <c r="M154" s="27"/>
      <c r="N154" s="10" t="str">
        <f t="shared" si="53"/>
        <v/>
      </c>
      <c r="O154" s="17"/>
      <c r="P154" s="29"/>
    </row>
    <row r="155" ht="15.75" customHeight="1">
      <c r="A155" s="9" t="str">
        <f>IFERROR(__xludf.DUMMYFUNCTION("IF(B155="""","""",RIGHT(regexreplace(B155&amp;"""",""[^0-9]"",""""),9))"),"")</f>
        <v/>
      </c>
      <c r="B155" s="5"/>
      <c r="C155" s="5"/>
      <c r="D155" s="5"/>
      <c r="E155" s="23"/>
      <c r="F155" s="23"/>
      <c r="G155" s="23"/>
      <c r="H155" s="23"/>
      <c r="I155" s="23"/>
      <c r="J155" s="23"/>
      <c r="K155" s="10" t="str">
        <f t="shared" si="1"/>
        <v/>
      </c>
      <c r="L155" s="27"/>
      <c r="M155" s="27"/>
      <c r="N155" s="10" t="str">
        <f t="array" ref="N155">IF(COUNTIF($A$2:A154,A)&gt;0,INDEX($C$2:C154,MATCH(A155,$A$2:A154,0)),"")</f>
        <v/>
      </c>
      <c r="O155" s="17"/>
      <c r="P155" s="29"/>
    </row>
    <row r="156" ht="15.75" customHeight="1">
      <c r="A156" s="9" t="str">
        <f>IFERROR(__xludf.DUMMYFUNCTION("IF(B156="""","""",RIGHT(regexreplace(B156&amp;"""",""[^0-9]"",""""),9))"),"")</f>
        <v/>
      </c>
      <c r="B156" s="5"/>
      <c r="C156" s="5"/>
      <c r="D156" s="5"/>
      <c r="E156" s="23"/>
      <c r="F156" s="23"/>
      <c r="G156" s="23"/>
      <c r="H156" s="23"/>
      <c r="I156" s="23"/>
      <c r="J156" s="23"/>
      <c r="K156" s="10" t="str">
        <f t="shared" si="1"/>
        <v/>
      </c>
      <c r="L156" s="27"/>
      <c r="M156" s="27"/>
      <c r="N156" s="10" t="str">
        <f t="shared" ref="N156:N157" si="54">IF(COUNTIF($A$2:A155,A156)&gt;0,INDEX($C$2:C155,MATCH(A156,$A$2:A155,0)),"")</f>
        <v/>
      </c>
      <c r="O156" s="17"/>
      <c r="P156" s="29"/>
    </row>
    <row r="157" ht="15.75" customHeight="1">
      <c r="A157" s="9" t="str">
        <f>IFERROR(__xludf.DUMMYFUNCTION("IF(B157="""","""",RIGHT(regexreplace(B157&amp;"""",""[^0-9]"",""""),9))"),"")</f>
        <v/>
      </c>
      <c r="B157" s="5"/>
      <c r="C157" s="5"/>
      <c r="D157" s="5"/>
      <c r="E157" s="23"/>
      <c r="F157" s="23"/>
      <c r="G157" s="23"/>
      <c r="H157" s="23"/>
      <c r="I157" s="23"/>
      <c r="J157" s="23"/>
      <c r="K157" s="10" t="str">
        <f t="shared" si="1"/>
        <v/>
      </c>
      <c r="L157" s="27"/>
      <c r="M157" s="27"/>
      <c r="N157" s="10" t="str">
        <f t="shared" si="54"/>
        <v/>
      </c>
      <c r="O157" s="17"/>
      <c r="P157" s="29"/>
    </row>
    <row r="158" ht="15.75" customHeight="1">
      <c r="A158" s="9" t="str">
        <f>IFERROR(__xludf.DUMMYFUNCTION("IF(B158="""","""",RIGHT(regexreplace(B158&amp;"""",""[^0-9]"",""""),9))"),"")</f>
        <v/>
      </c>
      <c r="B158" s="5"/>
      <c r="C158" s="5"/>
      <c r="D158" s="5"/>
      <c r="E158" s="23"/>
      <c r="F158" s="23"/>
      <c r="G158" s="23"/>
      <c r="H158" s="23"/>
      <c r="I158" s="23"/>
      <c r="J158" s="23"/>
      <c r="K158" s="10" t="str">
        <f t="shared" si="1"/>
        <v/>
      </c>
      <c r="L158" s="27"/>
      <c r="M158" s="27"/>
      <c r="N158" s="10" t="str">
        <f t="array" ref="N158">IF(COUNTIF($A$2:A157,A)&gt;0,INDEX($C$2:C157,MATCH(A158,$A$2:A157,0)),"")</f>
        <v/>
      </c>
      <c r="O158" s="17"/>
      <c r="P158" s="29"/>
    </row>
    <row r="159" ht="15.75" customHeight="1">
      <c r="A159" s="9" t="str">
        <f>IFERROR(__xludf.DUMMYFUNCTION("IF(B159="""","""",RIGHT(regexreplace(B159&amp;"""",""[^0-9]"",""""),9))"),"")</f>
        <v/>
      </c>
      <c r="B159" s="5"/>
      <c r="C159" s="5"/>
      <c r="D159" s="5"/>
      <c r="E159" s="23"/>
      <c r="F159" s="23"/>
      <c r="G159" s="23"/>
      <c r="H159" s="23"/>
      <c r="I159" s="23"/>
      <c r="J159" s="23"/>
      <c r="K159" s="10" t="str">
        <f t="shared" si="1"/>
        <v/>
      </c>
      <c r="L159" s="27"/>
      <c r="M159" s="27"/>
      <c r="N159" s="10" t="str">
        <f t="shared" ref="N159:N160" si="55">IF(COUNTIF($A$2:A158,A159)&gt;0,INDEX($C$2:C158,MATCH(A159,$A$2:A158,0)),"")</f>
        <v/>
      </c>
      <c r="O159" s="17"/>
      <c r="P159" s="29"/>
    </row>
    <row r="160" ht="15.75" customHeight="1">
      <c r="A160" s="9" t="str">
        <f>IFERROR(__xludf.DUMMYFUNCTION("IF(B160="""","""",RIGHT(regexreplace(B160&amp;"""",""[^0-9]"",""""),9))"),"")</f>
        <v/>
      </c>
      <c r="B160" s="5"/>
      <c r="C160" s="5"/>
      <c r="D160" s="5"/>
      <c r="E160" s="23"/>
      <c r="F160" s="23"/>
      <c r="G160" s="23"/>
      <c r="H160" s="23"/>
      <c r="I160" s="23"/>
      <c r="J160" s="23"/>
      <c r="K160" s="10" t="str">
        <f t="shared" si="1"/>
        <v/>
      </c>
      <c r="L160" s="27"/>
      <c r="M160" s="27"/>
      <c r="N160" s="10" t="str">
        <f t="shared" si="55"/>
        <v/>
      </c>
      <c r="O160" s="17"/>
      <c r="P160" s="29"/>
    </row>
    <row r="161" ht="15.75" customHeight="1">
      <c r="A161" s="9" t="str">
        <f>IFERROR(__xludf.DUMMYFUNCTION("IF(B161="""","""",RIGHT(regexreplace(B161&amp;"""",""[^0-9]"",""""),9))"),"")</f>
        <v/>
      </c>
      <c r="B161" s="5"/>
      <c r="C161" s="5"/>
      <c r="D161" s="5"/>
      <c r="E161" s="23"/>
      <c r="F161" s="23"/>
      <c r="G161" s="23"/>
      <c r="H161" s="23"/>
      <c r="I161" s="23"/>
      <c r="J161" s="23"/>
      <c r="K161" s="10" t="str">
        <f t="shared" si="1"/>
        <v/>
      </c>
      <c r="L161" s="27"/>
      <c r="M161" s="27"/>
      <c r="N161" s="10" t="str">
        <f t="array" ref="N161">IF(COUNTIF($A$2:A160,A)&gt;0,INDEX($C$2:C160,MATCH(A161,$A$2:A160,0)),"")</f>
        <v/>
      </c>
      <c r="O161" s="17"/>
      <c r="P161" s="29"/>
    </row>
    <row r="162" ht="15.75" customHeight="1">
      <c r="A162" s="9" t="str">
        <f>IFERROR(__xludf.DUMMYFUNCTION("IF(B162="""","""",RIGHT(regexreplace(B162&amp;"""",""[^0-9]"",""""),9))"),"")</f>
        <v/>
      </c>
      <c r="B162" s="5"/>
      <c r="C162" s="5"/>
      <c r="D162" s="5"/>
      <c r="E162" s="23"/>
      <c r="F162" s="23"/>
      <c r="G162" s="23"/>
      <c r="H162" s="23"/>
      <c r="I162" s="23"/>
      <c r="J162" s="23"/>
      <c r="K162" s="10" t="str">
        <f t="shared" si="1"/>
        <v/>
      </c>
      <c r="L162" s="27"/>
      <c r="M162" s="27"/>
      <c r="N162" s="10" t="str">
        <f t="shared" ref="N162:N163" si="56">IF(COUNTIF($A$2:A161,A162)&gt;0,INDEX($C$2:C161,MATCH(A162,$A$2:A161,0)),"")</f>
        <v/>
      </c>
      <c r="O162" s="17"/>
      <c r="P162" s="29"/>
    </row>
    <row r="163" ht="15.75" customHeight="1">
      <c r="A163" s="9" t="str">
        <f>IFERROR(__xludf.DUMMYFUNCTION("IF(B163="""","""",RIGHT(regexreplace(B163&amp;"""",""[^0-9]"",""""),9))"),"")</f>
        <v/>
      </c>
      <c r="B163" s="5"/>
      <c r="C163" s="5"/>
      <c r="D163" s="5"/>
      <c r="E163" s="23"/>
      <c r="F163" s="23"/>
      <c r="G163" s="23"/>
      <c r="H163" s="23"/>
      <c r="I163" s="23"/>
      <c r="J163" s="23"/>
      <c r="K163" s="10" t="str">
        <f t="shared" si="1"/>
        <v/>
      </c>
      <c r="L163" s="27"/>
      <c r="M163" s="27"/>
      <c r="N163" s="10" t="str">
        <f t="shared" si="56"/>
        <v/>
      </c>
      <c r="O163" s="17"/>
      <c r="P163" s="29"/>
    </row>
    <row r="164" ht="15.75" customHeight="1">
      <c r="A164" s="9" t="str">
        <f>IFERROR(__xludf.DUMMYFUNCTION("IF(B164="""","""",RIGHT(regexreplace(B164&amp;"""",""[^0-9]"",""""),9))"),"")</f>
        <v/>
      </c>
      <c r="B164" s="5"/>
      <c r="C164" s="5"/>
      <c r="D164" s="5"/>
      <c r="E164" s="23"/>
      <c r="F164" s="23"/>
      <c r="G164" s="23"/>
      <c r="H164" s="23"/>
      <c r="I164" s="23"/>
      <c r="J164" s="23"/>
      <c r="K164" s="10" t="str">
        <f t="shared" si="1"/>
        <v/>
      </c>
      <c r="L164" s="27"/>
      <c r="M164" s="27"/>
      <c r="N164" s="10" t="str">
        <f t="array" ref="N164">IF(COUNTIF($A$2:A163,A)&gt;0,INDEX($C$2:C163,MATCH(A164,$A$2:A163,0)),"")</f>
        <v/>
      </c>
      <c r="O164" s="17"/>
      <c r="P164" s="29"/>
    </row>
    <row r="165" ht="15.75" customHeight="1">
      <c r="A165" s="9" t="str">
        <f>IFERROR(__xludf.DUMMYFUNCTION("IF(B165="""","""",RIGHT(regexreplace(B165&amp;"""",""[^0-9]"",""""),9))"),"")</f>
        <v/>
      </c>
      <c r="B165" s="5"/>
      <c r="C165" s="5"/>
      <c r="D165" s="5"/>
      <c r="E165" s="23"/>
      <c r="F165" s="23"/>
      <c r="G165" s="23"/>
      <c r="H165" s="23"/>
      <c r="I165" s="23"/>
      <c r="J165" s="23"/>
      <c r="K165" s="10" t="str">
        <f t="shared" si="1"/>
        <v/>
      </c>
      <c r="L165" s="27"/>
      <c r="M165" s="27"/>
      <c r="N165" s="10" t="str">
        <f t="shared" ref="N165:N166" si="57">IF(COUNTIF($A$2:A164,A165)&gt;0,INDEX($C$2:C164,MATCH(A165,$A$2:A164,0)),"")</f>
        <v/>
      </c>
      <c r="O165" s="17"/>
      <c r="P165" s="29"/>
    </row>
    <row r="166" ht="15.75" customHeight="1">
      <c r="A166" s="9" t="str">
        <f>IFERROR(__xludf.DUMMYFUNCTION("IF(B166="""","""",RIGHT(regexreplace(B166&amp;"""",""[^0-9]"",""""),9))"),"")</f>
        <v/>
      </c>
      <c r="B166" s="5"/>
      <c r="C166" s="5"/>
      <c r="D166" s="5"/>
      <c r="E166" s="23"/>
      <c r="F166" s="23"/>
      <c r="G166" s="23"/>
      <c r="H166" s="23"/>
      <c r="I166" s="23"/>
      <c r="J166" s="23"/>
      <c r="K166" s="10" t="str">
        <f t="shared" si="1"/>
        <v/>
      </c>
      <c r="L166" s="27"/>
      <c r="M166" s="27"/>
      <c r="N166" s="10" t="str">
        <f t="shared" si="57"/>
        <v/>
      </c>
      <c r="O166" s="17"/>
      <c r="P166" s="29"/>
    </row>
    <row r="167" ht="15.75" customHeight="1">
      <c r="A167" s="9" t="str">
        <f>IFERROR(__xludf.DUMMYFUNCTION("IF(B167="""","""",RIGHT(regexreplace(B167&amp;"""",""[^0-9]"",""""),9))"),"")</f>
        <v/>
      </c>
      <c r="B167" s="5"/>
      <c r="C167" s="5"/>
      <c r="D167" s="5"/>
      <c r="E167" s="23"/>
      <c r="F167" s="23"/>
      <c r="G167" s="23"/>
      <c r="H167" s="23"/>
      <c r="I167" s="23"/>
      <c r="J167" s="23"/>
      <c r="K167" s="10" t="str">
        <f t="shared" si="1"/>
        <v/>
      </c>
      <c r="L167" s="27"/>
      <c r="M167" s="27"/>
      <c r="N167" s="10" t="str">
        <f t="array" ref="N167">IF(COUNTIF($A$2:A166,A)&gt;0,INDEX($C$2:C166,MATCH(A167,$A$2:A166,0)),"")</f>
        <v/>
      </c>
      <c r="O167" s="17"/>
      <c r="P167" s="29"/>
    </row>
    <row r="168" ht="15.75" customHeight="1">
      <c r="A168" s="9" t="str">
        <f>IFERROR(__xludf.DUMMYFUNCTION("IF(B168="""","""",RIGHT(regexreplace(B168&amp;"""",""[^0-9]"",""""),9))"),"")</f>
        <v/>
      </c>
      <c r="B168" s="5"/>
      <c r="C168" s="5"/>
      <c r="D168" s="5"/>
      <c r="E168" s="23"/>
      <c r="F168" s="23"/>
      <c r="G168" s="23"/>
      <c r="H168" s="23"/>
      <c r="I168" s="23"/>
      <c r="J168" s="23"/>
      <c r="K168" s="10" t="str">
        <f t="shared" si="1"/>
        <v/>
      </c>
      <c r="L168" s="27"/>
      <c r="M168" s="27"/>
      <c r="N168" s="10" t="str">
        <f t="shared" ref="N168:N169" si="58">IF(COUNTIF($A$2:A167,A168)&gt;0,INDEX($C$2:C167,MATCH(A168,$A$2:A167,0)),"")</f>
        <v/>
      </c>
      <c r="O168" s="17"/>
      <c r="P168" s="29"/>
    </row>
    <row r="169" ht="15.75" customHeight="1">
      <c r="A169" s="9" t="str">
        <f>IFERROR(__xludf.DUMMYFUNCTION("IF(B169="""","""",RIGHT(regexreplace(B169&amp;"""",""[^0-9]"",""""),9))"),"")</f>
        <v/>
      </c>
      <c r="B169" s="5"/>
      <c r="C169" s="5"/>
      <c r="D169" s="5"/>
      <c r="E169" s="23"/>
      <c r="F169" s="23"/>
      <c r="G169" s="23"/>
      <c r="H169" s="23"/>
      <c r="I169" s="23"/>
      <c r="J169" s="23"/>
      <c r="K169" s="10" t="str">
        <f t="shared" si="1"/>
        <v/>
      </c>
      <c r="L169" s="27"/>
      <c r="M169" s="27"/>
      <c r="N169" s="10" t="str">
        <f t="shared" si="58"/>
        <v/>
      </c>
      <c r="O169" s="17"/>
      <c r="P169" s="29"/>
    </row>
    <row r="170" ht="15.75" customHeight="1">
      <c r="A170" s="9" t="str">
        <f>IFERROR(__xludf.DUMMYFUNCTION("IF(B170="""","""",RIGHT(regexreplace(B170&amp;"""",""[^0-9]"",""""),9))"),"")</f>
        <v/>
      </c>
      <c r="B170" s="5"/>
      <c r="C170" s="5"/>
      <c r="D170" s="5"/>
      <c r="E170" s="23"/>
      <c r="F170" s="23"/>
      <c r="G170" s="23"/>
      <c r="H170" s="23"/>
      <c r="I170" s="23"/>
      <c r="J170" s="23"/>
      <c r="K170" s="10" t="str">
        <f t="shared" si="1"/>
        <v/>
      </c>
      <c r="L170" s="27"/>
      <c r="M170" s="27"/>
      <c r="N170" s="10" t="str">
        <f t="array" ref="N170">IF(COUNTIF($A$2:A169,A)&gt;0,INDEX($C$2:C169,MATCH(A170,$A$2:A169,0)),"")</f>
        <v/>
      </c>
      <c r="O170" s="17"/>
      <c r="P170" s="29"/>
    </row>
    <row r="171" ht="15.75" customHeight="1">
      <c r="A171" s="9" t="str">
        <f>IFERROR(__xludf.DUMMYFUNCTION("IF(B171="""","""",RIGHT(regexreplace(B171&amp;"""",""[^0-9]"",""""),9))"),"")</f>
        <v/>
      </c>
      <c r="B171" s="5"/>
      <c r="C171" s="5"/>
      <c r="D171" s="5"/>
      <c r="E171" s="23"/>
      <c r="F171" s="23"/>
      <c r="G171" s="23"/>
      <c r="H171" s="23"/>
      <c r="I171" s="23"/>
      <c r="J171" s="23"/>
      <c r="K171" s="10" t="str">
        <f t="shared" si="1"/>
        <v/>
      </c>
      <c r="L171" s="27"/>
      <c r="M171" s="27"/>
      <c r="N171" s="10" t="str">
        <f t="shared" ref="N171:N172" si="59">IF(COUNTIF($A$2:A170,A171)&gt;0,INDEX($C$2:C170,MATCH(A171,$A$2:A170,0)),"")</f>
        <v/>
      </c>
      <c r="O171" s="17"/>
      <c r="P171" s="29"/>
    </row>
    <row r="172" ht="15.75" customHeight="1">
      <c r="A172" s="9" t="str">
        <f>IFERROR(__xludf.DUMMYFUNCTION("IF(B172="""","""",RIGHT(regexreplace(B172&amp;"""",""[^0-9]"",""""),9))"),"")</f>
        <v/>
      </c>
      <c r="B172" s="5"/>
      <c r="C172" s="5"/>
      <c r="D172" s="5"/>
      <c r="E172" s="23"/>
      <c r="F172" s="23"/>
      <c r="G172" s="23"/>
      <c r="H172" s="23"/>
      <c r="I172" s="23"/>
      <c r="J172" s="23"/>
      <c r="K172" s="10" t="str">
        <f t="shared" si="1"/>
        <v/>
      </c>
      <c r="L172" s="27"/>
      <c r="M172" s="27"/>
      <c r="N172" s="10" t="str">
        <f t="shared" si="59"/>
        <v/>
      </c>
      <c r="O172" s="17"/>
      <c r="P172" s="29"/>
    </row>
    <row r="173" ht="15.75" customHeight="1">
      <c r="A173" s="9" t="str">
        <f>IFERROR(__xludf.DUMMYFUNCTION("IF(B173="""","""",RIGHT(regexreplace(B173&amp;"""",""[^0-9]"",""""),9))"),"")</f>
        <v/>
      </c>
      <c r="B173" s="5"/>
      <c r="C173" s="5"/>
      <c r="D173" s="5"/>
      <c r="E173" s="23"/>
      <c r="F173" s="23"/>
      <c r="G173" s="23"/>
      <c r="H173" s="23"/>
      <c r="I173" s="23"/>
      <c r="J173" s="23"/>
      <c r="K173" s="10" t="str">
        <f t="shared" si="1"/>
        <v/>
      </c>
      <c r="L173" s="27"/>
      <c r="M173" s="27"/>
      <c r="N173" s="10" t="str">
        <f t="array" ref="N173">IF(COUNTIF($A$2:A172,A)&gt;0,INDEX($C$2:C172,MATCH(A173,$A$2:A172,0)),"")</f>
        <v/>
      </c>
      <c r="O173" s="17"/>
      <c r="P173" s="29"/>
    </row>
    <row r="174" ht="15.75" customHeight="1">
      <c r="A174" s="9" t="str">
        <f>IFERROR(__xludf.DUMMYFUNCTION("IF(B174="""","""",RIGHT(regexreplace(B174&amp;"""",""[^0-9]"",""""),9))"),"")</f>
        <v/>
      </c>
      <c r="B174" s="5"/>
      <c r="C174" s="5"/>
      <c r="D174" s="5"/>
      <c r="E174" s="23"/>
      <c r="F174" s="23"/>
      <c r="G174" s="23"/>
      <c r="H174" s="23"/>
      <c r="I174" s="23"/>
      <c r="J174" s="23"/>
      <c r="K174" s="10" t="str">
        <f t="shared" si="1"/>
        <v/>
      </c>
      <c r="L174" s="27"/>
      <c r="M174" s="27"/>
      <c r="N174" s="10" t="str">
        <f t="shared" ref="N174:N175" si="60">IF(COUNTIF($A$2:A173,A174)&gt;0,INDEX($C$2:C173,MATCH(A174,$A$2:A173,0)),"")</f>
        <v/>
      </c>
      <c r="O174" s="17"/>
      <c r="P174" s="29"/>
    </row>
    <row r="175" ht="15.75" customHeight="1">
      <c r="A175" s="9" t="str">
        <f>IFERROR(__xludf.DUMMYFUNCTION("IF(B175="""","""",RIGHT(regexreplace(B175&amp;"""",""[^0-9]"",""""),9))"),"")</f>
        <v/>
      </c>
      <c r="B175" s="5"/>
      <c r="C175" s="5"/>
      <c r="D175" s="5"/>
      <c r="E175" s="23"/>
      <c r="F175" s="23"/>
      <c r="G175" s="23"/>
      <c r="H175" s="23"/>
      <c r="I175" s="23"/>
      <c r="J175" s="23"/>
      <c r="K175" s="10" t="str">
        <f t="shared" si="1"/>
        <v/>
      </c>
      <c r="L175" s="27"/>
      <c r="M175" s="27"/>
      <c r="N175" s="10" t="str">
        <f t="shared" si="60"/>
        <v/>
      </c>
      <c r="O175" s="17"/>
      <c r="P175" s="29"/>
    </row>
    <row r="176" ht="15.75" customHeight="1">
      <c r="A176" s="9" t="str">
        <f>IFERROR(__xludf.DUMMYFUNCTION("IF(B176="""","""",RIGHT(regexreplace(B176&amp;"""",""[^0-9]"",""""),9))"),"")</f>
        <v/>
      </c>
      <c r="B176" s="5"/>
      <c r="C176" s="5"/>
      <c r="D176" s="5"/>
      <c r="E176" s="23"/>
      <c r="F176" s="23"/>
      <c r="G176" s="23"/>
      <c r="H176" s="23"/>
      <c r="I176" s="23"/>
      <c r="J176" s="23"/>
      <c r="K176" s="10" t="str">
        <f t="shared" si="1"/>
        <v/>
      </c>
      <c r="L176" s="27"/>
      <c r="M176" s="27"/>
      <c r="N176" s="10" t="str">
        <f t="array" ref="N176">IF(COUNTIF($A$2:A175,A)&gt;0,INDEX($C$2:C175,MATCH(A176,$A$2:A175,0)),"")</f>
        <v/>
      </c>
      <c r="O176" s="17"/>
      <c r="P176" s="29"/>
    </row>
    <row r="177" ht="15.75" customHeight="1">
      <c r="A177" s="9" t="str">
        <f>IFERROR(__xludf.DUMMYFUNCTION("IF(B177="""","""",RIGHT(regexreplace(B177&amp;"""",""[^0-9]"",""""),9))"),"")</f>
        <v/>
      </c>
      <c r="B177" s="5"/>
      <c r="C177" s="5"/>
      <c r="D177" s="5"/>
      <c r="E177" s="23"/>
      <c r="F177" s="23"/>
      <c r="G177" s="23"/>
      <c r="H177" s="23"/>
      <c r="I177" s="23"/>
      <c r="J177" s="23"/>
      <c r="K177" s="10" t="str">
        <f t="shared" si="1"/>
        <v/>
      </c>
      <c r="L177" s="27"/>
      <c r="M177" s="27"/>
      <c r="N177" s="10" t="str">
        <f t="shared" ref="N177:N178" si="61">IF(COUNTIF($A$2:A176,A177)&gt;0,INDEX($C$2:C176,MATCH(A177,$A$2:A176,0)),"")</f>
        <v/>
      </c>
      <c r="O177" s="17"/>
      <c r="P177" s="29"/>
    </row>
    <row r="178" ht="15.75" customHeight="1">
      <c r="A178" s="9" t="str">
        <f>IFERROR(__xludf.DUMMYFUNCTION("IF(B178="""","""",RIGHT(regexreplace(B178&amp;"""",""[^0-9]"",""""),9))"),"")</f>
        <v/>
      </c>
      <c r="B178" s="5"/>
      <c r="C178" s="5"/>
      <c r="D178" s="5"/>
      <c r="E178" s="23"/>
      <c r="F178" s="23"/>
      <c r="G178" s="23"/>
      <c r="H178" s="23"/>
      <c r="I178" s="23"/>
      <c r="J178" s="23"/>
      <c r="K178" s="10" t="str">
        <f t="shared" si="1"/>
        <v/>
      </c>
      <c r="L178" s="27"/>
      <c r="M178" s="27"/>
      <c r="N178" s="10" t="str">
        <f t="shared" si="61"/>
        <v/>
      </c>
      <c r="O178" s="17"/>
      <c r="P178" s="29"/>
    </row>
    <row r="179" ht="15.75" customHeight="1">
      <c r="A179" s="9" t="str">
        <f>IFERROR(__xludf.DUMMYFUNCTION("IF(B179="""","""",RIGHT(regexreplace(B179&amp;"""",""[^0-9]"",""""),9))"),"")</f>
        <v/>
      </c>
      <c r="B179" s="5"/>
      <c r="C179" s="5"/>
      <c r="D179" s="5"/>
      <c r="E179" s="23"/>
      <c r="F179" s="23"/>
      <c r="G179" s="23"/>
      <c r="H179" s="23"/>
      <c r="I179" s="23"/>
      <c r="J179" s="23"/>
      <c r="K179" s="10" t="str">
        <f t="shared" si="1"/>
        <v/>
      </c>
      <c r="L179" s="27"/>
      <c r="M179" s="27"/>
      <c r="N179" s="10" t="str">
        <f t="array" ref="N179">IF(COUNTIF($A$2:A178,A)&gt;0,INDEX($C$2:C178,MATCH(A179,$A$2:A178,0)),"")</f>
        <v/>
      </c>
      <c r="O179" s="17"/>
      <c r="P179" s="29"/>
    </row>
    <row r="180" ht="15.75" customHeight="1">
      <c r="A180" s="9" t="str">
        <f>IFERROR(__xludf.DUMMYFUNCTION("IF(B180="""","""",RIGHT(regexreplace(B180&amp;"""",""[^0-9]"",""""),9))"),"")</f>
        <v/>
      </c>
      <c r="B180" s="5"/>
      <c r="C180" s="5"/>
      <c r="D180" s="5"/>
      <c r="E180" s="23"/>
      <c r="F180" s="23"/>
      <c r="G180" s="23"/>
      <c r="H180" s="23"/>
      <c r="I180" s="23"/>
      <c r="J180" s="23"/>
      <c r="K180" s="10" t="str">
        <f t="shared" si="1"/>
        <v/>
      </c>
      <c r="L180" s="27"/>
      <c r="M180" s="27"/>
      <c r="N180" s="10" t="str">
        <f t="shared" ref="N180:N181" si="62">IF(COUNTIF($A$2:A179,A180)&gt;0,INDEX($C$2:C179,MATCH(A180,$A$2:A179,0)),"")</f>
        <v/>
      </c>
      <c r="O180" s="17"/>
      <c r="P180" s="29"/>
    </row>
    <row r="181" ht="15.75" customHeight="1">
      <c r="A181" s="9" t="str">
        <f>IFERROR(__xludf.DUMMYFUNCTION("IF(B181="""","""",RIGHT(regexreplace(B181&amp;"""",""[^0-9]"",""""),9))"),"")</f>
        <v/>
      </c>
      <c r="B181" s="5"/>
      <c r="C181" s="5"/>
      <c r="D181" s="5"/>
      <c r="E181" s="23"/>
      <c r="F181" s="23"/>
      <c r="G181" s="23"/>
      <c r="H181" s="23"/>
      <c r="I181" s="23"/>
      <c r="J181" s="23"/>
      <c r="K181" s="10" t="str">
        <f t="shared" si="1"/>
        <v/>
      </c>
      <c r="L181" s="27"/>
      <c r="M181" s="27"/>
      <c r="N181" s="10" t="str">
        <f t="shared" si="62"/>
        <v/>
      </c>
      <c r="O181" s="17"/>
      <c r="P181" s="29"/>
    </row>
    <row r="182" ht="15.75" customHeight="1">
      <c r="A182" s="9" t="str">
        <f>IFERROR(__xludf.DUMMYFUNCTION("IF(B182="""","""",RIGHT(regexreplace(B182&amp;"""",""[^0-9]"",""""),9))"),"")</f>
        <v/>
      </c>
      <c r="B182" s="5"/>
      <c r="C182" s="5"/>
      <c r="D182" s="5"/>
      <c r="E182" s="23"/>
      <c r="F182" s="23"/>
      <c r="G182" s="23"/>
      <c r="H182" s="23"/>
      <c r="I182" s="23"/>
      <c r="J182" s="23"/>
      <c r="K182" s="10" t="str">
        <f t="shared" si="1"/>
        <v/>
      </c>
      <c r="L182" s="27"/>
      <c r="M182" s="27"/>
      <c r="N182" s="10" t="str">
        <f t="array" ref="N182">IF(COUNTIF($A$2:A181,A)&gt;0,INDEX($C$2:C181,MATCH(A182,$A$2:A181,0)),"")</f>
        <v/>
      </c>
      <c r="O182" s="17"/>
      <c r="P182" s="29"/>
    </row>
    <row r="183" ht="15.75" customHeight="1">
      <c r="A183" s="9" t="str">
        <f>IFERROR(__xludf.DUMMYFUNCTION("IF(B183="""","""",RIGHT(regexreplace(B183&amp;"""",""[^0-9]"",""""),9))"),"")</f>
        <v/>
      </c>
      <c r="B183" s="5"/>
      <c r="C183" s="5"/>
      <c r="D183" s="5"/>
      <c r="E183" s="23"/>
      <c r="F183" s="23"/>
      <c r="G183" s="23"/>
      <c r="H183" s="23"/>
      <c r="I183" s="23"/>
      <c r="J183" s="23"/>
      <c r="K183" s="10" t="str">
        <f t="shared" si="1"/>
        <v/>
      </c>
      <c r="L183" s="27"/>
      <c r="M183" s="27"/>
      <c r="N183" s="10" t="str">
        <f t="shared" ref="N183:N184" si="63">IF(COUNTIF($A$2:A182,A183)&gt;0,INDEX($C$2:C182,MATCH(A183,$A$2:A182,0)),"")</f>
        <v/>
      </c>
      <c r="O183" s="17"/>
      <c r="P183" s="29"/>
    </row>
    <row r="184" ht="15.75" customHeight="1">
      <c r="A184" s="9" t="str">
        <f>IFERROR(__xludf.DUMMYFUNCTION("IF(B184="""","""",RIGHT(regexreplace(B184&amp;"""",""[^0-9]"",""""),9))"),"")</f>
        <v/>
      </c>
      <c r="B184" s="5"/>
      <c r="C184" s="5"/>
      <c r="D184" s="5"/>
      <c r="E184" s="23"/>
      <c r="F184" s="23"/>
      <c r="G184" s="23"/>
      <c r="H184" s="23"/>
      <c r="I184" s="23"/>
      <c r="J184" s="23"/>
      <c r="K184" s="10" t="str">
        <f t="shared" si="1"/>
        <v/>
      </c>
      <c r="L184" s="27"/>
      <c r="M184" s="27"/>
      <c r="N184" s="10" t="str">
        <f t="shared" si="63"/>
        <v/>
      </c>
      <c r="O184" s="17"/>
      <c r="P184" s="29"/>
    </row>
    <row r="185" ht="15.75" customHeight="1">
      <c r="A185" s="9" t="str">
        <f>IFERROR(__xludf.DUMMYFUNCTION("IF(B185="""","""",RIGHT(regexreplace(B185&amp;"""",""[^0-9]"",""""),9))"),"")</f>
        <v/>
      </c>
      <c r="B185" s="5"/>
      <c r="C185" s="5"/>
      <c r="D185" s="5"/>
      <c r="E185" s="23"/>
      <c r="F185" s="23"/>
      <c r="G185" s="23"/>
      <c r="H185" s="23"/>
      <c r="I185" s="23"/>
      <c r="J185" s="23"/>
      <c r="K185" s="10" t="str">
        <f t="shared" si="1"/>
        <v/>
      </c>
      <c r="L185" s="27"/>
      <c r="M185" s="27"/>
      <c r="N185" s="10" t="str">
        <f t="array" ref="N185">IF(COUNTIF($A$2:A184,A)&gt;0,INDEX($C$2:C184,MATCH(A185,$A$2:A184,0)),"")</f>
        <v/>
      </c>
      <c r="O185" s="17"/>
      <c r="P185" s="29"/>
    </row>
    <row r="186" ht="15.75" customHeight="1">
      <c r="A186" s="9" t="str">
        <f>IFERROR(__xludf.DUMMYFUNCTION("IF(B186="""","""",RIGHT(regexreplace(B186&amp;"""",""[^0-9]"",""""),9))"),"")</f>
        <v/>
      </c>
      <c r="B186" s="5"/>
      <c r="C186" s="5"/>
      <c r="D186" s="5"/>
      <c r="E186" s="23"/>
      <c r="F186" s="23"/>
      <c r="G186" s="23"/>
      <c r="H186" s="23"/>
      <c r="I186" s="23"/>
      <c r="J186" s="23"/>
      <c r="K186" s="10" t="str">
        <f t="shared" si="1"/>
        <v/>
      </c>
      <c r="L186" s="27"/>
      <c r="M186" s="27"/>
      <c r="N186" s="10" t="str">
        <f t="shared" ref="N186:N187" si="64">IF(COUNTIF($A$2:A185,A186)&gt;0,INDEX($C$2:C185,MATCH(A186,$A$2:A185,0)),"")</f>
        <v/>
      </c>
      <c r="O186" s="17"/>
      <c r="P186" s="29"/>
    </row>
    <row r="187" ht="15.75" customHeight="1">
      <c r="A187" s="9" t="str">
        <f>IFERROR(__xludf.DUMMYFUNCTION("IF(B187="""","""",RIGHT(regexreplace(B187&amp;"""",""[^0-9]"",""""),9))"),"")</f>
        <v/>
      </c>
      <c r="B187" s="5"/>
      <c r="C187" s="5"/>
      <c r="D187" s="5"/>
      <c r="E187" s="23"/>
      <c r="F187" s="23"/>
      <c r="G187" s="23"/>
      <c r="H187" s="23"/>
      <c r="I187" s="23"/>
      <c r="J187" s="23"/>
      <c r="K187" s="10" t="str">
        <f t="shared" si="1"/>
        <v/>
      </c>
      <c r="L187" s="27"/>
      <c r="M187" s="27"/>
      <c r="N187" s="10" t="str">
        <f t="shared" si="64"/>
        <v/>
      </c>
      <c r="O187" s="17"/>
      <c r="P187" s="29"/>
    </row>
    <row r="188" ht="15.75" customHeight="1">
      <c r="A188" s="9" t="str">
        <f>IFERROR(__xludf.DUMMYFUNCTION("IF(B188="""","""",RIGHT(regexreplace(B188&amp;"""",""[^0-9]"",""""),9))"),"")</f>
        <v/>
      </c>
      <c r="B188" s="5"/>
      <c r="C188" s="5"/>
      <c r="D188" s="5"/>
      <c r="E188" s="23"/>
      <c r="F188" s="23"/>
      <c r="G188" s="23"/>
      <c r="H188" s="23"/>
      <c r="I188" s="23"/>
      <c r="J188" s="23"/>
      <c r="K188" s="10" t="str">
        <f t="shared" si="1"/>
        <v/>
      </c>
      <c r="L188" s="27"/>
      <c r="M188" s="27"/>
      <c r="N188" s="10" t="str">
        <f t="array" ref="N188">IF(COUNTIF($A$2:A187,A)&gt;0,INDEX($C$2:C187,MATCH(A188,$A$2:A187,0)),"")</f>
        <v/>
      </c>
      <c r="O188" s="17"/>
      <c r="P188" s="29"/>
    </row>
    <row r="189" ht="15.75" customHeight="1">
      <c r="A189" s="9" t="str">
        <f>IFERROR(__xludf.DUMMYFUNCTION("IF(B189="""","""",RIGHT(regexreplace(B189&amp;"""",""[^0-9]"",""""),9))"),"")</f>
        <v/>
      </c>
      <c r="B189" s="5"/>
      <c r="C189" s="5"/>
      <c r="D189" s="5"/>
      <c r="E189" s="23"/>
      <c r="F189" s="23"/>
      <c r="G189" s="23"/>
      <c r="H189" s="23"/>
      <c r="I189" s="23"/>
      <c r="J189" s="23"/>
      <c r="K189" s="10" t="str">
        <f t="shared" si="1"/>
        <v/>
      </c>
      <c r="L189" s="27"/>
      <c r="M189" s="27"/>
      <c r="N189" s="10" t="str">
        <f t="shared" ref="N189:N190" si="65">IF(COUNTIF($A$2:A188,A189)&gt;0,INDEX($C$2:C188,MATCH(A189,$A$2:A188,0)),"")</f>
        <v/>
      </c>
      <c r="O189" s="17"/>
      <c r="P189" s="29"/>
    </row>
    <row r="190" ht="15.75" customHeight="1">
      <c r="A190" s="9" t="str">
        <f>IFERROR(__xludf.DUMMYFUNCTION("IF(B190="""","""",RIGHT(regexreplace(B190&amp;"""",""[^0-9]"",""""),9))"),"")</f>
        <v/>
      </c>
      <c r="B190" s="5"/>
      <c r="C190" s="5"/>
      <c r="D190" s="5"/>
      <c r="E190" s="23"/>
      <c r="F190" s="23"/>
      <c r="G190" s="23"/>
      <c r="H190" s="23"/>
      <c r="I190" s="23"/>
      <c r="J190" s="23"/>
      <c r="K190" s="10" t="str">
        <f t="shared" si="1"/>
        <v/>
      </c>
      <c r="L190" s="27"/>
      <c r="M190" s="27"/>
      <c r="N190" s="10" t="str">
        <f t="shared" si="65"/>
        <v/>
      </c>
      <c r="O190" s="17"/>
      <c r="P190" s="29"/>
    </row>
    <row r="191" ht="15.75" customHeight="1">
      <c r="A191" s="9" t="str">
        <f>IFERROR(__xludf.DUMMYFUNCTION("IF(B191="""","""",RIGHT(regexreplace(B191&amp;"""",""[^0-9]"",""""),9))"),"")</f>
        <v/>
      </c>
      <c r="B191" s="5"/>
      <c r="C191" s="5"/>
      <c r="D191" s="5"/>
      <c r="E191" s="23"/>
      <c r="F191" s="23"/>
      <c r="G191" s="23"/>
      <c r="H191" s="23"/>
      <c r="I191" s="23"/>
      <c r="J191" s="23"/>
      <c r="K191" s="10" t="str">
        <f t="shared" si="1"/>
        <v/>
      </c>
      <c r="L191" s="27"/>
      <c r="M191" s="27"/>
      <c r="N191" s="10" t="str">
        <f t="array" ref="N191">IF(COUNTIF($A$2:A190,A)&gt;0,INDEX($C$2:C190,MATCH(A191,$A$2:A190,0)),"")</f>
        <v/>
      </c>
      <c r="O191" s="17"/>
      <c r="P191" s="29"/>
    </row>
    <row r="192" ht="15.75" customHeight="1">
      <c r="A192" s="9" t="str">
        <f>IFERROR(__xludf.DUMMYFUNCTION("IF(B192="""","""",RIGHT(regexreplace(B192&amp;"""",""[^0-9]"",""""),9))"),"")</f>
        <v/>
      </c>
      <c r="B192" s="5"/>
      <c r="C192" s="5"/>
      <c r="D192" s="5"/>
      <c r="E192" s="23"/>
      <c r="F192" s="23"/>
      <c r="G192" s="23"/>
      <c r="H192" s="23"/>
      <c r="I192" s="23"/>
      <c r="J192" s="23"/>
      <c r="K192" s="10" t="str">
        <f t="shared" si="1"/>
        <v/>
      </c>
      <c r="L192" s="27"/>
      <c r="M192" s="27"/>
      <c r="N192" s="10" t="str">
        <f t="shared" ref="N192:N193" si="66">IF(COUNTIF($A$2:A191,A192)&gt;0,INDEX($C$2:C191,MATCH(A192,$A$2:A191,0)),"")</f>
        <v/>
      </c>
      <c r="O192" s="17"/>
      <c r="P192" s="29"/>
    </row>
    <row r="193" ht="15.75" customHeight="1">
      <c r="A193" s="9" t="str">
        <f>IFERROR(__xludf.DUMMYFUNCTION("IF(B193="""","""",RIGHT(regexreplace(B193&amp;"""",""[^0-9]"",""""),9))"),"")</f>
        <v/>
      </c>
      <c r="B193" s="5"/>
      <c r="C193" s="5"/>
      <c r="D193" s="5"/>
      <c r="E193" s="23"/>
      <c r="F193" s="23"/>
      <c r="G193" s="23"/>
      <c r="H193" s="23"/>
      <c r="I193" s="23"/>
      <c r="J193" s="23"/>
      <c r="K193" s="10" t="str">
        <f t="shared" si="1"/>
        <v/>
      </c>
      <c r="L193" s="27"/>
      <c r="M193" s="27"/>
      <c r="N193" s="10" t="str">
        <f t="shared" si="66"/>
        <v/>
      </c>
      <c r="O193" s="17"/>
      <c r="P193" s="29"/>
    </row>
    <row r="194" ht="15.75" customHeight="1">
      <c r="A194" s="9" t="str">
        <f>IFERROR(__xludf.DUMMYFUNCTION("IF(B194="""","""",RIGHT(regexreplace(B194&amp;"""",""[^0-9]"",""""),9))"),"")</f>
        <v/>
      </c>
      <c r="B194" s="5"/>
      <c r="C194" s="5"/>
      <c r="D194" s="5"/>
      <c r="E194" s="23"/>
      <c r="F194" s="23"/>
      <c r="G194" s="23"/>
      <c r="H194" s="23"/>
      <c r="I194" s="23"/>
      <c r="J194" s="23"/>
      <c r="K194" s="10" t="str">
        <f t="shared" si="1"/>
        <v/>
      </c>
      <c r="L194" s="27"/>
      <c r="M194" s="27"/>
      <c r="N194" s="10" t="str">
        <f t="array" ref="N194">IF(COUNTIF($A$2:A193,A)&gt;0,INDEX($C$2:C193,MATCH(A194,$A$2:A193,0)),"")</f>
        <v/>
      </c>
      <c r="O194" s="17"/>
      <c r="P194" s="29"/>
    </row>
    <row r="195" ht="15.75" customHeight="1">
      <c r="A195" s="9" t="str">
        <f>IFERROR(__xludf.DUMMYFUNCTION("IF(B195="""","""",RIGHT(regexreplace(B195&amp;"""",""[^0-9]"",""""),9))"),"")</f>
        <v/>
      </c>
      <c r="B195" s="5"/>
      <c r="C195" s="5"/>
      <c r="D195" s="5"/>
      <c r="E195" s="23"/>
      <c r="F195" s="23"/>
      <c r="G195" s="23"/>
      <c r="H195" s="23"/>
      <c r="I195" s="23"/>
      <c r="J195" s="23"/>
      <c r="K195" s="10" t="str">
        <f t="shared" si="1"/>
        <v/>
      </c>
      <c r="L195" s="27"/>
      <c r="M195" s="27"/>
      <c r="N195" s="10" t="str">
        <f t="shared" ref="N195:N196" si="67">IF(COUNTIF($A$2:A194,A195)&gt;0,INDEX($C$2:C194,MATCH(A195,$A$2:A194,0)),"")</f>
        <v/>
      </c>
      <c r="O195" s="17"/>
      <c r="P195" s="29"/>
    </row>
    <row r="196" ht="15.75" customHeight="1">
      <c r="A196" s="9" t="str">
        <f>IFERROR(__xludf.DUMMYFUNCTION("IF(B196="""","""",RIGHT(regexreplace(B196&amp;"""",""[^0-9]"",""""),9))"),"")</f>
        <v/>
      </c>
      <c r="B196" s="5"/>
      <c r="C196" s="5"/>
      <c r="D196" s="5"/>
      <c r="E196" s="23"/>
      <c r="F196" s="23"/>
      <c r="G196" s="23"/>
      <c r="H196" s="23"/>
      <c r="I196" s="23"/>
      <c r="J196" s="23"/>
      <c r="K196" s="10" t="str">
        <f t="shared" si="1"/>
        <v/>
      </c>
      <c r="L196" s="27"/>
      <c r="M196" s="27"/>
      <c r="N196" s="10" t="str">
        <f t="shared" si="67"/>
        <v/>
      </c>
      <c r="O196" s="17"/>
      <c r="P196" s="29"/>
    </row>
    <row r="197" ht="15.75" customHeight="1">
      <c r="A197" s="9" t="str">
        <f>IFERROR(__xludf.DUMMYFUNCTION("IF(B197="""","""",RIGHT(regexreplace(B197&amp;"""",""[^0-9]"",""""),9))"),"")</f>
        <v/>
      </c>
      <c r="B197" s="5"/>
      <c r="C197" s="5"/>
      <c r="D197" s="5"/>
      <c r="E197" s="23"/>
      <c r="F197" s="23"/>
      <c r="G197" s="23"/>
      <c r="H197" s="23"/>
      <c r="I197" s="23"/>
      <c r="J197" s="23"/>
      <c r="K197" s="10" t="str">
        <f t="shared" si="1"/>
        <v/>
      </c>
      <c r="L197" s="27"/>
      <c r="M197" s="27"/>
      <c r="N197" s="10" t="str">
        <f t="array" ref="N197">IF(COUNTIF($A$2:A196,A)&gt;0,INDEX($C$2:C196,MATCH(A197,$A$2:A196,0)),"")</f>
        <v/>
      </c>
      <c r="O197" s="17"/>
      <c r="P197" s="29"/>
    </row>
    <row r="198" ht="15.75" customHeight="1">
      <c r="A198" s="9" t="str">
        <f>IFERROR(__xludf.DUMMYFUNCTION("IF(B198="""","""",RIGHT(regexreplace(B198&amp;"""",""[^0-9]"",""""),9))"),"")</f>
        <v/>
      </c>
      <c r="B198" s="5"/>
      <c r="C198" s="5"/>
      <c r="D198" s="5"/>
      <c r="E198" s="23"/>
      <c r="F198" s="23"/>
      <c r="G198" s="23"/>
      <c r="H198" s="23"/>
      <c r="I198" s="23"/>
      <c r="J198" s="23"/>
      <c r="K198" s="10" t="str">
        <f t="shared" si="1"/>
        <v/>
      </c>
      <c r="L198" s="27"/>
      <c r="M198" s="27"/>
      <c r="N198" s="10" t="str">
        <f t="shared" ref="N198:N199" si="68">IF(COUNTIF($A$2:A197,A198)&gt;0,INDEX($C$2:C197,MATCH(A198,$A$2:A197,0)),"")</f>
        <v/>
      </c>
      <c r="O198" s="17"/>
      <c r="P198" s="29"/>
    </row>
    <row r="199" ht="15.75" customHeight="1">
      <c r="A199" s="9" t="str">
        <f>IFERROR(__xludf.DUMMYFUNCTION("IF(B199="""","""",RIGHT(regexreplace(B199&amp;"""",""[^0-9]"",""""),9))"),"")</f>
        <v/>
      </c>
      <c r="B199" s="5"/>
      <c r="C199" s="5"/>
      <c r="D199" s="5"/>
      <c r="E199" s="23"/>
      <c r="F199" s="23"/>
      <c r="G199" s="23"/>
      <c r="H199" s="23"/>
      <c r="I199" s="23"/>
      <c r="J199" s="23"/>
      <c r="K199" s="10" t="str">
        <f t="shared" si="1"/>
        <v/>
      </c>
      <c r="L199" s="27"/>
      <c r="M199" s="27"/>
      <c r="N199" s="10" t="str">
        <f t="shared" si="68"/>
        <v/>
      </c>
      <c r="O199" s="17"/>
      <c r="P199" s="29"/>
    </row>
    <row r="200" ht="15.75" customHeight="1">
      <c r="A200" s="9" t="str">
        <f>IFERROR(__xludf.DUMMYFUNCTION("IF(B200="""","""",RIGHT(regexreplace(B200&amp;"""",""[^0-9]"",""""),9))"),"")</f>
        <v/>
      </c>
      <c r="B200" s="5"/>
      <c r="C200" s="5"/>
      <c r="D200" s="5"/>
      <c r="E200" s="23"/>
      <c r="F200" s="23"/>
      <c r="G200" s="23"/>
      <c r="H200" s="23"/>
      <c r="I200" s="23"/>
      <c r="J200" s="23"/>
      <c r="K200" s="10" t="str">
        <f t="shared" si="1"/>
        <v/>
      </c>
      <c r="L200" s="27"/>
      <c r="M200" s="27"/>
      <c r="N200" s="10" t="str">
        <f t="array" ref="N200">IF(COUNTIF($A$2:A199,A)&gt;0,INDEX($C$2:C199,MATCH(A200,$A$2:A199,0)),"")</f>
        <v/>
      </c>
      <c r="O200" s="17"/>
      <c r="P200" s="29"/>
    </row>
    <row r="201" ht="15.75" customHeight="1">
      <c r="A201" s="9" t="str">
        <f>IFERROR(__xludf.DUMMYFUNCTION("IF(B201="""","""",RIGHT(regexreplace(B201&amp;"""",""[^0-9]"",""""),9))"),"")</f>
        <v/>
      </c>
      <c r="B201" s="5"/>
      <c r="C201" s="5"/>
      <c r="D201" s="5"/>
      <c r="E201" s="23"/>
      <c r="F201" s="23"/>
      <c r="G201" s="23"/>
      <c r="H201" s="23"/>
      <c r="I201" s="23"/>
      <c r="J201" s="23"/>
      <c r="K201" s="10" t="str">
        <f t="shared" si="1"/>
        <v/>
      </c>
      <c r="L201" s="27"/>
      <c r="M201" s="27"/>
      <c r="N201" s="10" t="str">
        <f t="shared" ref="N201:N202" si="69">IF(COUNTIF($A$2:A200,A201)&gt;0,INDEX($C$2:C200,MATCH(A201,$A$2:A200,0)),"")</f>
        <v/>
      </c>
      <c r="O201" s="17"/>
      <c r="P201" s="29"/>
    </row>
    <row r="202" ht="15.75" customHeight="1">
      <c r="A202" s="9" t="str">
        <f>IFERROR(__xludf.DUMMYFUNCTION("IF(B202="""","""",RIGHT(regexreplace(B202&amp;"""",""[^0-9]"",""""),9))"),"")</f>
        <v/>
      </c>
      <c r="B202" s="5"/>
      <c r="C202" s="5"/>
      <c r="D202" s="5"/>
      <c r="E202" s="23"/>
      <c r="F202" s="23"/>
      <c r="G202" s="23"/>
      <c r="H202" s="23"/>
      <c r="I202" s="23"/>
      <c r="J202" s="23"/>
      <c r="K202" s="10" t="str">
        <f t="shared" si="1"/>
        <v/>
      </c>
      <c r="L202" s="27"/>
      <c r="M202" s="27"/>
      <c r="N202" s="10" t="str">
        <f t="shared" si="69"/>
        <v/>
      </c>
      <c r="O202" s="17"/>
      <c r="P202" s="29"/>
    </row>
    <row r="203" ht="15.75" customHeight="1">
      <c r="A203" s="9" t="str">
        <f>IFERROR(__xludf.DUMMYFUNCTION("IF(B203="""","""",RIGHT(regexreplace(B203&amp;"""",""[^0-9]"",""""),9))"),"")</f>
        <v/>
      </c>
      <c r="B203" s="5"/>
      <c r="C203" s="5"/>
      <c r="D203" s="5"/>
      <c r="E203" s="23"/>
      <c r="F203" s="23"/>
      <c r="G203" s="23"/>
      <c r="H203" s="23"/>
      <c r="I203" s="23"/>
      <c r="J203" s="23"/>
      <c r="K203" s="10" t="str">
        <f t="shared" si="1"/>
        <v/>
      </c>
      <c r="L203" s="27"/>
      <c r="M203" s="27"/>
      <c r="N203" s="10" t="str">
        <f t="array" ref="N203">IF(COUNTIF($A$2:A202,A)&gt;0,INDEX($C$2:C202,MATCH(A203,$A$2:A202,0)),"")</f>
        <v/>
      </c>
      <c r="O203" s="17"/>
      <c r="P203" s="29"/>
    </row>
    <row r="204" ht="15.75" customHeight="1">
      <c r="A204" s="9" t="str">
        <f>IFERROR(__xludf.DUMMYFUNCTION("IF(B204="""","""",RIGHT(regexreplace(B204&amp;"""",""[^0-9]"",""""),9))"),"")</f>
        <v/>
      </c>
      <c r="B204" s="5"/>
      <c r="C204" s="5"/>
      <c r="D204" s="5"/>
      <c r="E204" s="23"/>
      <c r="F204" s="23"/>
      <c r="G204" s="23"/>
      <c r="H204" s="23"/>
      <c r="I204" s="23"/>
      <c r="J204" s="23"/>
      <c r="K204" s="10" t="str">
        <f t="shared" si="1"/>
        <v/>
      </c>
      <c r="L204" s="27"/>
      <c r="M204" s="27"/>
      <c r="N204" s="10" t="str">
        <f t="shared" ref="N204:N205" si="70">IF(COUNTIF($A$2:A203,A204)&gt;0,INDEX($C$2:C203,MATCH(A204,$A$2:A203,0)),"")</f>
        <v/>
      </c>
      <c r="O204" s="17"/>
      <c r="P204" s="29"/>
    </row>
    <row r="205" ht="15.75" customHeight="1">
      <c r="A205" s="9" t="str">
        <f>IFERROR(__xludf.DUMMYFUNCTION("IF(B205="""","""",RIGHT(regexreplace(B205&amp;"""",""[^0-9]"",""""),9))"),"")</f>
        <v/>
      </c>
      <c r="B205" s="5"/>
      <c r="C205" s="5"/>
      <c r="D205" s="5"/>
      <c r="E205" s="23"/>
      <c r="F205" s="23"/>
      <c r="G205" s="23"/>
      <c r="H205" s="23"/>
      <c r="I205" s="23"/>
      <c r="J205" s="23"/>
      <c r="K205" s="10" t="str">
        <f t="shared" si="1"/>
        <v/>
      </c>
      <c r="L205" s="27"/>
      <c r="M205" s="27"/>
      <c r="N205" s="10" t="str">
        <f t="shared" si="70"/>
        <v/>
      </c>
      <c r="O205" s="17"/>
      <c r="P205" s="29"/>
    </row>
    <row r="206" ht="15.75" customHeight="1">
      <c r="A206" s="9" t="str">
        <f>IFERROR(__xludf.DUMMYFUNCTION("IF(B206="""","""",RIGHT(regexreplace(B206&amp;"""",""[^0-9]"",""""),9))"),"")</f>
        <v/>
      </c>
      <c r="B206" s="5"/>
      <c r="C206" s="5"/>
      <c r="D206" s="5"/>
      <c r="E206" s="23"/>
      <c r="F206" s="23"/>
      <c r="G206" s="23"/>
      <c r="H206" s="23"/>
      <c r="I206" s="23"/>
      <c r="J206" s="23"/>
      <c r="K206" s="10" t="str">
        <f t="shared" si="1"/>
        <v/>
      </c>
      <c r="L206" s="27"/>
      <c r="M206" s="27"/>
      <c r="N206" s="10" t="str">
        <f t="array" ref="N206">IF(COUNTIF($A$2:A205,A)&gt;0,INDEX($C$2:C205,MATCH(A206,$A$2:A205,0)),"")</f>
        <v/>
      </c>
      <c r="O206" s="17"/>
      <c r="P206" s="29"/>
    </row>
    <row r="207" ht="15.75" customHeight="1">
      <c r="A207" s="9" t="str">
        <f>IFERROR(__xludf.DUMMYFUNCTION("IF(B207="""","""",RIGHT(regexreplace(B207&amp;"""",""[^0-9]"",""""),9))"),"")</f>
        <v/>
      </c>
      <c r="B207" s="5"/>
      <c r="C207" s="5"/>
      <c r="D207" s="5"/>
      <c r="E207" s="23"/>
      <c r="F207" s="23"/>
      <c r="G207" s="23"/>
      <c r="H207" s="23"/>
      <c r="I207" s="23"/>
      <c r="J207" s="23"/>
      <c r="K207" s="10" t="str">
        <f t="shared" si="1"/>
        <v/>
      </c>
      <c r="L207" s="27"/>
      <c r="M207" s="27"/>
      <c r="N207" s="10" t="str">
        <f t="shared" ref="N207:N208" si="71">IF(COUNTIF($A$2:A206,A207)&gt;0,INDEX($C$2:C206,MATCH(A207,$A$2:A206,0)),"")</f>
        <v/>
      </c>
      <c r="O207" s="17"/>
      <c r="P207" s="29"/>
    </row>
    <row r="208" ht="15.75" customHeight="1">
      <c r="A208" s="9" t="str">
        <f>IFERROR(__xludf.DUMMYFUNCTION("IF(B208="""","""",RIGHT(regexreplace(B208&amp;"""",""[^0-9]"",""""),9))"),"")</f>
        <v/>
      </c>
      <c r="B208" s="5"/>
      <c r="C208" s="5"/>
      <c r="D208" s="5"/>
      <c r="E208" s="23"/>
      <c r="F208" s="23"/>
      <c r="G208" s="23"/>
      <c r="H208" s="23"/>
      <c r="I208" s="23"/>
      <c r="J208" s="23"/>
      <c r="K208" s="10" t="str">
        <f t="shared" si="1"/>
        <v/>
      </c>
      <c r="L208" s="27"/>
      <c r="M208" s="27"/>
      <c r="N208" s="10" t="str">
        <f t="shared" si="71"/>
        <v/>
      </c>
      <c r="O208" s="17"/>
      <c r="P208" s="29"/>
    </row>
    <row r="209" ht="15.75" customHeight="1">
      <c r="A209" s="9" t="str">
        <f>IFERROR(__xludf.DUMMYFUNCTION("IF(B209="""","""",RIGHT(regexreplace(B209&amp;"""",""[^0-9]"",""""),9))"),"")</f>
        <v/>
      </c>
      <c r="B209" s="5"/>
      <c r="C209" s="5"/>
      <c r="D209" s="5"/>
      <c r="E209" s="23"/>
      <c r="F209" s="23"/>
      <c r="G209" s="23"/>
      <c r="H209" s="23"/>
      <c r="I209" s="23"/>
      <c r="J209" s="23"/>
      <c r="K209" s="10" t="str">
        <f t="shared" si="1"/>
        <v/>
      </c>
      <c r="L209" s="27"/>
      <c r="M209" s="27"/>
      <c r="N209" s="10" t="str">
        <f t="array" ref="N209">IF(COUNTIF($A$2:A208,A)&gt;0,INDEX($C$2:C208,MATCH(A209,$A$2:A208,0)),"")</f>
        <v/>
      </c>
      <c r="O209" s="17"/>
      <c r="P209" s="29"/>
    </row>
    <row r="210" ht="15.75" customHeight="1">
      <c r="A210" s="9" t="str">
        <f>IFERROR(__xludf.DUMMYFUNCTION("IF(B210="""","""",RIGHT(regexreplace(B210&amp;"""",""[^0-9]"",""""),9))"),"")</f>
        <v/>
      </c>
      <c r="B210" s="5"/>
      <c r="C210" s="5"/>
      <c r="D210" s="5"/>
      <c r="E210" s="23"/>
      <c r="F210" s="23"/>
      <c r="G210" s="23"/>
      <c r="H210" s="23"/>
      <c r="I210" s="23"/>
      <c r="J210" s="23"/>
      <c r="K210" s="10" t="str">
        <f t="shared" si="1"/>
        <v/>
      </c>
      <c r="L210" s="27"/>
      <c r="M210" s="27"/>
      <c r="N210" s="10" t="str">
        <f t="shared" ref="N210:N211" si="72">IF(COUNTIF($A$2:A209,A210)&gt;0,INDEX($C$2:C209,MATCH(A210,$A$2:A209,0)),"")</f>
        <v/>
      </c>
      <c r="O210" s="17"/>
      <c r="P210" s="29"/>
    </row>
    <row r="211" ht="15.75" customHeight="1">
      <c r="A211" s="9" t="str">
        <f>IFERROR(__xludf.DUMMYFUNCTION("IF(B211="""","""",RIGHT(regexreplace(B211&amp;"""",""[^0-9]"",""""),9))"),"")</f>
        <v/>
      </c>
      <c r="B211" s="5"/>
      <c r="C211" s="5"/>
      <c r="D211" s="5"/>
      <c r="E211" s="23"/>
      <c r="F211" s="23"/>
      <c r="G211" s="23"/>
      <c r="H211" s="23"/>
      <c r="I211" s="23"/>
      <c r="J211" s="23"/>
      <c r="K211" s="10" t="str">
        <f t="shared" si="1"/>
        <v/>
      </c>
      <c r="L211" s="27"/>
      <c r="M211" s="27"/>
      <c r="N211" s="10" t="str">
        <f t="shared" si="72"/>
        <v/>
      </c>
      <c r="O211" s="17"/>
      <c r="P211" s="29"/>
    </row>
    <row r="212" ht="15.75" customHeight="1">
      <c r="A212" s="9" t="str">
        <f>IFERROR(__xludf.DUMMYFUNCTION("IF(B212="""","""",RIGHT(regexreplace(B212&amp;"""",""[^0-9]"",""""),9))"),"")</f>
        <v/>
      </c>
      <c r="B212" s="5"/>
      <c r="C212" s="5"/>
      <c r="D212" s="5"/>
      <c r="E212" s="23"/>
      <c r="F212" s="23"/>
      <c r="G212" s="23"/>
      <c r="H212" s="23"/>
      <c r="I212" s="23"/>
      <c r="J212" s="23"/>
      <c r="K212" s="10" t="str">
        <f t="shared" si="1"/>
        <v/>
      </c>
      <c r="L212" s="27"/>
      <c r="M212" s="27"/>
      <c r="N212" s="10" t="str">
        <f t="array" ref="N212">IF(COUNTIF($A$2:A211,A)&gt;0,INDEX($C$2:C211,MATCH(A212,$A$2:A211,0)),"")</f>
        <v/>
      </c>
      <c r="O212" s="17"/>
      <c r="P212" s="29"/>
    </row>
    <row r="213" ht="15.75" customHeight="1">
      <c r="A213" s="9" t="str">
        <f>IFERROR(__xludf.DUMMYFUNCTION("IF(B213="""","""",RIGHT(regexreplace(B213&amp;"""",""[^0-9]"",""""),9))"),"")</f>
        <v/>
      </c>
      <c r="B213" s="5"/>
      <c r="C213" s="5"/>
      <c r="D213" s="5"/>
      <c r="E213" s="23"/>
      <c r="F213" s="23"/>
      <c r="G213" s="23"/>
      <c r="H213" s="23"/>
      <c r="I213" s="23"/>
      <c r="J213" s="23"/>
      <c r="K213" s="10" t="str">
        <f t="shared" si="1"/>
        <v/>
      </c>
      <c r="L213" s="27"/>
      <c r="M213" s="27"/>
      <c r="N213" s="10" t="str">
        <f t="shared" ref="N213:N214" si="73">IF(COUNTIF($A$2:A212,A213)&gt;0,INDEX($C$2:C212,MATCH(A213,$A$2:A212,0)),"")</f>
        <v/>
      </c>
      <c r="O213" s="17"/>
      <c r="P213" s="29"/>
    </row>
    <row r="214" ht="15.75" customHeight="1">
      <c r="A214" s="9" t="str">
        <f>IFERROR(__xludf.DUMMYFUNCTION("IF(B214="""","""",RIGHT(regexreplace(B214&amp;"""",""[^0-9]"",""""),9))"),"")</f>
        <v/>
      </c>
      <c r="B214" s="5"/>
      <c r="C214" s="5"/>
      <c r="D214" s="5"/>
      <c r="E214" s="23"/>
      <c r="F214" s="23"/>
      <c r="G214" s="23"/>
      <c r="H214" s="23"/>
      <c r="I214" s="23"/>
      <c r="J214" s="23"/>
      <c r="K214" s="10" t="str">
        <f t="shared" si="1"/>
        <v/>
      </c>
      <c r="L214" s="27"/>
      <c r="M214" s="27"/>
      <c r="N214" s="10" t="str">
        <f t="shared" si="73"/>
        <v/>
      </c>
      <c r="O214" s="17"/>
      <c r="P214" s="29"/>
    </row>
    <row r="215" ht="15.75" customHeight="1">
      <c r="A215" s="9" t="str">
        <f>IFERROR(__xludf.DUMMYFUNCTION("IF(B215="""","""",RIGHT(regexreplace(B215&amp;"""",""[^0-9]"",""""),9))"),"")</f>
        <v/>
      </c>
      <c r="B215" s="5"/>
      <c r="C215" s="5"/>
      <c r="D215" s="5"/>
      <c r="E215" s="23"/>
      <c r="F215" s="23"/>
      <c r="G215" s="23"/>
      <c r="H215" s="23"/>
      <c r="I215" s="23"/>
      <c r="J215" s="23"/>
      <c r="K215" s="10" t="str">
        <f t="shared" si="1"/>
        <v/>
      </c>
      <c r="L215" s="27"/>
      <c r="M215" s="27"/>
      <c r="N215" s="10" t="str">
        <f t="array" ref="N215">IF(COUNTIF($A$2:A214,A)&gt;0,INDEX($C$2:C214,MATCH(A215,$A$2:A214,0)),"")</f>
        <v/>
      </c>
      <c r="O215" s="17"/>
      <c r="P215" s="29"/>
    </row>
    <row r="216" ht="15.75" customHeight="1">
      <c r="A216" s="9" t="str">
        <f>IFERROR(__xludf.DUMMYFUNCTION("IF(B216="""","""",RIGHT(regexreplace(B216&amp;"""",""[^0-9]"",""""),9))"),"")</f>
        <v/>
      </c>
      <c r="B216" s="5"/>
      <c r="C216" s="5"/>
      <c r="D216" s="5"/>
      <c r="E216" s="23"/>
      <c r="F216" s="23"/>
      <c r="G216" s="23"/>
      <c r="H216" s="23"/>
      <c r="I216" s="23"/>
      <c r="J216" s="23"/>
      <c r="K216" s="10" t="str">
        <f t="shared" si="1"/>
        <v/>
      </c>
      <c r="L216" s="27"/>
      <c r="M216" s="27"/>
      <c r="N216" s="10" t="str">
        <f t="shared" ref="N216:N217" si="74">IF(COUNTIF($A$2:A215,A216)&gt;0,INDEX($C$2:C215,MATCH(A216,$A$2:A215,0)),"")</f>
        <v/>
      </c>
      <c r="O216" s="17"/>
      <c r="P216" s="29"/>
    </row>
    <row r="217" ht="15.75" customHeight="1">
      <c r="A217" s="9" t="str">
        <f>IFERROR(__xludf.DUMMYFUNCTION("IF(B217="""","""",RIGHT(regexreplace(B217&amp;"""",""[^0-9]"",""""),9))"),"")</f>
        <v/>
      </c>
      <c r="B217" s="5"/>
      <c r="C217" s="5"/>
      <c r="D217" s="5"/>
      <c r="E217" s="23"/>
      <c r="F217" s="23"/>
      <c r="G217" s="23"/>
      <c r="H217" s="23"/>
      <c r="I217" s="23"/>
      <c r="J217" s="23"/>
      <c r="K217" s="10" t="str">
        <f t="shared" si="1"/>
        <v/>
      </c>
      <c r="L217" s="27"/>
      <c r="M217" s="27"/>
      <c r="N217" s="10" t="str">
        <f t="shared" si="74"/>
        <v/>
      </c>
      <c r="O217" s="17"/>
      <c r="P217" s="29"/>
    </row>
    <row r="218" ht="15.75" customHeight="1">
      <c r="A218" s="9" t="str">
        <f>IFERROR(__xludf.DUMMYFUNCTION("IF(B218="""","""",RIGHT(regexreplace(B218&amp;"""",""[^0-9]"",""""),9))"),"")</f>
        <v/>
      </c>
      <c r="B218" s="5"/>
      <c r="C218" s="5"/>
      <c r="D218" s="5"/>
      <c r="E218" s="23"/>
      <c r="F218" s="23"/>
      <c r="G218" s="23"/>
      <c r="H218" s="23"/>
      <c r="I218" s="23"/>
      <c r="J218" s="23"/>
      <c r="K218" s="10" t="str">
        <f t="shared" si="1"/>
        <v/>
      </c>
      <c r="L218" s="27"/>
      <c r="M218" s="27"/>
      <c r="N218" s="10" t="str">
        <f t="array" ref="N218">IF(COUNTIF($A$2:A217,A)&gt;0,INDEX($C$2:C217,MATCH(A218,$A$2:A217,0)),"")</f>
        <v/>
      </c>
      <c r="O218" s="17"/>
      <c r="P218" s="29"/>
    </row>
    <row r="219" ht="15.75" customHeight="1">
      <c r="A219" s="9" t="str">
        <f>IFERROR(__xludf.DUMMYFUNCTION("IF(B219="""","""",RIGHT(regexreplace(B219&amp;"""",""[^0-9]"",""""),9))"),"")</f>
        <v/>
      </c>
      <c r="B219" s="5"/>
      <c r="C219" s="5"/>
      <c r="D219" s="5"/>
      <c r="E219" s="23"/>
      <c r="F219" s="23"/>
      <c r="G219" s="23"/>
      <c r="H219" s="23"/>
      <c r="I219" s="23"/>
      <c r="J219" s="23"/>
      <c r="K219" s="10" t="str">
        <f t="shared" si="1"/>
        <v/>
      </c>
      <c r="L219" s="27"/>
      <c r="M219" s="27"/>
      <c r="N219" s="10" t="str">
        <f t="shared" ref="N219:N220" si="75">IF(COUNTIF($A$2:A218,A219)&gt;0,INDEX($C$2:C218,MATCH(A219,$A$2:A218,0)),"")</f>
        <v/>
      </c>
      <c r="O219" s="17"/>
      <c r="P219" s="29"/>
    </row>
    <row r="220" ht="15.75" customHeight="1">
      <c r="A220" s="9" t="str">
        <f>IFERROR(__xludf.DUMMYFUNCTION("IF(B220="""","""",RIGHT(regexreplace(B220&amp;"""",""[^0-9]"",""""),9))"),"")</f>
        <v/>
      </c>
      <c r="B220" s="5"/>
      <c r="C220" s="5"/>
      <c r="D220" s="5"/>
      <c r="E220" s="23"/>
      <c r="F220" s="23"/>
      <c r="G220" s="23"/>
      <c r="H220" s="23"/>
      <c r="I220" s="23"/>
      <c r="J220" s="23"/>
      <c r="K220" s="10" t="str">
        <f t="shared" si="1"/>
        <v/>
      </c>
      <c r="L220" s="27"/>
      <c r="M220" s="27"/>
      <c r="N220" s="10" t="str">
        <f t="shared" si="75"/>
        <v/>
      </c>
      <c r="O220" s="17"/>
      <c r="P220" s="29"/>
    </row>
    <row r="221" ht="15.75" customHeight="1">
      <c r="A221" s="9" t="str">
        <f>IFERROR(__xludf.DUMMYFUNCTION("IF(B221="""","""",RIGHT(regexreplace(B221&amp;"""",""[^0-9]"",""""),9))"),"")</f>
        <v/>
      </c>
      <c r="B221" s="5"/>
      <c r="C221" s="5"/>
      <c r="D221" s="5"/>
      <c r="E221" s="23"/>
      <c r="F221" s="23"/>
      <c r="G221" s="23"/>
      <c r="H221" s="23"/>
      <c r="I221" s="23"/>
      <c r="J221" s="23"/>
      <c r="K221" s="10" t="str">
        <f t="shared" si="1"/>
        <v/>
      </c>
      <c r="L221" s="27"/>
      <c r="M221" s="27"/>
      <c r="N221" s="10" t="str">
        <f t="array" ref="N221">IF(COUNTIF($A$2:A220,A)&gt;0,INDEX($C$2:C220,MATCH(A221,$A$2:A220,0)),"")</f>
        <v/>
      </c>
      <c r="O221" s="17"/>
      <c r="P221" s="29"/>
    </row>
    <row r="222" ht="15.75" customHeight="1">
      <c r="A222" s="9" t="str">
        <f>IFERROR(__xludf.DUMMYFUNCTION("IF(B222="""","""",RIGHT(regexreplace(B222&amp;"""",""[^0-9]"",""""),9))"),"")</f>
        <v/>
      </c>
      <c r="B222" s="5"/>
      <c r="C222" s="5"/>
      <c r="D222" s="5"/>
      <c r="E222" s="23"/>
      <c r="F222" s="23"/>
      <c r="G222" s="23"/>
      <c r="H222" s="23"/>
      <c r="I222" s="23"/>
      <c r="J222" s="23"/>
      <c r="K222" s="10" t="str">
        <f t="shared" si="1"/>
        <v/>
      </c>
      <c r="L222" s="27"/>
      <c r="M222" s="27"/>
      <c r="N222" s="10" t="str">
        <f t="shared" ref="N222:N223" si="76">IF(COUNTIF($A$2:A221,A222)&gt;0,INDEX($C$2:C221,MATCH(A222,$A$2:A221,0)),"")</f>
        <v/>
      </c>
      <c r="O222" s="17"/>
      <c r="P222" s="29"/>
    </row>
    <row r="223" ht="15.75" customHeight="1">
      <c r="A223" s="9" t="str">
        <f>IFERROR(__xludf.DUMMYFUNCTION("IF(B223="""","""",RIGHT(regexreplace(B223&amp;"""",""[^0-9]"",""""),9))"),"")</f>
        <v/>
      </c>
      <c r="B223" s="5"/>
      <c r="C223" s="5"/>
      <c r="D223" s="5"/>
      <c r="E223" s="23"/>
      <c r="F223" s="23"/>
      <c r="G223" s="23"/>
      <c r="H223" s="23"/>
      <c r="I223" s="23"/>
      <c r="J223" s="23"/>
      <c r="K223" s="10" t="str">
        <f t="shared" si="1"/>
        <v/>
      </c>
      <c r="L223" s="27"/>
      <c r="M223" s="27"/>
      <c r="N223" s="10" t="str">
        <f t="shared" si="76"/>
        <v/>
      </c>
      <c r="O223" s="17"/>
      <c r="P223" s="29"/>
    </row>
    <row r="224" ht="15.75" customHeight="1">
      <c r="A224" s="9" t="str">
        <f>IFERROR(__xludf.DUMMYFUNCTION("IF(B224="""","""",RIGHT(regexreplace(B224&amp;"""",""[^0-9]"",""""),9))"),"")</f>
        <v/>
      </c>
      <c r="B224" s="5"/>
      <c r="C224" s="5"/>
      <c r="D224" s="5"/>
      <c r="E224" s="23"/>
      <c r="F224" s="23"/>
      <c r="G224" s="23"/>
      <c r="H224" s="23"/>
      <c r="I224" s="23"/>
      <c r="J224" s="23"/>
      <c r="K224" s="10" t="str">
        <f t="shared" si="1"/>
        <v/>
      </c>
      <c r="L224" s="27"/>
      <c r="M224" s="27"/>
      <c r="N224" s="10" t="str">
        <f t="array" ref="N224">IF(COUNTIF($A$2:A223,A)&gt;0,INDEX($C$2:C223,MATCH(A224,$A$2:A223,0)),"")</f>
        <v/>
      </c>
      <c r="O224" s="17"/>
      <c r="P224" s="29"/>
    </row>
    <row r="225" ht="15.75" customHeight="1">
      <c r="A225" s="9" t="str">
        <f>IFERROR(__xludf.DUMMYFUNCTION("IF(B225="""","""",RIGHT(regexreplace(B225&amp;"""",""[^0-9]"",""""),9))"),"")</f>
        <v/>
      </c>
      <c r="B225" s="5"/>
      <c r="C225" s="5"/>
      <c r="D225" s="5"/>
      <c r="E225" s="23"/>
      <c r="F225" s="23"/>
      <c r="G225" s="23"/>
      <c r="H225" s="23"/>
      <c r="I225" s="23"/>
      <c r="J225" s="23"/>
      <c r="K225" s="10" t="str">
        <f t="shared" si="1"/>
        <v/>
      </c>
      <c r="L225" s="27"/>
      <c r="M225" s="27"/>
      <c r="N225" s="10" t="str">
        <f t="shared" ref="N225:N226" si="77">IF(COUNTIF($A$2:A224,A225)&gt;0,INDEX($C$2:C224,MATCH(A225,$A$2:A224,0)),"")</f>
        <v/>
      </c>
      <c r="O225" s="17"/>
      <c r="P225" s="29"/>
    </row>
    <row r="226" ht="15.75" customHeight="1">
      <c r="A226" s="9" t="str">
        <f>IFERROR(__xludf.DUMMYFUNCTION("IF(B226="""","""",RIGHT(regexreplace(B226&amp;"""",""[^0-9]"",""""),9))"),"")</f>
        <v/>
      </c>
      <c r="B226" s="5"/>
      <c r="C226" s="5"/>
      <c r="D226" s="5"/>
      <c r="E226" s="23"/>
      <c r="F226" s="23"/>
      <c r="G226" s="23"/>
      <c r="H226" s="23"/>
      <c r="I226" s="23"/>
      <c r="J226" s="23"/>
      <c r="K226" s="10" t="str">
        <f t="shared" si="1"/>
        <v/>
      </c>
      <c r="L226" s="27"/>
      <c r="M226" s="27"/>
      <c r="N226" s="10" t="str">
        <f t="shared" si="77"/>
        <v/>
      </c>
      <c r="O226" s="17"/>
      <c r="P226" s="29"/>
    </row>
    <row r="227" ht="15.75" customHeight="1">
      <c r="A227" s="9" t="str">
        <f>IFERROR(__xludf.DUMMYFUNCTION("IF(B227="""","""",RIGHT(regexreplace(B227&amp;"""",""[^0-9]"",""""),9))"),"")</f>
        <v/>
      </c>
      <c r="B227" s="5"/>
      <c r="C227" s="5"/>
      <c r="D227" s="5"/>
      <c r="E227" s="23"/>
      <c r="F227" s="23"/>
      <c r="G227" s="23"/>
      <c r="H227" s="23"/>
      <c r="I227" s="23"/>
      <c r="J227" s="23"/>
      <c r="K227" s="10" t="str">
        <f t="shared" si="1"/>
        <v/>
      </c>
      <c r="L227" s="27"/>
      <c r="M227" s="27"/>
      <c r="N227" s="10" t="str">
        <f t="array" ref="N227">IF(COUNTIF($A$2:A226,A)&gt;0,INDEX($C$2:C226,MATCH(A227,$A$2:A226,0)),"")</f>
        <v/>
      </c>
      <c r="O227" s="17"/>
      <c r="P227" s="29"/>
    </row>
    <row r="228" ht="15.75" customHeight="1">
      <c r="A228" s="9" t="str">
        <f>IFERROR(__xludf.DUMMYFUNCTION("IF(B228="""","""",RIGHT(regexreplace(B228&amp;"""",""[^0-9]"",""""),9))"),"")</f>
        <v/>
      </c>
      <c r="B228" s="5"/>
      <c r="C228" s="5"/>
      <c r="D228" s="5"/>
      <c r="E228" s="23"/>
      <c r="F228" s="23"/>
      <c r="G228" s="23"/>
      <c r="H228" s="23"/>
      <c r="I228" s="23"/>
      <c r="J228" s="23"/>
      <c r="K228" s="10" t="str">
        <f t="shared" si="1"/>
        <v/>
      </c>
      <c r="L228" s="27"/>
      <c r="M228" s="27"/>
      <c r="N228" s="10" t="str">
        <f t="shared" ref="N228:N229" si="78">IF(COUNTIF($A$2:A227,A228)&gt;0,INDEX($C$2:C227,MATCH(A228,$A$2:A227,0)),"")</f>
        <v/>
      </c>
      <c r="O228" s="17"/>
      <c r="P228" s="29"/>
    </row>
    <row r="229" ht="15.75" customHeight="1">
      <c r="A229" s="9" t="str">
        <f>IFERROR(__xludf.DUMMYFUNCTION("IF(B229="""","""",RIGHT(regexreplace(B229&amp;"""",""[^0-9]"",""""),9))"),"")</f>
        <v/>
      </c>
      <c r="B229" s="5"/>
      <c r="C229" s="5"/>
      <c r="D229" s="5"/>
      <c r="E229" s="23"/>
      <c r="F229" s="23"/>
      <c r="G229" s="23"/>
      <c r="H229" s="23"/>
      <c r="I229" s="23"/>
      <c r="J229" s="23"/>
      <c r="K229" s="10" t="str">
        <f t="shared" si="1"/>
        <v/>
      </c>
      <c r="L229" s="27"/>
      <c r="M229" s="27"/>
      <c r="N229" s="10" t="str">
        <f t="shared" si="78"/>
        <v/>
      </c>
      <c r="O229" s="17"/>
      <c r="P229" s="29"/>
    </row>
    <row r="230" ht="15.75" customHeight="1">
      <c r="A230" s="9" t="str">
        <f>IFERROR(__xludf.DUMMYFUNCTION("IF(B230="""","""",RIGHT(regexreplace(B230&amp;"""",""[^0-9]"",""""),9))"),"")</f>
        <v/>
      </c>
      <c r="B230" s="5"/>
      <c r="C230" s="5"/>
      <c r="D230" s="5"/>
      <c r="E230" s="23"/>
      <c r="F230" s="23"/>
      <c r="G230" s="23"/>
      <c r="H230" s="23"/>
      <c r="I230" s="23"/>
      <c r="J230" s="23"/>
      <c r="K230" s="10" t="str">
        <f t="shared" si="1"/>
        <v/>
      </c>
      <c r="L230" s="27"/>
      <c r="M230" s="27"/>
      <c r="N230" s="10" t="str">
        <f t="array" ref="N230">IF(COUNTIF($A$2:A229,A)&gt;0,INDEX($C$2:C229,MATCH(A230,$A$2:A229,0)),"")</f>
        <v/>
      </c>
      <c r="O230" s="17"/>
      <c r="P230" s="29"/>
    </row>
    <row r="231" ht="15.75" customHeight="1">
      <c r="A231" s="9" t="str">
        <f>IFERROR(__xludf.DUMMYFUNCTION("IF(B231="""","""",RIGHT(regexreplace(B231&amp;"""",""[^0-9]"",""""),9))"),"")</f>
        <v/>
      </c>
      <c r="B231" s="5"/>
      <c r="C231" s="5"/>
      <c r="D231" s="5"/>
      <c r="E231" s="23"/>
      <c r="F231" s="23"/>
      <c r="G231" s="23"/>
      <c r="H231" s="23"/>
      <c r="I231" s="23"/>
      <c r="J231" s="23"/>
      <c r="K231" s="10" t="str">
        <f t="shared" si="1"/>
        <v/>
      </c>
      <c r="L231" s="27"/>
      <c r="M231" s="27"/>
      <c r="N231" s="10" t="str">
        <f t="shared" ref="N231:N232" si="79">IF(COUNTIF($A$2:A230,A231)&gt;0,INDEX($C$2:C230,MATCH(A231,$A$2:A230,0)),"")</f>
        <v/>
      </c>
      <c r="O231" s="17"/>
      <c r="P231" s="29"/>
    </row>
    <row r="232" ht="15.75" customHeight="1">
      <c r="A232" s="9" t="str">
        <f>IFERROR(__xludf.DUMMYFUNCTION("IF(B232="""","""",RIGHT(regexreplace(B232&amp;"""",""[^0-9]"",""""),9))"),"")</f>
        <v/>
      </c>
      <c r="B232" s="5"/>
      <c r="C232" s="5"/>
      <c r="D232" s="5"/>
      <c r="E232" s="23"/>
      <c r="F232" s="23"/>
      <c r="G232" s="23"/>
      <c r="H232" s="23"/>
      <c r="I232" s="23"/>
      <c r="J232" s="23"/>
      <c r="K232" s="10" t="str">
        <f t="shared" si="1"/>
        <v/>
      </c>
      <c r="L232" s="27"/>
      <c r="M232" s="27"/>
      <c r="N232" s="10" t="str">
        <f t="shared" si="79"/>
        <v/>
      </c>
      <c r="O232" s="17"/>
      <c r="P232" s="29"/>
    </row>
    <row r="233" ht="15.75" customHeight="1">
      <c r="A233" s="9" t="str">
        <f>IFERROR(__xludf.DUMMYFUNCTION("IF(B233="""","""",RIGHT(regexreplace(B233&amp;"""",""[^0-9]"",""""),9))"),"")</f>
        <v/>
      </c>
      <c r="B233" s="5"/>
      <c r="C233" s="5"/>
      <c r="D233" s="5"/>
      <c r="E233" s="23"/>
      <c r="F233" s="23"/>
      <c r="G233" s="23"/>
      <c r="H233" s="23"/>
      <c r="I233" s="23"/>
      <c r="J233" s="23"/>
      <c r="K233" s="10" t="str">
        <f t="shared" si="1"/>
        <v/>
      </c>
      <c r="L233" s="27"/>
      <c r="M233" s="27"/>
      <c r="N233" s="10" t="str">
        <f t="array" ref="N233">IF(COUNTIF($A$2:A232,A)&gt;0,INDEX($C$2:C232,MATCH(A233,$A$2:A232,0)),"")</f>
        <v/>
      </c>
      <c r="O233" s="17"/>
      <c r="P233" s="29"/>
    </row>
    <row r="234" ht="15.75" customHeight="1">
      <c r="A234" s="9" t="str">
        <f>IFERROR(__xludf.DUMMYFUNCTION("IF(B234="""","""",RIGHT(regexreplace(B234&amp;"""",""[^0-9]"",""""),9))"),"")</f>
        <v/>
      </c>
      <c r="B234" s="5"/>
      <c r="C234" s="5"/>
      <c r="D234" s="5"/>
      <c r="E234" s="23"/>
      <c r="F234" s="23"/>
      <c r="G234" s="23"/>
      <c r="H234" s="23"/>
      <c r="I234" s="23"/>
      <c r="J234" s="23"/>
      <c r="K234" s="10" t="str">
        <f t="shared" si="1"/>
        <v/>
      </c>
      <c r="L234" s="27"/>
      <c r="M234" s="27"/>
      <c r="N234" s="10" t="str">
        <f t="shared" ref="N234:N235" si="80">IF(COUNTIF($A$2:A233,A234)&gt;0,INDEX($C$2:C233,MATCH(A234,$A$2:A233,0)),"")</f>
        <v/>
      </c>
      <c r="O234" s="17"/>
      <c r="P234" s="29"/>
    </row>
    <row r="235" ht="15.75" customHeight="1">
      <c r="A235" s="9" t="str">
        <f>IFERROR(__xludf.DUMMYFUNCTION("IF(B235="""","""",RIGHT(regexreplace(B235&amp;"""",""[^0-9]"",""""),9))"),"")</f>
        <v/>
      </c>
      <c r="B235" s="5"/>
      <c r="C235" s="5"/>
      <c r="D235" s="5"/>
      <c r="E235" s="23"/>
      <c r="F235" s="23"/>
      <c r="G235" s="23"/>
      <c r="H235" s="23"/>
      <c r="I235" s="23"/>
      <c r="J235" s="23"/>
      <c r="K235" s="10" t="str">
        <f t="shared" si="1"/>
        <v/>
      </c>
      <c r="L235" s="27"/>
      <c r="M235" s="27"/>
      <c r="N235" s="10" t="str">
        <f t="shared" si="80"/>
        <v/>
      </c>
      <c r="O235" s="17"/>
      <c r="P235" s="29"/>
    </row>
    <row r="236" ht="15.75" customHeight="1">
      <c r="A236" s="9" t="str">
        <f>IFERROR(__xludf.DUMMYFUNCTION("IF(B236="""","""",RIGHT(regexreplace(B236&amp;"""",""[^0-9]"",""""),9))"),"")</f>
        <v/>
      </c>
      <c r="B236" s="5"/>
      <c r="C236" s="5"/>
      <c r="D236" s="5"/>
      <c r="E236" s="23"/>
      <c r="F236" s="23"/>
      <c r="G236" s="23"/>
      <c r="H236" s="23"/>
      <c r="I236" s="23"/>
      <c r="J236" s="23"/>
      <c r="K236" s="10" t="str">
        <f t="shared" si="1"/>
        <v/>
      </c>
      <c r="L236" s="27"/>
      <c r="M236" s="27"/>
      <c r="N236" s="10" t="str">
        <f t="array" ref="N236">IF(COUNTIF($A$2:A235,A)&gt;0,INDEX($C$2:C235,MATCH(A236,$A$2:A235,0)),"")</f>
        <v/>
      </c>
      <c r="O236" s="17"/>
      <c r="P236" s="29"/>
    </row>
    <row r="237" ht="15.75" customHeight="1">
      <c r="A237" s="9" t="str">
        <f>IFERROR(__xludf.DUMMYFUNCTION("IF(B237="""","""",RIGHT(regexreplace(B237&amp;"""",""[^0-9]"",""""),9))"),"")</f>
        <v/>
      </c>
      <c r="B237" s="5"/>
      <c r="C237" s="5"/>
      <c r="D237" s="5"/>
      <c r="E237" s="23"/>
      <c r="F237" s="23"/>
      <c r="G237" s="23"/>
      <c r="H237" s="23"/>
      <c r="I237" s="23"/>
      <c r="J237" s="23"/>
      <c r="K237" s="10" t="str">
        <f t="shared" si="1"/>
        <v/>
      </c>
      <c r="L237" s="27"/>
      <c r="M237" s="27"/>
      <c r="N237" s="10" t="str">
        <f t="shared" ref="N237:N238" si="81">IF(COUNTIF($A$2:A236,A237)&gt;0,INDEX($C$2:C236,MATCH(A237,$A$2:A236,0)),"")</f>
        <v/>
      </c>
      <c r="O237" s="17"/>
      <c r="P237" s="29"/>
    </row>
    <row r="238" ht="15.75" customHeight="1">
      <c r="A238" s="9" t="str">
        <f>IFERROR(__xludf.DUMMYFUNCTION("IF(B238="""","""",RIGHT(regexreplace(B238&amp;"""",""[^0-9]"",""""),9))"),"")</f>
        <v/>
      </c>
      <c r="B238" s="5"/>
      <c r="C238" s="5"/>
      <c r="D238" s="5"/>
      <c r="E238" s="23"/>
      <c r="F238" s="23"/>
      <c r="G238" s="23"/>
      <c r="H238" s="23"/>
      <c r="I238" s="23"/>
      <c r="J238" s="23"/>
      <c r="K238" s="10" t="str">
        <f t="shared" si="1"/>
        <v/>
      </c>
      <c r="L238" s="27"/>
      <c r="M238" s="27"/>
      <c r="N238" s="10" t="str">
        <f t="shared" si="81"/>
        <v/>
      </c>
      <c r="O238" s="17"/>
      <c r="P238" s="29"/>
    </row>
    <row r="239" ht="15.75" customHeight="1">
      <c r="A239" s="9" t="str">
        <f>IFERROR(__xludf.DUMMYFUNCTION("IF(B239="""","""",RIGHT(regexreplace(B239&amp;"""",""[^0-9]"",""""),9))"),"")</f>
        <v/>
      </c>
      <c r="B239" s="5"/>
      <c r="C239" s="5"/>
      <c r="D239" s="5"/>
      <c r="E239" s="23"/>
      <c r="F239" s="23"/>
      <c r="G239" s="23"/>
      <c r="H239" s="23"/>
      <c r="I239" s="23"/>
      <c r="J239" s="23"/>
      <c r="K239" s="10" t="str">
        <f t="shared" si="1"/>
        <v/>
      </c>
      <c r="L239" s="27"/>
      <c r="M239" s="27"/>
      <c r="N239" s="10" t="str">
        <f t="array" ref="N239">IF(COUNTIF($A$2:A238,A)&gt;0,INDEX($C$2:C238,MATCH(A239,$A$2:A238,0)),"")</f>
        <v/>
      </c>
      <c r="O239" s="17"/>
      <c r="P239" s="29"/>
    </row>
    <row r="240" ht="15.75" customHeight="1">
      <c r="A240" s="9" t="str">
        <f>IFERROR(__xludf.DUMMYFUNCTION("IF(B240="""","""",RIGHT(regexreplace(B240&amp;"""",""[^0-9]"",""""),9))"),"")</f>
        <v/>
      </c>
      <c r="B240" s="5"/>
      <c r="C240" s="5"/>
      <c r="D240" s="5"/>
      <c r="E240" s="23"/>
      <c r="F240" s="23"/>
      <c r="G240" s="23"/>
      <c r="H240" s="23"/>
      <c r="I240" s="23"/>
      <c r="J240" s="23"/>
      <c r="K240" s="10" t="str">
        <f t="shared" si="1"/>
        <v/>
      </c>
      <c r="L240" s="27"/>
      <c r="M240" s="27"/>
      <c r="N240" s="10" t="str">
        <f t="shared" ref="N240:N241" si="82">IF(COUNTIF($A$2:A239,A240)&gt;0,INDEX($C$2:C239,MATCH(A240,$A$2:A239,0)),"")</f>
        <v/>
      </c>
      <c r="O240" s="17"/>
      <c r="P240" s="29"/>
    </row>
    <row r="241" ht="15.75" customHeight="1">
      <c r="A241" s="9" t="str">
        <f>IFERROR(__xludf.DUMMYFUNCTION("IF(B241="""","""",RIGHT(regexreplace(B241&amp;"""",""[^0-9]"",""""),9))"),"")</f>
        <v/>
      </c>
      <c r="B241" s="5"/>
      <c r="C241" s="5"/>
      <c r="D241" s="5"/>
      <c r="E241" s="23"/>
      <c r="F241" s="23"/>
      <c r="G241" s="23"/>
      <c r="H241" s="23"/>
      <c r="I241" s="23"/>
      <c r="J241" s="23"/>
      <c r="K241" s="10" t="str">
        <f t="shared" si="1"/>
        <v/>
      </c>
      <c r="L241" s="27"/>
      <c r="M241" s="27"/>
      <c r="N241" s="10" t="str">
        <f t="shared" si="82"/>
        <v/>
      </c>
      <c r="O241" s="17"/>
      <c r="P241" s="29"/>
    </row>
    <row r="242" ht="15.75" customHeight="1">
      <c r="A242" s="9" t="str">
        <f>IFERROR(__xludf.DUMMYFUNCTION("IF(B242="""","""",RIGHT(regexreplace(B242&amp;"""",""[^0-9]"",""""),9))"),"")</f>
        <v/>
      </c>
      <c r="B242" s="5"/>
      <c r="C242" s="5"/>
      <c r="D242" s="5"/>
      <c r="E242" s="23"/>
      <c r="F242" s="23"/>
      <c r="G242" s="23"/>
      <c r="H242" s="23"/>
      <c r="I242" s="23"/>
      <c r="J242" s="23"/>
      <c r="K242" s="10" t="str">
        <f t="shared" si="1"/>
        <v/>
      </c>
      <c r="L242" s="27"/>
      <c r="M242" s="27"/>
      <c r="N242" s="10" t="str">
        <f t="array" ref="N242">IF(COUNTIF($A$2:A241,A)&gt;0,INDEX($C$2:C241,MATCH(A242,$A$2:A241,0)),"")</f>
        <v/>
      </c>
      <c r="O242" s="17"/>
      <c r="P242" s="29"/>
    </row>
    <row r="243" ht="15.75" customHeight="1">
      <c r="A243" s="9" t="str">
        <f>IFERROR(__xludf.DUMMYFUNCTION("IF(B243="""","""",RIGHT(regexreplace(B243&amp;"""",""[^0-9]"",""""),9))"),"")</f>
        <v/>
      </c>
      <c r="B243" s="5"/>
      <c r="C243" s="5"/>
      <c r="D243" s="5"/>
      <c r="E243" s="23"/>
      <c r="F243" s="23"/>
      <c r="G243" s="23"/>
      <c r="H243" s="23"/>
      <c r="I243" s="23"/>
      <c r="J243" s="23"/>
      <c r="K243" s="10" t="str">
        <f t="shared" si="1"/>
        <v/>
      </c>
      <c r="L243" s="27"/>
      <c r="M243" s="27"/>
      <c r="N243" s="10" t="str">
        <f t="shared" ref="N243:N244" si="83">IF(COUNTIF($A$2:A242,A243)&gt;0,INDEX($C$2:C242,MATCH(A243,$A$2:A242,0)),"")</f>
        <v/>
      </c>
      <c r="O243" s="17"/>
      <c r="P243" s="29"/>
    </row>
    <row r="244" ht="15.75" customHeight="1">
      <c r="A244" s="9" t="str">
        <f>IFERROR(__xludf.DUMMYFUNCTION("IF(B244="""","""",RIGHT(regexreplace(B244&amp;"""",""[^0-9]"",""""),9))"),"")</f>
        <v/>
      </c>
      <c r="B244" s="5"/>
      <c r="C244" s="5"/>
      <c r="D244" s="5"/>
      <c r="E244" s="23"/>
      <c r="F244" s="23"/>
      <c r="G244" s="23"/>
      <c r="H244" s="23"/>
      <c r="I244" s="23"/>
      <c r="J244" s="23"/>
      <c r="K244" s="10" t="str">
        <f t="shared" si="1"/>
        <v/>
      </c>
      <c r="L244" s="27"/>
      <c r="M244" s="27"/>
      <c r="N244" s="10" t="str">
        <f t="shared" si="83"/>
        <v/>
      </c>
      <c r="O244" s="17"/>
      <c r="P244" s="29"/>
    </row>
    <row r="245" ht="15.75" customHeight="1">
      <c r="A245" s="9" t="str">
        <f>IFERROR(__xludf.DUMMYFUNCTION("IF(B245="""","""",RIGHT(regexreplace(B245&amp;"""",""[^0-9]"",""""),9))"),"")</f>
        <v/>
      </c>
      <c r="B245" s="5"/>
      <c r="C245" s="5"/>
      <c r="D245" s="5"/>
      <c r="E245" s="23"/>
      <c r="F245" s="23"/>
      <c r="G245" s="23"/>
      <c r="H245" s="23"/>
      <c r="I245" s="23"/>
      <c r="J245" s="23"/>
      <c r="K245" s="10" t="str">
        <f t="shared" si="1"/>
        <v/>
      </c>
      <c r="L245" s="27"/>
      <c r="M245" s="27"/>
      <c r="N245" s="10" t="str">
        <f t="array" ref="N245">IF(COUNTIF($A$2:A244,A)&gt;0,INDEX($C$2:C244,MATCH(A245,$A$2:A244,0)),"")</f>
        <v/>
      </c>
      <c r="O245" s="17"/>
      <c r="P245" s="29"/>
    </row>
    <row r="246" ht="15.75" customHeight="1">
      <c r="A246" s="9" t="str">
        <f>IFERROR(__xludf.DUMMYFUNCTION("IF(B246="""","""",RIGHT(regexreplace(B246&amp;"""",""[^0-9]"",""""),9))"),"")</f>
        <v/>
      </c>
      <c r="B246" s="5"/>
      <c r="C246" s="5"/>
      <c r="D246" s="5"/>
      <c r="E246" s="23"/>
      <c r="F246" s="23"/>
      <c r="G246" s="23"/>
      <c r="H246" s="23"/>
      <c r="I246" s="23"/>
      <c r="J246" s="23"/>
      <c r="K246" s="10" t="str">
        <f t="shared" si="1"/>
        <v/>
      </c>
      <c r="L246" s="27"/>
      <c r="M246" s="27"/>
      <c r="N246" s="10" t="str">
        <f t="shared" ref="N246:N247" si="84">IF(COUNTIF($A$2:A245,A246)&gt;0,INDEX($C$2:C245,MATCH(A246,$A$2:A245,0)),"")</f>
        <v/>
      </c>
      <c r="O246" s="17"/>
      <c r="P246" s="29"/>
    </row>
    <row r="247" ht="15.75" customHeight="1">
      <c r="A247" s="9" t="str">
        <f>IFERROR(__xludf.DUMMYFUNCTION("IF(B247="""","""",RIGHT(regexreplace(B247&amp;"""",""[^0-9]"",""""),9))"),"")</f>
        <v/>
      </c>
      <c r="B247" s="5"/>
      <c r="C247" s="5"/>
      <c r="D247" s="5"/>
      <c r="E247" s="23"/>
      <c r="F247" s="23"/>
      <c r="G247" s="23"/>
      <c r="H247" s="23"/>
      <c r="I247" s="23"/>
      <c r="J247" s="23"/>
      <c r="K247" s="10" t="str">
        <f t="shared" si="1"/>
        <v/>
      </c>
      <c r="L247" s="27"/>
      <c r="M247" s="27"/>
      <c r="N247" s="10" t="str">
        <f t="shared" si="84"/>
        <v/>
      </c>
      <c r="O247" s="17"/>
      <c r="P247" s="29"/>
    </row>
    <row r="248" ht="15.75" customHeight="1">
      <c r="A248" s="9" t="str">
        <f>IFERROR(__xludf.DUMMYFUNCTION("IF(B248="""","""",RIGHT(regexreplace(B248&amp;"""",""[^0-9]"",""""),9))"),"")</f>
        <v/>
      </c>
      <c r="B248" s="5"/>
      <c r="C248" s="5"/>
      <c r="D248" s="5"/>
      <c r="E248" s="23"/>
      <c r="F248" s="23"/>
      <c r="G248" s="23"/>
      <c r="H248" s="23"/>
      <c r="I248" s="23"/>
      <c r="J248" s="23"/>
      <c r="K248" s="10" t="str">
        <f t="shared" si="1"/>
        <v/>
      </c>
      <c r="L248" s="27"/>
      <c r="M248" s="27"/>
      <c r="N248" s="10" t="str">
        <f t="array" ref="N248">IF(COUNTIF($A$2:A247,A)&gt;0,INDEX($C$2:C247,MATCH(A248,$A$2:A247,0)),"")</f>
        <v/>
      </c>
      <c r="O248" s="17"/>
      <c r="P248" s="29"/>
    </row>
    <row r="249" ht="15.75" customHeight="1">
      <c r="A249" s="9" t="str">
        <f>IFERROR(__xludf.DUMMYFUNCTION("IF(B249="""","""",RIGHT(regexreplace(B249&amp;"""",""[^0-9]"",""""),9))"),"")</f>
        <v/>
      </c>
      <c r="B249" s="5"/>
      <c r="C249" s="5"/>
      <c r="D249" s="5"/>
      <c r="E249" s="23"/>
      <c r="F249" s="23"/>
      <c r="G249" s="23"/>
      <c r="H249" s="23"/>
      <c r="I249" s="23"/>
      <c r="J249" s="23"/>
      <c r="K249" s="10" t="str">
        <f t="shared" si="1"/>
        <v/>
      </c>
      <c r="L249" s="27"/>
      <c r="M249" s="27"/>
      <c r="N249" s="10" t="str">
        <f t="shared" ref="N249:N250" si="85">IF(COUNTIF($A$2:A248,A249)&gt;0,INDEX($C$2:C248,MATCH(A249,$A$2:A248,0)),"")</f>
        <v/>
      </c>
      <c r="O249" s="17"/>
      <c r="P249" s="29"/>
    </row>
    <row r="250" ht="15.75" customHeight="1">
      <c r="A250" s="9" t="str">
        <f>IFERROR(__xludf.DUMMYFUNCTION("IF(B250="""","""",RIGHT(regexreplace(B250&amp;"""",""[^0-9]"",""""),9))"),"")</f>
        <v/>
      </c>
      <c r="B250" s="5"/>
      <c r="C250" s="5"/>
      <c r="D250" s="5"/>
      <c r="E250" s="23"/>
      <c r="F250" s="23"/>
      <c r="G250" s="23"/>
      <c r="H250" s="23"/>
      <c r="I250" s="23"/>
      <c r="J250" s="23"/>
      <c r="K250" s="10" t="str">
        <f t="shared" si="1"/>
        <v/>
      </c>
      <c r="L250" s="27"/>
      <c r="M250" s="27"/>
      <c r="N250" s="10" t="str">
        <f t="shared" si="85"/>
        <v/>
      </c>
      <c r="O250" s="17"/>
      <c r="P250" s="29"/>
    </row>
    <row r="251" ht="15.75" customHeight="1">
      <c r="A251" s="9" t="str">
        <f>IFERROR(__xludf.DUMMYFUNCTION("IF(B251="""","""",RIGHT(regexreplace(B251&amp;"""",""[^0-9]"",""""),9))"),"")</f>
        <v/>
      </c>
      <c r="B251" s="5"/>
      <c r="C251" s="5"/>
      <c r="D251" s="5"/>
      <c r="E251" s="23"/>
      <c r="F251" s="23"/>
      <c r="G251" s="23"/>
      <c r="H251" s="23"/>
      <c r="I251" s="23"/>
      <c r="J251" s="23"/>
      <c r="K251" s="10" t="str">
        <f t="shared" si="1"/>
        <v/>
      </c>
      <c r="L251" s="27"/>
      <c r="M251" s="27"/>
      <c r="N251" s="10" t="str">
        <f t="array" ref="N251">IF(COUNTIF($A$2:A250,A)&gt;0,INDEX($C$2:C250,MATCH(A251,$A$2:A250,0)),"")</f>
        <v/>
      </c>
      <c r="O251" s="17"/>
      <c r="P251" s="29"/>
    </row>
    <row r="252" ht="15.75" customHeight="1">
      <c r="A252" s="9" t="str">
        <f>IFERROR(__xludf.DUMMYFUNCTION("IF(B252="""","""",RIGHT(regexreplace(B252&amp;"""",""[^0-9]"",""""),9))"),"")</f>
        <v/>
      </c>
      <c r="B252" s="5"/>
      <c r="C252" s="5"/>
      <c r="D252" s="5"/>
      <c r="E252" s="23"/>
      <c r="F252" s="23"/>
      <c r="G252" s="23"/>
      <c r="H252" s="23"/>
      <c r="I252" s="23"/>
      <c r="J252" s="23"/>
      <c r="K252" s="10" t="str">
        <f t="shared" si="1"/>
        <v/>
      </c>
      <c r="L252" s="27"/>
      <c r="M252" s="27"/>
      <c r="N252" s="10" t="str">
        <f t="shared" ref="N252:N253" si="86">IF(COUNTIF($A$2:A251,A252)&gt;0,INDEX($C$2:C251,MATCH(A252,$A$2:A251,0)),"")</f>
        <v/>
      </c>
      <c r="O252" s="17"/>
      <c r="P252" s="29"/>
    </row>
    <row r="253" ht="15.75" customHeight="1">
      <c r="A253" s="9" t="str">
        <f>IFERROR(__xludf.DUMMYFUNCTION("IF(B253="""","""",RIGHT(regexreplace(B253&amp;"""",""[^0-9]"",""""),9))"),"")</f>
        <v/>
      </c>
      <c r="B253" s="5"/>
      <c r="C253" s="5"/>
      <c r="D253" s="5"/>
      <c r="E253" s="23"/>
      <c r="F253" s="23"/>
      <c r="G253" s="23"/>
      <c r="H253" s="23"/>
      <c r="I253" s="23"/>
      <c r="J253" s="23"/>
      <c r="K253" s="10" t="str">
        <f t="shared" si="1"/>
        <v/>
      </c>
      <c r="L253" s="27"/>
      <c r="M253" s="27"/>
      <c r="N253" s="10" t="str">
        <f t="shared" si="86"/>
        <v/>
      </c>
      <c r="O253" s="17"/>
      <c r="P253" s="29"/>
    </row>
    <row r="254" ht="15.75" customHeight="1">
      <c r="A254" s="9" t="str">
        <f>IFERROR(__xludf.DUMMYFUNCTION("IF(B254="""","""",RIGHT(regexreplace(B254&amp;"""",""[^0-9]"",""""),9))"),"")</f>
        <v/>
      </c>
      <c r="B254" s="5"/>
      <c r="C254" s="5"/>
      <c r="D254" s="5"/>
      <c r="E254" s="23"/>
      <c r="F254" s="23"/>
      <c r="G254" s="23"/>
      <c r="H254" s="23"/>
      <c r="I254" s="23"/>
      <c r="J254" s="23"/>
      <c r="K254" s="10" t="str">
        <f t="shared" si="1"/>
        <v/>
      </c>
      <c r="L254" s="27"/>
      <c r="M254" s="27"/>
      <c r="N254" s="10" t="str">
        <f t="array" ref="N254">IF(COUNTIF($A$2:A253,A)&gt;0,INDEX($C$2:C253,MATCH(A254,$A$2:A253,0)),"")</f>
        <v/>
      </c>
      <c r="O254" s="17"/>
      <c r="P254" s="29"/>
    </row>
    <row r="255" ht="15.75" customHeight="1">
      <c r="A255" s="9" t="str">
        <f>IFERROR(__xludf.DUMMYFUNCTION("IF(B255="""","""",RIGHT(regexreplace(B255&amp;"""",""[^0-9]"",""""),9))"),"")</f>
        <v/>
      </c>
      <c r="B255" s="5"/>
      <c r="C255" s="5"/>
      <c r="D255" s="5"/>
      <c r="E255" s="23"/>
      <c r="F255" s="23"/>
      <c r="G255" s="23"/>
      <c r="H255" s="23"/>
      <c r="I255" s="23"/>
      <c r="J255" s="23"/>
      <c r="K255" s="10" t="str">
        <f t="shared" si="1"/>
        <v/>
      </c>
      <c r="L255" s="27"/>
      <c r="M255" s="27"/>
      <c r="N255" s="10" t="str">
        <f t="shared" ref="N255:N256" si="87">IF(COUNTIF($A$2:A254,A255)&gt;0,INDEX($C$2:C254,MATCH(A255,$A$2:A254,0)),"")</f>
        <v/>
      </c>
      <c r="O255" s="17"/>
      <c r="P255" s="29"/>
    </row>
    <row r="256" ht="15.75" customHeight="1">
      <c r="A256" s="9" t="str">
        <f>IFERROR(__xludf.DUMMYFUNCTION("IF(B256="""","""",RIGHT(regexreplace(B256&amp;"""",""[^0-9]"",""""),9))"),"")</f>
        <v/>
      </c>
      <c r="B256" s="5"/>
      <c r="C256" s="5"/>
      <c r="D256" s="5"/>
      <c r="E256" s="23"/>
      <c r="F256" s="23"/>
      <c r="G256" s="23"/>
      <c r="H256" s="23"/>
      <c r="I256" s="23"/>
      <c r="J256" s="23"/>
      <c r="K256" s="10" t="str">
        <f t="shared" si="1"/>
        <v/>
      </c>
      <c r="L256" s="27"/>
      <c r="M256" s="27"/>
      <c r="N256" s="10" t="str">
        <f t="shared" si="87"/>
        <v/>
      </c>
      <c r="O256" s="17"/>
      <c r="P256" s="29"/>
    </row>
    <row r="257" ht="15.75" customHeight="1">
      <c r="A257" s="9" t="str">
        <f>IFERROR(__xludf.DUMMYFUNCTION("IF(B257="""","""",RIGHT(regexreplace(B257&amp;"""",""[^0-9]"",""""),9))"),"")</f>
        <v/>
      </c>
      <c r="B257" s="5"/>
      <c r="C257" s="5"/>
      <c r="D257" s="5"/>
      <c r="E257" s="23"/>
      <c r="F257" s="23"/>
      <c r="G257" s="23"/>
      <c r="H257" s="23"/>
      <c r="I257" s="23"/>
      <c r="J257" s="23"/>
      <c r="K257" s="10" t="str">
        <f t="shared" si="1"/>
        <v/>
      </c>
      <c r="L257" s="27"/>
      <c r="M257" s="27"/>
      <c r="N257" s="10" t="str">
        <f t="array" ref="N257">IF(COUNTIF($A$2:A256,A)&gt;0,INDEX($C$2:C256,MATCH(A257,$A$2:A256,0)),"")</f>
        <v/>
      </c>
      <c r="O257" s="17"/>
      <c r="P257" s="29"/>
    </row>
    <row r="258" ht="15.75" customHeight="1">
      <c r="A258" s="9" t="str">
        <f>IFERROR(__xludf.DUMMYFUNCTION("IF(B258="""","""",RIGHT(regexreplace(B258&amp;"""",""[^0-9]"",""""),9))"),"")</f>
        <v/>
      </c>
      <c r="B258" s="5"/>
      <c r="C258" s="5"/>
      <c r="D258" s="5"/>
      <c r="E258" s="23"/>
      <c r="F258" s="23"/>
      <c r="G258" s="23"/>
      <c r="H258" s="23"/>
      <c r="I258" s="23"/>
      <c r="J258" s="23"/>
      <c r="K258" s="10" t="str">
        <f t="shared" si="1"/>
        <v/>
      </c>
      <c r="L258" s="27"/>
      <c r="M258" s="27"/>
      <c r="N258" s="10" t="str">
        <f t="shared" ref="N258:N259" si="88">IF(COUNTIF($A$2:A257,A258)&gt;0,INDEX($C$2:C257,MATCH(A258,$A$2:A257,0)),"")</f>
        <v/>
      </c>
      <c r="O258" s="17"/>
      <c r="P258" s="29"/>
    </row>
    <row r="259" ht="15.75" customHeight="1">
      <c r="A259" s="9" t="str">
        <f>IFERROR(__xludf.DUMMYFUNCTION("IF(B259="""","""",RIGHT(regexreplace(B259&amp;"""",""[^0-9]"",""""),9))"),"")</f>
        <v/>
      </c>
      <c r="B259" s="5"/>
      <c r="C259" s="5"/>
      <c r="D259" s="5"/>
      <c r="E259" s="23"/>
      <c r="F259" s="23"/>
      <c r="G259" s="23"/>
      <c r="H259" s="23"/>
      <c r="I259" s="23"/>
      <c r="J259" s="23"/>
      <c r="K259" s="10" t="str">
        <f t="shared" si="1"/>
        <v/>
      </c>
      <c r="L259" s="27"/>
      <c r="M259" s="27"/>
      <c r="N259" s="10" t="str">
        <f t="shared" si="88"/>
        <v/>
      </c>
      <c r="O259" s="17"/>
      <c r="P259" s="29"/>
    </row>
    <row r="260" ht="15.75" customHeight="1">
      <c r="A260" s="9" t="str">
        <f>IFERROR(__xludf.DUMMYFUNCTION("IF(B260="""","""",RIGHT(regexreplace(B260&amp;"""",""[^0-9]"",""""),9))"),"")</f>
        <v/>
      </c>
      <c r="B260" s="5"/>
      <c r="C260" s="5"/>
      <c r="D260" s="5"/>
      <c r="E260" s="23"/>
      <c r="F260" s="23"/>
      <c r="G260" s="23"/>
      <c r="H260" s="23"/>
      <c r="I260" s="23"/>
      <c r="J260" s="23"/>
      <c r="K260" s="10" t="str">
        <f t="shared" si="1"/>
        <v/>
      </c>
      <c r="L260" s="27"/>
      <c r="M260" s="27"/>
      <c r="N260" s="10" t="str">
        <f t="array" ref="N260">IF(COUNTIF($A$2:A259,A)&gt;0,INDEX($C$2:C259,MATCH(A260,$A$2:A259,0)),"")</f>
        <v/>
      </c>
      <c r="O260" s="17"/>
      <c r="P260" s="29"/>
    </row>
    <row r="261" ht="15.75" customHeight="1">
      <c r="A261" s="9" t="str">
        <f>IFERROR(__xludf.DUMMYFUNCTION("IF(B261="""","""",RIGHT(regexreplace(B261&amp;"""",""[^0-9]"",""""),9))"),"")</f>
        <v/>
      </c>
      <c r="B261" s="5"/>
      <c r="C261" s="5"/>
      <c r="D261" s="5"/>
      <c r="E261" s="23"/>
      <c r="F261" s="23"/>
      <c r="G261" s="23"/>
      <c r="H261" s="23"/>
      <c r="I261" s="23"/>
      <c r="J261" s="23"/>
      <c r="K261" s="10" t="str">
        <f t="shared" si="1"/>
        <v/>
      </c>
      <c r="L261" s="27"/>
      <c r="M261" s="27"/>
      <c r="N261" s="10" t="str">
        <f t="shared" ref="N261:N262" si="89">IF(COUNTIF($A$2:A260,A261)&gt;0,INDEX($C$2:C260,MATCH(A261,$A$2:A260,0)),"")</f>
        <v/>
      </c>
      <c r="O261" s="17"/>
      <c r="P261" s="29"/>
    </row>
    <row r="262" ht="15.75" customHeight="1">
      <c r="A262" s="9" t="str">
        <f>IFERROR(__xludf.DUMMYFUNCTION("IF(B262="""","""",RIGHT(regexreplace(B262&amp;"""",""[^0-9]"",""""),9))"),"")</f>
        <v/>
      </c>
      <c r="B262" s="5"/>
      <c r="C262" s="5"/>
      <c r="D262" s="5"/>
      <c r="E262" s="23"/>
      <c r="F262" s="23"/>
      <c r="G262" s="23"/>
      <c r="H262" s="23"/>
      <c r="I262" s="23"/>
      <c r="J262" s="23"/>
      <c r="K262" s="10" t="str">
        <f t="shared" si="1"/>
        <v/>
      </c>
      <c r="L262" s="27"/>
      <c r="M262" s="27"/>
      <c r="N262" s="10" t="str">
        <f t="shared" si="89"/>
        <v/>
      </c>
      <c r="O262" s="17"/>
      <c r="P262" s="29"/>
    </row>
    <row r="263" ht="15.75" customHeight="1">
      <c r="A263" s="9" t="str">
        <f>IFERROR(__xludf.DUMMYFUNCTION("IF(B263="""","""",RIGHT(regexreplace(B263&amp;"""",""[^0-9]"",""""),9))"),"")</f>
        <v/>
      </c>
      <c r="B263" s="5"/>
      <c r="C263" s="5"/>
      <c r="D263" s="5"/>
      <c r="E263" s="23"/>
      <c r="F263" s="23"/>
      <c r="G263" s="23"/>
      <c r="H263" s="23"/>
      <c r="I263" s="23"/>
      <c r="J263" s="23"/>
      <c r="K263" s="10" t="str">
        <f t="shared" si="1"/>
        <v/>
      </c>
      <c r="L263" s="27"/>
      <c r="M263" s="27"/>
      <c r="N263" s="10" t="str">
        <f t="array" ref="N263">IF(COUNTIF($A$2:A262,A)&gt;0,INDEX($C$2:C262,MATCH(A263,$A$2:A262,0)),"")</f>
        <v/>
      </c>
      <c r="O263" s="17"/>
      <c r="P263" s="29"/>
    </row>
    <row r="264" ht="15.75" customHeight="1">
      <c r="A264" s="9" t="str">
        <f>IFERROR(__xludf.DUMMYFUNCTION("IF(B264="""","""",RIGHT(regexreplace(B264&amp;"""",""[^0-9]"",""""),9))"),"")</f>
        <v/>
      </c>
      <c r="B264" s="5"/>
      <c r="C264" s="5"/>
      <c r="D264" s="5"/>
      <c r="E264" s="23"/>
      <c r="F264" s="23"/>
      <c r="G264" s="23"/>
      <c r="H264" s="23"/>
      <c r="I264" s="23"/>
      <c r="J264" s="23"/>
      <c r="K264" s="10" t="str">
        <f t="shared" si="1"/>
        <v/>
      </c>
      <c r="L264" s="27"/>
      <c r="M264" s="27"/>
      <c r="N264" s="10" t="str">
        <f t="shared" ref="N264:N265" si="90">IF(COUNTIF($A$2:A263,A264)&gt;0,INDEX($C$2:C263,MATCH(A264,$A$2:A263,0)),"")</f>
        <v/>
      </c>
      <c r="O264" s="17"/>
      <c r="P264" s="29"/>
    </row>
    <row r="265" ht="15.75" customHeight="1">
      <c r="A265" s="9" t="str">
        <f>IFERROR(__xludf.DUMMYFUNCTION("IF(B265="""","""",RIGHT(regexreplace(B265&amp;"""",""[^0-9]"",""""),9))"),"")</f>
        <v/>
      </c>
      <c r="B265" s="5"/>
      <c r="C265" s="5"/>
      <c r="D265" s="5"/>
      <c r="E265" s="23"/>
      <c r="F265" s="23"/>
      <c r="G265" s="23"/>
      <c r="H265" s="23"/>
      <c r="I265" s="23"/>
      <c r="J265" s="23"/>
      <c r="K265" s="10" t="str">
        <f t="shared" si="1"/>
        <v/>
      </c>
      <c r="L265" s="27"/>
      <c r="M265" s="27"/>
      <c r="N265" s="10" t="str">
        <f t="shared" si="90"/>
        <v/>
      </c>
      <c r="O265" s="17"/>
      <c r="P265" s="29"/>
    </row>
    <row r="266" ht="15.75" customHeight="1">
      <c r="A266" s="9" t="str">
        <f>IFERROR(__xludf.DUMMYFUNCTION("IF(B266="""","""",RIGHT(regexreplace(B266&amp;"""",""[^0-9]"",""""),9))"),"")</f>
        <v/>
      </c>
      <c r="B266" s="5"/>
      <c r="C266" s="5"/>
      <c r="D266" s="5"/>
      <c r="E266" s="23"/>
      <c r="F266" s="23"/>
      <c r="G266" s="23"/>
      <c r="H266" s="23"/>
      <c r="I266" s="23"/>
      <c r="J266" s="23"/>
      <c r="K266" s="10" t="str">
        <f t="shared" si="1"/>
        <v/>
      </c>
      <c r="L266" s="27"/>
      <c r="M266" s="27"/>
      <c r="N266" s="10" t="str">
        <f t="array" ref="N266">IF(COUNTIF($A$2:A265,A)&gt;0,INDEX($C$2:C265,MATCH(A266,$A$2:A265,0)),"")</f>
        <v/>
      </c>
      <c r="O266" s="17"/>
      <c r="P266" s="29"/>
    </row>
    <row r="267" ht="15.75" customHeight="1">
      <c r="A267" s="9" t="str">
        <f>IFERROR(__xludf.DUMMYFUNCTION("IF(B267="""","""",RIGHT(regexreplace(B267&amp;"""",""[^0-9]"",""""),9))"),"")</f>
        <v/>
      </c>
      <c r="B267" s="5"/>
      <c r="C267" s="5"/>
      <c r="D267" s="5"/>
      <c r="E267" s="23"/>
      <c r="F267" s="23"/>
      <c r="G267" s="23"/>
      <c r="H267" s="23"/>
      <c r="I267" s="23"/>
      <c r="J267" s="23"/>
      <c r="K267" s="10" t="str">
        <f t="shared" si="1"/>
        <v/>
      </c>
      <c r="L267" s="27"/>
      <c r="M267" s="27"/>
      <c r="N267" s="10" t="str">
        <f t="shared" ref="N267:N268" si="91">IF(COUNTIF($A$2:A266,A267)&gt;0,INDEX($C$2:C266,MATCH(A267,$A$2:A266,0)),"")</f>
        <v/>
      </c>
      <c r="O267" s="17"/>
      <c r="P267" s="29"/>
    </row>
    <row r="268" ht="15.75" customHeight="1">
      <c r="A268" s="9" t="str">
        <f>IFERROR(__xludf.DUMMYFUNCTION("IF(B268="""","""",RIGHT(regexreplace(B268&amp;"""",""[^0-9]"",""""),9))"),"")</f>
        <v/>
      </c>
      <c r="B268" s="5"/>
      <c r="C268" s="5"/>
      <c r="D268" s="5"/>
      <c r="E268" s="23"/>
      <c r="F268" s="23"/>
      <c r="G268" s="23"/>
      <c r="H268" s="23"/>
      <c r="I268" s="23"/>
      <c r="J268" s="23"/>
      <c r="K268" s="10" t="str">
        <f t="shared" si="1"/>
        <v/>
      </c>
      <c r="L268" s="27"/>
      <c r="M268" s="27"/>
      <c r="N268" s="10" t="str">
        <f t="shared" si="91"/>
        <v/>
      </c>
      <c r="O268" s="17"/>
      <c r="P268" s="29"/>
    </row>
    <row r="269" ht="15.75" customHeight="1">
      <c r="A269" s="9" t="str">
        <f>IFERROR(__xludf.DUMMYFUNCTION("IF(B269="""","""",RIGHT(regexreplace(B269&amp;"""",""[^0-9]"",""""),9))"),"")</f>
        <v/>
      </c>
      <c r="B269" s="5"/>
      <c r="C269" s="5"/>
      <c r="D269" s="5"/>
      <c r="E269" s="23"/>
      <c r="F269" s="23"/>
      <c r="G269" s="23"/>
      <c r="H269" s="23"/>
      <c r="I269" s="23"/>
      <c r="J269" s="23"/>
      <c r="K269" s="10" t="str">
        <f t="shared" si="1"/>
        <v/>
      </c>
      <c r="L269" s="27"/>
      <c r="M269" s="27"/>
      <c r="N269" s="10" t="str">
        <f t="array" ref="N269">IF(COUNTIF($A$2:A268,A)&gt;0,INDEX($C$2:C268,MATCH(A269,$A$2:A268,0)),"")</f>
        <v/>
      </c>
      <c r="O269" s="17"/>
      <c r="P269" s="29"/>
    </row>
    <row r="270" ht="15.75" customHeight="1">
      <c r="A270" s="9" t="str">
        <f>IFERROR(__xludf.DUMMYFUNCTION("IF(B270="""","""",RIGHT(regexreplace(B270&amp;"""",""[^0-9]"",""""),9))"),"")</f>
        <v/>
      </c>
      <c r="B270" s="5"/>
      <c r="C270" s="5"/>
      <c r="D270" s="5"/>
      <c r="E270" s="23"/>
      <c r="F270" s="23"/>
      <c r="G270" s="23"/>
      <c r="H270" s="23"/>
      <c r="I270" s="23"/>
      <c r="J270" s="23"/>
      <c r="K270" s="10" t="str">
        <f t="shared" si="1"/>
        <v/>
      </c>
      <c r="L270" s="27"/>
      <c r="M270" s="27"/>
      <c r="N270" s="10" t="str">
        <f t="shared" ref="N270:N271" si="92">IF(COUNTIF($A$2:A269,A270)&gt;0,INDEX($C$2:C269,MATCH(A270,$A$2:A269,0)),"")</f>
        <v/>
      </c>
      <c r="O270" s="17"/>
      <c r="P270" s="29"/>
    </row>
    <row r="271" ht="15.75" customHeight="1">
      <c r="A271" s="9" t="str">
        <f>IFERROR(__xludf.DUMMYFUNCTION("IF(B271="""","""",RIGHT(regexreplace(B271&amp;"""",""[^0-9]"",""""),9))"),"")</f>
        <v/>
      </c>
      <c r="B271" s="5"/>
      <c r="C271" s="5"/>
      <c r="D271" s="5"/>
      <c r="E271" s="23"/>
      <c r="F271" s="23"/>
      <c r="G271" s="23"/>
      <c r="H271" s="23"/>
      <c r="I271" s="23"/>
      <c r="J271" s="23"/>
      <c r="K271" s="10" t="str">
        <f t="shared" si="1"/>
        <v/>
      </c>
      <c r="L271" s="27"/>
      <c r="M271" s="27"/>
      <c r="N271" s="10" t="str">
        <f t="shared" si="92"/>
        <v/>
      </c>
      <c r="O271" s="17"/>
      <c r="P271" s="29"/>
    </row>
    <row r="272" ht="15.75" customHeight="1">
      <c r="A272" s="9" t="str">
        <f>IFERROR(__xludf.DUMMYFUNCTION("IF(B272="""","""",RIGHT(regexreplace(B272&amp;"""",""[^0-9]"",""""),9))"),"")</f>
        <v/>
      </c>
      <c r="B272" s="5"/>
      <c r="C272" s="5"/>
      <c r="D272" s="5"/>
      <c r="E272" s="23"/>
      <c r="F272" s="23"/>
      <c r="G272" s="23"/>
      <c r="H272" s="23"/>
      <c r="I272" s="23"/>
      <c r="J272" s="23"/>
      <c r="K272" s="10" t="str">
        <f t="shared" si="1"/>
        <v/>
      </c>
      <c r="L272" s="27"/>
      <c r="M272" s="27"/>
      <c r="N272" s="10" t="str">
        <f t="array" ref="N272">IF(COUNTIF($A$2:A271,A)&gt;0,INDEX($C$2:C271,MATCH(A272,$A$2:A271,0)),"")</f>
        <v/>
      </c>
      <c r="O272" s="17"/>
      <c r="P272" s="29"/>
    </row>
    <row r="273" ht="15.75" customHeight="1">
      <c r="A273" s="9" t="str">
        <f>IFERROR(__xludf.DUMMYFUNCTION("IF(B273="""","""",RIGHT(regexreplace(B273&amp;"""",""[^0-9]"",""""),9))"),"")</f>
        <v/>
      </c>
      <c r="B273" s="5"/>
      <c r="C273" s="5"/>
      <c r="D273" s="5"/>
      <c r="E273" s="23"/>
      <c r="F273" s="23"/>
      <c r="G273" s="23"/>
      <c r="H273" s="23"/>
      <c r="I273" s="23"/>
      <c r="J273" s="23"/>
      <c r="K273" s="10" t="str">
        <f t="shared" si="1"/>
        <v/>
      </c>
      <c r="L273" s="27"/>
      <c r="M273" s="27"/>
      <c r="N273" s="10" t="str">
        <f t="shared" ref="N273:N274" si="93">IF(COUNTIF($A$2:A272,A273)&gt;0,INDEX($C$2:C272,MATCH(A273,$A$2:A272,0)),"")</f>
        <v/>
      </c>
      <c r="O273" s="17"/>
      <c r="P273" s="29"/>
    </row>
    <row r="274" ht="15.75" customHeight="1">
      <c r="A274" s="9" t="str">
        <f>IFERROR(__xludf.DUMMYFUNCTION("IF(B274="""","""",RIGHT(regexreplace(B274&amp;"""",""[^0-9]"",""""),9))"),"")</f>
        <v/>
      </c>
      <c r="B274" s="5"/>
      <c r="C274" s="5"/>
      <c r="D274" s="5"/>
      <c r="E274" s="23"/>
      <c r="F274" s="23"/>
      <c r="G274" s="23"/>
      <c r="H274" s="23"/>
      <c r="I274" s="23"/>
      <c r="J274" s="23"/>
      <c r="K274" s="10" t="str">
        <f t="shared" si="1"/>
        <v/>
      </c>
      <c r="L274" s="27"/>
      <c r="M274" s="27"/>
      <c r="N274" s="10" t="str">
        <f t="shared" si="93"/>
        <v/>
      </c>
      <c r="O274" s="17"/>
      <c r="P274" s="29"/>
    </row>
    <row r="275" ht="15.75" customHeight="1">
      <c r="A275" s="9" t="str">
        <f>IFERROR(__xludf.DUMMYFUNCTION("IF(B275="""","""",RIGHT(regexreplace(B275&amp;"""",""[^0-9]"",""""),9))"),"")</f>
        <v/>
      </c>
      <c r="B275" s="5"/>
      <c r="C275" s="5"/>
      <c r="D275" s="5"/>
      <c r="E275" s="23"/>
      <c r="F275" s="23"/>
      <c r="G275" s="23"/>
      <c r="H275" s="23"/>
      <c r="I275" s="23"/>
      <c r="J275" s="23"/>
      <c r="K275" s="10" t="str">
        <f t="shared" si="1"/>
        <v/>
      </c>
      <c r="L275" s="27"/>
      <c r="M275" s="27"/>
      <c r="N275" s="10" t="str">
        <f t="array" ref="N275">IF(COUNTIF($A$2:A274,A)&gt;0,INDEX($C$2:C274,MATCH(A275,$A$2:A274,0)),"")</f>
        <v/>
      </c>
      <c r="O275" s="17"/>
      <c r="P275" s="29"/>
    </row>
    <row r="276" ht="15.75" customHeight="1">
      <c r="A276" s="9" t="str">
        <f>IFERROR(__xludf.DUMMYFUNCTION("IF(B276="""","""",RIGHT(regexreplace(B276&amp;"""",""[^0-9]"",""""),9))"),"")</f>
        <v/>
      </c>
      <c r="B276" s="5"/>
      <c r="C276" s="5"/>
      <c r="D276" s="5"/>
      <c r="E276" s="23"/>
      <c r="F276" s="23"/>
      <c r="G276" s="23"/>
      <c r="H276" s="23"/>
      <c r="I276" s="23"/>
      <c r="J276" s="23"/>
      <c r="K276" s="10" t="str">
        <f t="shared" si="1"/>
        <v/>
      </c>
      <c r="L276" s="27"/>
      <c r="M276" s="27"/>
      <c r="N276" s="10" t="str">
        <f t="shared" ref="N276:N277" si="94">IF(COUNTIF($A$2:A275,A276)&gt;0,INDEX($C$2:C275,MATCH(A276,$A$2:A275,0)),"")</f>
        <v/>
      </c>
      <c r="O276" s="17"/>
      <c r="P276" s="29"/>
    </row>
    <row r="277" ht="15.75" customHeight="1">
      <c r="A277" s="9" t="str">
        <f>IFERROR(__xludf.DUMMYFUNCTION("IF(B277="""","""",RIGHT(regexreplace(B277&amp;"""",""[^0-9]"",""""),9))"),"")</f>
        <v/>
      </c>
      <c r="B277" s="5"/>
      <c r="C277" s="5"/>
      <c r="D277" s="5"/>
      <c r="E277" s="23"/>
      <c r="F277" s="23"/>
      <c r="G277" s="23"/>
      <c r="H277" s="23"/>
      <c r="I277" s="23"/>
      <c r="J277" s="23"/>
      <c r="K277" s="10" t="str">
        <f t="shared" si="1"/>
        <v/>
      </c>
      <c r="L277" s="27"/>
      <c r="M277" s="27"/>
      <c r="N277" s="10" t="str">
        <f t="shared" si="94"/>
        <v/>
      </c>
      <c r="O277" s="17"/>
      <c r="P277" s="29"/>
    </row>
    <row r="278" ht="15.75" customHeight="1">
      <c r="A278" s="9" t="str">
        <f>IFERROR(__xludf.DUMMYFUNCTION("IF(B278="""","""",RIGHT(regexreplace(B278&amp;"""",""[^0-9]"",""""),9))"),"")</f>
        <v/>
      </c>
      <c r="B278" s="5"/>
      <c r="C278" s="5"/>
      <c r="D278" s="5"/>
      <c r="E278" s="23"/>
      <c r="F278" s="23"/>
      <c r="G278" s="23"/>
      <c r="H278" s="23"/>
      <c r="I278" s="23"/>
      <c r="J278" s="23"/>
      <c r="K278" s="10" t="str">
        <f t="shared" si="1"/>
        <v/>
      </c>
      <c r="L278" s="27"/>
      <c r="M278" s="27"/>
      <c r="N278" s="10" t="str">
        <f t="array" ref="N278">IF(COUNTIF($A$2:A277,A)&gt;0,INDEX($C$2:C277,MATCH(A278,$A$2:A277,0)),"")</f>
        <v/>
      </c>
      <c r="O278" s="17"/>
      <c r="P278" s="29"/>
    </row>
    <row r="279" ht="15.75" customHeight="1">
      <c r="A279" s="9" t="str">
        <f>IFERROR(__xludf.DUMMYFUNCTION("IF(B279="""","""",RIGHT(regexreplace(B279&amp;"""",""[^0-9]"",""""),9))"),"")</f>
        <v/>
      </c>
      <c r="B279" s="5"/>
      <c r="C279" s="5"/>
      <c r="D279" s="5"/>
      <c r="E279" s="23"/>
      <c r="F279" s="23"/>
      <c r="G279" s="23"/>
      <c r="H279" s="23"/>
      <c r="I279" s="23"/>
      <c r="J279" s="23"/>
      <c r="K279" s="10" t="str">
        <f t="shared" si="1"/>
        <v/>
      </c>
      <c r="L279" s="27"/>
      <c r="M279" s="27"/>
      <c r="N279" s="10" t="str">
        <f t="shared" ref="N279:N280" si="95">IF(COUNTIF($A$2:A278,A279)&gt;0,INDEX($C$2:C278,MATCH(A279,$A$2:A278,0)),"")</f>
        <v/>
      </c>
      <c r="O279" s="17"/>
      <c r="P279" s="29"/>
    </row>
    <row r="280" ht="15.75" customHeight="1">
      <c r="A280" s="9" t="str">
        <f>IFERROR(__xludf.DUMMYFUNCTION("IF(B280="""","""",RIGHT(regexreplace(B280&amp;"""",""[^0-9]"",""""),9))"),"")</f>
        <v/>
      </c>
      <c r="B280" s="5"/>
      <c r="C280" s="5"/>
      <c r="D280" s="5"/>
      <c r="E280" s="23"/>
      <c r="F280" s="23"/>
      <c r="G280" s="23"/>
      <c r="H280" s="23"/>
      <c r="I280" s="23"/>
      <c r="J280" s="23"/>
      <c r="K280" s="10" t="str">
        <f t="shared" si="1"/>
        <v/>
      </c>
      <c r="L280" s="27"/>
      <c r="M280" s="27"/>
      <c r="N280" s="10" t="str">
        <f t="shared" si="95"/>
        <v/>
      </c>
      <c r="O280" s="17"/>
      <c r="P280" s="29"/>
    </row>
    <row r="281" ht="15.75" customHeight="1">
      <c r="A281" s="9" t="str">
        <f>IFERROR(__xludf.DUMMYFUNCTION("IF(B281="""","""",RIGHT(regexreplace(B281&amp;"""",""[^0-9]"",""""),9))"),"")</f>
        <v/>
      </c>
      <c r="B281" s="5"/>
      <c r="C281" s="5"/>
      <c r="D281" s="5"/>
      <c r="E281" s="23"/>
      <c r="F281" s="23"/>
      <c r="G281" s="23"/>
      <c r="H281" s="23"/>
      <c r="I281" s="23"/>
      <c r="J281" s="23"/>
      <c r="K281" s="10" t="str">
        <f t="shared" si="1"/>
        <v/>
      </c>
      <c r="L281" s="27"/>
      <c r="M281" s="27"/>
      <c r="N281" s="10" t="str">
        <f t="array" ref="N281">IF(COUNTIF($A$2:A280,A)&gt;0,INDEX($C$2:C280,MATCH(A281,$A$2:A280,0)),"")</f>
        <v/>
      </c>
      <c r="O281" s="17"/>
      <c r="P281" s="29"/>
    </row>
    <row r="282" ht="15.75" customHeight="1">
      <c r="A282" s="9" t="str">
        <f>IFERROR(__xludf.DUMMYFUNCTION("IF(B282="""","""",RIGHT(regexreplace(B282&amp;"""",""[^0-9]"",""""),9))"),"")</f>
        <v/>
      </c>
      <c r="B282" s="5"/>
      <c r="C282" s="5"/>
      <c r="D282" s="5"/>
      <c r="E282" s="23"/>
      <c r="F282" s="23"/>
      <c r="G282" s="23"/>
      <c r="H282" s="23"/>
      <c r="I282" s="23"/>
      <c r="J282" s="23"/>
      <c r="K282" s="10" t="str">
        <f t="shared" si="1"/>
        <v/>
      </c>
      <c r="L282" s="27"/>
      <c r="M282" s="27"/>
      <c r="N282" s="10" t="str">
        <f t="shared" ref="N282:N283" si="96">IF(COUNTIF($A$2:A281,A282)&gt;0,INDEX($C$2:C281,MATCH(A282,$A$2:A281,0)),"")</f>
        <v/>
      </c>
      <c r="O282" s="17"/>
      <c r="P282" s="29"/>
    </row>
    <row r="283" ht="15.75" customHeight="1">
      <c r="A283" s="9" t="str">
        <f>IFERROR(__xludf.DUMMYFUNCTION("IF(B283="""","""",RIGHT(regexreplace(B283&amp;"""",""[^0-9]"",""""),9))"),"")</f>
        <v/>
      </c>
      <c r="B283" s="5"/>
      <c r="C283" s="5"/>
      <c r="D283" s="5"/>
      <c r="E283" s="23"/>
      <c r="F283" s="23"/>
      <c r="G283" s="23"/>
      <c r="H283" s="23"/>
      <c r="I283" s="23"/>
      <c r="J283" s="23"/>
      <c r="K283" s="10" t="str">
        <f t="shared" si="1"/>
        <v/>
      </c>
      <c r="L283" s="27"/>
      <c r="M283" s="27"/>
      <c r="N283" s="10" t="str">
        <f t="shared" si="96"/>
        <v/>
      </c>
      <c r="O283" s="17"/>
      <c r="P283" s="29"/>
    </row>
    <row r="284" ht="15.75" customHeight="1">
      <c r="A284" s="9" t="str">
        <f>IFERROR(__xludf.DUMMYFUNCTION("IF(B284="""","""",RIGHT(regexreplace(B284&amp;"""",""[^0-9]"",""""),9))"),"")</f>
        <v/>
      </c>
      <c r="B284" s="5"/>
      <c r="C284" s="5"/>
      <c r="D284" s="5"/>
      <c r="E284" s="23"/>
      <c r="F284" s="23"/>
      <c r="G284" s="23"/>
      <c r="H284" s="23"/>
      <c r="I284" s="23"/>
      <c r="J284" s="23"/>
      <c r="K284" s="10" t="str">
        <f t="shared" si="1"/>
        <v/>
      </c>
      <c r="L284" s="27"/>
      <c r="M284" s="27"/>
      <c r="N284" s="10" t="str">
        <f t="array" ref="N284">IF(COUNTIF($A$2:A283,A)&gt;0,INDEX($C$2:C283,MATCH(A284,$A$2:A283,0)),"")</f>
        <v/>
      </c>
      <c r="O284" s="17"/>
      <c r="P284" s="29"/>
    </row>
    <row r="285" ht="15.75" customHeight="1">
      <c r="A285" s="9" t="str">
        <f>IFERROR(__xludf.DUMMYFUNCTION("IF(B285="""","""",RIGHT(regexreplace(B285&amp;"""",""[^0-9]"",""""),9))"),"")</f>
        <v/>
      </c>
      <c r="B285" s="5"/>
      <c r="C285" s="5"/>
      <c r="D285" s="5"/>
      <c r="E285" s="23"/>
      <c r="F285" s="23"/>
      <c r="G285" s="23"/>
      <c r="H285" s="23"/>
      <c r="I285" s="23"/>
      <c r="J285" s="23"/>
      <c r="K285" s="10" t="str">
        <f t="shared" si="1"/>
        <v/>
      </c>
      <c r="L285" s="27"/>
      <c r="M285" s="27"/>
      <c r="N285" s="10" t="str">
        <f t="shared" ref="N285:N286" si="97">IF(COUNTIF($A$2:A284,A285)&gt;0,INDEX($C$2:C284,MATCH(A285,$A$2:A284,0)),"")</f>
        <v/>
      </c>
      <c r="O285" s="17"/>
      <c r="P285" s="29"/>
    </row>
    <row r="286" ht="15.75" customHeight="1">
      <c r="A286" s="9" t="str">
        <f>IFERROR(__xludf.DUMMYFUNCTION("IF(B286="""","""",RIGHT(regexreplace(B286&amp;"""",""[^0-9]"",""""),9))"),"")</f>
        <v/>
      </c>
      <c r="B286" s="5"/>
      <c r="C286" s="5"/>
      <c r="D286" s="5"/>
      <c r="E286" s="23"/>
      <c r="F286" s="23"/>
      <c r="G286" s="23"/>
      <c r="H286" s="23"/>
      <c r="I286" s="23"/>
      <c r="J286" s="23"/>
      <c r="K286" s="10" t="str">
        <f t="shared" si="1"/>
        <v/>
      </c>
      <c r="L286" s="27"/>
      <c r="M286" s="27"/>
      <c r="N286" s="10" t="str">
        <f t="shared" si="97"/>
        <v/>
      </c>
      <c r="O286" s="17"/>
      <c r="P286" s="29"/>
    </row>
    <row r="287" ht="15.75" customHeight="1">
      <c r="A287" s="9" t="str">
        <f>IFERROR(__xludf.DUMMYFUNCTION("IF(B287="""","""",RIGHT(regexreplace(B287&amp;"""",""[^0-9]"",""""),9))"),"")</f>
        <v/>
      </c>
      <c r="B287" s="5"/>
      <c r="C287" s="5"/>
      <c r="D287" s="5"/>
      <c r="E287" s="23"/>
      <c r="F287" s="23"/>
      <c r="G287" s="23"/>
      <c r="H287" s="23"/>
      <c r="I287" s="23"/>
      <c r="J287" s="23"/>
      <c r="K287" s="10" t="str">
        <f t="shared" si="1"/>
        <v/>
      </c>
      <c r="L287" s="27"/>
      <c r="M287" s="27"/>
      <c r="N287" s="10" t="str">
        <f t="array" ref="N287">IF(COUNTIF($A$2:A286,A)&gt;0,INDEX($C$2:C286,MATCH(A287,$A$2:A286,0)),"")</f>
        <v/>
      </c>
      <c r="O287" s="17"/>
      <c r="P287" s="29"/>
    </row>
    <row r="288" ht="15.75" customHeight="1">
      <c r="A288" s="9" t="str">
        <f>IFERROR(__xludf.DUMMYFUNCTION("IF(B288="""","""",RIGHT(regexreplace(B288&amp;"""",""[^0-9]"",""""),9))"),"")</f>
        <v/>
      </c>
      <c r="B288" s="5"/>
      <c r="C288" s="5"/>
      <c r="D288" s="5"/>
      <c r="E288" s="23"/>
      <c r="F288" s="23"/>
      <c r="G288" s="23"/>
      <c r="H288" s="23"/>
      <c r="I288" s="23"/>
      <c r="J288" s="23"/>
      <c r="K288" s="10" t="str">
        <f t="shared" si="1"/>
        <v/>
      </c>
      <c r="L288" s="27"/>
      <c r="M288" s="27"/>
      <c r="N288" s="10" t="str">
        <f t="shared" ref="N288:N289" si="98">IF(COUNTIF($A$2:A287,A288)&gt;0,INDEX($C$2:C287,MATCH(A288,$A$2:A287,0)),"")</f>
        <v/>
      </c>
      <c r="O288" s="17"/>
      <c r="P288" s="29"/>
    </row>
    <row r="289" ht="15.75" customHeight="1">
      <c r="A289" s="9" t="str">
        <f>IFERROR(__xludf.DUMMYFUNCTION("IF(B289="""","""",RIGHT(regexreplace(B289&amp;"""",""[^0-9]"",""""),9))"),"")</f>
        <v/>
      </c>
      <c r="B289" s="5"/>
      <c r="C289" s="5"/>
      <c r="D289" s="5"/>
      <c r="E289" s="23"/>
      <c r="F289" s="23"/>
      <c r="G289" s="23"/>
      <c r="H289" s="23"/>
      <c r="I289" s="23"/>
      <c r="J289" s="23"/>
      <c r="K289" s="10" t="str">
        <f t="shared" si="1"/>
        <v/>
      </c>
      <c r="L289" s="27"/>
      <c r="M289" s="27"/>
      <c r="N289" s="10" t="str">
        <f t="shared" si="98"/>
        <v/>
      </c>
      <c r="O289" s="17"/>
      <c r="P289" s="29"/>
    </row>
    <row r="290" ht="15.75" customHeight="1">
      <c r="A290" s="9" t="str">
        <f>IFERROR(__xludf.DUMMYFUNCTION("IF(B290="""","""",RIGHT(regexreplace(B290&amp;"""",""[^0-9]"",""""),9))"),"")</f>
        <v/>
      </c>
      <c r="B290" s="5"/>
      <c r="C290" s="5"/>
      <c r="D290" s="5"/>
      <c r="E290" s="23"/>
      <c r="F290" s="23"/>
      <c r="G290" s="23"/>
      <c r="H290" s="23"/>
      <c r="I290" s="23"/>
      <c r="J290" s="23"/>
      <c r="K290" s="10" t="str">
        <f t="shared" si="1"/>
        <v/>
      </c>
      <c r="L290" s="27"/>
      <c r="M290" s="27"/>
      <c r="N290" s="10" t="str">
        <f t="array" ref="N290">IF(COUNTIF($A$2:A289,A)&gt;0,INDEX($C$2:C289,MATCH(A290,$A$2:A289,0)),"")</f>
        <v/>
      </c>
      <c r="O290" s="17"/>
      <c r="P290" s="29"/>
    </row>
    <row r="291" ht="15.75" customHeight="1">
      <c r="A291" s="9" t="str">
        <f>IFERROR(__xludf.DUMMYFUNCTION("IF(B291="""","""",RIGHT(regexreplace(B291&amp;"""",""[^0-9]"",""""),9))"),"")</f>
        <v/>
      </c>
      <c r="B291" s="5"/>
      <c r="C291" s="5"/>
      <c r="D291" s="5"/>
      <c r="E291" s="23"/>
      <c r="F291" s="23"/>
      <c r="G291" s="23"/>
      <c r="H291" s="23"/>
      <c r="I291" s="23"/>
      <c r="J291" s="23"/>
      <c r="K291" s="10" t="str">
        <f t="shared" si="1"/>
        <v/>
      </c>
      <c r="L291" s="27"/>
      <c r="M291" s="27"/>
      <c r="N291" s="10" t="str">
        <f t="shared" ref="N291:N292" si="99">IF(COUNTIF($A$2:A290,A291)&gt;0,INDEX($C$2:C290,MATCH(A291,$A$2:A290,0)),"")</f>
        <v/>
      </c>
      <c r="O291" s="17"/>
      <c r="P291" s="29"/>
    </row>
    <row r="292" ht="15.75" customHeight="1">
      <c r="A292" s="9" t="str">
        <f>IFERROR(__xludf.DUMMYFUNCTION("IF(B292="""","""",RIGHT(regexreplace(B292&amp;"""",""[^0-9]"",""""),9))"),"")</f>
        <v/>
      </c>
      <c r="B292" s="5"/>
      <c r="C292" s="5"/>
      <c r="D292" s="5"/>
      <c r="E292" s="23"/>
      <c r="F292" s="23"/>
      <c r="G292" s="23"/>
      <c r="H292" s="23"/>
      <c r="I292" s="23"/>
      <c r="J292" s="23"/>
      <c r="K292" s="10" t="str">
        <f t="shared" si="1"/>
        <v/>
      </c>
      <c r="L292" s="27"/>
      <c r="M292" s="27"/>
      <c r="N292" s="10" t="str">
        <f t="shared" si="99"/>
        <v/>
      </c>
      <c r="O292" s="17"/>
      <c r="P292" s="29"/>
    </row>
    <row r="293" ht="15.75" customHeight="1">
      <c r="A293" s="9" t="str">
        <f>IFERROR(__xludf.DUMMYFUNCTION("IF(B293="""","""",RIGHT(regexreplace(B293&amp;"""",""[^0-9]"",""""),9))"),"")</f>
        <v/>
      </c>
      <c r="B293" s="5"/>
      <c r="C293" s="5"/>
      <c r="D293" s="5"/>
      <c r="E293" s="23"/>
      <c r="F293" s="23"/>
      <c r="G293" s="23"/>
      <c r="H293" s="23"/>
      <c r="I293" s="23"/>
      <c r="J293" s="23"/>
      <c r="K293" s="10" t="str">
        <f t="shared" si="1"/>
        <v/>
      </c>
      <c r="L293" s="27"/>
      <c r="M293" s="27"/>
      <c r="N293" s="10" t="str">
        <f t="array" ref="N293">IF(COUNTIF($A$2:A292,A)&gt;0,INDEX($C$2:C292,MATCH(A293,$A$2:A292,0)),"")</f>
        <v/>
      </c>
      <c r="O293" s="17"/>
      <c r="P293" s="29"/>
    </row>
    <row r="294" ht="15.75" customHeight="1">
      <c r="A294" s="9" t="str">
        <f>IFERROR(__xludf.DUMMYFUNCTION("IF(B294="""","""",RIGHT(regexreplace(B294&amp;"""",""[^0-9]"",""""),9))"),"")</f>
        <v/>
      </c>
      <c r="B294" s="5"/>
      <c r="C294" s="5"/>
      <c r="D294" s="5"/>
      <c r="E294" s="23"/>
      <c r="F294" s="23"/>
      <c r="G294" s="23"/>
      <c r="H294" s="23"/>
      <c r="I294" s="23"/>
      <c r="J294" s="23"/>
      <c r="K294" s="10" t="str">
        <f t="shared" si="1"/>
        <v/>
      </c>
      <c r="L294" s="27"/>
      <c r="M294" s="27"/>
      <c r="N294" s="10" t="str">
        <f t="shared" ref="N294:N295" si="100">IF(COUNTIF($A$2:A293,A294)&gt;0,INDEX($C$2:C293,MATCH(A294,$A$2:A293,0)),"")</f>
        <v/>
      </c>
      <c r="O294" s="17"/>
      <c r="P294" s="29"/>
    </row>
    <row r="295" ht="15.75" customHeight="1">
      <c r="A295" s="9" t="str">
        <f>IFERROR(__xludf.DUMMYFUNCTION("IF(B295="""","""",RIGHT(regexreplace(B295&amp;"""",""[^0-9]"",""""),9))"),"")</f>
        <v/>
      </c>
      <c r="B295" s="5"/>
      <c r="C295" s="5"/>
      <c r="D295" s="5"/>
      <c r="E295" s="23"/>
      <c r="F295" s="23"/>
      <c r="G295" s="23"/>
      <c r="H295" s="23"/>
      <c r="I295" s="23"/>
      <c r="J295" s="23"/>
      <c r="K295" s="10" t="str">
        <f t="shared" si="1"/>
        <v/>
      </c>
      <c r="L295" s="27"/>
      <c r="M295" s="27"/>
      <c r="N295" s="10" t="str">
        <f t="shared" si="100"/>
        <v/>
      </c>
      <c r="O295" s="17"/>
      <c r="P295" s="29"/>
    </row>
    <row r="296" ht="15.75" customHeight="1">
      <c r="A296" s="9" t="str">
        <f>IFERROR(__xludf.DUMMYFUNCTION("IF(B296="""","""",RIGHT(regexreplace(B296&amp;"""",""[^0-9]"",""""),9))"),"")</f>
        <v/>
      </c>
      <c r="B296" s="5"/>
      <c r="C296" s="5"/>
      <c r="D296" s="5"/>
      <c r="E296" s="23"/>
      <c r="F296" s="23"/>
      <c r="G296" s="23"/>
      <c r="H296" s="23"/>
      <c r="I296" s="23"/>
      <c r="J296" s="23"/>
      <c r="K296" s="10" t="str">
        <f t="shared" si="1"/>
        <v/>
      </c>
      <c r="L296" s="27"/>
      <c r="M296" s="27"/>
      <c r="N296" s="10" t="str">
        <f t="array" ref="N296">IF(COUNTIF($A$2:A295,A)&gt;0,INDEX($C$2:C295,MATCH(A296,$A$2:A295,0)),"")</f>
        <v/>
      </c>
      <c r="O296" s="17"/>
      <c r="P296" s="29"/>
    </row>
    <row r="297" ht="15.75" customHeight="1">
      <c r="A297" s="9" t="str">
        <f>IFERROR(__xludf.DUMMYFUNCTION("IF(B297="""","""",RIGHT(regexreplace(B297&amp;"""",""[^0-9]"",""""),9))"),"")</f>
        <v/>
      </c>
      <c r="B297" s="5"/>
      <c r="C297" s="5"/>
      <c r="D297" s="5"/>
      <c r="E297" s="23"/>
      <c r="F297" s="23"/>
      <c r="G297" s="23"/>
      <c r="H297" s="23"/>
      <c r="I297" s="23"/>
      <c r="J297" s="23"/>
      <c r="K297" s="10" t="str">
        <f t="shared" si="1"/>
        <v/>
      </c>
      <c r="L297" s="27"/>
      <c r="M297" s="27"/>
      <c r="N297" s="10" t="str">
        <f t="shared" ref="N297:N298" si="101">IF(COUNTIF($A$2:A296,A297)&gt;0,INDEX($C$2:C296,MATCH(A297,$A$2:A296,0)),"")</f>
        <v/>
      </c>
      <c r="O297" s="17"/>
      <c r="P297" s="29"/>
    </row>
    <row r="298" ht="15.75" customHeight="1">
      <c r="A298" s="9" t="str">
        <f>IFERROR(__xludf.DUMMYFUNCTION("IF(B298="""","""",RIGHT(regexreplace(B298&amp;"""",""[^0-9]"",""""),9))"),"")</f>
        <v/>
      </c>
      <c r="B298" s="5"/>
      <c r="C298" s="5"/>
      <c r="D298" s="5"/>
      <c r="E298" s="23"/>
      <c r="F298" s="23"/>
      <c r="G298" s="23"/>
      <c r="H298" s="23"/>
      <c r="I298" s="23"/>
      <c r="J298" s="23"/>
      <c r="K298" s="10" t="str">
        <f t="shared" si="1"/>
        <v/>
      </c>
      <c r="L298" s="27"/>
      <c r="M298" s="27"/>
      <c r="N298" s="10" t="str">
        <f t="shared" si="101"/>
        <v/>
      </c>
      <c r="O298" s="17"/>
      <c r="P298" s="29"/>
    </row>
    <row r="299" ht="15.75" customHeight="1">
      <c r="A299" s="9" t="str">
        <f>IFERROR(__xludf.DUMMYFUNCTION("IF(B299="""","""",RIGHT(regexreplace(B299&amp;"""",""[^0-9]"",""""),9))"),"")</f>
        <v/>
      </c>
      <c r="B299" s="5"/>
      <c r="C299" s="5"/>
      <c r="D299" s="5"/>
      <c r="E299" s="23"/>
      <c r="F299" s="23"/>
      <c r="G299" s="23"/>
      <c r="H299" s="23"/>
      <c r="I299" s="23"/>
      <c r="J299" s="23"/>
      <c r="K299" s="10" t="str">
        <f t="shared" si="1"/>
        <v/>
      </c>
      <c r="L299" s="27"/>
      <c r="M299" s="27"/>
      <c r="N299" s="10" t="str">
        <f t="array" ref="N299">IF(COUNTIF($A$2:A298,A)&gt;0,INDEX($C$2:C298,MATCH(A299,$A$2:A298,0)),"")</f>
        <v/>
      </c>
      <c r="O299" s="17"/>
      <c r="P299" s="29"/>
    </row>
    <row r="300" ht="15.75" customHeight="1">
      <c r="A300" s="9" t="str">
        <f>IFERROR(__xludf.DUMMYFUNCTION("IF(B300="""","""",RIGHT(regexreplace(B300&amp;"""",""[^0-9]"",""""),9))"),"")</f>
        <v/>
      </c>
      <c r="B300" s="5"/>
      <c r="C300" s="5"/>
      <c r="D300" s="5"/>
      <c r="E300" s="23"/>
      <c r="F300" s="23"/>
      <c r="G300" s="23"/>
      <c r="H300" s="23"/>
      <c r="I300" s="23"/>
      <c r="J300" s="23"/>
      <c r="K300" s="10" t="str">
        <f t="shared" si="1"/>
        <v/>
      </c>
      <c r="L300" s="27"/>
      <c r="M300" s="27"/>
      <c r="N300" s="10" t="str">
        <f t="shared" ref="N300:N301" si="102">IF(COUNTIF($A$2:A299,A300)&gt;0,INDEX($C$2:C299,MATCH(A300,$A$2:A299,0)),"")</f>
        <v/>
      </c>
      <c r="O300" s="17"/>
      <c r="P300" s="29"/>
    </row>
    <row r="301" ht="15.75" customHeight="1">
      <c r="A301" s="9" t="str">
        <f>IFERROR(__xludf.DUMMYFUNCTION("IF(B301="""","""",RIGHT(regexreplace(B301&amp;"""",""[^0-9]"",""""),9))"),"")</f>
        <v/>
      </c>
      <c r="B301" s="5"/>
      <c r="C301" s="5"/>
      <c r="D301" s="5"/>
      <c r="E301" s="23"/>
      <c r="F301" s="23"/>
      <c r="G301" s="23"/>
      <c r="H301" s="23"/>
      <c r="I301" s="23"/>
      <c r="J301" s="23"/>
      <c r="K301" s="10" t="str">
        <f t="shared" si="1"/>
        <v/>
      </c>
      <c r="L301" s="27"/>
      <c r="M301" s="27"/>
      <c r="N301" s="10" t="str">
        <f t="shared" si="102"/>
        <v/>
      </c>
      <c r="O301" s="17"/>
      <c r="P301" s="29"/>
    </row>
    <row r="302" ht="15.75" customHeight="1">
      <c r="A302" s="9" t="str">
        <f>IFERROR(__xludf.DUMMYFUNCTION("IF(B302="""","""",RIGHT(regexreplace(B302&amp;"""",""[^0-9]"",""""),9))"),"")</f>
        <v/>
      </c>
      <c r="B302" s="5"/>
      <c r="C302" s="5"/>
      <c r="D302" s="5"/>
      <c r="E302" s="23"/>
      <c r="F302" s="23"/>
      <c r="G302" s="23"/>
      <c r="H302" s="23"/>
      <c r="I302" s="23"/>
      <c r="J302" s="23"/>
      <c r="K302" s="10" t="str">
        <f t="shared" si="1"/>
        <v/>
      </c>
      <c r="L302" s="27"/>
      <c r="M302" s="27"/>
      <c r="N302" s="10" t="str">
        <f t="array" ref="N302">IF(COUNTIF($A$2:A301,A)&gt;0,INDEX($C$2:C301,MATCH(A302,$A$2:A301,0)),"")</f>
        <v/>
      </c>
      <c r="O302" s="17"/>
      <c r="P302" s="29"/>
    </row>
    <row r="303" ht="15.75" customHeight="1">
      <c r="A303" s="9" t="str">
        <f>IFERROR(__xludf.DUMMYFUNCTION("IF(B303="""","""",RIGHT(regexreplace(B303&amp;"""",""[^0-9]"",""""),9))"),"")</f>
        <v/>
      </c>
      <c r="B303" s="5"/>
      <c r="C303" s="5"/>
      <c r="D303" s="5"/>
      <c r="E303" s="23"/>
      <c r="F303" s="23"/>
      <c r="G303" s="23"/>
      <c r="H303" s="23"/>
      <c r="I303" s="23"/>
      <c r="J303" s="23"/>
      <c r="K303" s="10" t="str">
        <f t="shared" si="1"/>
        <v/>
      </c>
      <c r="L303" s="27"/>
      <c r="M303" s="27"/>
      <c r="N303" s="10" t="str">
        <f t="shared" ref="N303:N304" si="103">IF(COUNTIF($A$2:A302,A303)&gt;0,INDEX($C$2:C302,MATCH(A303,$A$2:A302,0)),"")</f>
        <v/>
      </c>
      <c r="O303" s="17"/>
      <c r="P303" s="29"/>
    </row>
    <row r="304" ht="15.75" customHeight="1">
      <c r="A304" s="9" t="str">
        <f>IFERROR(__xludf.DUMMYFUNCTION("IF(B304="""","""",RIGHT(regexreplace(B304&amp;"""",""[^0-9]"",""""),9))"),"")</f>
        <v/>
      </c>
      <c r="B304" s="5"/>
      <c r="C304" s="5"/>
      <c r="D304" s="5"/>
      <c r="E304" s="23"/>
      <c r="F304" s="23"/>
      <c r="G304" s="23"/>
      <c r="H304" s="23"/>
      <c r="I304" s="23"/>
      <c r="J304" s="23"/>
      <c r="K304" s="10" t="str">
        <f t="shared" si="1"/>
        <v/>
      </c>
      <c r="L304" s="27"/>
      <c r="M304" s="27"/>
      <c r="N304" s="10" t="str">
        <f t="shared" si="103"/>
        <v/>
      </c>
      <c r="O304" s="17"/>
      <c r="P304" s="29"/>
    </row>
    <row r="305" ht="15.75" customHeight="1">
      <c r="A305" s="9" t="str">
        <f>IFERROR(__xludf.DUMMYFUNCTION("IF(B305="""","""",RIGHT(regexreplace(B305&amp;"""",""[^0-9]"",""""),9))"),"")</f>
        <v/>
      </c>
      <c r="B305" s="5"/>
      <c r="C305" s="5"/>
      <c r="D305" s="5"/>
      <c r="E305" s="23"/>
      <c r="F305" s="23"/>
      <c r="G305" s="23"/>
      <c r="H305" s="23"/>
      <c r="I305" s="23"/>
      <c r="J305" s="23"/>
      <c r="K305" s="10" t="str">
        <f t="shared" si="1"/>
        <v/>
      </c>
      <c r="L305" s="27"/>
      <c r="M305" s="27"/>
      <c r="N305" s="10" t="str">
        <f t="array" ref="N305">IF(COUNTIF($A$2:A304,A)&gt;0,INDEX($C$2:C304,MATCH(A305,$A$2:A304,0)),"")</f>
        <v/>
      </c>
      <c r="O305" s="17"/>
      <c r="P305" s="29"/>
    </row>
    <row r="306" ht="15.75" customHeight="1">
      <c r="A306" s="9" t="str">
        <f>IFERROR(__xludf.DUMMYFUNCTION("IF(B306="""","""",RIGHT(regexreplace(B306&amp;"""",""[^0-9]"",""""),9))"),"")</f>
        <v/>
      </c>
      <c r="B306" s="5"/>
      <c r="C306" s="5"/>
      <c r="D306" s="5"/>
      <c r="E306" s="23"/>
      <c r="F306" s="23"/>
      <c r="G306" s="23"/>
      <c r="H306" s="23"/>
      <c r="I306" s="23"/>
      <c r="J306" s="23"/>
      <c r="K306" s="10" t="str">
        <f t="shared" si="1"/>
        <v/>
      </c>
      <c r="L306" s="27"/>
      <c r="M306" s="27"/>
      <c r="N306" s="10" t="str">
        <f t="shared" ref="N306:N307" si="104">IF(COUNTIF($A$2:A305,A306)&gt;0,INDEX($C$2:C305,MATCH(A306,$A$2:A305,0)),"")</f>
        <v/>
      </c>
      <c r="O306" s="17"/>
      <c r="P306" s="29"/>
    </row>
    <row r="307" ht="15.75" customHeight="1">
      <c r="A307" s="9" t="str">
        <f>IFERROR(__xludf.DUMMYFUNCTION("IF(B307="""","""",RIGHT(regexreplace(B307&amp;"""",""[^0-9]"",""""),9))"),"")</f>
        <v/>
      </c>
      <c r="B307" s="5"/>
      <c r="C307" s="5"/>
      <c r="D307" s="5"/>
      <c r="E307" s="23"/>
      <c r="F307" s="23"/>
      <c r="G307" s="23"/>
      <c r="H307" s="23"/>
      <c r="I307" s="23"/>
      <c r="J307" s="23"/>
      <c r="K307" s="10" t="str">
        <f t="shared" si="1"/>
        <v/>
      </c>
      <c r="L307" s="27"/>
      <c r="M307" s="27"/>
      <c r="N307" s="10" t="str">
        <f t="shared" si="104"/>
        <v/>
      </c>
      <c r="O307" s="17"/>
      <c r="P307" s="29"/>
    </row>
    <row r="308" ht="15.75" customHeight="1">
      <c r="A308" s="9" t="str">
        <f>IFERROR(__xludf.DUMMYFUNCTION("IF(B308="""","""",RIGHT(regexreplace(B308&amp;"""",""[^0-9]"",""""),9))"),"")</f>
        <v/>
      </c>
      <c r="B308" s="5"/>
      <c r="C308" s="5"/>
      <c r="D308" s="5"/>
      <c r="E308" s="23"/>
      <c r="F308" s="23"/>
      <c r="G308" s="23"/>
      <c r="H308" s="23"/>
      <c r="I308" s="23"/>
      <c r="J308" s="23"/>
      <c r="K308" s="10" t="str">
        <f t="shared" si="1"/>
        <v/>
      </c>
      <c r="L308" s="27"/>
      <c r="M308" s="27"/>
      <c r="N308" s="10" t="str">
        <f t="array" ref="N308">IF(COUNTIF($A$2:A307,A)&gt;0,INDEX($C$2:C307,MATCH(A308,$A$2:A307,0)),"")</f>
        <v/>
      </c>
      <c r="O308" s="17"/>
      <c r="P308" s="29"/>
    </row>
    <row r="309" ht="15.75" customHeight="1">
      <c r="A309" s="9" t="str">
        <f>IFERROR(__xludf.DUMMYFUNCTION("IF(B309="""","""",RIGHT(regexreplace(B309&amp;"""",""[^0-9]"",""""),9))"),"")</f>
        <v/>
      </c>
      <c r="B309" s="5"/>
      <c r="C309" s="5"/>
      <c r="D309" s="5"/>
      <c r="E309" s="23"/>
      <c r="F309" s="23"/>
      <c r="G309" s="23"/>
      <c r="H309" s="23"/>
      <c r="I309" s="23"/>
      <c r="J309" s="23"/>
      <c r="K309" s="10" t="str">
        <f t="shared" si="1"/>
        <v/>
      </c>
      <c r="L309" s="27"/>
      <c r="M309" s="27"/>
      <c r="N309" s="10" t="str">
        <f t="shared" ref="N309:N310" si="105">IF(COUNTIF($A$2:A308,A309)&gt;0,INDEX($C$2:C308,MATCH(A309,$A$2:A308,0)),"")</f>
        <v/>
      </c>
      <c r="O309" s="17"/>
      <c r="P309" s="29"/>
    </row>
    <row r="310" ht="15.75" customHeight="1">
      <c r="A310" s="9" t="str">
        <f>IFERROR(__xludf.DUMMYFUNCTION("IF(B310="""","""",RIGHT(regexreplace(B310&amp;"""",""[^0-9]"",""""),9))"),"")</f>
        <v/>
      </c>
      <c r="B310" s="5"/>
      <c r="C310" s="5"/>
      <c r="D310" s="5"/>
      <c r="E310" s="23"/>
      <c r="F310" s="23"/>
      <c r="G310" s="23"/>
      <c r="H310" s="23"/>
      <c r="I310" s="23"/>
      <c r="J310" s="23"/>
      <c r="K310" s="10" t="str">
        <f t="shared" si="1"/>
        <v/>
      </c>
      <c r="L310" s="27"/>
      <c r="M310" s="27"/>
      <c r="N310" s="10" t="str">
        <f t="shared" si="105"/>
        <v/>
      </c>
      <c r="O310" s="17"/>
      <c r="P310" s="29"/>
    </row>
    <row r="311" ht="15.75" customHeight="1">
      <c r="A311" s="9" t="str">
        <f>IFERROR(__xludf.DUMMYFUNCTION("IF(B311="""","""",RIGHT(regexreplace(B311&amp;"""",""[^0-9]"",""""),9))"),"")</f>
        <v/>
      </c>
      <c r="B311" s="5"/>
      <c r="C311" s="5"/>
      <c r="D311" s="5"/>
      <c r="E311" s="23"/>
      <c r="F311" s="23"/>
      <c r="G311" s="23"/>
      <c r="H311" s="23"/>
      <c r="I311" s="23"/>
      <c r="J311" s="23"/>
      <c r="K311" s="10" t="str">
        <f t="shared" si="1"/>
        <v/>
      </c>
      <c r="L311" s="27"/>
      <c r="M311" s="27"/>
      <c r="N311" s="10" t="str">
        <f t="array" ref="N311">IF(COUNTIF($A$2:A310,A)&gt;0,INDEX($C$2:C310,MATCH(A311,$A$2:A310,0)),"")</f>
        <v/>
      </c>
      <c r="O311" s="17"/>
      <c r="P311" s="29"/>
    </row>
    <row r="312" ht="15.75" customHeight="1">
      <c r="A312" s="9" t="str">
        <f>IFERROR(__xludf.DUMMYFUNCTION("IF(B312="""","""",RIGHT(regexreplace(B312&amp;"""",""[^0-9]"",""""),9))"),"")</f>
        <v/>
      </c>
      <c r="B312" s="5"/>
      <c r="C312" s="5"/>
      <c r="D312" s="5"/>
      <c r="E312" s="23"/>
      <c r="F312" s="23"/>
      <c r="G312" s="23"/>
      <c r="H312" s="23"/>
      <c r="I312" s="23"/>
      <c r="J312" s="23"/>
      <c r="K312" s="10" t="str">
        <f t="shared" si="1"/>
        <v/>
      </c>
      <c r="L312" s="27"/>
      <c r="M312" s="27"/>
      <c r="N312" s="10" t="str">
        <f t="shared" ref="N312:N313" si="106">IF(COUNTIF($A$2:A311,A312)&gt;0,INDEX($C$2:C311,MATCH(A312,$A$2:A311,0)),"")</f>
        <v/>
      </c>
      <c r="O312" s="17"/>
      <c r="P312" s="29"/>
    </row>
    <row r="313" ht="15.75" customHeight="1">
      <c r="A313" s="9" t="str">
        <f>IFERROR(__xludf.DUMMYFUNCTION("IF(B313="""","""",RIGHT(regexreplace(B313&amp;"""",""[^0-9]"",""""),9))"),"")</f>
        <v/>
      </c>
      <c r="B313" s="5"/>
      <c r="C313" s="5"/>
      <c r="D313" s="5"/>
      <c r="E313" s="23"/>
      <c r="F313" s="23"/>
      <c r="G313" s="23"/>
      <c r="H313" s="23"/>
      <c r="I313" s="23"/>
      <c r="J313" s="23"/>
      <c r="K313" s="10" t="str">
        <f t="shared" si="1"/>
        <v/>
      </c>
      <c r="L313" s="27"/>
      <c r="M313" s="27"/>
      <c r="N313" s="10" t="str">
        <f t="shared" si="106"/>
        <v/>
      </c>
      <c r="O313" s="17"/>
      <c r="P313" s="29"/>
    </row>
    <row r="314" ht="15.75" customHeight="1">
      <c r="A314" s="9" t="str">
        <f>IFERROR(__xludf.DUMMYFUNCTION("IF(B314="""","""",RIGHT(regexreplace(B314&amp;"""",""[^0-9]"",""""),9))"),"")</f>
        <v/>
      </c>
      <c r="B314" s="5"/>
      <c r="C314" s="5"/>
      <c r="D314" s="5"/>
      <c r="E314" s="23"/>
      <c r="F314" s="23"/>
      <c r="G314" s="23"/>
      <c r="H314" s="23"/>
      <c r="I314" s="23"/>
      <c r="J314" s="23"/>
      <c r="K314" s="10" t="str">
        <f t="shared" si="1"/>
        <v/>
      </c>
      <c r="L314" s="27"/>
      <c r="M314" s="27"/>
      <c r="N314" s="10" t="str">
        <f t="array" ref="N314">IF(COUNTIF($A$2:A313,A)&gt;0,INDEX($C$2:C313,MATCH(A314,$A$2:A313,0)),"")</f>
        <v/>
      </c>
      <c r="O314" s="17"/>
      <c r="P314" s="29"/>
    </row>
    <row r="315" ht="15.75" customHeight="1">
      <c r="A315" s="9" t="str">
        <f>IFERROR(__xludf.DUMMYFUNCTION("IF(B315="""","""",RIGHT(regexreplace(B315&amp;"""",""[^0-9]"",""""),9))"),"")</f>
        <v/>
      </c>
      <c r="B315" s="5"/>
      <c r="C315" s="5"/>
      <c r="D315" s="5"/>
      <c r="E315" s="23"/>
      <c r="F315" s="23"/>
      <c r="G315" s="23"/>
      <c r="H315" s="23"/>
      <c r="I315" s="23"/>
      <c r="J315" s="23"/>
      <c r="K315" s="10" t="str">
        <f t="shared" si="1"/>
        <v/>
      </c>
      <c r="L315" s="27"/>
      <c r="M315" s="27"/>
      <c r="N315" s="10" t="str">
        <f t="shared" ref="N315:N316" si="107">IF(COUNTIF($A$2:A314,A315)&gt;0,INDEX($C$2:C314,MATCH(A315,$A$2:A314,0)),"")</f>
        <v/>
      </c>
      <c r="O315" s="17"/>
      <c r="P315" s="29"/>
    </row>
    <row r="316" ht="15.75" customHeight="1">
      <c r="A316" s="9" t="str">
        <f>IFERROR(__xludf.DUMMYFUNCTION("IF(B316="""","""",RIGHT(regexreplace(B316&amp;"""",""[^0-9]"",""""),9))"),"")</f>
        <v/>
      </c>
      <c r="B316" s="5"/>
      <c r="C316" s="5"/>
      <c r="D316" s="5"/>
      <c r="E316" s="23"/>
      <c r="F316" s="23"/>
      <c r="G316" s="23"/>
      <c r="H316" s="23"/>
      <c r="I316" s="23"/>
      <c r="J316" s="23"/>
      <c r="K316" s="10" t="str">
        <f t="shared" si="1"/>
        <v/>
      </c>
      <c r="L316" s="27"/>
      <c r="M316" s="27"/>
      <c r="N316" s="10" t="str">
        <f t="shared" si="107"/>
        <v/>
      </c>
      <c r="O316" s="17"/>
      <c r="P316" s="29"/>
    </row>
    <row r="317" ht="15.75" customHeight="1">
      <c r="A317" s="9" t="str">
        <f>IFERROR(__xludf.DUMMYFUNCTION("IF(B317="""","""",RIGHT(regexreplace(B317&amp;"""",""[^0-9]"",""""),9))"),"")</f>
        <v/>
      </c>
      <c r="B317" s="5"/>
      <c r="C317" s="5"/>
      <c r="D317" s="5"/>
      <c r="E317" s="23"/>
      <c r="F317" s="23"/>
      <c r="G317" s="23"/>
      <c r="H317" s="23"/>
      <c r="I317" s="23"/>
      <c r="J317" s="23"/>
      <c r="K317" s="10" t="str">
        <f t="shared" si="1"/>
        <v/>
      </c>
      <c r="L317" s="27"/>
      <c r="M317" s="27"/>
      <c r="N317" s="10" t="str">
        <f t="array" ref="N317">IF(COUNTIF($A$2:A316,A)&gt;0,INDEX($C$2:C316,MATCH(A317,$A$2:A316,0)),"")</f>
        <v/>
      </c>
      <c r="O317" s="17"/>
      <c r="P317" s="29"/>
    </row>
    <row r="318" ht="15.75" customHeight="1">
      <c r="A318" s="9" t="str">
        <f>IFERROR(__xludf.DUMMYFUNCTION("IF(B318="""","""",RIGHT(regexreplace(B318&amp;"""",""[^0-9]"",""""),9))"),"")</f>
        <v/>
      </c>
      <c r="B318" s="5"/>
      <c r="C318" s="5"/>
      <c r="D318" s="5"/>
      <c r="E318" s="23"/>
      <c r="F318" s="23"/>
      <c r="G318" s="23"/>
      <c r="H318" s="23"/>
      <c r="I318" s="23"/>
      <c r="J318" s="23"/>
      <c r="K318" s="10" t="str">
        <f t="shared" si="1"/>
        <v/>
      </c>
      <c r="L318" s="27"/>
      <c r="M318" s="27"/>
      <c r="N318" s="10" t="str">
        <f t="shared" ref="N318:N319" si="108">IF(COUNTIF($A$2:A317,A318)&gt;0,INDEX($C$2:C317,MATCH(A318,$A$2:A317,0)),"")</f>
        <v/>
      </c>
      <c r="O318" s="17"/>
      <c r="P318" s="29"/>
    </row>
    <row r="319" ht="15.75" customHeight="1">
      <c r="A319" s="9" t="str">
        <f>IFERROR(__xludf.DUMMYFUNCTION("IF(B319="""","""",RIGHT(regexreplace(B319&amp;"""",""[^0-9]"",""""),9))"),"")</f>
        <v/>
      </c>
      <c r="B319" s="5"/>
      <c r="C319" s="5"/>
      <c r="D319" s="5"/>
      <c r="E319" s="23"/>
      <c r="F319" s="23"/>
      <c r="G319" s="23"/>
      <c r="H319" s="23"/>
      <c r="I319" s="23"/>
      <c r="J319" s="23"/>
      <c r="K319" s="10" t="str">
        <f t="shared" si="1"/>
        <v/>
      </c>
      <c r="L319" s="27"/>
      <c r="M319" s="27"/>
      <c r="N319" s="10" t="str">
        <f t="shared" si="108"/>
        <v/>
      </c>
      <c r="O319" s="17"/>
      <c r="P319" s="29"/>
    </row>
    <row r="320" ht="15.75" customHeight="1">
      <c r="A320" s="9" t="str">
        <f>IFERROR(__xludf.DUMMYFUNCTION("IF(B320="""","""",RIGHT(regexreplace(B320&amp;"""",""[^0-9]"",""""),9))"),"")</f>
        <v/>
      </c>
      <c r="B320" s="5"/>
      <c r="C320" s="5"/>
      <c r="D320" s="5"/>
      <c r="E320" s="23"/>
      <c r="F320" s="23"/>
      <c r="G320" s="23"/>
      <c r="H320" s="23"/>
      <c r="I320" s="23"/>
      <c r="J320" s="23"/>
      <c r="K320" s="10" t="str">
        <f t="shared" si="1"/>
        <v/>
      </c>
      <c r="L320" s="27"/>
      <c r="M320" s="27"/>
      <c r="N320" s="10" t="str">
        <f t="array" ref="N320">IF(COUNTIF($A$2:A319,A)&gt;0,INDEX($C$2:C319,MATCH(A320,$A$2:A319,0)),"")</f>
        <v/>
      </c>
      <c r="O320" s="17"/>
      <c r="P320" s="29"/>
    </row>
    <row r="321" ht="15.75" customHeight="1">
      <c r="A321" s="9" t="str">
        <f>IFERROR(__xludf.DUMMYFUNCTION("IF(B321="""","""",RIGHT(regexreplace(B321&amp;"""",""[^0-9]"",""""),9))"),"")</f>
        <v/>
      </c>
      <c r="B321" s="5"/>
      <c r="C321" s="5"/>
      <c r="D321" s="5"/>
      <c r="E321" s="23"/>
      <c r="F321" s="23"/>
      <c r="G321" s="23"/>
      <c r="H321" s="23"/>
      <c r="I321" s="23"/>
      <c r="J321" s="23"/>
      <c r="K321" s="10" t="str">
        <f t="shared" si="1"/>
        <v/>
      </c>
      <c r="L321" s="27"/>
      <c r="M321" s="27"/>
      <c r="N321" s="10" t="str">
        <f t="shared" ref="N321:N322" si="109">IF(COUNTIF($A$2:A320,A321)&gt;0,INDEX($C$2:C320,MATCH(A321,$A$2:A320,0)),"")</f>
        <v/>
      </c>
      <c r="O321" s="17"/>
      <c r="P321" s="29"/>
    </row>
    <row r="322" ht="15.75" customHeight="1">
      <c r="A322" s="9" t="str">
        <f>IFERROR(__xludf.DUMMYFUNCTION("IF(B322="""","""",RIGHT(regexreplace(B322&amp;"""",""[^0-9]"",""""),9))"),"")</f>
        <v/>
      </c>
      <c r="B322" s="5"/>
      <c r="C322" s="5"/>
      <c r="D322" s="5"/>
      <c r="E322" s="23"/>
      <c r="F322" s="23"/>
      <c r="G322" s="23"/>
      <c r="H322" s="23"/>
      <c r="I322" s="23"/>
      <c r="J322" s="23"/>
      <c r="K322" s="10" t="str">
        <f t="shared" si="1"/>
        <v/>
      </c>
      <c r="L322" s="27"/>
      <c r="M322" s="27"/>
      <c r="N322" s="10" t="str">
        <f t="shared" si="109"/>
        <v/>
      </c>
      <c r="O322" s="17"/>
      <c r="P322" s="29"/>
    </row>
    <row r="323" ht="15.75" customHeight="1">
      <c r="A323" s="9" t="str">
        <f>IFERROR(__xludf.DUMMYFUNCTION("IF(B323="""","""",RIGHT(regexreplace(B323&amp;"""",""[^0-9]"",""""),9))"),"")</f>
        <v/>
      </c>
      <c r="B323" s="5"/>
      <c r="C323" s="5"/>
      <c r="D323" s="5"/>
      <c r="E323" s="23"/>
      <c r="F323" s="23"/>
      <c r="G323" s="23"/>
      <c r="H323" s="23"/>
      <c r="I323" s="23"/>
      <c r="J323" s="23"/>
      <c r="K323" s="10" t="str">
        <f t="shared" si="1"/>
        <v/>
      </c>
      <c r="L323" s="27"/>
      <c r="M323" s="27"/>
      <c r="N323" s="10" t="str">
        <f t="array" ref="N323">IF(COUNTIF($A$2:A322,A)&gt;0,INDEX($C$2:C322,MATCH(A323,$A$2:A322,0)),"")</f>
        <v/>
      </c>
      <c r="O323" s="17"/>
      <c r="P323" s="29"/>
    </row>
    <row r="324" ht="15.75" customHeight="1">
      <c r="A324" s="9" t="str">
        <f>IFERROR(__xludf.DUMMYFUNCTION("IF(B324="""","""",RIGHT(regexreplace(B324&amp;"""",""[^0-9]"",""""),9))"),"")</f>
        <v/>
      </c>
      <c r="B324" s="5"/>
      <c r="C324" s="5"/>
      <c r="D324" s="5"/>
      <c r="E324" s="23"/>
      <c r="F324" s="23"/>
      <c r="G324" s="23"/>
      <c r="H324" s="23"/>
      <c r="I324" s="23"/>
      <c r="J324" s="23"/>
      <c r="K324" s="10" t="str">
        <f t="shared" si="1"/>
        <v/>
      </c>
      <c r="L324" s="27"/>
      <c r="M324" s="27"/>
      <c r="N324" s="10" t="str">
        <f t="shared" ref="N324:N325" si="110">IF(COUNTIF($A$2:A323,A324)&gt;0,INDEX($C$2:C323,MATCH(A324,$A$2:A323,0)),"")</f>
        <v/>
      </c>
      <c r="O324" s="17"/>
      <c r="P324" s="29"/>
    </row>
    <row r="325" ht="15.75" customHeight="1">
      <c r="A325" s="9" t="str">
        <f>IFERROR(__xludf.DUMMYFUNCTION("IF(B325="""","""",RIGHT(regexreplace(B325&amp;"""",""[^0-9]"",""""),9))"),"")</f>
        <v/>
      </c>
      <c r="B325" s="5"/>
      <c r="C325" s="5"/>
      <c r="D325" s="5"/>
      <c r="E325" s="23"/>
      <c r="F325" s="23"/>
      <c r="G325" s="23"/>
      <c r="H325" s="23"/>
      <c r="I325" s="23"/>
      <c r="J325" s="23"/>
      <c r="K325" s="10" t="str">
        <f t="shared" si="1"/>
        <v/>
      </c>
      <c r="L325" s="27"/>
      <c r="M325" s="27"/>
      <c r="N325" s="10" t="str">
        <f t="shared" si="110"/>
        <v/>
      </c>
      <c r="O325" s="17"/>
      <c r="P325" s="29"/>
    </row>
    <row r="326" ht="15.75" customHeight="1">
      <c r="A326" s="9" t="str">
        <f>IFERROR(__xludf.DUMMYFUNCTION("IF(B326="""","""",RIGHT(regexreplace(B326&amp;"""",""[^0-9]"",""""),9))"),"")</f>
        <v/>
      </c>
      <c r="B326" s="5"/>
      <c r="C326" s="5"/>
      <c r="D326" s="5"/>
      <c r="E326" s="23"/>
      <c r="F326" s="23"/>
      <c r="G326" s="23"/>
      <c r="H326" s="23"/>
      <c r="I326" s="23"/>
      <c r="J326" s="23"/>
      <c r="K326" s="10" t="str">
        <f t="shared" si="1"/>
        <v/>
      </c>
      <c r="L326" s="27"/>
      <c r="M326" s="27"/>
      <c r="N326" s="10" t="str">
        <f t="array" ref="N326">IF(COUNTIF($A$2:A325,A)&gt;0,INDEX($C$2:C325,MATCH(A326,$A$2:A325,0)),"")</f>
        <v/>
      </c>
      <c r="O326" s="17"/>
      <c r="P326" s="29"/>
    </row>
    <row r="327" ht="15.75" customHeight="1">
      <c r="A327" s="9" t="str">
        <f>IFERROR(__xludf.DUMMYFUNCTION("IF(B327="""","""",RIGHT(regexreplace(B327&amp;"""",""[^0-9]"",""""),9))"),"")</f>
        <v/>
      </c>
      <c r="B327" s="5"/>
      <c r="C327" s="5"/>
      <c r="D327" s="5"/>
      <c r="E327" s="23"/>
      <c r="F327" s="23"/>
      <c r="G327" s="23"/>
      <c r="H327" s="23"/>
      <c r="I327" s="23"/>
      <c r="J327" s="23"/>
      <c r="K327" s="10" t="str">
        <f t="shared" si="1"/>
        <v/>
      </c>
      <c r="L327" s="27"/>
      <c r="M327" s="27"/>
      <c r="N327" s="10" t="str">
        <f t="shared" ref="N327:N328" si="111">IF(COUNTIF($A$2:A326,A327)&gt;0,INDEX($C$2:C326,MATCH(A327,$A$2:A326,0)),"")</f>
        <v/>
      </c>
      <c r="O327" s="17"/>
      <c r="P327" s="29"/>
    </row>
    <row r="328" ht="15.75" customHeight="1">
      <c r="A328" s="9" t="str">
        <f>IFERROR(__xludf.DUMMYFUNCTION("IF(B328="""","""",RIGHT(regexreplace(B328&amp;"""",""[^0-9]"",""""),9))"),"")</f>
        <v/>
      </c>
      <c r="B328" s="5"/>
      <c r="C328" s="5"/>
      <c r="D328" s="5"/>
      <c r="E328" s="23"/>
      <c r="F328" s="23"/>
      <c r="G328" s="23"/>
      <c r="H328" s="23"/>
      <c r="I328" s="23"/>
      <c r="J328" s="23"/>
      <c r="K328" s="10" t="str">
        <f t="shared" si="1"/>
        <v/>
      </c>
      <c r="L328" s="27"/>
      <c r="M328" s="27"/>
      <c r="N328" s="10" t="str">
        <f t="shared" si="111"/>
        <v/>
      </c>
      <c r="O328" s="17"/>
      <c r="P328" s="29"/>
    </row>
    <row r="329" ht="15.75" customHeight="1">
      <c r="A329" s="9" t="str">
        <f>IFERROR(__xludf.DUMMYFUNCTION("IF(B329="""","""",RIGHT(regexreplace(B329&amp;"""",""[^0-9]"",""""),9))"),"")</f>
        <v/>
      </c>
      <c r="B329" s="5"/>
      <c r="C329" s="5"/>
      <c r="D329" s="5"/>
      <c r="E329" s="23"/>
      <c r="F329" s="23"/>
      <c r="G329" s="23"/>
      <c r="H329" s="23"/>
      <c r="I329" s="23"/>
      <c r="J329" s="23"/>
      <c r="K329" s="10" t="str">
        <f t="shared" si="1"/>
        <v/>
      </c>
      <c r="L329" s="27"/>
      <c r="M329" s="27"/>
      <c r="N329" s="10" t="str">
        <f t="array" ref="N329">IF(COUNTIF($A$2:A328,A)&gt;0,INDEX($C$2:C328,MATCH(A329,$A$2:A328,0)),"")</f>
        <v/>
      </c>
      <c r="O329" s="17"/>
      <c r="P329" s="29"/>
    </row>
    <row r="330" ht="15.75" customHeight="1">
      <c r="A330" s="9" t="str">
        <f>IFERROR(__xludf.DUMMYFUNCTION("IF(B330="""","""",RIGHT(regexreplace(B330&amp;"""",""[^0-9]"",""""),9))"),"")</f>
        <v/>
      </c>
      <c r="B330" s="5"/>
      <c r="C330" s="5"/>
      <c r="D330" s="5"/>
      <c r="E330" s="23"/>
      <c r="F330" s="23"/>
      <c r="G330" s="23"/>
      <c r="H330" s="23"/>
      <c r="I330" s="23"/>
      <c r="J330" s="23"/>
      <c r="K330" s="10" t="str">
        <f t="shared" si="1"/>
        <v/>
      </c>
      <c r="L330" s="27"/>
      <c r="M330" s="27"/>
      <c r="N330" s="10" t="str">
        <f t="shared" ref="N330:N331" si="112">IF(COUNTIF($A$2:A329,A330)&gt;0,INDEX($C$2:C329,MATCH(A330,$A$2:A329,0)),"")</f>
        <v/>
      </c>
      <c r="O330" s="17"/>
      <c r="P330" s="29"/>
    </row>
    <row r="331" ht="15.75" customHeight="1">
      <c r="A331" s="9" t="str">
        <f>IFERROR(__xludf.DUMMYFUNCTION("IF(B331="""","""",RIGHT(regexreplace(B331&amp;"""",""[^0-9]"",""""),9))"),"")</f>
        <v/>
      </c>
      <c r="B331" s="5"/>
      <c r="C331" s="5"/>
      <c r="D331" s="5"/>
      <c r="E331" s="23"/>
      <c r="F331" s="23"/>
      <c r="G331" s="23"/>
      <c r="H331" s="23"/>
      <c r="I331" s="23"/>
      <c r="J331" s="23"/>
      <c r="K331" s="10" t="str">
        <f t="shared" si="1"/>
        <v/>
      </c>
      <c r="L331" s="27"/>
      <c r="M331" s="27"/>
      <c r="N331" s="10" t="str">
        <f t="shared" si="112"/>
        <v/>
      </c>
      <c r="O331" s="17"/>
      <c r="P331" s="29"/>
    </row>
    <row r="332" ht="15.75" customHeight="1">
      <c r="A332" s="9" t="str">
        <f>IFERROR(__xludf.DUMMYFUNCTION("IF(B332="""","""",RIGHT(regexreplace(B332&amp;"""",""[^0-9]"",""""),9))"),"")</f>
        <v/>
      </c>
      <c r="B332" s="5"/>
      <c r="C332" s="5"/>
      <c r="D332" s="5"/>
      <c r="E332" s="23"/>
      <c r="F332" s="23"/>
      <c r="G332" s="23"/>
      <c r="H332" s="23"/>
      <c r="I332" s="23"/>
      <c r="J332" s="23"/>
      <c r="K332" s="10" t="str">
        <f t="shared" si="1"/>
        <v/>
      </c>
      <c r="L332" s="27"/>
      <c r="M332" s="27"/>
      <c r="N332" s="10" t="str">
        <f t="array" ref="N332">IF(COUNTIF($A$2:A331,A)&gt;0,INDEX($C$2:C331,MATCH(A332,$A$2:A331,0)),"")</f>
        <v/>
      </c>
      <c r="O332" s="17"/>
      <c r="P332" s="29"/>
    </row>
    <row r="333" ht="15.75" customHeight="1">
      <c r="A333" s="9" t="str">
        <f>IFERROR(__xludf.DUMMYFUNCTION("IF(B333="""","""",RIGHT(regexreplace(B333&amp;"""",""[^0-9]"",""""),9))"),"")</f>
        <v/>
      </c>
      <c r="B333" s="5"/>
      <c r="C333" s="5"/>
      <c r="D333" s="5"/>
      <c r="E333" s="23"/>
      <c r="F333" s="23"/>
      <c r="G333" s="23"/>
      <c r="H333" s="23"/>
      <c r="I333" s="23"/>
      <c r="J333" s="23"/>
      <c r="K333" s="10" t="str">
        <f t="shared" si="1"/>
        <v/>
      </c>
      <c r="L333" s="27"/>
      <c r="M333" s="27"/>
      <c r="N333" s="10" t="str">
        <f t="shared" ref="N333:N334" si="113">IF(COUNTIF($A$2:A332,A333)&gt;0,INDEX($C$2:C332,MATCH(A333,$A$2:A332,0)),"")</f>
        <v/>
      </c>
      <c r="O333" s="17"/>
      <c r="P333" s="29"/>
    </row>
    <row r="334" ht="15.75" customHeight="1">
      <c r="A334" s="9" t="str">
        <f>IFERROR(__xludf.DUMMYFUNCTION("IF(B334="""","""",RIGHT(regexreplace(B334&amp;"""",""[^0-9]"",""""),9))"),"")</f>
        <v/>
      </c>
      <c r="B334" s="5"/>
      <c r="C334" s="5"/>
      <c r="D334" s="5"/>
      <c r="E334" s="23"/>
      <c r="F334" s="23"/>
      <c r="G334" s="23"/>
      <c r="H334" s="23"/>
      <c r="I334" s="23"/>
      <c r="J334" s="23"/>
      <c r="K334" s="10" t="str">
        <f t="shared" si="1"/>
        <v/>
      </c>
      <c r="L334" s="27"/>
      <c r="M334" s="27"/>
      <c r="N334" s="10" t="str">
        <f t="shared" si="113"/>
        <v/>
      </c>
      <c r="O334" s="17"/>
      <c r="P334" s="29"/>
    </row>
    <row r="335" ht="15.75" customHeight="1">
      <c r="A335" s="9" t="str">
        <f>IFERROR(__xludf.DUMMYFUNCTION("IF(B335="""","""",RIGHT(regexreplace(B335&amp;"""",""[^0-9]"",""""),9))"),"")</f>
        <v/>
      </c>
      <c r="B335" s="5"/>
      <c r="C335" s="5"/>
      <c r="D335" s="5"/>
      <c r="E335" s="23"/>
      <c r="F335" s="23"/>
      <c r="G335" s="23"/>
      <c r="H335" s="23"/>
      <c r="I335" s="23"/>
      <c r="J335" s="23"/>
      <c r="K335" s="10" t="str">
        <f t="shared" si="1"/>
        <v/>
      </c>
      <c r="L335" s="27"/>
      <c r="M335" s="27"/>
      <c r="N335" s="10" t="str">
        <f t="array" ref="N335">IF(COUNTIF($A$2:A334,A)&gt;0,INDEX($C$2:C334,MATCH(A335,$A$2:A334,0)),"")</f>
        <v/>
      </c>
      <c r="O335" s="17"/>
      <c r="P335" s="29"/>
    </row>
    <row r="336" ht="15.75" customHeight="1">
      <c r="A336" s="9" t="str">
        <f>IFERROR(__xludf.DUMMYFUNCTION("IF(B336="""","""",RIGHT(regexreplace(B336&amp;"""",""[^0-9]"",""""),9))"),"")</f>
        <v/>
      </c>
      <c r="B336" s="5"/>
      <c r="C336" s="5"/>
      <c r="D336" s="5"/>
      <c r="E336" s="23"/>
      <c r="F336" s="23"/>
      <c r="G336" s="23"/>
      <c r="H336" s="23"/>
      <c r="I336" s="23"/>
      <c r="J336" s="23"/>
      <c r="K336" s="10" t="str">
        <f t="shared" si="1"/>
        <v/>
      </c>
      <c r="L336" s="27"/>
      <c r="M336" s="27"/>
      <c r="N336" s="10" t="str">
        <f t="shared" ref="N336:N337" si="114">IF(COUNTIF($A$2:A335,A336)&gt;0,INDEX($C$2:C335,MATCH(A336,$A$2:A335,0)),"")</f>
        <v/>
      </c>
      <c r="O336" s="17"/>
      <c r="P336" s="29"/>
    </row>
    <row r="337" ht="15.75" customHeight="1">
      <c r="A337" s="9" t="str">
        <f>IFERROR(__xludf.DUMMYFUNCTION("IF(B337="""","""",RIGHT(regexreplace(B337&amp;"""",""[^0-9]"",""""),9))"),"")</f>
        <v/>
      </c>
      <c r="B337" s="5"/>
      <c r="C337" s="5"/>
      <c r="D337" s="5"/>
      <c r="E337" s="23"/>
      <c r="F337" s="23"/>
      <c r="G337" s="23"/>
      <c r="H337" s="23"/>
      <c r="I337" s="23"/>
      <c r="J337" s="23"/>
      <c r="K337" s="10" t="str">
        <f t="shared" si="1"/>
        <v/>
      </c>
      <c r="L337" s="27"/>
      <c r="M337" s="27"/>
      <c r="N337" s="10" t="str">
        <f t="shared" si="114"/>
        <v/>
      </c>
      <c r="O337" s="17"/>
      <c r="P337" s="29"/>
    </row>
    <row r="338" ht="15.75" customHeight="1">
      <c r="A338" s="9" t="str">
        <f>IFERROR(__xludf.DUMMYFUNCTION("IF(B338="""","""",RIGHT(regexreplace(B338&amp;"""",""[^0-9]"",""""),9))"),"")</f>
        <v/>
      </c>
      <c r="B338" s="5"/>
      <c r="C338" s="5"/>
      <c r="D338" s="5"/>
      <c r="E338" s="23"/>
      <c r="F338" s="23"/>
      <c r="G338" s="23"/>
      <c r="H338" s="23"/>
      <c r="I338" s="23"/>
      <c r="J338" s="23"/>
      <c r="K338" s="10" t="str">
        <f t="shared" si="1"/>
        <v/>
      </c>
      <c r="L338" s="27"/>
      <c r="M338" s="27"/>
      <c r="N338" s="10" t="str">
        <f t="array" ref="N338">IF(COUNTIF($A$2:A337,A)&gt;0,INDEX($C$2:C337,MATCH(A338,$A$2:A337,0)),"")</f>
        <v/>
      </c>
      <c r="O338" s="17"/>
      <c r="P338" s="29"/>
    </row>
    <row r="339" ht="15.75" customHeight="1">
      <c r="A339" s="9" t="str">
        <f>IFERROR(__xludf.DUMMYFUNCTION("IF(B339="""","""",RIGHT(regexreplace(B339&amp;"""",""[^0-9]"",""""),9))"),"")</f>
        <v/>
      </c>
      <c r="B339" s="5"/>
      <c r="C339" s="5"/>
      <c r="D339" s="5"/>
      <c r="E339" s="23"/>
      <c r="F339" s="23"/>
      <c r="G339" s="23"/>
      <c r="H339" s="23"/>
      <c r="I339" s="23"/>
      <c r="J339" s="23"/>
      <c r="K339" s="10" t="str">
        <f t="shared" si="1"/>
        <v/>
      </c>
      <c r="L339" s="27"/>
      <c r="M339" s="27"/>
      <c r="N339" s="10" t="str">
        <f t="shared" ref="N339:N340" si="115">IF(COUNTIF($A$2:A338,A339)&gt;0,INDEX($C$2:C338,MATCH(A339,$A$2:A338,0)),"")</f>
        <v/>
      </c>
      <c r="O339" s="17"/>
      <c r="P339" s="29"/>
    </row>
    <row r="340" ht="15.75" customHeight="1">
      <c r="A340" s="9" t="str">
        <f>IFERROR(__xludf.DUMMYFUNCTION("IF(B340="""","""",RIGHT(regexreplace(B340&amp;"""",""[^0-9]"",""""),9))"),"")</f>
        <v/>
      </c>
      <c r="B340" s="5"/>
      <c r="C340" s="5"/>
      <c r="D340" s="5"/>
      <c r="E340" s="23"/>
      <c r="F340" s="23"/>
      <c r="G340" s="23"/>
      <c r="H340" s="23"/>
      <c r="I340" s="23"/>
      <c r="J340" s="23"/>
      <c r="K340" s="10" t="str">
        <f t="shared" si="1"/>
        <v/>
      </c>
      <c r="L340" s="27"/>
      <c r="M340" s="27"/>
      <c r="N340" s="10" t="str">
        <f t="shared" si="115"/>
        <v/>
      </c>
      <c r="O340" s="17"/>
      <c r="P340" s="29"/>
    </row>
    <row r="341" ht="15.75" customHeight="1">
      <c r="A341" s="9" t="str">
        <f>IFERROR(__xludf.DUMMYFUNCTION("IF(B341="""","""",RIGHT(regexreplace(B341&amp;"""",""[^0-9]"",""""),9))"),"")</f>
        <v/>
      </c>
      <c r="B341" s="5"/>
      <c r="C341" s="5"/>
      <c r="D341" s="5"/>
      <c r="E341" s="23"/>
      <c r="F341" s="23"/>
      <c r="G341" s="23"/>
      <c r="H341" s="23"/>
      <c r="I341" s="23"/>
      <c r="J341" s="23"/>
      <c r="K341" s="10" t="str">
        <f t="shared" si="1"/>
        <v/>
      </c>
      <c r="L341" s="27"/>
      <c r="M341" s="27"/>
      <c r="N341" s="10" t="str">
        <f t="array" ref="N341">IF(COUNTIF($A$2:A340,A)&gt;0,INDEX($C$2:C340,MATCH(A341,$A$2:A340,0)),"")</f>
        <v/>
      </c>
      <c r="O341" s="17"/>
      <c r="P341" s="29"/>
    </row>
    <row r="342" ht="15.75" customHeight="1">
      <c r="A342" s="9" t="str">
        <f>IFERROR(__xludf.DUMMYFUNCTION("IF(B342="""","""",RIGHT(regexreplace(B342&amp;"""",""[^0-9]"",""""),9))"),"")</f>
        <v/>
      </c>
      <c r="B342" s="5"/>
      <c r="C342" s="5"/>
      <c r="D342" s="5"/>
      <c r="E342" s="23"/>
      <c r="F342" s="23"/>
      <c r="G342" s="23"/>
      <c r="H342" s="23"/>
      <c r="I342" s="23"/>
      <c r="J342" s="23"/>
      <c r="K342" s="10" t="str">
        <f t="shared" si="1"/>
        <v/>
      </c>
      <c r="L342" s="27"/>
      <c r="M342" s="27"/>
      <c r="N342" s="10" t="str">
        <f t="shared" ref="N342:N343" si="116">IF(COUNTIF($A$2:A341,A342)&gt;0,INDEX($C$2:C341,MATCH(A342,$A$2:A341,0)),"")</f>
        <v/>
      </c>
      <c r="O342" s="17"/>
      <c r="P342" s="29"/>
    </row>
    <row r="343" ht="15.75" customHeight="1">
      <c r="A343" s="9" t="str">
        <f>IFERROR(__xludf.DUMMYFUNCTION("IF(B343="""","""",RIGHT(regexreplace(B343&amp;"""",""[^0-9]"",""""),9))"),"")</f>
        <v/>
      </c>
      <c r="B343" s="5"/>
      <c r="C343" s="5"/>
      <c r="D343" s="5"/>
      <c r="E343" s="23"/>
      <c r="F343" s="23"/>
      <c r="G343" s="23"/>
      <c r="H343" s="23"/>
      <c r="I343" s="23"/>
      <c r="J343" s="23"/>
      <c r="K343" s="10" t="str">
        <f t="shared" si="1"/>
        <v/>
      </c>
      <c r="L343" s="27"/>
      <c r="M343" s="27"/>
      <c r="N343" s="10" t="str">
        <f t="shared" si="116"/>
        <v/>
      </c>
      <c r="O343" s="17"/>
      <c r="P343" s="29"/>
    </row>
    <row r="344" ht="15.75" customHeight="1">
      <c r="A344" s="9" t="str">
        <f>IFERROR(__xludf.DUMMYFUNCTION("IF(B344="""","""",RIGHT(regexreplace(B344&amp;"""",""[^0-9]"",""""),9))"),"")</f>
        <v/>
      </c>
      <c r="B344" s="5"/>
      <c r="C344" s="5"/>
      <c r="D344" s="5"/>
      <c r="E344" s="23"/>
      <c r="F344" s="23"/>
      <c r="G344" s="23"/>
      <c r="H344" s="23"/>
      <c r="I344" s="23"/>
      <c r="J344" s="23"/>
      <c r="K344" s="10" t="str">
        <f t="shared" si="1"/>
        <v/>
      </c>
      <c r="L344" s="27"/>
      <c r="M344" s="27"/>
      <c r="N344" s="10" t="str">
        <f t="array" ref="N344">IF(COUNTIF($A$2:A343,A)&gt;0,INDEX($C$2:C343,MATCH(A344,$A$2:A343,0)),"")</f>
        <v/>
      </c>
      <c r="O344" s="17"/>
      <c r="P344" s="29"/>
    </row>
    <row r="345" ht="15.75" customHeight="1">
      <c r="A345" s="9" t="str">
        <f>IFERROR(__xludf.DUMMYFUNCTION("IF(B345="""","""",RIGHT(regexreplace(B345&amp;"""",""[^0-9]"",""""),9))"),"")</f>
        <v/>
      </c>
      <c r="B345" s="5"/>
      <c r="C345" s="5"/>
      <c r="D345" s="5"/>
      <c r="E345" s="23"/>
      <c r="F345" s="23"/>
      <c r="G345" s="23"/>
      <c r="H345" s="23"/>
      <c r="I345" s="23"/>
      <c r="J345" s="23"/>
      <c r="K345" s="10" t="str">
        <f t="shared" si="1"/>
        <v/>
      </c>
      <c r="L345" s="27"/>
      <c r="M345" s="27"/>
      <c r="N345" s="10" t="str">
        <f t="shared" ref="N345:N346" si="117">IF(COUNTIF($A$2:A344,A345)&gt;0,INDEX($C$2:C344,MATCH(A345,$A$2:A344,0)),"")</f>
        <v/>
      </c>
      <c r="O345" s="17"/>
      <c r="P345" s="29"/>
    </row>
    <row r="346" ht="15.75" customHeight="1">
      <c r="A346" s="9" t="str">
        <f>IFERROR(__xludf.DUMMYFUNCTION("IF(B346="""","""",RIGHT(regexreplace(B346&amp;"""",""[^0-9]"",""""),9))"),"")</f>
        <v/>
      </c>
      <c r="B346" s="5"/>
      <c r="C346" s="5"/>
      <c r="D346" s="5"/>
      <c r="E346" s="23"/>
      <c r="F346" s="23"/>
      <c r="G346" s="23"/>
      <c r="H346" s="23"/>
      <c r="I346" s="23"/>
      <c r="J346" s="23"/>
      <c r="K346" s="10" t="str">
        <f t="shared" si="1"/>
        <v/>
      </c>
      <c r="L346" s="27"/>
      <c r="M346" s="27"/>
      <c r="N346" s="10" t="str">
        <f t="shared" si="117"/>
        <v/>
      </c>
      <c r="O346" s="17"/>
      <c r="P346" s="29"/>
    </row>
    <row r="347" ht="15.75" customHeight="1">
      <c r="A347" s="9" t="str">
        <f>IFERROR(__xludf.DUMMYFUNCTION("IF(B347="""","""",RIGHT(regexreplace(B347&amp;"""",""[^0-9]"",""""),9))"),"")</f>
        <v/>
      </c>
      <c r="B347" s="5"/>
      <c r="C347" s="5"/>
      <c r="D347" s="5"/>
      <c r="E347" s="23"/>
      <c r="F347" s="23"/>
      <c r="G347" s="23"/>
      <c r="H347" s="23"/>
      <c r="I347" s="23"/>
      <c r="J347" s="23"/>
      <c r="K347" s="10" t="str">
        <f t="shared" si="1"/>
        <v/>
      </c>
      <c r="L347" s="27"/>
      <c r="M347" s="27"/>
      <c r="N347" s="10" t="str">
        <f t="array" ref="N347">IF(COUNTIF($A$2:A346,A)&gt;0,INDEX($C$2:C346,MATCH(A347,$A$2:A346,0)),"")</f>
        <v/>
      </c>
      <c r="O347" s="17"/>
      <c r="P347" s="29"/>
    </row>
    <row r="348" ht="15.75" customHeight="1">
      <c r="A348" s="9" t="str">
        <f>IFERROR(__xludf.DUMMYFUNCTION("IF(B348="""","""",RIGHT(regexreplace(B348&amp;"""",""[^0-9]"",""""),9))"),"")</f>
        <v/>
      </c>
      <c r="B348" s="5"/>
      <c r="C348" s="5"/>
      <c r="D348" s="5"/>
      <c r="E348" s="23"/>
      <c r="F348" s="23"/>
      <c r="G348" s="23"/>
      <c r="H348" s="23"/>
      <c r="I348" s="23"/>
      <c r="J348" s="23"/>
      <c r="K348" s="10" t="str">
        <f t="shared" si="1"/>
        <v/>
      </c>
      <c r="L348" s="27"/>
      <c r="M348" s="27"/>
      <c r="N348" s="10" t="str">
        <f t="shared" ref="N348:N349" si="118">IF(COUNTIF($A$2:A347,A348)&gt;0,INDEX($C$2:C347,MATCH(A348,$A$2:A347,0)),"")</f>
        <v/>
      </c>
      <c r="O348" s="17"/>
      <c r="P348" s="29"/>
    </row>
    <row r="349" ht="15.75" customHeight="1">
      <c r="A349" s="9" t="str">
        <f>IFERROR(__xludf.DUMMYFUNCTION("IF(B349="""","""",RIGHT(regexreplace(B349&amp;"""",""[^0-9]"",""""),9))"),"")</f>
        <v/>
      </c>
      <c r="B349" s="5"/>
      <c r="C349" s="5"/>
      <c r="D349" s="5"/>
      <c r="E349" s="23"/>
      <c r="F349" s="23"/>
      <c r="G349" s="23"/>
      <c r="H349" s="23"/>
      <c r="I349" s="23"/>
      <c r="J349" s="23"/>
      <c r="K349" s="10" t="str">
        <f t="shared" si="1"/>
        <v/>
      </c>
      <c r="L349" s="27"/>
      <c r="M349" s="27"/>
      <c r="N349" s="10" t="str">
        <f t="shared" si="118"/>
        <v/>
      </c>
      <c r="O349" s="17"/>
      <c r="P349" s="29"/>
    </row>
    <row r="350" ht="15.75" customHeight="1">
      <c r="A350" s="9" t="str">
        <f>IFERROR(__xludf.DUMMYFUNCTION("IF(B350="""","""",RIGHT(regexreplace(B350&amp;"""",""[^0-9]"",""""),9))"),"")</f>
        <v/>
      </c>
      <c r="B350" s="5"/>
      <c r="C350" s="5"/>
      <c r="D350" s="5"/>
      <c r="E350" s="23"/>
      <c r="F350" s="23"/>
      <c r="G350" s="23"/>
      <c r="H350" s="23"/>
      <c r="I350" s="23"/>
      <c r="J350" s="23"/>
      <c r="K350" s="10" t="str">
        <f t="shared" si="1"/>
        <v/>
      </c>
      <c r="L350" s="27"/>
      <c r="M350" s="27"/>
      <c r="N350" s="10" t="str">
        <f t="array" ref="N350">IF(COUNTIF($A$2:A349,A)&gt;0,INDEX($C$2:C349,MATCH(A350,$A$2:A349,0)),"")</f>
        <v/>
      </c>
      <c r="O350" s="17"/>
      <c r="P350" s="29"/>
    </row>
    <row r="351" ht="15.75" customHeight="1">
      <c r="A351" s="9" t="str">
        <f>IFERROR(__xludf.DUMMYFUNCTION("IF(B351="""","""",RIGHT(regexreplace(B351&amp;"""",""[^0-9]"",""""),9))"),"")</f>
        <v/>
      </c>
      <c r="B351" s="5"/>
      <c r="C351" s="5"/>
      <c r="D351" s="5"/>
      <c r="E351" s="23"/>
      <c r="F351" s="23"/>
      <c r="G351" s="23"/>
      <c r="H351" s="23"/>
      <c r="I351" s="23"/>
      <c r="J351" s="23"/>
      <c r="K351" s="10" t="str">
        <f t="shared" si="1"/>
        <v/>
      </c>
      <c r="L351" s="27"/>
      <c r="M351" s="27"/>
      <c r="N351" s="10" t="str">
        <f t="shared" ref="N351:N352" si="119">IF(COUNTIF($A$2:A350,A351)&gt;0,INDEX($C$2:C350,MATCH(A351,$A$2:A350,0)),"")</f>
        <v/>
      </c>
      <c r="O351" s="17"/>
      <c r="P351" s="29"/>
    </row>
    <row r="352" ht="15.75" customHeight="1">
      <c r="A352" s="9" t="str">
        <f>IFERROR(__xludf.DUMMYFUNCTION("IF(B352="""","""",RIGHT(regexreplace(B352&amp;"""",""[^0-9]"",""""),9))"),"")</f>
        <v/>
      </c>
      <c r="B352" s="5"/>
      <c r="C352" s="5"/>
      <c r="D352" s="5"/>
      <c r="E352" s="23"/>
      <c r="F352" s="23"/>
      <c r="G352" s="23"/>
      <c r="H352" s="23"/>
      <c r="I352" s="23"/>
      <c r="J352" s="23"/>
      <c r="K352" s="10" t="str">
        <f t="shared" si="1"/>
        <v/>
      </c>
      <c r="L352" s="27"/>
      <c r="M352" s="27"/>
      <c r="N352" s="10" t="str">
        <f t="shared" si="119"/>
        <v/>
      </c>
      <c r="O352" s="17"/>
      <c r="P352" s="29"/>
    </row>
    <row r="353" ht="15.75" customHeight="1">
      <c r="A353" s="9" t="str">
        <f>IFERROR(__xludf.DUMMYFUNCTION("IF(B353="""","""",RIGHT(regexreplace(B353&amp;"""",""[^0-9]"",""""),9))"),"")</f>
        <v/>
      </c>
      <c r="B353" s="5"/>
      <c r="C353" s="5"/>
      <c r="D353" s="5"/>
      <c r="E353" s="23"/>
      <c r="F353" s="23"/>
      <c r="G353" s="23"/>
      <c r="H353" s="23"/>
      <c r="I353" s="23"/>
      <c r="J353" s="23"/>
      <c r="K353" s="10" t="str">
        <f t="shared" si="1"/>
        <v/>
      </c>
      <c r="L353" s="27"/>
      <c r="M353" s="27"/>
      <c r="N353" s="10" t="str">
        <f t="array" ref="N353">IF(COUNTIF($A$2:A352,A)&gt;0,INDEX($C$2:C352,MATCH(A353,$A$2:A352,0)),"")</f>
        <v/>
      </c>
      <c r="O353" s="17"/>
      <c r="P353" s="29"/>
    </row>
    <row r="354" ht="15.75" customHeight="1">
      <c r="A354" s="9" t="str">
        <f>IFERROR(__xludf.DUMMYFUNCTION("IF(B354="""","""",RIGHT(regexreplace(B354&amp;"""",""[^0-9]"",""""),9))"),"")</f>
        <v/>
      </c>
      <c r="B354" s="5"/>
      <c r="C354" s="5"/>
      <c r="D354" s="5"/>
      <c r="E354" s="23"/>
      <c r="F354" s="23"/>
      <c r="G354" s="23"/>
      <c r="H354" s="23"/>
      <c r="I354" s="23"/>
      <c r="J354" s="23"/>
      <c r="K354" s="10" t="str">
        <f t="shared" si="1"/>
        <v/>
      </c>
      <c r="L354" s="27"/>
      <c r="M354" s="27"/>
      <c r="N354" s="10" t="str">
        <f t="shared" ref="N354:N355" si="120">IF(COUNTIF($A$2:A353,A354)&gt;0,INDEX($C$2:C353,MATCH(A354,$A$2:A353,0)),"")</f>
        <v/>
      </c>
      <c r="O354" s="17"/>
      <c r="P354" s="29"/>
    </row>
    <row r="355" ht="15.75" customHeight="1">
      <c r="A355" s="9" t="str">
        <f>IFERROR(__xludf.DUMMYFUNCTION("IF(B355="""","""",RIGHT(regexreplace(B355&amp;"""",""[^0-9]"",""""),9))"),"")</f>
        <v/>
      </c>
      <c r="B355" s="5"/>
      <c r="C355" s="5"/>
      <c r="D355" s="5"/>
      <c r="E355" s="23"/>
      <c r="F355" s="23"/>
      <c r="G355" s="23"/>
      <c r="H355" s="23"/>
      <c r="I355" s="23"/>
      <c r="J355" s="23"/>
      <c r="K355" s="10" t="str">
        <f t="shared" si="1"/>
        <v/>
      </c>
      <c r="L355" s="27"/>
      <c r="M355" s="27"/>
      <c r="N355" s="10" t="str">
        <f t="shared" si="120"/>
        <v/>
      </c>
      <c r="O355" s="17"/>
      <c r="P355" s="29"/>
    </row>
    <row r="356" ht="15.75" customHeight="1">
      <c r="A356" s="9" t="str">
        <f>IFERROR(__xludf.DUMMYFUNCTION("IF(B356="""","""",RIGHT(regexreplace(B356&amp;"""",""[^0-9]"",""""),9))"),"")</f>
        <v/>
      </c>
      <c r="B356" s="5"/>
      <c r="C356" s="5"/>
      <c r="D356" s="5"/>
      <c r="E356" s="23"/>
      <c r="F356" s="23"/>
      <c r="G356" s="23"/>
      <c r="H356" s="23"/>
      <c r="I356" s="23"/>
      <c r="J356" s="23"/>
      <c r="K356" s="10" t="str">
        <f t="shared" si="1"/>
        <v/>
      </c>
      <c r="L356" s="27"/>
      <c r="M356" s="27"/>
      <c r="N356" s="10" t="str">
        <f t="array" ref="N356">IF(COUNTIF($A$2:A355,A)&gt;0,INDEX($C$2:C355,MATCH(A356,$A$2:A355,0)),"")</f>
        <v/>
      </c>
      <c r="O356" s="17"/>
      <c r="P356" s="29"/>
    </row>
    <row r="357" ht="15.75" customHeight="1">
      <c r="A357" s="9" t="str">
        <f>IFERROR(__xludf.DUMMYFUNCTION("IF(B357="""","""",RIGHT(regexreplace(B357&amp;"""",""[^0-9]"",""""),9))"),"")</f>
        <v/>
      </c>
      <c r="B357" s="5"/>
      <c r="C357" s="5"/>
      <c r="D357" s="5"/>
      <c r="E357" s="23"/>
      <c r="F357" s="23"/>
      <c r="G357" s="23"/>
      <c r="H357" s="23"/>
      <c r="I357" s="23"/>
      <c r="J357" s="23"/>
      <c r="K357" s="10" t="str">
        <f t="shared" si="1"/>
        <v/>
      </c>
      <c r="L357" s="27"/>
      <c r="M357" s="27"/>
      <c r="N357" s="10" t="str">
        <f t="shared" ref="N357:N358" si="121">IF(COUNTIF($A$2:A356,A357)&gt;0,INDEX($C$2:C356,MATCH(A357,$A$2:A356,0)),"")</f>
        <v/>
      </c>
      <c r="O357" s="17"/>
      <c r="P357" s="29"/>
    </row>
    <row r="358" ht="15.75" customHeight="1">
      <c r="A358" s="9" t="str">
        <f>IFERROR(__xludf.DUMMYFUNCTION("IF(B358="""","""",RIGHT(regexreplace(B358&amp;"""",""[^0-9]"",""""),9))"),"")</f>
        <v/>
      </c>
      <c r="B358" s="5"/>
      <c r="C358" s="5"/>
      <c r="D358" s="5"/>
      <c r="E358" s="23"/>
      <c r="F358" s="23"/>
      <c r="G358" s="23"/>
      <c r="H358" s="23"/>
      <c r="I358" s="23"/>
      <c r="J358" s="23"/>
      <c r="K358" s="10" t="str">
        <f t="shared" si="1"/>
        <v/>
      </c>
      <c r="L358" s="27"/>
      <c r="M358" s="27"/>
      <c r="N358" s="10" t="str">
        <f t="shared" si="121"/>
        <v/>
      </c>
      <c r="O358" s="17"/>
      <c r="P358" s="29"/>
    </row>
    <row r="359" ht="15.75" customHeight="1">
      <c r="A359" s="9" t="str">
        <f>IFERROR(__xludf.DUMMYFUNCTION("IF(B359="""","""",RIGHT(regexreplace(B359&amp;"""",""[^0-9]"",""""),9))"),"")</f>
        <v/>
      </c>
      <c r="B359" s="5"/>
      <c r="C359" s="5"/>
      <c r="D359" s="5"/>
      <c r="E359" s="23"/>
      <c r="F359" s="23"/>
      <c r="G359" s="23"/>
      <c r="H359" s="23"/>
      <c r="I359" s="23"/>
      <c r="J359" s="23"/>
      <c r="K359" s="10" t="str">
        <f t="shared" si="1"/>
        <v/>
      </c>
      <c r="L359" s="27"/>
      <c r="M359" s="27"/>
      <c r="N359" s="10" t="str">
        <f t="array" ref="N359">IF(COUNTIF($A$2:A358,A)&gt;0,INDEX($C$2:C358,MATCH(A359,$A$2:A358,0)),"")</f>
        <v/>
      </c>
      <c r="O359" s="17"/>
      <c r="P359" s="29"/>
    </row>
    <row r="360" ht="15.75" customHeight="1">
      <c r="A360" s="9" t="str">
        <f>IFERROR(__xludf.DUMMYFUNCTION("IF(B360="""","""",RIGHT(regexreplace(B360&amp;"""",""[^0-9]"",""""),9))"),"")</f>
        <v/>
      </c>
      <c r="B360" s="5"/>
      <c r="C360" s="5"/>
      <c r="D360" s="5"/>
      <c r="E360" s="23"/>
      <c r="F360" s="23"/>
      <c r="G360" s="23"/>
      <c r="H360" s="23"/>
      <c r="I360" s="23"/>
      <c r="J360" s="23"/>
      <c r="K360" s="10" t="str">
        <f t="shared" si="1"/>
        <v/>
      </c>
      <c r="L360" s="27"/>
      <c r="M360" s="27"/>
      <c r="N360" s="10" t="str">
        <f t="shared" ref="N360:N361" si="122">IF(COUNTIF($A$2:A359,A360)&gt;0,INDEX($C$2:C359,MATCH(A360,$A$2:A359,0)),"")</f>
        <v/>
      </c>
      <c r="O360" s="17"/>
      <c r="P360" s="29"/>
    </row>
    <row r="361" ht="15.75" customHeight="1">
      <c r="A361" s="9" t="str">
        <f>IFERROR(__xludf.DUMMYFUNCTION("IF(B361="""","""",RIGHT(regexreplace(B361&amp;"""",""[^0-9]"",""""),9))"),"")</f>
        <v/>
      </c>
      <c r="B361" s="5"/>
      <c r="C361" s="5"/>
      <c r="D361" s="5"/>
      <c r="E361" s="23"/>
      <c r="F361" s="23"/>
      <c r="G361" s="23"/>
      <c r="H361" s="23"/>
      <c r="I361" s="23"/>
      <c r="J361" s="23"/>
      <c r="K361" s="10" t="str">
        <f t="shared" si="1"/>
        <v/>
      </c>
      <c r="L361" s="27"/>
      <c r="M361" s="27"/>
      <c r="N361" s="10" t="str">
        <f t="shared" si="122"/>
        <v/>
      </c>
      <c r="O361" s="17"/>
      <c r="P361" s="29"/>
    </row>
    <row r="362" ht="15.75" customHeight="1">
      <c r="A362" s="9" t="str">
        <f>IFERROR(__xludf.DUMMYFUNCTION("IF(B362="""","""",RIGHT(regexreplace(B362&amp;"""",""[^0-9]"",""""),9))"),"")</f>
        <v/>
      </c>
      <c r="B362" s="5"/>
      <c r="C362" s="5"/>
      <c r="D362" s="5"/>
      <c r="E362" s="23"/>
      <c r="F362" s="23"/>
      <c r="G362" s="23"/>
      <c r="H362" s="23"/>
      <c r="I362" s="23"/>
      <c r="J362" s="23"/>
      <c r="K362" s="10" t="str">
        <f t="shared" si="1"/>
        <v/>
      </c>
      <c r="L362" s="27"/>
      <c r="M362" s="27"/>
      <c r="N362" s="10" t="str">
        <f t="array" ref="N362">IF(COUNTIF($A$2:A361,A)&gt;0,INDEX($C$2:C361,MATCH(A362,$A$2:A361,0)),"")</f>
        <v/>
      </c>
      <c r="O362" s="17"/>
      <c r="P362" s="29"/>
    </row>
    <row r="363" ht="15.75" customHeight="1">
      <c r="A363" s="9" t="str">
        <f>IFERROR(__xludf.DUMMYFUNCTION("IF(B363="""","""",RIGHT(regexreplace(B363&amp;"""",""[^0-9]"",""""),9))"),"")</f>
        <v/>
      </c>
      <c r="B363" s="5"/>
      <c r="C363" s="5"/>
      <c r="D363" s="5"/>
      <c r="E363" s="23"/>
      <c r="F363" s="23"/>
      <c r="G363" s="23"/>
      <c r="H363" s="23"/>
      <c r="I363" s="23"/>
      <c r="J363" s="23"/>
      <c r="K363" s="10" t="str">
        <f t="shared" si="1"/>
        <v/>
      </c>
      <c r="L363" s="27"/>
      <c r="M363" s="27"/>
      <c r="N363" s="10" t="str">
        <f t="shared" ref="N363:N364" si="123">IF(COUNTIF($A$2:A362,A363)&gt;0,INDEX($C$2:C362,MATCH(A363,$A$2:A362,0)),"")</f>
        <v/>
      </c>
      <c r="O363" s="17"/>
      <c r="P363" s="29"/>
    </row>
    <row r="364" ht="15.75" customHeight="1">
      <c r="A364" s="9" t="str">
        <f>IFERROR(__xludf.DUMMYFUNCTION("IF(B364="""","""",RIGHT(regexreplace(B364&amp;"""",""[^0-9]"",""""),9))"),"")</f>
        <v/>
      </c>
      <c r="B364" s="5"/>
      <c r="C364" s="5"/>
      <c r="D364" s="5"/>
      <c r="E364" s="23"/>
      <c r="F364" s="23"/>
      <c r="G364" s="23"/>
      <c r="H364" s="23"/>
      <c r="I364" s="23"/>
      <c r="J364" s="23"/>
      <c r="K364" s="10" t="str">
        <f t="shared" si="1"/>
        <v/>
      </c>
      <c r="L364" s="27"/>
      <c r="M364" s="27"/>
      <c r="N364" s="10" t="str">
        <f t="shared" si="123"/>
        <v/>
      </c>
      <c r="O364" s="17"/>
      <c r="P364" s="29"/>
    </row>
    <row r="365" ht="15.75" customHeight="1">
      <c r="A365" s="9" t="str">
        <f>IFERROR(__xludf.DUMMYFUNCTION("IF(B365="""","""",RIGHT(regexreplace(B365&amp;"""",""[^0-9]"",""""),9))"),"")</f>
        <v/>
      </c>
      <c r="B365" s="5"/>
      <c r="C365" s="5"/>
      <c r="D365" s="5"/>
      <c r="E365" s="23"/>
      <c r="F365" s="23"/>
      <c r="G365" s="23"/>
      <c r="H365" s="23"/>
      <c r="I365" s="23"/>
      <c r="J365" s="23"/>
      <c r="K365" s="10" t="str">
        <f t="shared" si="1"/>
        <v/>
      </c>
      <c r="L365" s="27"/>
      <c r="M365" s="27"/>
      <c r="N365" s="10" t="str">
        <f t="array" ref="N365">IF(COUNTIF($A$2:A364,A)&gt;0,INDEX($C$2:C364,MATCH(A365,$A$2:A364,0)),"")</f>
        <v/>
      </c>
      <c r="O365" s="17"/>
      <c r="P365" s="29"/>
    </row>
    <row r="366" ht="15.75" customHeight="1">
      <c r="A366" s="9" t="str">
        <f>IFERROR(__xludf.DUMMYFUNCTION("IF(B366="""","""",RIGHT(regexreplace(B366&amp;"""",""[^0-9]"",""""),9))"),"")</f>
        <v/>
      </c>
      <c r="B366" s="5"/>
      <c r="C366" s="5"/>
      <c r="D366" s="5"/>
      <c r="E366" s="23"/>
      <c r="F366" s="23"/>
      <c r="G366" s="23"/>
      <c r="H366" s="23"/>
      <c r="I366" s="23"/>
      <c r="J366" s="23"/>
      <c r="K366" s="10" t="str">
        <f t="shared" si="1"/>
        <v/>
      </c>
      <c r="L366" s="27"/>
      <c r="M366" s="27"/>
      <c r="N366" s="10" t="str">
        <f t="shared" ref="N366:N367" si="124">IF(COUNTIF($A$2:A365,A366)&gt;0,INDEX($C$2:C365,MATCH(A366,$A$2:A365,0)),"")</f>
        <v/>
      </c>
      <c r="O366" s="17"/>
      <c r="P366" s="29"/>
    </row>
    <row r="367" ht="15.75" customHeight="1">
      <c r="A367" s="9" t="str">
        <f>IFERROR(__xludf.DUMMYFUNCTION("IF(B367="""","""",RIGHT(regexreplace(B367&amp;"""",""[^0-9]"",""""),9))"),"")</f>
        <v/>
      </c>
      <c r="B367" s="5"/>
      <c r="C367" s="5"/>
      <c r="D367" s="5"/>
      <c r="E367" s="23"/>
      <c r="F367" s="23"/>
      <c r="G367" s="23"/>
      <c r="H367" s="23"/>
      <c r="I367" s="23"/>
      <c r="J367" s="23"/>
      <c r="K367" s="10" t="str">
        <f t="shared" si="1"/>
        <v/>
      </c>
      <c r="L367" s="27"/>
      <c r="M367" s="27"/>
      <c r="N367" s="10" t="str">
        <f t="shared" si="124"/>
        <v/>
      </c>
      <c r="O367" s="17"/>
      <c r="P367" s="29"/>
    </row>
    <row r="368" ht="15.75" customHeight="1">
      <c r="A368" s="9" t="str">
        <f>IFERROR(__xludf.DUMMYFUNCTION("IF(B368="""","""",RIGHT(regexreplace(B368&amp;"""",""[^0-9]"",""""),9))"),"")</f>
        <v/>
      </c>
      <c r="B368" s="5"/>
      <c r="C368" s="5"/>
      <c r="D368" s="5"/>
      <c r="E368" s="23"/>
      <c r="F368" s="23"/>
      <c r="G368" s="23"/>
      <c r="H368" s="23"/>
      <c r="I368" s="23"/>
      <c r="J368" s="23"/>
      <c r="K368" s="10" t="str">
        <f t="shared" si="1"/>
        <v/>
      </c>
      <c r="L368" s="27"/>
      <c r="M368" s="27"/>
      <c r="N368" s="10" t="str">
        <f t="array" ref="N368">IF(COUNTIF($A$2:A367,A)&gt;0,INDEX($C$2:C367,MATCH(A368,$A$2:A367,0)),"")</f>
        <v/>
      </c>
      <c r="O368" s="17"/>
      <c r="P368" s="29"/>
    </row>
    <row r="369" ht="15.75" customHeight="1">
      <c r="A369" s="9" t="str">
        <f>IFERROR(__xludf.DUMMYFUNCTION("IF(B369="""","""",RIGHT(regexreplace(B369&amp;"""",""[^0-9]"",""""),9))"),"")</f>
        <v/>
      </c>
      <c r="B369" s="5"/>
      <c r="C369" s="5"/>
      <c r="D369" s="5"/>
      <c r="E369" s="23"/>
      <c r="F369" s="23"/>
      <c r="G369" s="23"/>
      <c r="H369" s="23"/>
      <c r="I369" s="23"/>
      <c r="J369" s="23"/>
      <c r="K369" s="10" t="str">
        <f t="shared" si="1"/>
        <v/>
      </c>
      <c r="L369" s="27"/>
      <c r="M369" s="27"/>
      <c r="N369" s="10" t="str">
        <f t="shared" ref="N369:N370" si="125">IF(COUNTIF($A$2:A368,A369)&gt;0,INDEX($C$2:C368,MATCH(A369,$A$2:A368,0)),"")</f>
        <v/>
      </c>
      <c r="O369" s="17"/>
      <c r="P369" s="29"/>
    </row>
    <row r="370" ht="15.75" customHeight="1">
      <c r="A370" s="9" t="str">
        <f>IFERROR(__xludf.DUMMYFUNCTION("IF(B370="""","""",RIGHT(regexreplace(B370&amp;"""",""[^0-9]"",""""),9))"),"")</f>
        <v/>
      </c>
      <c r="B370" s="5"/>
      <c r="C370" s="5"/>
      <c r="D370" s="5"/>
      <c r="E370" s="23"/>
      <c r="F370" s="23"/>
      <c r="G370" s="23"/>
      <c r="H370" s="23"/>
      <c r="I370" s="23"/>
      <c r="J370" s="23"/>
      <c r="K370" s="10" t="str">
        <f t="shared" si="1"/>
        <v/>
      </c>
      <c r="L370" s="27"/>
      <c r="M370" s="27"/>
      <c r="N370" s="10" t="str">
        <f t="shared" si="125"/>
        <v/>
      </c>
      <c r="O370" s="17"/>
      <c r="P370" s="29"/>
    </row>
    <row r="371" ht="15.75" customHeight="1">
      <c r="A371" s="9" t="str">
        <f>IFERROR(__xludf.DUMMYFUNCTION("IF(B371="""","""",RIGHT(regexreplace(B371&amp;"""",""[^0-9]"",""""),9))"),"")</f>
        <v/>
      </c>
      <c r="B371" s="5"/>
      <c r="C371" s="5"/>
      <c r="D371" s="5"/>
      <c r="E371" s="23"/>
      <c r="F371" s="23"/>
      <c r="G371" s="23"/>
      <c r="H371" s="23"/>
      <c r="I371" s="23"/>
      <c r="J371" s="23"/>
      <c r="K371" s="10" t="str">
        <f t="shared" si="1"/>
        <v/>
      </c>
      <c r="L371" s="27"/>
      <c r="M371" s="27"/>
      <c r="N371" s="10" t="str">
        <f t="array" ref="N371">IF(COUNTIF($A$2:A370,A)&gt;0,INDEX($C$2:C370,MATCH(A371,$A$2:A370,0)),"")</f>
        <v/>
      </c>
      <c r="O371" s="17"/>
      <c r="P371" s="29"/>
    </row>
    <row r="372" ht="15.75" customHeight="1">
      <c r="A372" s="9" t="str">
        <f>IFERROR(__xludf.DUMMYFUNCTION("IF(B372="""","""",RIGHT(regexreplace(B372&amp;"""",""[^0-9]"",""""),9))"),"")</f>
        <v/>
      </c>
      <c r="B372" s="5"/>
      <c r="C372" s="5"/>
      <c r="D372" s="5"/>
      <c r="E372" s="23"/>
      <c r="F372" s="23"/>
      <c r="G372" s="23"/>
      <c r="H372" s="23"/>
      <c r="I372" s="23"/>
      <c r="J372" s="23"/>
      <c r="K372" s="10" t="str">
        <f t="shared" si="1"/>
        <v/>
      </c>
      <c r="L372" s="27"/>
      <c r="M372" s="27"/>
      <c r="N372" s="10" t="str">
        <f t="shared" ref="N372:N373" si="126">IF(COUNTIF($A$2:A371,A372)&gt;0,INDEX($C$2:C371,MATCH(A372,$A$2:A371,0)),"")</f>
        <v/>
      </c>
      <c r="O372" s="17"/>
      <c r="P372" s="29"/>
    </row>
    <row r="373" ht="15.75" customHeight="1">
      <c r="A373" s="9" t="str">
        <f>IFERROR(__xludf.DUMMYFUNCTION("IF(B373="""","""",RIGHT(regexreplace(B373&amp;"""",""[^0-9]"",""""),9))"),"")</f>
        <v/>
      </c>
      <c r="B373" s="5"/>
      <c r="C373" s="5"/>
      <c r="D373" s="5"/>
      <c r="E373" s="23"/>
      <c r="F373" s="23"/>
      <c r="G373" s="23"/>
      <c r="H373" s="23"/>
      <c r="I373" s="23"/>
      <c r="J373" s="23"/>
      <c r="K373" s="10" t="str">
        <f t="shared" si="1"/>
        <v/>
      </c>
      <c r="L373" s="27"/>
      <c r="M373" s="27"/>
      <c r="N373" s="10" t="str">
        <f t="shared" si="126"/>
        <v/>
      </c>
      <c r="O373" s="17"/>
      <c r="P373" s="29"/>
    </row>
    <row r="374" ht="15.75" customHeight="1">
      <c r="A374" s="9" t="str">
        <f>IFERROR(__xludf.DUMMYFUNCTION("IF(B374="""","""",RIGHT(regexreplace(B374&amp;"""",""[^0-9]"",""""),9))"),"")</f>
        <v/>
      </c>
      <c r="B374" s="5"/>
      <c r="C374" s="5"/>
      <c r="D374" s="5"/>
      <c r="E374" s="23"/>
      <c r="F374" s="23"/>
      <c r="G374" s="23"/>
      <c r="H374" s="23"/>
      <c r="I374" s="23"/>
      <c r="J374" s="23"/>
      <c r="K374" s="10" t="str">
        <f t="shared" si="1"/>
        <v/>
      </c>
      <c r="L374" s="27"/>
      <c r="M374" s="27"/>
      <c r="N374" s="10" t="str">
        <f t="array" ref="N374">IF(COUNTIF($A$2:A373,A)&gt;0,INDEX($C$2:C373,MATCH(A374,$A$2:A373,0)),"")</f>
        <v/>
      </c>
      <c r="O374" s="17"/>
      <c r="P374" s="29"/>
    </row>
    <row r="375" ht="15.75" customHeight="1">
      <c r="A375" s="9" t="str">
        <f>IFERROR(__xludf.DUMMYFUNCTION("IF(B375="""","""",RIGHT(regexreplace(B375&amp;"""",""[^0-9]"",""""),9))"),"")</f>
        <v/>
      </c>
      <c r="B375" s="5"/>
      <c r="C375" s="5"/>
      <c r="D375" s="5"/>
      <c r="E375" s="23"/>
      <c r="F375" s="23"/>
      <c r="G375" s="23"/>
      <c r="H375" s="23"/>
      <c r="I375" s="23"/>
      <c r="J375" s="23"/>
      <c r="K375" s="10" t="str">
        <f t="shared" si="1"/>
        <v/>
      </c>
      <c r="L375" s="27"/>
      <c r="M375" s="27"/>
      <c r="N375" s="10" t="str">
        <f t="shared" ref="N375:N376" si="127">IF(COUNTIF($A$2:A374,A375)&gt;0,INDEX($C$2:C374,MATCH(A375,$A$2:A374,0)),"")</f>
        <v/>
      </c>
      <c r="O375" s="17"/>
      <c r="P375" s="29"/>
    </row>
    <row r="376" ht="15.75" customHeight="1">
      <c r="A376" s="9" t="str">
        <f>IFERROR(__xludf.DUMMYFUNCTION("IF(B376="""","""",RIGHT(regexreplace(B376&amp;"""",""[^0-9]"",""""),9))"),"")</f>
        <v/>
      </c>
      <c r="B376" s="5"/>
      <c r="C376" s="5"/>
      <c r="D376" s="5"/>
      <c r="E376" s="23"/>
      <c r="F376" s="23"/>
      <c r="G376" s="23"/>
      <c r="H376" s="23"/>
      <c r="I376" s="23"/>
      <c r="J376" s="23"/>
      <c r="K376" s="10" t="str">
        <f t="shared" si="1"/>
        <v/>
      </c>
      <c r="L376" s="27"/>
      <c r="M376" s="27"/>
      <c r="N376" s="10" t="str">
        <f t="shared" si="127"/>
        <v/>
      </c>
      <c r="O376" s="17"/>
      <c r="P376" s="29"/>
    </row>
    <row r="377" ht="15.75" customHeight="1">
      <c r="A377" s="9" t="str">
        <f>IFERROR(__xludf.DUMMYFUNCTION("IF(B377="""","""",RIGHT(regexreplace(B377&amp;"""",""[^0-9]"",""""),9))"),"")</f>
        <v/>
      </c>
      <c r="B377" s="5"/>
      <c r="C377" s="5"/>
      <c r="D377" s="5"/>
      <c r="E377" s="23"/>
      <c r="F377" s="23"/>
      <c r="G377" s="23"/>
      <c r="H377" s="23"/>
      <c r="I377" s="23"/>
      <c r="J377" s="23"/>
      <c r="K377" s="10" t="str">
        <f t="shared" si="1"/>
        <v/>
      </c>
      <c r="L377" s="27"/>
      <c r="M377" s="27"/>
      <c r="N377" s="10" t="str">
        <f t="array" ref="N377">IF(COUNTIF($A$2:A376,A)&gt;0,INDEX($C$2:C376,MATCH(A377,$A$2:A376,0)),"")</f>
        <v/>
      </c>
      <c r="O377" s="17"/>
      <c r="P377" s="29"/>
    </row>
    <row r="378" ht="15.75" customHeight="1">
      <c r="A378" s="9" t="str">
        <f>IFERROR(__xludf.DUMMYFUNCTION("IF(B378="""","""",RIGHT(regexreplace(B378&amp;"""",""[^0-9]"",""""),9))"),"")</f>
        <v/>
      </c>
      <c r="B378" s="5"/>
      <c r="C378" s="5"/>
      <c r="D378" s="5"/>
      <c r="E378" s="23"/>
      <c r="F378" s="23"/>
      <c r="G378" s="23"/>
      <c r="H378" s="23"/>
      <c r="I378" s="23"/>
      <c r="J378" s="23"/>
      <c r="K378" s="10" t="str">
        <f t="shared" si="1"/>
        <v/>
      </c>
      <c r="L378" s="27"/>
      <c r="M378" s="27"/>
      <c r="N378" s="10" t="str">
        <f t="shared" ref="N378:N379" si="128">IF(COUNTIF($A$2:A377,A378)&gt;0,INDEX($C$2:C377,MATCH(A378,$A$2:A377,0)),"")</f>
        <v/>
      </c>
      <c r="O378" s="17"/>
      <c r="P378" s="29"/>
    </row>
    <row r="379" ht="15.75" customHeight="1">
      <c r="A379" s="9" t="str">
        <f>IFERROR(__xludf.DUMMYFUNCTION("IF(B379="""","""",RIGHT(regexreplace(B379&amp;"""",""[^0-9]"",""""),9))"),"")</f>
        <v/>
      </c>
      <c r="B379" s="5"/>
      <c r="C379" s="5"/>
      <c r="D379" s="5"/>
      <c r="E379" s="23"/>
      <c r="F379" s="23"/>
      <c r="G379" s="23"/>
      <c r="H379" s="23"/>
      <c r="I379" s="23"/>
      <c r="J379" s="23"/>
      <c r="K379" s="10" t="str">
        <f t="shared" si="1"/>
        <v/>
      </c>
      <c r="L379" s="27"/>
      <c r="M379" s="27"/>
      <c r="N379" s="10" t="str">
        <f t="shared" si="128"/>
        <v/>
      </c>
      <c r="O379" s="17"/>
      <c r="P379" s="29"/>
    </row>
    <row r="380" ht="15.75" customHeight="1">
      <c r="A380" s="9" t="str">
        <f>IFERROR(__xludf.DUMMYFUNCTION("IF(B380="""","""",RIGHT(regexreplace(B380&amp;"""",""[^0-9]"",""""),9))"),"")</f>
        <v/>
      </c>
      <c r="B380" s="5"/>
      <c r="C380" s="5"/>
      <c r="D380" s="5"/>
      <c r="E380" s="23"/>
      <c r="F380" s="23"/>
      <c r="G380" s="23"/>
      <c r="H380" s="23"/>
      <c r="I380" s="23"/>
      <c r="J380" s="23"/>
      <c r="K380" s="10" t="str">
        <f t="shared" si="1"/>
        <v/>
      </c>
      <c r="L380" s="27"/>
      <c r="M380" s="27"/>
      <c r="N380" s="10" t="str">
        <f t="array" ref="N380">IF(COUNTIF($A$2:A379,A)&gt;0,INDEX($C$2:C379,MATCH(A380,$A$2:A379,0)),"")</f>
        <v/>
      </c>
      <c r="O380" s="17"/>
      <c r="P380" s="29"/>
    </row>
    <row r="381" ht="15.75" customHeight="1">
      <c r="A381" s="9" t="str">
        <f>IFERROR(__xludf.DUMMYFUNCTION("IF(B381="""","""",RIGHT(regexreplace(B381&amp;"""",""[^0-9]"",""""),9))"),"")</f>
        <v/>
      </c>
      <c r="B381" s="5"/>
      <c r="C381" s="5"/>
      <c r="D381" s="5"/>
      <c r="E381" s="23"/>
      <c r="F381" s="23"/>
      <c r="G381" s="23"/>
      <c r="H381" s="23"/>
      <c r="I381" s="23"/>
      <c r="J381" s="23"/>
      <c r="K381" s="10" t="str">
        <f t="shared" si="1"/>
        <v/>
      </c>
      <c r="L381" s="27"/>
      <c r="M381" s="27"/>
      <c r="N381" s="10" t="str">
        <f t="shared" ref="N381:N382" si="129">IF(COUNTIF($A$2:A380,A381)&gt;0,INDEX($C$2:C380,MATCH(A381,$A$2:A380,0)),"")</f>
        <v/>
      </c>
      <c r="O381" s="17"/>
      <c r="P381" s="29"/>
    </row>
    <row r="382" ht="15.75" customHeight="1">
      <c r="A382" s="9" t="str">
        <f>IFERROR(__xludf.DUMMYFUNCTION("IF(B382="""","""",RIGHT(regexreplace(B382&amp;"""",""[^0-9]"",""""),9))"),"")</f>
        <v/>
      </c>
      <c r="B382" s="5"/>
      <c r="C382" s="5"/>
      <c r="D382" s="5"/>
      <c r="E382" s="23"/>
      <c r="F382" s="23"/>
      <c r="G382" s="23"/>
      <c r="H382" s="23"/>
      <c r="I382" s="23"/>
      <c r="J382" s="23"/>
      <c r="K382" s="10" t="str">
        <f t="shared" si="1"/>
        <v/>
      </c>
      <c r="L382" s="27"/>
      <c r="M382" s="27"/>
      <c r="N382" s="10" t="str">
        <f t="shared" si="129"/>
        <v/>
      </c>
      <c r="O382" s="17"/>
      <c r="P382" s="29"/>
    </row>
    <row r="383" ht="15.75" customHeight="1">
      <c r="A383" s="9" t="str">
        <f>IFERROR(__xludf.DUMMYFUNCTION("IF(B383="""","""",RIGHT(regexreplace(B383&amp;"""",""[^0-9]"",""""),9))"),"")</f>
        <v/>
      </c>
      <c r="B383" s="5"/>
      <c r="C383" s="5"/>
      <c r="D383" s="5"/>
      <c r="E383" s="23"/>
      <c r="F383" s="23"/>
      <c r="G383" s="23"/>
      <c r="H383" s="23"/>
      <c r="I383" s="23"/>
      <c r="J383" s="23"/>
      <c r="K383" s="10" t="str">
        <f t="shared" si="1"/>
        <v/>
      </c>
      <c r="L383" s="27"/>
      <c r="M383" s="27"/>
      <c r="N383" s="10" t="str">
        <f t="array" ref="N383">IF(COUNTIF($A$2:A382,A)&gt;0,INDEX($C$2:C382,MATCH(A383,$A$2:A382,0)),"")</f>
        <v/>
      </c>
      <c r="O383" s="17"/>
      <c r="P383" s="29"/>
    </row>
    <row r="384" ht="15.75" customHeight="1">
      <c r="A384" s="9" t="str">
        <f>IFERROR(__xludf.DUMMYFUNCTION("IF(B384="""","""",RIGHT(regexreplace(B384&amp;"""",""[^0-9]"",""""),9))"),"")</f>
        <v/>
      </c>
      <c r="B384" s="5"/>
      <c r="C384" s="5"/>
      <c r="D384" s="5"/>
      <c r="E384" s="23"/>
      <c r="F384" s="23"/>
      <c r="G384" s="23"/>
      <c r="H384" s="23"/>
      <c r="I384" s="23"/>
      <c r="J384" s="23"/>
      <c r="K384" s="10" t="str">
        <f t="shared" si="1"/>
        <v/>
      </c>
      <c r="L384" s="27"/>
      <c r="M384" s="27"/>
      <c r="N384" s="10" t="str">
        <f t="shared" ref="N384:N385" si="130">IF(COUNTIF($A$2:A383,A384)&gt;0,INDEX($C$2:C383,MATCH(A384,$A$2:A383,0)),"")</f>
        <v/>
      </c>
      <c r="O384" s="17"/>
      <c r="P384" s="29"/>
    </row>
    <row r="385" ht="15.75" customHeight="1">
      <c r="A385" s="9" t="str">
        <f>IFERROR(__xludf.DUMMYFUNCTION("IF(B385="""","""",RIGHT(regexreplace(B385&amp;"""",""[^0-9]"",""""),9))"),"")</f>
        <v/>
      </c>
      <c r="B385" s="5"/>
      <c r="C385" s="5"/>
      <c r="D385" s="5"/>
      <c r="E385" s="23"/>
      <c r="F385" s="23"/>
      <c r="G385" s="23"/>
      <c r="H385" s="23"/>
      <c r="I385" s="23"/>
      <c r="J385" s="23"/>
      <c r="K385" s="10" t="str">
        <f t="shared" si="1"/>
        <v/>
      </c>
      <c r="L385" s="27"/>
      <c r="M385" s="27"/>
      <c r="N385" s="10" t="str">
        <f t="shared" si="130"/>
        <v/>
      </c>
      <c r="O385" s="17"/>
      <c r="P385" s="29"/>
    </row>
    <row r="386" ht="15.75" customHeight="1">
      <c r="A386" s="9" t="str">
        <f>IFERROR(__xludf.DUMMYFUNCTION("IF(B386="""","""",RIGHT(regexreplace(B386&amp;"""",""[^0-9]"",""""),9))"),"")</f>
        <v/>
      </c>
      <c r="B386" s="5"/>
      <c r="C386" s="5"/>
      <c r="D386" s="5"/>
      <c r="E386" s="23"/>
      <c r="F386" s="23"/>
      <c r="G386" s="23"/>
      <c r="H386" s="23"/>
      <c r="I386" s="23"/>
      <c r="J386" s="23"/>
      <c r="K386" s="10" t="str">
        <f t="shared" si="1"/>
        <v/>
      </c>
      <c r="L386" s="27"/>
      <c r="M386" s="27"/>
      <c r="N386" s="10" t="str">
        <f t="array" ref="N386">IF(COUNTIF($A$2:A385,A)&gt;0,INDEX($C$2:C385,MATCH(A386,$A$2:A385,0)),"")</f>
        <v/>
      </c>
      <c r="O386" s="17"/>
      <c r="P386" s="29"/>
    </row>
    <row r="387" ht="15.75" customHeight="1">
      <c r="A387" s="9" t="str">
        <f>IFERROR(__xludf.DUMMYFUNCTION("IF(B387="""","""",RIGHT(regexreplace(B387&amp;"""",""[^0-9]"",""""),9))"),"")</f>
        <v/>
      </c>
      <c r="B387" s="5"/>
      <c r="C387" s="5"/>
      <c r="D387" s="5"/>
      <c r="E387" s="23"/>
      <c r="F387" s="23"/>
      <c r="G387" s="23"/>
      <c r="H387" s="23"/>
      <c r="I387" s="23"/>
      <c r="J387" s="23"/>
      <c r="K387" s="10" t="str">
        <f t="shared" si="1"/>
        <v/>
      </c>
      <c r="L387" s="27"/>
      <c r="M387" s="27"/>
      <c r="N387" s="10" t="str">
        <f t="shared" ref="N387:N388" si="131">IF(COUNTIF($A$2:A386,A387)&gt;0,INDEX($C$2:C386,MATCH(A387,$A$2:A386,0)),"")</f>
        <v/>
      </c>
      <c r="O387" s="17"/>
      <c r="P387" s="29"/>
    </row>
    <row r="388" ht="15.75" customHeight="1">
      <c r="A388" s="9" t="str">
        <f>IFERROR(__xludf.DUMMYFUNCTION("IF(B388="""","""",RIGHT(regexreplace(B388&amp;"""",""[^0-9]"",""""),9))"),"")</f>
        <v/>
      </c>
      <c r="B388" s="5"/>
      <c r="C388" s="5"/>
      <c r="D388" s="5"/>
      <c r="E388" s="23"/>
      <c r="F388" s="23"/>
      <c r="G388" s="23"/>
      <c r="H388" s="23"/>
      <c r="I388" s="23"/>
      <c r="J388" s="23"/>
      <c r="K388" s="10" t="str">
        <f t="shared" si="1"/>
        <v/>
      </c>
      <c r="L388" s="27"/>
      <c r="M388" s="27"/>
      <c r="N388" s="10" t="str">
        <f t="shared" si="131"/>
        <v/>
      </c>
      <c r="O388" s="17"/>
      <c r="P388" s="29"/>
    </row>
    <row r="389" ht="15.75" customHeight="1">
      <c r="A389" s="9" t="str">
        <f>IFERROR(__xludf.DUMMYFUNCTION("IF(B389="""","""",RIGHT(regexreplace(B389&amp;"""",""[^0-9]"",""""),9))"),"")</f>
        <v/>
      </c>
      <c r="B389" s="5"/>
      <c r="C389" s="5"/>
      <c r="D389" s="5"/>
      <c r="E389" s="23"/>
      <c r="F389" s="23"/>
      <c r="G389" s="23"/>
      <c r="H389" s="23"/>
      <c r="I389" s="23"/>
      <c r="J389" s="23"/>
      <c r="K389" s="10" t="str">
        <f t="shared" si="1"/>
        <v/>
      </c>
      <c r="L389" s="27"/>
      <c r="M389" s="27"/>
      <c r="N389" s="10" t="str">
        <f t="array" ref="N389">IF(COUNTIF($A$2:A388,A)&gt;0,INDEX($C$2:C388,MATCH(A389,$A$2:A388,0)),"")</f>
        <v/>
      </c>
      <c r="O389" s="17"/>
      <c r="P389" s="29"/>
    </row>
    <row r="390" ht="15.75" customHeight="1">
      <c r="A390" s="9" t="str">
        <f>IFERROR(__xludf.DUMMYFUNCTION("IF(B390="""","""",RIGHT(regexreplace(B390&amp;"""",""[^0-9]"",""""),9))"),"")</f>
        <v/>
      </c>
      <c r="B390" s="5"/>
      <c r="C390" s="5"/>
      <c r="D390" s="5"/>
      <c r="E390" s="23"/>
      <c r="F390" s="23"/>
      <c r="G390" s="23"/>
      <c r="H390" s="23"/>
      <c r="I390" s="23"/>
      <c r="J390" s="23"/>
      <c r="K390" s="10" t="str">
        <f t="shared" si="1"/>
        <v/>
      </c>
      <c r="L390" s="27"/>
      <c r="M390" s="27"/>
      <c r="N390" s="10" t="str">
        <f t="shared" ref="N390:N391" si="132">IF(COUNTIF($A$2:A389,A390)&gt;0,INDEX($C$2:C389,MATCH(A390,$A$2:A389,0)),"")</f>
        <v/>
      </c>
      <c r="O390" s="17"/>
      <c r="P390" s="29"/>
    </row>
    <row r="391" ht="15.75" customHeight="1">
      <c r="A391" s="9" t="str">
        <f>IFERROR(__xludf.DUMMYFUNCTION("IF(B391="""","""",RIGHT(regexreplace(B391&amp;"""",""[^0-9]"",""""),9))"),"")</f>
        <v/>
      </c>
      <c r="B391" s="5"/>
      <c r="C391" s="5"/>
      <c r="D391" s="5"/>
      <c r="E391" s="23"/>
      <c r="F391" s="23"/>
      <c r="G391" s="23"/>
      <c r="H391" s="23"/>
      <c r="I391" s="23"/>
      <c r="J391" s="23"/>
      <c r="K391" s="10" t="str">
        <f t="shared" si="1"/>
        <v/>
      </c>
      <c r="L391" s="27"/>
      <c r="M391" s="27"/>
      <c r="N391" s="10" t="str">
        <f t="shared" si="132"/>
        <v/>
      </c>
      <c r="O391" s="17"/>
      <c r="P391" s="29"/>
    </row>
    <row r="392" ht="15.75" customHeight="1">
      <c r="A392" s="9" t="str">
        <f>IFERROR(__xludf.DUMMYFUNCTION("IF(B392="""","""",RIGHT(regexreplace(B392&amp;"""",""[^0-9]"",""""),9))"),"")</f>
        <v/>
      </c>
      <c r="B392" s="5"/>
      <c r="C392" s="5"/>
      <c r="D392" s="5"/>
      <c r="E392" s="23"/>
      <c r="F392" s="23"/>
      <c r="G392" s="23"/>
      <c r="H392" s="23"/>
      <c r="I392" s="23"/>
      <c r="J392" s="23"/>
      <c r="K392" s="10" t="str">
        <f t="shared" si="1"/>
        <v/>
      </c>
      <c r="L392" s="27"/>
      <c r="M392" s="27"/>
      <c r="N392" s="10" t="str">
        <f t="array" ref="N392">IF(COUNTIF($A$2:A391,A)&gt;0,INDEX($C$2:C391,MATCH(A392,$A$2:A391,0)),"")</f>
        <v/>
      </c>
      <c r="O392" s="17"/>
      <c r="P392" s="29"/>
    </row>
    <row r="393" ht="15.75" customHeight="1">
      <c r="A393" s="9" t="str">
        <f>IFERROR(__xludf.DUMMYFUNCTION("IF(B393="""","""",RIGHT(regexreplace(B393&amp;"""",""[^0-9]"",""""),9))"),"")</f>
        <v/>
      </c>
      <c r="B393" s="5"/>
      <c r="C393" s="5"/>
      <c r="D393" s="5"/>
      <c r="E393" s="23"/>
      <c r="F393" s="23"/>
      <c r="G393" s="23"/>
      <c r="H393" s="23"/>
      <c r="I393" s="23"/>
      <c r="J393" s="23"/>
      <c r="K393" s="10" t="str">
        <f t="shared" si="1"/>
        <v/>
      </c>
      <c r="L393" s="27"/>
      <c r="M393" s="27"/>
      <c r="N393" s="10" t="str">
        <f t="shared" ref="N393:N394" si="133">IF(COUNTIF($A$2:A392,A393)&gt;0,INDEX($C$2:C392,MATCH(A393,$A$2:A392,0)),"")</f>
        <v/>
      </c>
      <c r="O393" s="17"/>
      <c r="P393" s="29"/>
    </row>
    <row r="394" ht="15.75" customHeight="1">
      <c r="A394" s="9" t="str">
        <f>IFERROR(__xludf.DUMMYFUNCTION("IF(B394="""","""",RIGHT(regexreplace(B394&amp;"""",""[^0-9]"",""""),9))"),"")</f>
        <v/>
      </c>
      <c r="B394" s="5"/>
      <c r="C394" s="5"/>
      <c r="D394" s="5"/>
      <c r="E394" s="23"/>
      <c r="F394" s="23"/>
      <c r="G394" s="23"/>
      <c r="H394" s="23"/>
      <c r="I394" s="23"/>
      <c r="J394" s="23"/>
      <c r="K394" s="10" t="str">
        <f t="shared" si="1"/>
        <v/>
      </c>
      <c r="L394" s="27"/>
      <c r="M394" s="27"/>
      <c r="N394" s="10" t="str">
        <f t="shared" si="133"/>
        <v/>
      </c>
      <c r="O394" s="17"/>
      <c r="P394" s="29"/>
    </row>
    <row r="395" ht="15.75" customHeight="1">
      <c r="A395" s="9" t="str">
        <f>IFERROR(__xludf.DUMMYFUNCTION("IF(B395="""","""",RIGHT(regexreplace(B395&amp;"""",""[^0-9]"",""""),9))"),"")</f>
        <v/>
      </c>
      <c r="B395" s="5"/>
      <c r="C395" s="5"/>
      <c r="D395" s="5"/>
      <c r="E395" s="23"/>
      <c r="F395" s="23"/>
      <c r="G395" s="23"/>
      <c r="H395" s="23"/>
      <c r="I395" s="23"/>
      <c r="J395" s="23"/>
      <c r="K395" s="10" t="str">
        <f t="shared" si="1"/>
        <v/>
      </c>
      <c r="L395" s="27"/>
      <c r="M395" s="27"/>
      <c r="N395" s="10" t="str">
        <f t="array" ref="N395">IF(COUNTIF($A$2:A394,A)&gt;0,INDEX($C$2:C394,MATCH(A395,$A$2:A394,0)),"")</f>
        <v/>
      </c>
      <c r="O395" s="17"/>
      <c r="P395" s="29"/>
    </row>
    <row r="396" ht="15.75" customHeight="1">
      <c r="A396" s="9" t="str">
        <f>IFERROR(__xludf.DUMMYFUNCTION("IF(B396="""","""",RIGHT(regexreplace(B396&amp;"""",""[^0-9]"",""""),9))"),"")</f>
        <v/>
      </c>
      <c r="B396" s="5"/>
      <c r="C396" s="5"/>
      <c r="D396" s="5"/>
      <c r="E396" s="23"/>
      <c r="F396" s="23"/>
      <c r="G396" s="23"/>
      <c r="H396" s="23"/>
      <c r="I396" s="23"/>
      <c r="J396" s="23"/>
      <c r="K396" s="10" t="str">
        <f t="shared" si="1"/>
        <v/>
      </c>
      <c r="L396" s="27"/>
      <c r="M396" s="27"/>
      <c r="N396" s="10" t="str">
        <f t="shared" ref="N396:N397" si="134">IF(COUNTIF($A$2:A395,A396)&gt;0,INDEX($C$2:C395,MATCH(A396,$A$2:A395,0)),"")</f>
        <v/>
      </c>
      <c r="O396" s="17"/>
      <c r="P396" s="29"/>
    </row>
    <row r="397" ht="15.75" customHeight="1">
      <c r="A397" s="9" t="str">
        <f>IFERROR(__xludf.DUMMYFUNCTION("IF(B397="""","""",RIGHT(regexreplace(B397&amp;"""",""[^0-9]"",""""),9))"),"")</f>
        <v/>
      </c>
      <c r="B397" s="5"/>
      <c r="C397" s="5"/>
      <c r="D397" s="5"/>
      <c r="E397" s="23"/>
      <c r="F397" s="23"/>
      <c r="G397" s="23"/>
      <c r="H397" s="23"/>
      <c r="I397" s="23"/>
      <c r="J397" s="23"/>
      <c r="K397" s="10" t="str">
        <f t="shared" si="1"/>
        <v/>
      </c>
      <c r="L397" s="27"/>
      <c r="M397" s="27"/>
      <c r="N397" s="10" t="str">
        <f t="shared" si="134"/>
        <v/>
      </c>
      <c r="O397" s="17"/>
      <c r="P397" s="29"/>
    </row>
    <row r="398" ht="15.75" customHeight="1">
      <c r="A398" s="9" t="str">
        <f>IFERROR(__xludf.DUMMYFUNCTION("IF(B398="""","""",RIGHT(regexreplace(B398&amp;"""",""[^0-9]"",""""),9))"),"")</f>
        <v/>
      </c>
      <c r="B398" s="5"/>
      <c r="C398" s="5"/>
      <c r="D398" s="5"/>
      <c r="E398" s="23"/>
      <c r="F398" s="23"/>
      <c r="G398" s="23"/>
      <c r="H398" s="23"/>
      <c r="I398" s="23"/>
      <c r="J398" s="23"/>
      <c r="K398" s="10" t="str">
        <f t="shared" si="1"/>
        <v/>
      </c>
      <c r="L398" s="27"/>
      <c r="M398" s="27"/>
      <c r="N398" s="10" t="str">
        <f t="array" ref="N398">IF(COUNTIF($A$2:A397,A)&gt;0,INDEX($C$2:C397,MATCH(A398,$A$2:A397,0)),"")</f>
        <v/>
      </c>
      <c r="O398" s="17"/>
      <c r="P398" s="29"/>
    </row>
    <row r="399" ht="15.75" customHeight="1">
      <c r="A399" s="9" t="str">
        <f>IFERROR(__xludf.DUMMYFUNCTION("IF(B399="""","""",RIGHT(regexreplace(B399&amp;"""",""[^0-9]"",""""),9))"),"")</f>
        <v/>
      </c>
      <c r="B399" s="5"/>
      <c r="C399" s="5"/>
      <c r="D399" s="5"/>
      <c r="E399" s="23"/>
      <c r="F399" s="23"/>
      <c r="G399" s="23"/>
      <c r="H399" s="23"/>
      <c r="I399" s="23"/>
      <c r="J399" s="23"/>
      <c r="K399" s="10" t="str">
        <f t="shared" si="1"/>
        <v/>
      </c>
      <c r="L399" s="27"/>
      <c r="M399" s="27"/>
      <c r="N399" s="10" t="str">
        <f t="shared" ref="N399:N400" si="135">IF(COUNTIF($A$2:A398,A399)&gt;0,INDEX($C$2:C398,MATCH(A399,$A$2:A398,0)),"")</f>
        <v/>
      </c>
      <c r="O399" s="17"/>
      <c r="P399" s="29"/>
    </row>
    <row r="400" ht="15.75" customHeight="1">
      <c r="A400" s="9" t="str">
        <f>IFERROR(__xludf.DUMMYFUNCTION("IF(B400="""","""",RIGHT(regexreplace(B400&amp;"""",""[^0-9]"",""""),9))"),"")</f>
        <v/>
      </c>
      <c r="B400" s="5"/>
      <c r="C400" s="5"/>
      <c r="D400" s="5"/>
      <c r="E400" s="23"/>
      <c r="F400" s="23"/>
      <c r="G400" s="23"/>
      <c r="H400" s="23"/>
      <c r="I400" s="23"/>
      <c r="J400" s="23"/>
      <c r="K400" s="10" t="str">
        <f t="shared" si="1"/>
        <v/>
      </c>
      <c r="L400" s="27"/>
      <c r="M400" s="27"/>
      <c r="N400" s="10" t="str">
        <f t="shared" si="135"/>
        <v/>
      </c>
      <c r="O400" s="17"/>
      <c r="P400" s="29"/>
    </row>
    <row r="401" ht="15.75" customHeight="1">
      <c r="A401" s="9" t="str">
        <f>IFERROR(__xludf.DUMMYFUNCTION("IF(B401="""","""",RIGHT(regexreplace(B401&amp;"""",""[^0-9]"",""""),9))"),"")</f>
        <v/>
      </c>
      <c r="B401" s="5"/>
      <c r="C401" s="5"/>
      <c r="D401" s="5"/>
      <c r="E401" s="23"/>
      <c r="F401" s="23"/>
      <c r="G401" s="23"/>
      <c r="H401" s="23"/>
      <c r="I401" s="23"/>
      <c r="J401" s="23"/>
      <c r="K401" s="10" t="str">
        <f t="shared" si="1"/>
        <v/>
      </c>
      <c r="L401" s="27"/>
      <c r="M401" s="27"/>
      <c r="N401" s="10" t="str">
        <f t="array" ref="N401">IF(COUNTIF($A$2:A400,A)&gt;0,INDEX($C$2:C400,MATCH(A401,$A$2:A400,0)),"")</f>
        <v/>
      </c>
      <c r="O401" s="17"/>
      <c r="P401" s="29"/>
    </row>
    <row r="402" ht="15.75" customHeight="1">
      <c r="A402" s="9" t="str">
        <f>IFERROR(__xludf.DUMMYFUNCTION("IF(B402="""","""",RIGHT(regexreplace(B402&amp;"""",""[^0-9]"",""""),9))"),"")</f>
        <v/>
      </c>
      <c r="B402" s="5"/>
      <c r="C402" s="5"/>
      <c r="D402" s="5"/>
      <c r="E402" s="23"/>
      <c r="F402" s="23"/>
      <c r="G402" s="23"/>
      <c r="H402" s="23"/>
      <c r="I402" s="23"/>
      <c r="J402" s="23"/>
      <c r="K402" s="10" t="str">
        <f t="shared" si="1"/>
        <v/>
      </c>
      <c r="L402" s="27"/>
      <c r="M402" s="27"/>
      <c r="N402" s="10" t="str">
        <f t="shared" ref="N402:N403" si="136">IF(COUNTIF($A$2:A401,A402)&gt;0,INDEX($C$2:C401,MATCH(A402,$A$2:A401,0)),"")</f>
        <v/>
      </c>
      <c r="O402" s="17"/>
      <c r="P402" s="29"/>
    </row>
    <row r="403" ht="15.75" customHeight="1">
      <c r="A403" s="9" t="str">
        <f>IFERROR(__xludf.DUMMYFUNCTION("IF(B403="""","""",RIGHT(regexreplace(B403&amp;"""",""[^0-9]"",""""),9))"),"")</f>
        <v/>
      </c>
      <c r="B403" s="5"/>
      <c r="C403" s="5"/>
      <c r="D403" s="5"/>
      <c r="E403" s="23"/>
      <c r="F403" s="23"/>
      <c r="G403" s="23"/>
      <c r="H403" s="23"/>
      <c r="I403" s="23"/>
      <c r="J403" s="23"/>
      <c r="K403" s="10" t="str">
        <f t="shared" si="1"/>
        <v/>
      </c>
      <c r="L403" s="27"/>
      <c r="M403" s="27"/>
      <c r="N403" s="10" t="str">
        <f t="shared" si="136"/>
        <v/>
      </c>
      <c r="O403" s="17"/>
      <c r="P403" s="29"/>
    </row>
    <row r="404" ht="15.75" customHeight="1">
      <c r="A404" s="9" t="str">
        <f>IFERROR(__xludf.DUMMYFUNCTION("IF(B404="""","""",RIGHT(regexreplace(B404&amp;"""",""[^0-9]"",""""),9))"),"")</f>
        <v/>
      </c>
      <c r="B404" s="5"/>
      <c r="C404" s="5"/>
      <c r="D404" s="5"/>
      <c r="E404" s="23"/>
      <c r="F404" s="23"/>
      <c r="G404" s="23"/>
      <c r="H404" s="23"/>
      <c r="I404" s="23"/>
      <c r="J404" s="23"/>
      <c r="K404" s="10" t="str">
        <f t="shared" si="1"/>
        <v/>
      </c>
      <c r="L404" s="27"/>
      <c r="M404" s="27"/>
      <c r="N404" s="10" t="str">
        <f t="array" ref="N404">IF(COUNTIF($A$2:A403,A)&gt;0,INDEX($C$2:C403,MATCH(A404,$A$2:A403,0)),"")</f>
        <v/>
      </c>
      <c r="O404" s="17"/>
      <c r="P404" s="29"/>
    </row>
    <row r="405" ht="15.75" customHeight="1">
      <c r="A405" s="9" t="str">
        <f>IFERROR(__xludf.DUMMYFUNCTION("IF(B405="""","""",RIGHT(regexreplace(B405&amp;"""",""[^0-9]"",""""),9))"),"")</f>
        <v/>
      </c>
      <c r="B405" s="5"/>
      <c r="C405" s="5"/>
      <c r="D405" s="5"/>
      <c r="E405" s="23"/>
      <c r="F405" s="23"/>
      <c r="G405" s="23"/>
      <c r="H405" s="23"/>
      <c r="I405" s="23"/>
      <c r="J405" s="23"/>
      <c r="K405" s="10" t="str">
        <f t="shared" si="1"/>
        <v/>
      </c>
      <c r="L405" s="27"/>
      <c r="M405" s="27"/>
      <c r="N405" s="10" t="str">
        <f t="shared" ref="N405:N406" si="137">IF(COUNTIF($A$2:A404,A405)&gt;0,INDEX($C$2:C404,MATCH(A405,$A$2:A404,0)),"")</f>
        <v/>
      </c>
      <c r="O405" s="17"/>
      <c r="P405" s="29"/>
    </row>
    <row r="406" ht="15.75" customHeight="1">
      <c r="A406" s="9" t="str">
        <f>IFERROR(__xludf.DUMMYFUNCTION("IF(B406="""","""",RIGHT(regexreplace(B406&amp;"""",""[^0-9]"",""""),9))"),"")</f>
        <v/>
      </c>
      <c r="B406" s="5"/>
      <c r="C406" s="5"/>
      <c r="D406" s="5"/>
      <c r="E406" s="23"/>
      <c r="F406" s="23"/>
      <c r="G406" s="23"/>
      <c r="H406" s="23"/>
      <c r="I406" s="23"/>
      <c r="J406" s="23"/>
      <c r="K406" s="10" t="str">
        <f t="shared" si="1"/>
        <v/>
      </c>
      <c r="L406" s="27"/>
      <c r="M406" s="27"/>
      <c r="N406" s="10" t="str">
        <f t="shared" si="137"/>
        <v/>
      </c>
      <c r="O406" s="17"/>
      <c r="P406" s="29"/>
    </row>
    <row r="407" ht="15.75" customHeight="1">
      <c r="A407" s="9" t="str">
        <f>IFERROR(__xludf.DUMMYFUNCTION("IF(B407="""","""",RIGHT(regexreplace(B407&amp;"""",""[^0-9]"",""""),9))"),"")</f>
        <v/>
      </c>
      <c r="B407" s="5"/>
      <c r="C407" s="5"/>
      <c r="D407" s="5"/>
      <c r="E407" s="23"/>
      <c r="F407" s="23"/>
      <c r="G407" s="23"/>
      <c r="H407" s="23"/>
      <c r="I407" s="23"/>
      <c r="J407" s="23"/>
      <c r="K407" s="10" t="str">
        <f t="shared" si="1"/>
        <v/>
      </c>
      <c r="L407" s="27"/>
      <c r="M407" s="27"/>
      <c r="N407" s="10" t="str">
        <f t="array" ref="N407">IF(COUNTIF($A$2:A406,A)&gt;0,INDEX($C$2:C406,MATCH(A407,$A$2:A406,0)),"")</f>
        <v/>
      </c>
      <c r="O407" s="17"/>
      <c r="P407" s="29"/>
    </row>
    <row r="408" ht="15.75" customHeight="1">
      <c r="A408" s="9" t="str">
        <f>IFERROR(__xludf.DUMMYFUNCTION("IF(B408="""","""",RIGHT(regexreplace(B408&amp;"""",""[^0-9]"",""""),9))"),"")</f>
        <v/>
      </c>
      <c r="B408" s="5"/>
      <c r="C408" s="5"/>
      <c r="D408" s="5"/>
      <c r="E408" s="23"/>
      <c r="F408" s="23"/>
      <c r="G408" s="23"/>
      <c r="H408" s="23"/>
      <c r="I408" s="23"/>
      <c r="J408" s="23"/>
      <c r="K408" s="10" t="str">
        <f t="shared" si="1"/>
        <v/>
      </c>
      <c r="L408" s="27"/>
      <c r="M408" s="27"/>
      <c r="N408" s="10" t="str">
        <f t="shared" ref="N408:N409" si="138">IF(COUNTIF($A$2:A407,A408)&gt;0,INDEX($C$2:C407,MATCH(A408,$A$2:A407,0)),"")</f>
        <v/>
      </c>
      <c r="O408" s="17"/>
      <c r="P408" s="29"/>
    </row>
    <row r="409" ht="15.75" customHeight="1">
      <c r="A409" s="9" t="str">
        <f>IFERROR(__xludf.DUMMYFUNCTION("IF(B409="""","""",RIGHT(regexreplace(B409&amp;"""",""[^0-9]"",""""),9))"),"")</f>
        <v/>
      </c>
      <c r="B409" s="5"/>
      <c r="C409" s="5"/>
      <c r="D409" s="5"/>
      <c r="E409" s="23"/>
      <c r="F409" s="23"/>
      <c r="G409" s="23"/>
      <c r="H409" s="23"/>
      <c r="I409" s="23"/>
      <c r="J409" s="23"/>
      <c r="K409" s="10" t="str">
        <f t="shared" si="1"/>
        <v/>
      </c>
      <c r="L409" s="27"/>
      <c r="M409" s="27"/>
      <c r="N409" s="10" t="str">
        <f t="shared" si="138"/>
        <v/>
      </c>
      <c r="O409" s="17"/>
      <c r="P409" s="29"/>
    </row>
    <row r="410" ht="15.75" customHeight="1">
      <c r="A410" s="9" t="str">
        <f>IFERROR(__xludf.DUMMYFUNCTION("IF(B410="""","""",RIGHT(regexreplace(B410&amp;"""",""[^0-9]"",""""),9))"),"")</f>
        <v/>
      </c>
      <c r="B410" s="5"/>
      <c r="C410" s="5"/>
      <c r="D410" s="5"/>
      <c r="E410" s="23"/>
      <c r="F410" s="23"/>
      <c r="G410" s="23"/>
      <c r="H410" s="23"/>
      <c r="I410" s="23"/>
      <c r="J410" s="23"/>
      <c r="K410" s="10" t="str">
        <f t="shared" si="1"/>
        <v/>
      </c>
      <c r="L410" s="27"/>
      <c r="M410" s="27"/>
      <c r="N410" s="10" t="str">
        <f t="array" ref="N410">IF(COUNTIF($A$2:A409,A)&gt;0,INDEX($C$2:C409,MATCH(A410,$A$2:A409,0)),"")</f>
        <v/>
      </c>
      <c r="O410" s="17"/>
      <c r="P410" s="29"/>
    </row>
    <row r="411" ht="15.75" customHeight="1">
      <c r="A411" s="9" t="str">
        <f>IFERROR(__xludf.DUMMYFUNCTION("IF(B411="""","""",RIGHT(regexreplace(B411&amp;"""",""[^0-9]"",""""),9))"),"")</f>
        <v/>
      </c>
      <c r="B411" s="5"/>
      <c r="C411" s="5"/>
      <c r="D411" s="5"/>
      <c r="E411" s="23"/>
      <c r="F411" s="23"/>
      <c r="G411" s="23"/>
      <c r="H411" s="23"/>
      <c r="I411" s="23"/>
      <c r="J411" s="23"/>
      <c r="K411" s="10" t="str">
        <f t="shared" si="1"/>
        <v/>
      </c>
      <c r="L411" s="27"/>
      <c r="M411" s="27"/>
      <c r="N411" s="10" t="str">
        <f t="shared" ref="N411:N412" si="139">IF(COUNTIF($A$2:A410,A411)&gt;0,INDEX($C$2:C410,MATCH(A411,$A$2:A410,0)),"")</f>
        <v/>
      </c>
      <c r="O411" s="17"/>
      <c r="P411" s="29"/>
    </row>
    <row r="412" ht="15.75" customHeight="1">
      <c r="A412" s="9" t="str">
        <f>IFERROR(__xludf.DUMMYFUNCTION("IF(B412="""","""",RIGHT(regexreplace(B412&amp;"""",""[^0-9]"",""""),9))"),"")</f>
        <v/>
      </c>
      <c r="B412" s="5"/>
      <c r="C412" s="5"/>
      <c r="D412" s="5"/>
      <c r="E412" s="23"/>
      <c r="F412" s="23"/>
      <c r="G412" s="23"/>
      <c r="H412" s="23"/>
      <c r="I412" s="23"/>
      <c r="J412" s="23"/>
      <c r="K412" s="10" t="str">
        <f t="shared" si="1"/>
        <v/>
      </c>
      <c r="L412" s="27"/>
      <c r="M412" s="27"/>
      <c r="N412" s="10" t="str">
        <f t="shared" si="139"/>
        <v/>
      </c>
      <c r="O412" s="17"/>
      <c r="P412" s="29"/>
    </row>
    <row r="413" ht="15.75" customHeight="1">
      <c r="A413" s="9" t="str">
        <f>IFERROR(__xludf.DUMMYFUNCTION("IF(B413="""","""",RIGHT(regexreplace(B413&amp;"""",""[^0-9]"",""""),9))"),"")</f>
        <v/>
      </c>
      <c r="B413" s="5"/>
      <c r="C413" s="5"/>
      <c r="D413" s="5"/>
      <c r="E413" s="23"/>
      <c r="F413" s="23"/>
      <c r="G413" s="23"/>
      <c r="H413" s="23"/>
      <c r="I413" s="23"/>
      <c r="J413" s="23"/>
      <c r="K413" s="10" t="str">
        <f t="shared" si="1"/>
        <v/>
      </c>
      <c r="L413" s="27"/>
      <c r="M413" s="27"/>
      <c r="N413" s="10" t="str">
        <f t="array" ref="N413">IF(COUNTIF($A$2:A412,A)&gt;0,INDEX($C$2:C412,MATCH(A413,$A$2:A412,0)),"")</f>
        <v/>
      </c>
      <c r="O413" s="17"/>
      <c r="P413" s="29"/>
    </row>
    <row r="414" ht="15.75" customHeight="1">
      <c r="A414" s="9" t="str">
        <f>IFERROR(__xludf.DUMMYFUNCTION("IF(B414="""","""",RIGHT(regexreplace(B414&amp;"""",""[^0-9]"",""""),9))"),"")</f>
        <v/>
      </c>
      <c r="B414" s="5"/>
      <c r="C414" s="5"/>
      <c r="D414" s="5"/>
      <c r="E414" s="23"/>
      <c r="F414" s="23"/>
      <c r="G414" s="23"/>
      <c r="H414" s="23"/>
      <c r="I414" s="23"/>
      <c r="J414" s="23"/>
      <c r="K414" s="10" t="str">
        <f t="shared" si="1"/>
        <v/>
      </c>
      <c r="L414" s="27"/>
      <c r="M414" s="27"/>
      <c r="N414" s="10" t="str">
        <f t="shared" ref="N414:N415" si="140">IF(COUNTIF($A$2:A413,A414)&gt;0,INDEX($C$2:C413,MATCH(A414,$A$2:A413,0)),"")</f>
        <v/>
      </c>
      <c r="O414" s="17"/>
      <c r="P414" s="29"/>
    </row>
    <row r="415" ht="15.75" customHeight="1">
      <c r="A415" s="9" t="str">
        <f>IFERROR(__xludf.DUMMYFUNCTION("IF(B415="""","""",RIGHT(regexreplace(B415&amp;"""",""[^0-9]"",""""),9))"),"")</f>
        <v/>
      </c>
      <c r="B415" s="5"/>
      <c r="C415" s="5"/>
      <c r="D415" s="5"/>
      <c r="E415" s="23"/>
      <c r="F415" s="23"/>
      <c r="G415" s="23"/>
      <c r="H415" s="23"/>
      <c r="I415" s="23"/>
      <c r="J415" s="23"/>
      <c r="K415" s="10" t="str">
        <f t="shared" si="1"/>
        <v/>
      </c>
      <c r="L415" s="27"/>
      <c r="M415" s="27"/>
      <c r="N415" s="10" t="str">
        <f t="shared" si="140"/>
        <v/>
      </c>
      <c r="O415" s="17"/>
      <c r="P415" s="29"/>
    </row>
    <row r="416" ht="15.75" customHeight="1">
      <c r="A416" s="9" t="str">
        <f>IFERROR(__xludf.DUMMYFUNCTION("IF(B416="""","""",RIGHT(regexreplace(B416&amp;"""",""[^0-9]"",""""),9))"),"")</f>
        <v/>
      </c>
      <c r="B416" s="5"/>
      <c r="C416" s="5"/>
      <c r="D416" s="5"/>
      <c r="E416" s="23"/>
      <c r="F416" s="23"/>
      <c r="G416" s="23"/>
      <c r="H416" s="23"/>
      <c r="I416" s="23"/>
      <c r="J416" s="23"/>
      <c r="K416" s="10" t="str">
        <f t="shared" si="1"/>
        <v/>
      </c>
      <c r="L416" s="27"/>
      <c r="M416" s="27"/>
      <c r="N416" s="10" t="str">
        <f t="array" ref="N416">IF(COUNTIF($A$2:A415,A)&gt;0,INDEX($C$2:C415,MATCH(A416,$A$2:A415,0)),"")</f>
        <v/>
      </c>
      <c r="O416" s="17"/>
      <c r="P416" s="29"/>
    </row>
    <row r="417" ht="15.75" customHeight="1">
      <c r="A417" s="9" t="str">
        <f>IFERROR(__xludf.DUMMYFUNCTION("IF(B417="""","""",RIGHT(regexreplace(B417&amp;"""",""[^0-9]"",""""),9))"),"")</f>
        <v/>
      </c>
      <c r="B417" s="5"/>
      <c r="C417" s="5"/>
      <c r="D417" s="5"/>
      <c r="E417" s="23"/>
      <c r="F417" s="23"/>
      <c r="G417" s="23"/>
      <c r="H417" s="23"/>
      <c r="I417" s="23"/>
      <c r="J417" s="23"/>
      <c r="K417" s="10" t="str">
        <f t="shared" si="1"/>
        <v/>
      </c>
      <c r="L417" s="27"/>
      <c r="M417" s="27"/>
      <c r="N417" s="10" t="str">
        <f t="shared" ref="N417:N418" si="141">IF(COUNTIF($A$2:A416,A417)&gt;0,INDEX($C$2:C416,MATCH(A417,$A$2:A416,0)),"")</f>
        <v/>
      </c>
      <c r="O417" s="17"/>
      <c r="P417" s="29"/>
    </row>
    <row r="418" ht="15.75" customHeight="1">
      <c r="A418" s="9" t="str">
        <f>IFERROR(__xludf.DUMMYFUNCTION("IF(B418="""","""",RIGHT(regexreplace(B418&amp;"""",""[^0-9]"",""""),9))"),"")</f>
        <v/>
      </c>
      <c r="B418" s="5"/>
      <c r="C418" s="5"/>
      <c r="D418" s="5"/>
      <c r="E418" s="23"/>
      <c r="F418" s="23"/>
      <c r="G418" s="23"/>
      <c r="H418" s="23"/>
      <c r="I418" s="23"/>
      <c r="J418" s="23"/>
      <c r="K418" s="10" t="str">
        <f t="shared" si="1"/>
        <v/>
      </c>
      <c r="L418" s="27"/>
      <c r="M418" s="27"/>
      <c r="N418" s="10" t="str">
        <f t="shared" si="141"/>
        <v/>
      </c>
      <c r="O418" s="17"/>
      <c r="P418" s="29"/>
    </row>
    <row r="419" ht="15.75" customHeight="1">
      <c r="A419" s="9" t="str">
        <f>IFERROR(__xludf.DUMMYFUNCTION("IF(B419="""","""",RIGHT(regexreplace(B419&amp;"""",""[^0-9]"",""""),9))"),"")</f>
        <v/>
      </c>
      <c r="B419" s="5"/>
      <c r="C419" s="5"/>
      <c r="D419" s="5"/>
      <c r="E419" s="23"/>
      <c r="F419" s="23"/>
      <c r="G419" s="23"/>
      <c r="H419" s="23"/>
      <c r="I419" s="23"/>
      <c r="J419" s="23"/>
      <c r="K419" s="10" t="str">
        <f t="shared" si="1"/>
        <v/>
      </c>
      <c r="L419" s="27"/>
      <c r="M419" s="27"/>
      <c r="N419" s="10" t="str">
        <f t="array" ref="N419">IF(COUNTIF($A$2:A418,A)&gt;0,INDEX($C$2:C418,MATCH(A419,$A$2:A418,0)),"")</f>
        <v/>
      </c>
      <c r="O419" s="17"/>
      <c r="P419" s="29"/>
    </row>
    <row r="420" ht="15.75" customHeight="1">
      <c r="A420" s="9" t="str">
        <f>IFERROR(__xludf.DUMMYFUNCTION("IF(B420="""","""",RIGHT(regexreplace(B420&amp;"""",""[^0-9]"",""""),9))"),"")</f>
        <v/>
      </c>
      <c r="B420" s="5"/>
      <c r="C420" s="5"/>
      <c r="D420" s="5"/>
      <c r="E420" s="23"/>
      <c r="F420" s="23"/>
      <c r="G420" s="23"/>
      <c r="H420" s="23"/>
      <c r="I420" s="23"/>
      <c r="J420" s="23"/>
      <c r="K420" s="10" t="str">
        <f t="shared" si="1"/>
        <v/>
      </c>
      <c r="L420" s="27"/>
      <c r="M420" s="27"/>
      <c r="N420" s="10" t="str">
        <f t="shared" ref="N420:N421" si="142">IF(COUNTIF($A$2:A419,A420)&gt;0,INDEX($C$2:C419,MATCH(A420,$A$2:A419,0)),"")</f>
        <v/>
      </c>
      <c r="O420" s="17"/>
      <c r="P420" s="29"/>
    </row>
    <row r="421" ht="15.75" customHeight="1">
      <c r="A421" s="9" t="str">
        <f>IFERROR(__xludf.DUMMYFUNCTION("IF(B421="""","""",RIGHT(regexreplace(B421&amp;"""",""[^0-9]"",""""),9))"),"")</f>
        <v/>
      </c>
      <c r="B421" s="5"/>
      <c r="C421" s="5"/>
      <c r="D421" s="5"/>
      <c r="E421" s="23"/>
      <c r="F421" s="23"/>
      <c r="G421" s="23"/>
      <c r="H421" s="23"/>
      <c r="I421" s="23"/>
      <c r="J421" s="23"/>
      <c r="K421" s="10" t="str">
        <f t="shared" si="1"/>
        <v/>
      </c>
      <c r="L421" s="27"/>
      <c r="M421" s="27"/>
      <c r="N421" s="10" t="str">
        <f t="shared" si="142"/>
        <v/>
      </c>
      <c r="O421" s="17"/>
      <c r="P421" s="29"/>
    </row>
    <row r="422" ht="15.75" customHeight="1">
      <c r="A422" s="9" t="str">
        <f>IFERROR(__xludf.DUMMYFUNCTION("IF(B422="""","""",RIGHT(regexreplace(B422&amp;"""",""[^0-9]"",""""),9))"),"")</f>
        <v/>
      </c>
      <c r="B422" s="5"/>
      <c r="C422" s="5"/>
      <c r="D422" s="5"/>
      <c r="E422" s="23"/>
      <c r="F422" s="23"/>
      <c r="G422" s="23"/>
      <c r="H422" s="23"/>
      <c r="I422" s="23"/>
      <c r="J422" s="23"/>
      <c r="K422" s="10" t="str">
        <f t="shared" si="1"/>
        <v/>
      </c>
      <c r="L422" s="27"/>
      <c r="M422" s="27"/>
      <c r="N422" s="10" t="str">
        <f t="array" ref="N422">IF(COUNTIF($A$2:A421,A)&gt;0,INDEX($C$2:C421,MATCH(A422,$A$2:A421,0)),"")</f>
        <v/>
      </c>
      <c r="O422" s="17"/>
      <c r="P422" s="29"/>
    </row>
    <row r="423" ht="15.75" customHeight="1">
      <c r="A423" s="9" t="str">
        <f>IFERROR(__xludf.DUMMYFUNCTION("IF(B423="""","""",RIGHT(regexreplace(B423&amp;"""",""[^0-9]"",""""),9))"),"")</f>
        <v/>
      </c>
      <c r="B423" s="5"/>
      <c r="C423" s="5"/>
      <c r="D423" s="5"/>
      <c r="E423" s="23"/>
      <c r="F423" s="23"/>
      <c r="G423" s="23"/>
      <c r="H423" s="23"/>
      <c r="I423" s="23"/>
      <c r="J423" s="23"/>
      <c r="K423" s="10" t="str">
        <f t="shared" si="1"/>
        <v/>
      </c>
      <c r="L423" s="27"/>
      <c r="M423" s="27"/>
      <c r="N423" s="10" t="str">
        <f t="shared" ref="N423:N424" si="143">IF(COUNTIF($A$2:A422,A423)&gt;0,INDEX($C$2:C422,MATCH(A423,$A$2:A422,0)),"")</f>
        <v/>
      </c>
      <c r="O423" s="17"/>
      <c r="P423" s="29"/>
    </row>
    <row r="424" ht="15.75" customHeight="1">
      <c r="A424" s="9" t="str">
        <f>IFERROR(__xludf.DUMMYFUNCTION("IF(B424="""","""",RIGHT(regexreplace(B424&amp;"""",""[^0-9]"",""""),9))"),"")</f>
        <v/>
      </c>
      <c r="B424" s="5"/>
      <c r="C424" s="5"/>
      <c r="D424" s="5"/>
      <c r="E424" s="23"/>
      <c r="F424" s="23"/>
      <c r="G424" s="23"/>
      <c r="H424" s="23"/>
      <c r="I424" s="23"/>
      <c r="J424" s="23"/>
      <c r="K424" s="10" t="str">
        <f t="shared" si="1"/>
        <v/>
      </c>
      <c r="L424" s="27"/>
      <c r="M424" s="27"/>
      <c r="N424" s="10" t="str">
        <f t="shared" si="143"/>
        <v/>
      </c>
      <c r="O424" s="17"/>
      <c r="P424" s="29"/>
    </row>
    <row r="425" ht="15.75" customHeight="1">
      <c r="A425" s="9" t="str">
        <f>IFERROR(__xludf.DUMMYFUNCTION("IF(B425="""","""",RIGHT(regexreplace(B425&amp;"""",""[^0-9]"",""""),9))"),"")</f>
        <v/>
      </c>
      <c r="B425" s="5"/>
      <c r="C425" s="5"/>
      <c r="D425" s="5"/>
      <c r="E425" s="23"/>
      <c r="F425" s="23"/>
      <c r="G425" s="23"/>
      <c r="H425" s="23"/>
      <c r="I425" s="23"/>
      <c r="J425" s="23"/>
      <c r="K425" s="10" t="str">
        <f t="shared" si="1"/>
        <v/>
      </c>
      <c r="L425" s="27"/>
      <c r="M425" s="27"/>
      <c r="N425" s="10" t="str">
        <f t="array" ref="N425">IF(COUNTIF($A$2:A424,A)&gt;0,INDEX($C$2:C424,MATCH(A425,$A$2:A424,0)),"")</f>
        <v/>
      </c>
      <c r="O425" s="17"/>
      <c r="P425" s="29"/>
    </row>
    <row r="426" ht="15.75" customHeight="1">
      <c r="A426" s="9" t="str">
        <f>IFERROR(__xludf.DUMMYFUNCTION("IF(B426="""","""",RIGHT(regexreplace(B426&amp;"""",""[^0-9]"",""""),9))"),"")</f>
        <v/>
      </c>
      <c r="B426" s="5"/>
      <c r="C426" s="5"/>
      <c r="D426" s="5"/>
      <c r="E426" s="23"/>
      <c r="F426" s="23"/>
      <c r="G426" s="23"/>
      <c r="H426" s="23"/>
      <c r="I426" s="23"/>
      <c r="J426" s="23"/>
      <c r="K426" s="10" t="str">
        <f t="shared" si="1"/>
        <v/>
      </c>
      <c r="L426" s="27"/>
      <c r="M426" s="27"/>
      <c r="N426" s="10" t="str">
        <f t="shared" ref="N426:N427" si="144">IF(COUNTIF($A$2:A425,A426)&gt;0,INDEX($C$2:C425,MATCH(A426,$A$2:A425,0)),"")</f>
        <v/>
      </c>
      <c r="O426" s="17"/>
      <c r="P426" s="29"/>
    </row>
    <row r="427" ht="15.75" customHeight="1">
      <c r="A427" s="9" t="str">
        <f>IFERROR(__xludf.DUMMYFUNCTION("IF(B427="""","""",RIGHT(regexreplace(B427&amp;"""",""[^0-9]"",""""),9))"),"")</f>
        <v/>
      </c>
      <c r="B427" s="5"/>
      <c r="C427" s="5"/>
      <c r="D427" s="5"/>
      <c r="E427" s="23"/>
      <c r="F427" s="23"/>
      <c r="G427" s="23"/>
      <c r="H427" s="23"/>
      <c r="I427" s="23"/>
      <c r="J427" s="23"/>
      <c r="K427" s="10" t="str">
        <f t="shared" si="1"/>
        <v/>
      </c>
      <c r="L427" s="27"/>
      <c r="M427" s="27"/>
      <c r="N427" s="10" t="str">
        <f t="shared" si="144"/>
        <v/>
      </c>
      <c r="O427" s="17"/>
      <c r="P427" s="29"/>
    </row>
    <row r="428" ht="15.75" customHeight="1">
      <c r="A428" s="9" t="str">
        <f>IFERROR(__xludf.DUMMYFUNCTION("IF(B428="""","""",RIGHT(regexreplace(B428&amp;"""",""[^0-9]"",""""),9))"),"")</f>
        <v/>
      </c>
      <c r="B428" s="5"/>
      <c r="C428" s="5"/>
      <c r="D428" s="5"/>
      <c r="E428" s="23"/>
      <c r="F428" s="23"/>
      <c r="G428" s="23"/>
      <c r="H428" s="23"/>
      <c r="I428" s="23"/>
      <c r="J428" s="23"/>
      <c r="K428" s="10" t="str">
        <f t="shared" si="1"/>
        <v/>
      </c>
      <c r="L428" s="27"/>
      <c r="M428" s="27"/>
      <c r="N428" s="10" t="str">
        <f t="array" ref="N428">IF(COUNTIF($A$2:A427,A)&gt;0,INDEX($C$2:C427,MATCH(A428,$A$2:A427,0)),"")</f>
        <v/>
      </c>
      <c r="O428" s="17"/>
      <c r="P428" s="29"/>
    </row>
    <row r="429" ht="15.75" customHeight="1">
      <c r="A429" s="9" t="str">
        <f>IFERROR(__xludf.DUMMYFUNCTION("IF(B429="""","""",RIGHT(regexreplace(B429&amp;"""",""[^0-9]"",""""),9))"),"")</f>
        <v/>
      </c>
      <c r="B429" s="5"/>
      <c r="C429" s="5"/>
      <c r="D429" s="5"/>
      <c r="E429" s="23"/>
      <c r="F429" s="23"/>
      <c r="G429" s="23"/>
      <c r="H429" s="23"/>
      <c r="I429" s="23"/>
      <c r="J429" s="23"/>
      <c r="K429" s="10" t="str">
        <f t="shared" si="1"/>
        <v/>
      </c>
      <c r="L429" s="27"/>
      <c r="M429" s="27"/>
      <c r="N429" s="10" t="str">
        <f t="shared" ref="N429:N430" si="145">IF(COUNTIF($A$2:A428,A429)&gt;0,INDEX($C$2:C428,MATCH(A429,$A$2:A428,0)),"")</f>
        <v/>
      </c>
      <c r="O429" s="17"/>
      <c r="P429" s="29"/>
    </row>
    <row r="430" ht="15.75" customHeight="1">
      <c r="A430" s="9" t="str">
        <f>IFERROR(__xludf.DUMMYFUNCTION("IF(B430="""","""",RIGHT(regexreplace(B430&amp;"""",""[^0-9]"",""""),9))"),"")</f>
        <v/>
      </c>
      <c r="B430" s="5"/>
      <c r="C430" s="5"/>
      <c r="D430" s="5"/>
      <c r="E430" s="23"/>
      <c r="F430" s="23"/>
      <c r="G430" s="23"/>
      <c r="H430" s="23"/>
      <c r="I430" s="23"/>
      <c r="J430" s="23"/>
      <c r="K430" s="10" t="str">
        <f t="shared" si="1"/>
        <v/>
      </c>
      <c r="L430" s="27"/>
      <c r="M430" s="27"/>
      <c r="N430" s="10" t="str">
        <f t="shared" si="145"/>
        <v/>
      </c>
      <c r="O430" s="17"/>
      <c r="P430" s="29"/>
    </row>
    <row r="431" ht="15.75" customHeight="1">
      <c r="A431" s="9" t="str">
        <f>IFERROR(__xludf.DUMMYFUNCTION("IF(B431="""","""",RIGHT(regexreplace(B431&amp;"""",""[^0-9]"",""""),9))"),"")</f>
        <v/>
      </c>
      <c r="B431" s="5"/>
      <c r="C431" s="5"/>
      <c r="D431" s="5"/>
      <c r="E431" s="23"/>
      <c r="F431" s="23"/>
      <c r="G431" s="23"/>
      <c r="H431" s="23"/>
      <c r="I431" s="23"/>
      <c r="J431" s="23"/>
      <c r="K431" s="10" t="str">
        <f t="shared" si="1"/>
        <v/>
      </c>
      <c r="L431" s="27"/>
      <c r="M431" s="27"/>
      <c r="N431" s="10" t="str">
        <f t="array" ref="N431">IF(COUNTIF($A$2:A430,A)&gt;0,INDEX($C$2:C430,MATCH(A431,$A$2:A430,0)),"")</f>
        <v/>
      </c>
      <c r="O431" s="17"/>
      <c r="P431" s="29"/>
    </row>
    <row r="432" ht="15.75" customHeight="1">
      <c r="A432" s="9" t="str">
        <f>IFERROR(__xludf.DUMMYFUNCTION("IF(B432="""","""",RIGHT(regexreplace(B432&amp;"""",""[^0-9]"",""""),9))"),"")</f>
        <v/>
      </c>
      <c r="B432" s="5"/>
      <c r="C432" s="5"/>
      <c r="D432" s="5"/>
      <c r="E432" s="23"/>
      <c r="F432" s="23"/>
      <c r="G432" s="23"/>
      <c r="H432" s="23"/>
      <c r="I432" s="23"/>
      <c r="J432" s="23"/>
      <c r="K432" s="10" t="str">
        <f t="shared" si="1"/>
        <v/>
      </c>
      <c r="L432" s="27"/>
      <c r="M432" s="27"/>
      <c r="N432" s="10" t="str">
        <f t="shared" ref="N432:N433" si="146">IF(COUNTIF($A$2:A431,A432)&gt;0,INDEX($C$2:C431,MATCH(A432,$A$2:A431,0)),"")</f>
        <v/>
      </c>
      <c r="O432" s="17"/>
      <c r="P432" s="29"/>
    </row>
    <row r="433" ht="15.75" customHeight="1">
      <c r="A433" s="9" t="str">
        <f>IFERROR(__xludf.DUMMYFUNCTION("IF(B433="""","""",RIGHT(regexreplace(B433&amp;"""",""[^0-9]"",""""),9))"),"")</f>
        <v/>
      </c>
      <c r="B433" s="5"/>
      <c r="C433" s="5"/>
      <c r="D433" s="5"/>
      <c r="E433" s="23"/>
      <c r="F433" s="23"/>
      <c r="G433" s="23"/>
      <c r="H433" s="23"/>
      <c r="I433" s="23"/>
      <c r="J433" s="23"/>
      <c r="K433" s="10" t="str">
        <f t="shared" si="1"/>
        <v/>
      </c>
      <c r="L433" s="27"/>
      <c r="M433" s="27"/>
      <c r="N433" s="10" t="str">
        <f t="shared" si="146"/>
        <v/>
      </c>
      <c r="O433" s="17"/>
      <c r="P433" s="29"/>
    </row>
    <row r="434" ht="15.75" customHeight="1">
      <c r="A434" s="9" t="str">
        <f>IFERROR(__xludf.DUMMYFUNCTION("IF(B434="""","""",RIGHT(regexreplace(B434&amp;"""",""[^0-9]"",""""),9))"),"")</f>
        <v/>
      </c>
      <c r="B434" s="5"/>
      <c r="C434" s="5"/>
      <c r="D434" s="5"/>
      <c r="E434" s="23"/>
      <c r="F434" s="23"/>
      <c r="G434" s="23"/>
      <c r="H434" s="23"/>
      <c r="I434" s="23"/>
      <c r="J434" s="23"/>
      <c r="K434" s="10" t="str">
        <f t="shared" si="1"/>
        <v/>
      </c>
      <c r="L434" s="27"/>
      <c r="M434" s="27"/>
      <c r="N434" s="10" t="str">
        <f t="array" ref="N434">IF(COUNTIF($A$2:A433,A)&gt;0,INDEX($C$2:C433,MATCH(A434,$A$2:A433,0)),"")</f>
        <v/>
      </c>
      <c r="O434" s="17"/>
      <c r="P434" s="29"/>
    </row>
    <row r="435" ht="15.75" customHeight="1">
      <c r="A435" s="9" t="str">
        <f>IFERROR(__xludf.DUMMYFUNCTION("IF(B435="""","""",RIGHT(regexreplace(B435&amp;"""",""[^0-9]"",""""),9))"),"")</f>
        <v/>
      </c>
      <c r="B435" s="5"/>
      <c r="C435" s="5"/>
      <c r="D435" s="5"/>
      <c r="E435" s="23"/>
      <c r="F435" s="23"/>
      <c r="G435" s="23"/>
      <c r="H435" s="23"/>
      <c r="I435" s="23"/>
      <c r="J435" s="23"/>
      <c r="K435" s="10" t="str">
        <f t="shared" si="1"/>
        <v/>
      </c>
      <c r="L435" s="27"/>
      <c r="M435" s="27"/>
      <c r="N435" s="10" t="str">
        <f t="shared" ref="N435:N436" si="147">IF(COUNTIF($A$2:A434,A435)&gt;0,INDEX($C$2:C434,MATCH(A435,$A$2:A434,0)),"")</f>
        <v/>
      </c>
      <c r="O435" s="17"/>
      <c r="P435" s="29"/>
    </row>
    <row r="436" ht="15.75" customHeight="1">
      <c r="A436" s="9" t="str">
        <f>IFERROR(__xludf.DUMMYFUNCTION("IF(B436="""","""",RIGHT(regexreplace(B436&amp;"""",""[^0-9]"",""""),9))"),"")</f>
        <v/>
      </c>
      <c r="B436" s="5"/>
      <c r="C436" s="5"/>
      <c r="D436" s="5"/>
      <c r="E436" s="23"/>
      <c r="F436" s="23"/>
      <c r="G436" s="23"/>
      <c r="H436" s="23"/>
      <c r="I436" s="23"/>
      <c r="J436" s="23"/>
      <c r="K436" s="10" t="str">
        <f t="shared" si="1"/>
        <v/>
      </c>
      <c r="L436" s="27"/>
      <c r="M436" s="27"/>
      <c r="N436" s="10" t="str">
        <f t="shared" si="147"/>
        <v/>
      </c>
      <c r="O436" s="17"/>
      <c r="P436" s="29"/>
    </row>
    <row r="437" ht="15.75" customHeight="1">
      <c r="A437" s="9" t="str">
        <f>IFERROR(__xludf.DUMMYFUNCTION("IF(B437="""","""",RIGHT(regexreplace(B437&amp;"""",""[^0-9]"",""""),9))"),"")</f>
        <v/>
      </c>
      <c r="B437" s="5"/>
      <c r="C437" s="5"/>
      <c r="D437" s="5"/>
      <c r="E437" s="23"/>
      <c r="F437" s="23"/>
      <c r="G437" s="23"/>
      <c r="H437" s="23"/>
      <c r="I437" s="23"/>
      <c r="J437" s="23"/>
      <c r="K437" s="10" t="str">
        <f t="shared" si="1"/>
        <v/>
      </c>
      <c r="L437" s="27"/>
      <c r="M437" s="27"/>
      <c r="N437" s="10" t="str">
        <f t="array" ref="N437">IF(COUNTIF($A$2:A436,A)&gt;0,INDEX($C$2:C436,MATCH(A437,$A$2:A436,0)),"")</f>
        <v/>
      </c>
      <c r="O437" s="17"/>
      <c r="P437" s="29"/>
    </row>
    <row r="438" ht="15.75" customHeight="1">
      <c r="A438" s="9" t="str">
        <f>IFERROR(__xludf.DUMMYFUNCTION("IF(B438="""","""",RIGHT(regexreplace(B438&amp;"""",""[^0-9]"",""""),9))"),"")</f>
        <v/>
      </c>
      <c r="B438" s="5"/>
      <c r="C438" s="5"/>
      <c r="D438" s="5"/>
      <c r="E438" s="23"/>
      <c r="F438" s="23"/>
      <c r="G438" s="23"/>
      <c r="H438" s="23"/>
      <c r="I438" s="23"/>
      <c r="J438" s="23"/>
      <c r="K438" s="10" t="str">
        <f t="shared" si="1"/>
        <v/>
      </c>
      <c r="L438" s="27"/>
      <c r="M438" s="27"/>
      <c r="N438" s="10" t="str">
        <f t="shared" ref="N438:N439" si="148">IF(COUNTIF($A$2:A437,A438)&gt;0,INDEX($C$2:C437,MATCH(A438,$A$2:A437,0)),"")</f>
        <v/>
      </c>
      <c r="O438" s="17"/>
      <c r="P438" s="29"/>
    </row>
    <row r="439" ht="15.75" customHeight="1">
      <c r="A439" s="9" t="str">
        <f>IFERROR(__xludf.DUMMYFUNCTION("IF(B439="""","""",RIGHT(regexreplace(B439&amp;"""",""[^0-9]"",""""),9))"),"")</f>
        <v/>
      </c>
      <c r="B439" s="5"/>
      <c r="C439" s="5"/>
      <c r="D439" s="5"/>
      <c r="E439" s="23"/>
      <c r="F439" s="23"/>
      <c r="G439" s="23"/>
      <c r="H439" s="23"/>
      <c r="I439" s="23"/>
      <c r="J439" s="23"/>
      <c r="K439" s="10" t="str">
        <f t="shared" si="1"/>
        <v/>
      </c>
      <c r="L439" s="27"/>
      <c r="M439" s="27"/>
      <c r="N439" s="10" t="str">
        <f t="shared" si="148"/>
        <v/>
      </c>
      <c r="O439" s="17"/>
      <c r="P439" s="29"/>
    </row>
    <row r="440" ht="15.75" customHeight="1">
      <c r="A440" s="9" t="str">
        <f>IFERROR(__xludf.DUMMYFUNCTION("IF(B440="""","""",RIGHT(regexreplace(B440&amp;"""",""[^0-9]"",""""),9))"),"")</f>
        <v/>
      </c>
      <c r="B440" s="5"/>
      <c r="C440" s="5"/>
      <c r="D440" s="5"/>
      <c r="E440" s="23"/>
      <c r="F440" s="23"/>
      <c r="G440" s="23"/>
      <c r="H440" s="23"/>
      <c r="I440" s="23"/>
      <c r="J440" s="23"/>
      <c r="K440" s="10" t="str">
        <f t="shared" si="1"/>
        <v/>
      </c>
      <c r="L440" s="27"/>
      <c r="M440" s="27"/>
      <c r="N440" s="10" t="str">
        <f t="array" ref="N440">IF(COUNTIF($A$2:A439,A)&gt;0,INDEX($C$2:C439,MATCH(A440,$A$2:A439,0)),"")</f>
        <v/>
      </c>
      <c r="O440" s="17"/>
      <c r="P440" s="29"/>
    </row>
    <row r="441" ht="15.75" customHeight="1">
      <c r="A441" s="9" t="str">
        <f>IFERROR(__xludf.DUMMYFUNCTION("IF(B441="""","""",RIGHT(regexreplace(B441&amp;"""",""[^0-9]"",""""),9))"),"")</f>
        <v/>
      </c>
      <c r="B441" s="5"/>
      <c r="C441" s="5"/>
      <c r="D441" s="5"/>
      <c r="E441" s="23"/>
      <c r="F441" s="23"/>
      <c r="G441" s="23"/>
      <c r="H441" s="23"/>
      <c r="I441" s="23"/>
      <c r="J441" s="23"/>
      <c r="K441" s="10" t="str">
        <f t="shared" si="1"/>
        <v/>
      </c>
      <c r="L441" s="27"/>
      <c r="M441" s="27"/>
      <c r="N441" s="10" t="str">
        <f t="shared" ref="N441:N442" si="149">IF(COUNTIF($A$2:A440,A441)&gt;0,INDEX($C$2:C440,MATCH(A441,$A$2:A440,0)),"")</f>
        <v/>
      </c>
      <c r="O441" s="17"/>
      <c r="P441" s="29"/>
    </row>
    <row r="442" ht="15.75" customHeight="1">
      <c r="A442" s="9" t="str">
        <f>IFERROR(__xludf.DUMMYFUNCTION("IF(B442="""","""",RIGHT(regexreplace(B442&amp;"""",""[^0-9]"",""""),9))"),"")</f>
        <v/>
      </c>
      <c r="B442" s="5"/>
      <c r="C442" s="5"/>
      <c r="D442" s="5"/>
      <c r="E442" s="23"/>
      <c r="F442" s="23"/>
      <c r="G442" s="23"/>
      <c r="H442" s="23"/>
      <c r="I442" s="23"/>
      <c r="J442" s="23"/>
      <c r="K442" s="10" t="str">
        <f t="shared" si="1"/>
        <v/>
      </c>
      <c r="L442" s="27"/>
      <c r="M442" s="27"/>
      <c r="N442" s="10" t="str">
        <f t="shared" si="149"/>
        <v/>
      </c>
      <c r="O442" s="17"/>
      <c r="P442" s="29"/>
    </row>
    <row r="443" ht="15.75" customHeight="1">
      <c r="A443" s="9" t="str">
        <f>IFERROR(__xludf.DUMMYFUNCTION("IF(B443="""","""",RIGHT(regexreplace(B443&amp;"""",""[^0-9]"",""""),9))"),"")</f>
        <v/>
      </c>
      <c r="B443" s="5"/>
      <c r="C443" s="5"/>
      <c r="D443" s="5"/>
      <c r="E443" s="23"/>
      <c r="F443" s="23"/>
      <c r="G443" s="23"/>
      <c r="H443" s="23"/>
      <c r="I443" s="23"/>
      <c r="J443" s="23"/>
      <c r="K443" s="10" t="str">
        <f t="shared" si="1"/>
        <v/>
      </c>
      <c r="L443" s="27"/>
      <c r="M443" s="27"/>
      <c r="N443" s="10" t="str">
        <f t="array" ref="N443">IF(COUNTIF($A$2:A442,A)&gt;0,INDEX($C$2:C442,MATCH(A443,$A$2:A442,0)),"")</f>
        <v/>
      </c>
      <c r="O443" s="17"/>
      <c r="P443" s="29"/>
    </row>
    <row r="444" ht="15.75" customHeight="1">
      <c r="A444" s="9" t="str">
        <f>IFERROR(__xludf.DUMMYFUNCTION("IF(B444="""","""",RIGHT(regexreplace(B444&amp;"""",""[^0-9]"",""""),9))"),"")</f>
        <v/>
      </c>
      <c r="B444" s="5"/>
      <c r="C444" s="5"/>
      <c r="D444" s="5"/>
      <c r="E444" s="23"/>
      <c r="F444" s="23"/>
      <c r="G444" s="23"/>
      <c r="H444" s="23"/>
      <c r="I444" s="23"/>
      <c r="J444" s="23"/>
      <c r="K444" s="10" t="str">
        <f t="shared" si="1"/>
        <v/>
      </c>
      <c r="L444" s="27"/>
      <c r="M444" s="27"/>
      <c r="N444" s="10" t="str">
        <f t="shared" ref="N444:N445" si="150">IF(COUNTIF($A$2:A443,A444)&gt;0,INDEX($C$2:C443,MATCH(A444,$A$2:A443,0)),"")</f>
        <v/>
      </c>
      <c r="O444" s="17"/>
      <c r="P444" s="29"/>
    </row>
    <row r="445" ht="15.75" customHeight="1">
      <c r="A445" s="9" t="str">
        <f>IFERROR(__xludf.DUMMYFUNCTION("IF(B445="""","""",RIGHT(regexreplace(B445&amp;"""",""[^0-9]"",""""),9))"),"")</f>
        <v/>
      </c>
      <c r="B445" s="5"/>
      <c r="C445" s="5"/>
      <c r="D445" s="5"/>
      <c r="E445" s="23"/>
      <c r="F445" s="23"/>
      <c r="G445" s="23"/>
      <c r="H445" s="23"/>
      <c r="I445" s="23"/>
      <c r="J445" s="23"/>
      <c r="K445" s="10" t="str">
        <f t="shared" si="1"/>
        <v/>
      </c>
      <c r="L445" s="27"/>
      <c r="M445" s="27"/>
      <c r="N445" s="10" t="str">
        <f t="shared" si="150"/>
        <v/>
      </c>
      <c r="O445" s="17"/>
      <c r="P445" s="29"/>
    </row>
    <row r="446" ht="15.75" customHeight="1">
      <c r="A446" s="9" t="str">
        <f>IFERROR(__xludf.DUMMYFUNCTION("IF(B446="""","""",RIGHT(regexreplace(B446&amp;"""",""[^0-9]"",""""),9))"),"")</f>
        <v/>
      </c>
      <c r="B446" s="5"/>
      <c r="C446" s="5"/>
      <c r="D446" s="5"/>
      <c r="E446" s="23"/>
      <c r="F446" s="23"/>
      <c r="G446" s="23"/>
      <c r="H446" s="23"/>
      <c r="I446" s="23"/>
      <c r="J446" s="23"/>
      <c r="K446" s="10" t="str">
        <f t="shared" si="1"/>
        <v/>
      </c>
      <c r="L446" s="27"/>
      <c r="M446" s="27"/>
      <c r="N446" s="10" t="str">
        <f t="array" ref="N446">IF(COUNTIF($A$2:A445,A)&gt;0,INDEX($C$2:C445,MATCH(A446,$A$2:A445,0)),"")</f>
        <v/>
      </c>
      <c r="O446" s="17"/>
      <c r="P446" s="29"/>
    </row>
    <row r="447" ht="15.75" customHeight="1">
      <c r="A447" s="9" t="str">
        <f>IFERROR(__xludf.DUMMYFUNCTION("IF(B447="""","""",RIGHT(regexreplace(B447&amp;"""",""[^0-9]"",""""),9))"),"")</f>
        <v/>
      </c>
      <c r="B447" s="5"/>
      <c r="C447" s="5"/>
      <c r="D447" s="5"/>
      <c r="E447" s="23"/>
      <c r="F447" s="23"/>
      <c r="G447" s="23"/>
      <c r="H447" s="23"/>
      <c r="I447" s="23"/>
      <c r="J447" s="23"/>
      <c r="K447" s="10" t="str">
        <f t="shared" si="1"/>
        <v/>
      </c>
      <c r="L447" s="27"/>
      <c r="M447" s="27"/>
      <c r="N447" s="10" t="str">
        <f t="shared" ref="N447:N448" si="151">IF(COUNTIF($A$2:A446,A447)&gt;0,INDEX($C$2:C446,MATCH(A447,$A$2:A446,0)),"")</f>
        <v/>
      </c>
      <c r="O447" s="17"/>
      <c r="P447" s="29"/>
    </row>
    <row r="448" ht="15.75" customHeight="1">
      <c r="A448" s="9" t="str">
        <f>IFERROR(__xludf.DUMMYFUNCTION("IF(B448="""","""",RIGHT(regexreplace(B448&amp;"""",""[^0-9]"",""""),9))"),"")</f>
        <v/>
      </c>
      <c r="B448" s="5"/>
      <c r="C448" s="5"/>
      <c r="D448" s="5"/>
      <c r="E448" s="23"/>
      <c r="F448" s="23"/>
      <c r="G448" s="23"/>
      <c r="H448" s="23"/>
      <c r="I448" s="23"/>
      <c r="J448" s="23"/>
      <c r="K448" s="10" t="str">
        <f t="shared" si="1"/>
        <v/>
      </c>
      <c r="L448" s="27"/>
      <c r="M448" s="27"/>
      <c r="N448" s="10" t="str">
        <f t="shared" si="151"/>
        <v/>
      </c>
      <c r="O448" s="17"/>
      <c r="P448" s="29"/>
    </row>
    <row r="449" ht="15.75" customHeight="1">
      <c r="A449" s="9" t="str">
        <f>IFERROR(__xludf.DUMMYFUNCTION("IF(B449="""","""",RIGHT(regexreplace(B449&amp;"""",""[^0-9]"",""""),9))"),"")</f>
        <v/>
      </c>
      <c r="B449" s="5"/>
      <c r="C449" s="5"/>
      <c r="D449" s="5"/>
      <c r="E449" s="23"/>
      <c r="F449" s="23"/>
      <c r="G449" s="23"/>
      <c r="H449" s="23"/>
      <c r="I449" s="23"/>
      <c r="J449" s="23"/>
      <c r="K449" s="10" t="str">
        <f t="shared" si="1"/>
        <v/>
      </c>
      <c r="L449" s="27"/>
      <c r="M449" s="27"/>
      <c r="N449" s="10" t="str">
        <f t="array" ref="N449">IF(COUNTIF($A$2:A448,A)&gt;0,INDEX($C$2:C448,MATCH(A449,$A$2:A448,0)),"")</f>
        <v/>
      </c>
      <c r="O449" s="17"/>
      <c r="P449" s="29"/>
    </row>
    <row r="450" ht="15.75" customHeight="1">
      <c r="A450" s="9" t="str">
        <f>IFERROR(__xludf.DUMMYFUNCTION("IF(B450="""","""",RIGHT(regexreplace(B450&amp;"""",""[^0-9]"",""""),9))"),"")</f>
        <v/>
      </c>
      <c r="B450" s="5"/>
      <c r="C450" s="5"/>
      <c r="D450" s="5"/>
      <c r="E450" s="23"/>
      <c r="F450" s="23"/>
      <c r="G450" s="23"/>
      <c r="H450" s="23"/>
      <c r="I450" s="23"/>
      <c r="J450" s="23"/>
      <c r="K450" s="10" t="str">
        <f t="shared" si="1"/>
        <v/>
      </c>
      <c r="L450" s="27"/>
      <c r="M450" s="27"/>
      <c r="N450" s="10" t="str">
        <f t="shared" ref="N450:N451" si="152">IF(COUNTIF($A$2:A449,A450)&gt;0,INDEX($C$2:C449,MATCH(A450,$A$2:A449,0)),"")</f>
        <v/>
      </c>
      <c r="O450" s="17"/>
      <c r="P450" s="29"/>
    </row>
    <row r="451" ht="15.75" customHeight="1">
      <c r="A451" s="9" t="str">
        <f>IFERROR(__xludf.DUMMYFUNCTION("IF(B451="""","""",RIGHT(regexreplace(B451&amp;"""",""[^0-9]"",""""),9))"),"")</f>
        <v/>
      </c>
      <c r="B451" s="5"/>
      <c r="C451" s="5"/>
      <c r="D451" s="5"/>
      <c r="E451" s="23"/>
      <c r="F451" s="23"/>
      <c r="G451" s="23"/>
      <c r="H451" s="23"/>
      <c r="I451" s="23"/>
      <c r="J451" s="23"/>
      <c r="K451" s="10" t="str">
        <f t="shared" si="1"/>
        <v/>
      </c>
      <c r="L451" s="27"/>
      <c r="M451" s="27"/>
      <c r="N451" s="10" t="str">
        <f t="shared" si="152"/>
        <v/>
      </c>
      <c r="O451" s="17"/>
      <c r="P451" s="29"/>
    </row>
    <row r="452" ht="15.75" customHeight="1">
      <c r="A452" s="9" t="str">
        <f>IFERROR(__xludf.DUMMYFUNCTION("IF(B452="""","""",RIGHT(regexreplace(B452&amp;"""",""[^0-9]"",""""),9))"),"")</f>
        <v/>
      </c>
      <c r="B452" s="5"/>
      <c r="C452" s="5"/>
      <c r="D452" s="5"/>
      <c r="E452" s="23"/>
      <c r="F452" s="23"/>
      <c r="G452" s="23"/>
      <c r="H452" s="23"/>
      <c r="I452" s="23"/>
      <c r="J452" s="23"/>
      <c r="K452" s="10" t="str">
        <f t="shared" si="1"/>
        <v/>
      </c>
      <c r="L452" s="27"/>
      <c r="M452" s="27"/>
      <c r="N452" s="10" t="str">
        <f t="array" ref="N452">IF(COUNTIF($A$2:A451,A)&gt;0,INDEX($C$2:C451,MATCH(A452,$A$2:A451,0)),"")</f>
        <v/>
      </c>
      <c r="O452" s="17"/>
      <c r="P452" s="29"/>
    </row>
    <row r="453" ht="15.75" customHeight="1">
      <c r="A453" s="9" t="str">
        <f>IFERROR(__xludf.DUMMYFUNCTION("IF(B453="""","""",RIGHT(regexreplace(B453&amp;"""",""[^0-9]"",""""),9))"),"")</f>
        <v/>
      </c>
      <c r="B453" s="5"/>
      <c r="C453" s="5"/>
      <c r="D453" s="5"/>
      <c r="E453" s="23"/>
      <c r="F453" s="23"/>
      <c r="G453" s="23"/>
      <c r="H453" s="23"/>
      <c r="I453" s="23"/>
      <c r="J453" s="23"/>
      <c r="K453" s="10" t="str">
        <f t="shared" si="1"/>
        <v/>
      </c>
      <c r="L453" s="27"/>
      <c r="M453" s="27"/>
      <c r="N453" s="10" t="str">
        <f t="shared" ref="N453:N454" si="153">IF(COUNTIF($A$2:A452,A453)&gt;0,INDEX($C$2:C452,MATCH(A453,$A$2:A452,0)),"")</f>
        <v/>
      </c>
      <c r="O453" s="17"/>
      <c r="P453" s="29"/>
    </row>
    <row r="454" ht="15.75" customHeight="1">
      <c r="A454" s="9" t="str">
        <f>IFERROR(__xludf.DUMMYFUNCTION("IF(B454="""","""",RIGHT(regexreplace(B454&amp;"""",""[^0-9]"",""""),9))"),"")</f>
        <v/>
      </c>
      <c r="B454" s="5"/>
      <c r="C454" s="5"/>
      <c r="D454" s="5"/>
      <c r="E454" s="23"/>
      <c r="F454" s="23"/>
      <c r="G454" s="23"/>
      <c r="H454" s="23"/>
      <c r="I454" s="23"/>
      <c r="J454" s="23"/>
      <c r="K454" s="10" t="str">
        <f t="shared" si="1"/>
        <v/>
      </c>
      <c r="L454" s="27"/>
      <c r="M454" s="27"/>
      <c r="N454" s="10" t="str">
        <f t="shared" si="153"/>
        <v/>
      </c>
      <c r="O454" s="17"/>
      <c r="P454" s="29"/>
    </row>
    <row r="455" ht="15.75" customHeight="1">
      <c r="A455" s="9" t="str">
        <f>IFERROR(__xludf.DUMMYFUNCTION("IF(B455="""","""",RIGHT(regexreplace(B455&amp;"""",""[^0-9]"",""""),9))"),"")</f>
        <v/>
      </c>
      <c r="B455" s="5"/>
      <c r="C455" s="5"/>
      <c r="D455" s="5"/>
      <c r="E455" s="23"/>
      <c r="F455" s="23"/>
      <c r="G455" s="23"/>
      <c r="H455" s="23"/>
      <c r="I455" s="23"/>
      <c r="J455" s="23"/>
      <c r="K455" s="10" t="str">
        <f t="shared" si="1"/>
        <v/>
      </c>
      <c r="L455" s="27"/>
      <c r="M455" s="27"/>
      <c r="N455" s="10" t="str">
        <f t="array" ref="N455">IF(COUNTIF($A$2:A454,A)&gt;0,INDEX($C$2:C454,MATCH(A455,$A$2:A454,0)),"")</f>
        <v/>
      </c>
      <c r="O455" s="17"/>
      <c r="P455" s="29"/>
    </row>
    <row r="456" ht="15.75" customHeight="1">
      <c r="A456" s="9" t="str">
        <f>IFERROR(__xludf.DUMMYFUNCTION("IF(B456="""","""",RIGHT(regexreplace(B456&amp;"""",""[^0-9]"",""""),9))"),"")</f>
        <v/>
      </c>
      <c r="B456" s="5"/>
      <c r="C456" s="5"/>
      <c r="D456" s="5"/>
      <c r="E456" s="23"/>
      <c r="F456" s="23"/>
      <c r="G456" s="23"/>
      <c r="H456" s="23"/>
      <c r="I456" s="23"/>
      <c r="J456" s="23"/>
      <c r="K456" s="10" t="str">
        <f t="shared" si="1"/>
        <v/>
      </c>
      <c r="L456" s="27"/>
      <c r="M456" s="27"/>
      <c r="N456" s="10" t="str">
        <f t="shared" ref="N456:N457" si="154">IF(COUNTIF($A$2:A455,A456)&gt;0,INDEX($C$2:C455,MATCH(A456,$A$2:A455,0)),"")</f>
        <v/>
      </c>
      <c r="O456" s="17"/>
      <c r="P456" s="29"/>
    </row>
    <row r="457" ht="15.75" customHeight="1">
      <c r="A457" s="9" t="str">
        <f>IFERROR(__xludf.DUMMYFUNCTION("IF(B457="""","""",RIGHT(regexreplace(B457&amp;"""",""[^0-9]"",""""),9))"),"")</f>
        <v/>
      </c>
      <c r="B457" s="5"/>
      <c r="C457" s="5"/>
      <c r="D457" s="5"/>
      <c r="E457" s="23"/>
      <c r="F457" s="23"/>
      <c r="G457" s="23"/>
      <c r="H457" s="23"/>
      <c r="I457" s="23"/>
      <c r="J457" s="23"/>
      <c r="K457" s="10" t="str">
        <f t="shared" si="1"/>
        <v/>
      </c>
      <c r="L457" s="27"/>
      <c r="M457" s="27"/>
      <c r="N457" s="10" t="str">
        <f t="shared" si="154"/>
        <v/>
      </c>
      <c r="O457" s="17"/>
      <c r="P457" s="29"/>
    </row>
    <row r="458" ht="15.75" customHeight="1">
      <c r="A458" s="9" t="str">
        <f>IFERROR(__xludf.DUMMYFUNCTION("IF(B458="""","""",RIGHT(regexreplace(B458&amp;"""",""[^0-9]"",""""),9))"),"")</f>
        <v/>
      </c>
      <c r="B458" s="5"/>
      <c r="C458" s="5"/>
      <c r="D458" s="5"/>
      <c r="E458" s="23"/>
      <c r="F458" s="23"/>
      <c r="G458" s="23"/>
      <c r="H458" s="23"/>
      <c r="I458" s="23"/>
      <c r="J458" s="23"/>
      <c r="K458" s="10" t="str">
        <f t="shared" si="1"/>
        <v/>
      </c>
      <c r="L458" s="27"/>
      <c r="M458" s="27"/>
      <c r="N458" s="10" t="str">
        <f t="array" ref="N458">IF(COUNTIF($A$2:A457,A)&gt;0,INDEX($C$2:C457,MATCH(A458,$A$2:A457,0)),"")</f>
        <v/>
      </c>
      <c r="O458" s="17"/>
      <c r="P458" s="29"/>
    </row>
    <row r="459" ht="15.75" customHeight="1">
      <c r="A459" s="9" t="str">
        <f>IFERROR(__xludf.DUMMYFUNCTION("IF(B459="""","""",RIGHT(regexreplace(B459&amp;"""",""[^0-9]"",""""),9))"),"")</f>
        <v/>
      </c>
      <c r="B459" s="5"/>
      <c r="C459" s="5"/>
      <c r="D459" s="5"/>
      <c r="E459" s="23"/>
      <c r="F459" s="23"/>
      <c r="G459" s="23"/>
      <c r="H459" s="23"/>
      <c r="I459" s="23"/>
      <c r="J459" s="23"/>
      <c r="K459" s="10" t="str">
        <f t="shared" si="1"/>
        <v/>
      </c>
      <c r="L459" s="27"/>
      <c r="M459" s="27"/>
      <c r="N459" s="10" t="str">
        <f t="shared" ref="N459:N460" si="155">IF(COUNTIF($A$2:A458,A459)&gt;0,INDEX($C$2:C458,MATCH(A459,$A$2:A458,0)),"")</f>
        <v/>
      </c>
      <c r="O459" s="17"/>
      <c r="P459" s="29"/>
    </row>
    <row r="460" ht="15.75" customHeight="1">
      <c r="A460" s="9" t="str">
        <f>IFERROR(__xludf.DUMMYFUNCTION("IF(B460="""","""",RIGHT(regexreplace(B460&amp;"""",""[^0-9]"",""""),9))"),"")</f>
        <v/>
      </c>
      <c r="B460" s="5"/>
      <c r="C460" s="5"/>
      <c r="D460" s="5"/>
      <c r="E460" s="23"/>
      <c r="F460" s="23"/>
      <c r="G460" s="23"/>
      <c r="H460" s="23"/>
      <c r="I460" s="23"/>
      <c r="J460" s="23"/>
      <c r="K460" s="10" t="str">
        <f t="shared" si="1"/>
        <v/>
      </c>
      <c r="L460" s="27"/>
      <c r="M460" s="27"/>
      <c r="N460" s="10" t="str">
        <f t="shared" si="155"/>
        <v/>
      </c>
      <c r="O460" s="17"/>
      <c r="P460" s="29"/>
    </row>
    <row r="461" ht="15.75" customHeight="1">
      <c r="A461" s="9" t="str">
        <f>IFERROR(__xludf.DUMMYFUNCTION("IF(B461="""","""",RIGHT(regexreplace(B461&amp;"""",""[^0-9]"",""""),9))"),"")</f>
        <v/>
      </c>
      <c r="B461" s="5"/>
      <c r="C461" s="5"/>
      <c r="D461" s="5"/>
      <c r="E461" s="23"/>
      <c r="F461" s="23"/>
      <c r="G461" s="23"/>
      <c r="H461" s="23"/>
      <c r="I461" s="23"/>
      <c r="J461" s="23"/>
      <c r="K461" s="10" t="str">
        <f t="shared" si="1"/>
        <v/>
      </c>
      <c r="L461" s="27"/>
      <c r="M461" s="27"/>
      <c r="N461" s="10" t="str">
        <f t="array" ref="N461">IF(COUNTIF($A$2:A460,A)&gt;0,INDEX($C$2:C460,MATCH(A461,$A$2:A460,0)),"")</f>
        <v/>
      </c>
      <c r="O461" s="17"/>
      <c r="P461" s="29"/>
    </row>
    <row r="462" ht="15.75" customHeight="1">
      <c r="A462" s="9" t="str">
        <f>IFERROR(__xludf.DUMMYFUNCTION("IF(B462="""","""",RIGHT(regexreplace(B462&amp;"""",""[^0-9]"",""""),9))"),"")</f>
        <v/>
      </c>
      <c r="B462" s="5"/>
      <c r="C462" s="5"/>
      <c r="D462" s="5"/>
      <c r="E462" s="23"/>
      <c r="F462" s="23"/>
      <c r="G462" s="23"/>
      <c r="H462" s="23"/>
      <c r="I462" s="23"/>
      <c r="J462" s="23"/>
      <c r="K462" s="10" t="str">
        <f t="shared" si="1"/>
        <v/>
      </c>
      <c r="L462" s="27"/>
      <c r="M462" s="27"/>
      <c r="N462" s="10" t="str">
        <f t="shared" ref="N462:N463" si="156">IF(COUNTIF($A$2:A461,A462)&gt;0,INDEX($C$2:C461,MATCH(A462,$A$2:A461,0)),"")</f>
        <v/>
      </c>
      <c r="O462" s="17"/>
      <c r="P462" s="29"/>
    </row>
    <row r="463" ht="15.75" customHeight="1">
      <c r="A463" s="9" t="str">
        <f>IFERROR(__xludf.DUMMYFUNCTION("IF(B463="""","""",RIGHT(regexreplace(B463&amp;"""",""[^0-9]"",""""),9))"),"")</f>
        <v/>
      </c>
      <c r="B463" s="5"/>
      <c r="C463" s="5"/>
      <c r="D463" s="5"/>
      <c r="E463" s="23"/>
      <c r="F463" s="23"/>
      <c r="G463" s="23"/>
      <c r="H463" s="23"/>
      <c r="I463" s="23"/>
      <c r="J463" s="23"/>
      <c r="K463" s="10" t="str">
        <f t="shared" si="1"/>
        <v/>
      </c>
      <c r="L463" s="27"/>
      <c r="M463" s="27"/>
      <c r="N463" s="10" t="str">
        <f t="shared" si="156"/>
        <v/>
      </c>
      <c r="O463" s="17"/>
      <c r="P463" s="29"/>
    </row>
    <row r="464" ht="15.75" customHeight="1">
      <c r="A464" s="9" t="str">
        <f>IFERROR(__xludf.DUMMYFUNCTION("IF(B464="""","""",RIGHT(regexreplace(B464&amp;"""",""[^0-9]"",""""),9))"),"")</f>
        <v/>
      </c>
      <c r="B464" s="5"/>
      <c r="C464" s="5"/>
      <c r="D464" s="5"/>
      <c r="E464" s="23"/>
      <c r="F464" s="23"/>
      <c r="G464" s="23"/>
      <c r="H464" s="23"/>
      <c r="I464" s="23"/>
      <c r="J464" s="23"/>
      <c r="K464" s="10" t="str">
        <f t="shared" si="1"/>
        <v/>
      </c>
      <c r="L464" s="27"/>
      <c r="M464" s="27"/>
      <c r="N464" s="10" t="str">
        <f t="array" ref="N464">IF(COUNTIF($A$2:A463,A)&gt;0,INDEX($C$2:C463,MATCH(A464,$A$2:A463,0)),"")</f>
        <v/>
      </c>
      <c r="O464" s="17"/>
      <c r="P464" s="29"/>
    </row>
    <row r="465" ht="15.75" customHeight="1">
      <c r="A465" s="9" t="str">
        <f>IFERROR(__xludf.DUMMYFUNCTION("IF(B465="""","""",RIGHT(regexreplace(B465&amp;"""",""[^0-9]"",""""),9))"),"")</f>
        <v/>
      </c>
      <c r="B465" s="5"/>
      <c r="C465" s="5"/>
      <c r="D465" s="5"/>
      <c r="E465" s="23"/>
      <c r="F465" s="23"/>
      <c r="G465" s="23"/>
      <c r="H465" s="23"/>
      <c r="I465" s="23"/>
      <c r="J465" s="23"/>
      <c r="K465" s="10" t="str">
        <f t="shared" si="1"/>
        <v/>
      </c>
      <c r="L465" s="27"/>
      <c r="M465" s="27"/>
      <c r="N465" s="10" t="str">
        <f t="shared" ref="N465:N466" si="157">IF(COUNTIF($A$2:A464,A465)&gt;0,INDEX($C$2:C464,MATCH(A465,$A$2:A464,0)),"")</f>
        <v/>
      </c>
      <c r="O465" s="17"/>
      <c r="P465" s="29"/>
    </row>
    <row r="466" ht="15.75" customHeight="1">
      <c r="A466" s="9" t="str">
        <f>IFERROR(__xludf.DUMMYFUNCTION("IF(B466="""","""",RIGHT(regexreplace(B466&amp;"""",""[^0-9]"",""""),9))"),"")</f>
        <v/>
      </c>
      <c r="B466" s="5"/>
      <c r="C466" s="5"/>
      <c r="D466" s="5"/>
      <c r="E466" s="23"/>
      <c r="F466" s="23"/>
      <c r="G466" s="23"/>
      <c r="H466" s="23"/>
      <c r="I466" s="23"/>
      <c r="J466" s="23"/>
      <c r="K466" s="10" t="str">
        <f t="shared" si="1"/>
        <v/>
      </c>
      <c r="L466" s="27"/>
      <c r="M466" s="27"/>
      <c r="N466" s="10" t="str">
        <f t="shared" si="157"/>
        <v/>
      </c>
      <c r="O466" s="17"/>
      <c r="P466" s="29"/>
    </row>
    <row r="467" ht="15.75" customHeight="1">
      <c r="A467" s="9" t="str">
        <f>IFERROR(__xludf.DUMMYFUNCTION("IF(B467="""","""",RIGHT(regexreplace(B467&amp;"""",""[^0-9]"",""""),9))"),"")</f>
        <v/>
      </c>
      <c r="B467" s="5"/>
      <c r="C467" s="5"/>
      <c r="D467" s="5"/>
      <c r="E467" s="23"/>
      <c r="F467" s="23"/>
      <c r="G467" s="23"/>
      <c r="H467" s="23"/>
      <c r="I467" s="23"/>
      <c r="J467" s="23"/>
      <c r="K467" s="10" t="str">
        <f t="shared" si="1"/>
        <v/>
      </c>
      <c r="L467" s="27"/>
      <c r="M467" s="27"/>
      <c r="N467" s="10" t="str">
        <f t="array" ref="N467">IF(COUNTIF($A$2:A466,A)&gt;0,INDEX($C$2:C466,MATCH(A467,$A$2:A466,0)),"")</f>
        <v/>
      </c>
      <c r="O467" s="17"/>
      <c r="P467" s="29"/>
    </row>
    <row r="468" ht="15.75" customHeight="1">
      <c r="A468" s="9" t="str">
        <f>IFERROR(__xludf.DUMMYFUNCTION("IF(B468="""","""",RIGHT(regexreplace(B468&amp;"""",""[^0-9]"",""""),9))"),"")</f>
        <v/>
      </c>
      <c r="B468" s="5"/>
      <c r="C468" s="5"/>
      <c r="D468" s="5"/>
      <c r="E468" s="23"/>
      <c r="F468" s="23"/>
      <c r="G468" s="23"/>
      <c r="H468" s="23"/>
      <c r="I468" s="23"/>
      <c r="J468" s="23"/>
      <c r="K468" s="10" t="str">
        <f t="shared" si="1"/>
        <v/>
      </c>
      <c r="L468" s="27"/>
      <c r="M468" s="27"/>
      <c r="N468" s="10" t="str">
        <f t="shared" ref="N468:N469" si="158">IF(COUNTIF($A$2:A467,A468)&gt;0,INDEX($C$2:C467,MATCH(A468,$A$2:A467,0)),"")</f>
        <v/>
      </c>
      <c r="O468" s="17"/>
      <c r="P468" s="29"/>
    </row>
    <row r="469" ht="15.75" customHeight="1">
      <c r="A469" s="9" t="str">
        <f>IFERROR(__xludf.DUMMYFUNCTION("IF(B469="""","""",RIGHT(regexreplace(B469&amp;"""",""[^0-9]"",""""),9))"),"")</f>
        <v/>
      </c>
      <c r="B469" s="5"/>
      <c r="C469" s="5"/>
      <c r="D469" s="5"/>
      <c r="E469" s="23"/>
      <c r="F469" s="23"/>
      <c r="G469" s="23"/>
      <c r="H469" s="23"/>
      <c r="I469" s="23"/>
      <c r="J469" s="23"/>
      <c r="K469" s="10" t="str">
        <f t="shared" si="1"/>
        <v/>
      </c>
      <c r="L469" s="27"/>
      <c r="M469" s="27"/>
      <c r="N469" s="10" t="str">
        <f t="shared" si="158"/>
        <v/>
      </c>
      <c r="O469" s="17"/>
      <c r="P469" s="29"/>
    </row>
    <row r="470" ht="15.75" customHeight="1">
      <c r="A470" s="9" t="str">
        <f>IFERROR(__xludf.DUMMYFUNCTION("IF(B470="""","""",RIGHT(regexreplace(B470&amp;"""",""[^0-9]"",""""),9))"),"")</f>
        <v/>
      </c>
      <c r="B470" s="5"/>
      <c r="C470" s="5"/>
      <c r="D470" s="5"/>
      <c r="E470" s="23"/>
      <c r="F470" s="23"/>
      <c r="G470" s="23"/>
      <c r="H470" s="23"/>
      <c r="I470" s="23"/>
      <c r="J470" s="23"/>
      <c r="K470" s="10" t="str">
        <f t="shared" si="1"/>
        <v/>
      </c>
      <c r="L470" s="27"/>
      <c r="M470" s="27"/>
      <c r="N470" s="10" t="str">
        <f t="array" ref="N470">IF(COUNTIF($A$2:A469,A)&gt;0,INDEX($C$2:C469,MATCH(A470,$A$2:A469,0)),"")</f>
        <v/>
      </c>
      <c r="O470" s="17"/>
      <c r="P470" s="29"/>
    </row>
    <row r="471" ht="15.75" customHeight="1">
      <c r="A471" s="9" t="str">
        <f>IFERROR(__xludf.DUMMYFUNCTION("IF(B471="""","""",RIGHT(regexreplace(B471&amp;"""",""[^0-9]"",""""),9))"),"")</f>
        <v/>
      </c>
      <c r="B471" s="5"/>
      <c r="C471" s="5"/>
      <c r="D471" s="5"/>
      <c r="E471" s="23"/>
      <c r="F471" s="23"/>
      <c r="G471" s="23"/>
      <c r="H471" s="23"/>
      <c r="I471" s="23"/>
      <c r="J471" s="23"/>
      <c r="K471" s="10" t="str">
        <f t="shared" si="1"/>
        <v/>
      </c>
      <c r="L471" s="27"/>
      <c r="M471" s="27"/>
      <c r="N471" s="10" t="str">
        <f t="shared" ref="N471:N472" si="159">IF(COUNTIF($A$2:A470,A471)&gt;0,INDEX($C$2:C470,MATCH(A471,$A$2:A470,0)),"")</f>
        <v/>
      </c>
      <c r="O471" s="17"/>
      <c r="P471" s="29"/>
    </row>
    <row r="472" ht="15.75" customHeight="1">
      <c r="A472" s="9" t="str">
        <f>IFERROR(__xludf.DUMMYFUNCTION("IF(B472="""","""",RIGHT(regexreplace(B472&amp;"""",""[^0-9]"",""""),9))"),"")</f>
        <v/>
      </c>
      <c r="B472" s="5"/>
      <c r="C472" s="5"/>
      <c r="D472" s="5"/>
      <c r="E472" s="23"/>
      <c r="F472" s="23"/>
      <c r="G472" s="23"/>
      <c r="H472" s="23"/>
      <c r="I472" s="23"/>
      <c r="J472" s="23"/>
      <c r="K472" s="10" t="str">
        <f t="shared" si="1"/>
        <v/>
      </c>
      <c r="L472" s="27"/>
      <c r="M472" s="27"/>
      <c r="N472" s="10" t="str">
        <f t="shared" si="159"/>
        <v/>
      </c>
      <c r="O472" s="17"/>
      <c r="P472" s="29"/>
    </row>
    <row r="473" ht="15.75" customHeight="1">
      <c r="A473" s="9" t="str">
        <f>IFERROR(__xludf.DUMMYFUNCTION("IF(B473="""","""",RIGHT(regexreplace(B473&amp;"""",""[^0-9]"",""""),9))"),"")</f>
        <v/>
      </c>
      <c r="B473" s="5"/>
      <c r="C473" s="5"/>
      <c r="D473" s="5"/>
      <c r="E473" s="23"/>
      <c r="F473" s="23"/>
      <c r="G473" s="23"/>
      <c r="H473" s="23"/>
      <c r="I473" s="23"/>
      <c r="J473" s="23"/>
      <c r="K473" s="10" t="str">
        <f t="shared" si="1"/>
        <v/>
      </c>
      <c r="L473" s="27"/>
      <c r="M473" s="27"/>
      <c r="N473" s="10" t="str">
        <f t="array" ref="N473">IF(COUNTIF($A$2:A472,A)&gt;0,INDEX($C$2:C472,MATCH(A473,$A$2:A472,0)),"")</f>
        <v/>
      </c>
      <c r="O473" s="17"/>
      <c r="P473" s="29"/>
    </row>
    <row r="474" ht="15.75" customHeight="1">
      <c r="A474" s="9" t="str">
        <f>IFERROR(__xludf.DUMMYFUNCTION("IF(B474="""","""",RIGHT(regexreplace(B474&amp;"""",""[^0-9]"",""""),9))"),"")</f>
        <v/>
      </c>
      <c r="B474" s="5"/>
      <c r="C474" s="5"/>
      <c r="D474" s="5"/>
      <c r="E474" s="23"/>
      <c r="F474" s="23"/>
      <c r="G474" s="23"/>
      <c r="H474" s="23"/>
      <c r="I474" s="23"/>
      <c r="J474" s="23"/>
      <c r="K474" s="10" t="str">
        <f t="shared" si="1"/>
        <v/>
      </c>
      <c r="L474" s="27"/>
      <c r="M474" s="27"/>
      <c r="N474" s="10" t="str">
        <f t="shared" ref="N474:N475" si="160">IF(COUNTIF($A$2:A473,A474)&gt;0,INDEX($C$2:C473,MATCH(A474,$A$2:A473,0)),"")</f>
        <v/>
      </c>
      <c r="O474" s="17"/>
      <c r="P474" s="29"/>
    </row>
    <row r="475" ht="15.75" customHeight="1">
      <c r="A475" s="9" t="str">
        <f>IFERROR(__xludf.DUMMYFUNCTION("IF(B475="""","""",RIGHT(regexreplace(B475&amp;"""",""[^0-9]"",""""),9))"),"")</f>
        <v/>
      </c>
      <c r="B475" s="5"/>
      <c r="C475" s="5"/>
      <c r="D475" s="5"/>
      <c r="E475" s="23"/>
      <c r="F475" s="23"/>
      <c r="G475" s="23"/>
      <c r="H475" s="23"/>
      <c r="I475" s="23"/>
      <c r="J475" s="23"/>
      <c r="K475" s="10" t="str">
        <f t="shared" si="1"/>
        <v/>
      </c>
      <c r="L475" s="27"/>
      <c r="M475" s="27"/>
      <c r="N475" s="10" t="str">
        <f t="shared" si="160"/>
        <v/>
      </c>
      <c r="O475" s="17"/>
      <c r="P475" s="29"/>
    </row>
    <row r="476" ht="15.75" customHeight="1">
      <c r="A476" s="9" t="str">
        <f>IFERROR(__xludf.DUMMYFUNCTION("IF(B476="""","""",RIGHT(regexreplace(B476&amp;"""",""[^0-9]"",""""),9))"),"")</f>
        <v/>
      </c>
      <c r="B476" s="5"/>
      <c r="C476" s="5"/>
      <c r="D476" s="5"/>
      <c r="E476" s="23"/>
      <c r="F476" s="23"/>
      <c r="G476" s="23"/>
      <c r="H476" s="23"/>
      <c r="I476" s="23"/>
      <c r="J476" s="23"/>
      <c r="K476" s="10" t="str">
        <f t="shared" si="1"/>
        <v/>
      </c>
      <c r="L476" s="27"/>
      <c r="M476" s="27"/>
      <c r="N476" s="10" t="str">
        <f t="array" ref="N476">IF(COUNTIF($A$2:A475,A)&gt;0,INDEX($C$2:C475,MATCH(A476,$A$2:A475,0)),"")</f>
        <v/>
      </c>
      <c r="O476" s="17"/>
      <c r="P476" s="29"/>
    </row>
    <row r="477" ht="15.75" customHeight="1">
      <c r="A477" s="9" t="str">
        <f>IFERROR(__xludf.DUMMYFUNCTION("IF(B477="""","""",RIGHT(regexreplace(B477&amp;"""",""[^0-9]"",""""),9))"),"")</f>
        <v/>
      </c>
      <c r="B477" s="5"/>
      <c r="C477" s="5"/>
      <c r="D477" s="5"/>
      <c r="E477" s="23"/>
      <c r="F477" s="23"/>
      <c r="G477" s="23"/>
      <c r="H477" s="23"/>
      <c r="I477" s="23"/>
      <c r="J477" s="23"/>
      <c r="K477" s="10" t="str">
        <f t="shared" si="1"/>
        <v/>
      </c>
      <c r="L477" s="27"/>
      <c r="M477" s="27"/>
      <c r="N477" s="10" t="str">
        <f t="shared" ref="N477:N478" si="161">IF(COUNTIF($A$2:A476,A477)&gt;0,INDEX($C$2:C476,MATCH(A477,$A$2:A476,0)),"")</f>
        <v/>
      </c>
      <c r="O477" s="17"/>
      <c r="P477" s="29"/>
    </row>
    <row r="478" ht="15.75" customHeight="1">
      <c r="A478" s="9" t="str">
        <f>IFERROR(__xludf.DUMMYFUNCTION("IF(B478="""","""",RIGHT(regexreplace(B478&amp;"""",""[^0-9]"",""""),9))"),"")</f>
        <v/>
      </c>
      <c r="B478" s="5"/>
      <c r="C478" s="5"/>
      <c r="D478" s="5"/>
      <c r="E478" s="23"/>
      <c r="F478" s="23"/>
      <c r="G478" s="23"/>
      <c r="H478" s="23"/>
      <c r="I478" s="23"/>
      <c r="J478" s="23"/>
      <c r="K478" s="10" t="str">
        <f t="shared" si="1"/>
        <v/>
      </c>
      <c r="L478" s="27"/>
      <c r="M478" s="27"/>
      <c r="N478" s="10" t="str">
        <f t="shared" si="161"/>
        <v/>
      </c>
      <c r="O478" s="17"/>
      <c r="P478" s="29"/>
    </row>
    <row r="479" ht="15.75" customHeight="1">
      <c r="A479" s="9" t="str">
        <f>IFERROR(__xludf.DUMMYFUNCTION("IF(B479="""","""",RIGHT(regexreplace(B479&amp;"""",""[^0-9]"",""""),9))"),"")</f>
        <v/>
      </c>
      <c r="B479" s="5"/>
      <c r="C479" s="5"/>
      <c r="D479" s="5"/>
      <c r="E479" s="23"/>
      <c r="F479" s="23"/>
      <c r="G479" s="23"/>
      <c r="H479" s="23"/>
      <c r="I479" s="23"/>
      <c r="J479" s="23"/>
      <c r="K479" s="10" t="str">
        <f t="shared" si="1"/>
        <v/>
      </c>
      <c r="L479" s="27"/>
      <c r="M479" s="27"/>
      <c r="N479" s="10" t="str">
        <f t="array" ref="N479">IF(COUNTIF($A$2:A478,A)&gt;0,INDEX($C$2:C478,MATCH(A479,$A$2:A478,0)),"")</f>
        <v/>
      </c>
      <c r="O479" s="17"/>
      <c r="P479" s="29"/>
    </row>
    <row r="480" ht="15.75" customHeight="1">
      <c r="A480" s="9" t="str">
        <f>IFERROR(__xludf.DUMMYFUNCTION("IF(B480="""","""",RIGHT(regexreplace(B480&amp;"""",""[^0-9]"",""""),9))"),"")</f>
        <v/>
      </c>
      <c r="B480" s="5"/>
      <c r="C480" s="5"/>
      <c r="D480" s="5"/>
      <c r="E480" s="23"/>
      <c r="F480" s="23"/>
      <c r="G480" s="23"/>
      <c r="H480" s="23"/>
      <c r="I480" s="23"/>
      <c r="J480" s="23"/>
      <c r="K480" s="10" t="str">
        <f t="shared" si="1"/>
        <v/>
      </c>
      <c r="L480" s="27"/>
      <c r="M480" s="27"/>
      <c r="N480" s="10" t="str">
        <f t="shared" ref="N480:N481" si="162">IF(COUNTIF($A$2:A479,A480)&gt;0,INDEX($C$2:C479,MATCH(A480,$A$2:A479,0)),"")</f>
        <v/>
      </c>
      <c r="O480" s="17"/>
      <c r="P480" s="29"/>
    </row>
    <row r="481" ht="15.75" customHeight="1">
      <c r="A481" s="9" t="str">
        <f>IFERROR(__xludf.DUMMYFUNCTION("IF(B481="""","""",RIGHT(regexreplace(B481&amp;"""",""[^0-9]"",""""),9))"),"")</f>
        <v/>
      </c>
      <c r="B481" s="5"/>
      <c r="C481" s="5"/>
      <c r="D481" s="5"/>
      <c r="E481" s="23"/>
      <c r="F481" s="23"/>
      <c r="G481" s="23"/>
      <c r="H481" s="23"/>
      <c r="I481" s="23"/>
      <c r="J481" s="23"/>
      <c r="K481" s="10" t="str">
        <f t="shared" si="1"/>
        <v/>
      </c>
      <c r="L481" s="27"/>
      <c r="M481" s="27"/>
      <c r="N481" s="10" t="str">
        <f t="shared" si="162"/>
        <v/>
      </c>
      <c r="O481" s="17"/>
      <c r="P481" s="29"/>
    </row>
    <row r="482" ht="15.75" customHeight="1">
      <c r="A482" s="9" t="str">
        <f>IFERROR(__xludf.DUMMYFUNCTION("IF(B482="""","""",RIGHT(regexreplace(B482&amp;"""",""[^0-9]"",""""),9))"),"")</f>
        <v/>
      </c>
      <c r="B482" s="5"/>
      <c r="C482" s="5"/>
      <c r="D482" s="5"/>
      <c r="E482" s="23"/>
      <c r="F482" s="23"/>
      <c r="G482" s="23"/>
      <c r="H482" s="23"/>
      <c r="I482" s="23"/>
      <c r="J482" s="23"/>
      <c r="K482" s="10" t="str">
        <f t="shared" si="1"/>
        <v/>
      </c>
      <c r="L482" s="27"/>
      <c r="M482" s="27"/>
      <c r="N482" s="10" t="str">
        <f t="array" ref="N482">IF(COUNTIF($A$2:A481,A)&gt;0,INDEX($C$2:C481,MATCH(A482,$A$2:A481,0)),"")</f>
        <v/>
      </c>
      <c r="O482" s="17"/>
      <c r="P482" s="29"/>
    </row>
    <row r="483" ht="15.75" customHeight="1">
      <c r="A483" s="9" t="str">
        <f>IFERROR(__xludf.DUMMYFUNCTION("IF(B483="""","""",RIGHT(regexreplace(B483&amp;"""",""[^0-9]"",""""),9))"),"")</f>
        <v/>
      </c>
      <c r="B483" s="5"/>
      <c r="C483" s="5"/>
      <c r="D483" s="5"/>
      <c r="E483" s="23"/>
      <c r="F483" s="23"/>
      <c r="G483" s="23"/>
      <c r="H483" s="23"/>
      <c r="I483" s="23"/>
      <c r="J483" s="23"/>
      <c r="K483" s="10" t="str">
        <f t="shared" si="1"/>
        <v/>
      </c>
      <c r="L483" s="27"/>
      <c r="M483" s="27"/>
      <c r="N483" s="10" t="str">
        <f t="shared" ref="N483:N484" si="163">IF(COUNTIF($A$2:A482,A483)&gt;0,INDEX($C$2:C482,MATCH(A483,$A$2:A482,0)),"")</f>
        <v/>
      </c>
      <c r="O483" s="17"/>
      <c r="P483" s="29"/>
    </row>
    <row r="484" ht="15.75" customHeight="1">
      <c r="A484" s="9" t="str">
        <f>IFERROR(__xludf.DUMMYFUNCTION("IF(B484="""","""",RIGHT(regexreplace(B484&amp;"""",""[^0-9]"",""""),9))"),"")</f>
        <v/>
      </c>
      <c r="B484" s="5"/>
      <c r="C484" s="5"/>
      <c r="D484" s="5"/>
      <c r="E484" s="23"/>
      <c r="F484" s="23"/>
      <c r="G484" s="23"/>
      <c r="H484" s="23"/>
      <c r="I484" s="23"/>
      <c r="J484" s="23"/>
      <c r="K484" s="10" t="str">
        <f t="shared" si="1"/>
        <v/>
      </c>
      <c r="L484" s="27"/>
      <c r="M484" s="27"/>
      <c r="N484" s="10" t="str">
        <f t="shared" si="163"/>
        <v/>
      </c>
      <c r="O484" s="17"/>
      <c r="P484" s="29"/>
    </row>
    <row r="485" ht="15.75" customHeight="1">
      <c r="A485" s="9" t="str">
        <f>IFERROR(__xludf.DUMMYFUNCTION("IF(B485="""","""",RIGHT(regexreplace(B485&amp;"""",""[^0-9]"",""""),9))"),"")</f>
        <v/>
      </c>
      <c r="B485" s="5"/>
      <c r="C485" s="5"/>
      <c r="D485" s="5"/>
      <c r="E485" s="23"/>
      <c r="F485" s="23"/>
      <c r="G485" s="23"/>
      <c r="H485" s="23"/>
      <c r="I485" s="23"/>
      <c r="J485" s="23"/>
      <c r="K485" s="10" t="str">
        <f t="shared" si="1"/>
        <v/>
      </c>
      <c r="L485" s="27"/>
      <c r="M485" s="27"/>
      <c r="N485" s="10" t="str">
        <f t="array" ref="N485">IF(COUNTIF($A$2:A484,A)&gt;0,INDEX($C$2:C484,MATCH(A485,$A$2:A484,0)),"")</f>
        <v/>
      </c>
      <c r="O485" s="17"/>
      <c r="P485" s="29"/>
    </row>
    <row r="486" ht="15.75" customHeight="1">
      <c r="A486" s="9" t="str">
        <f>IFERROR(__xludf.DUMMYFUNCTION("IF(B486="""","""",RIGHT(regexreplace(B486&amp;"""",""[^0-9]"",""""),9))"),"")</f>
        <v/>
      </c>
      <c r="B486" s="5"/>
      <c r="C486" s="5"/>
      <c r="D486" s="5"/>
      <c r="E486" s="23"/>
      <c r="F486" s="23"/>
      <c r="G486" s="23"/>
      <c r="H486" s="23"/>
      <c r="I486" s="23"/>
      <c r="J486" s="23"/>
      <c r="K486" s="10" t="str">
        <f t="shared" si="1"/>
        <v/>
      </c>
      <c r="L486" s="27"/>
      <c r="M486" s="27"/>
      <c r="N486" s="10" t="str">
        <f t="shared" ref="N486:N487" si="164">IF(COUNTIF($A$2:A485,A486)&gt;0,INDEX($C$2:C485,MATCH(A486,$A$2:A485,0)),"")</f>
        <v/>
      </c>
      <c r="O486" s="17"/>
      <c r="P486" s="29"/>
    </row>
    <row r="487" ht="15.75" customHeight="1">
      <c r="A487" s="9" t="str">
        <f>IFERROR(__xludf.DUMMYFUNCTION("IF(B487="""","""",RIGHT(regexreplace(B487&amp;"""",""[^0-9]"",""""),9))"),"")</f>
        <v/>
      </c>
      <c r="B487" s="5"/>
      <c r="C487" s="5"/>
      <c r="D487" s="5"/>
      <c r="E487" s="23"/>
      <c r="F487" s="23"/>
      <c r="G487" s="23"/>
      <c r="H487" s="23"/>
      <c r="I487" s="23"/>
      <c r="J487" s="23"/>
      <c r="K487" s="10" t="str">
        <f t="shared" si="1"/>
        <v/>
      </c>
      <c r="L487" s="27"/>
      <c r="M487" s="27"/>
      <c r="N487" s="10" t="str">
        <f t="shared" si="164"/>
        <v/>
      </c>
      <c r="O487" s="17"/>
      <c r="P487" s="29"/>
    </row>
    <row r="488" ht="15.75" customHeight="1">
      <c r="A488" s="9" t="str">
        <f>IFERROR(__xludf.DUMMYFUNCTION("IF(B488="""","""",RIGHT(regexreplace(B488&amp;"""",""[^0-9]"",""""),9))"),"")</f>
        <v/>
      </c>
      <c r="B488" s="5"/>
      <c r="C488" s="5"/>
      <c r="D488" s="5"/>
      <c r="E488" s="23"/>
      <c r="F488" s="23"/>
      <c r="G488" s="23"/>
      <c r="H488" s="23"/>
      <c r="I488" s="23"/>
      <c r="J488" s="23"/>
      <c r="K488" s="10" t="str">
        <f t="shared" si="1"/>
        <v/>
      </c>
      <c r="L488" s="27"/>
      <c r="M488" s="27"/>
      <c r="N488" s="10" t="str">
        <f t="array" ref="N488">IF(COUNTIF($A$2:A487,A)&gt;0,INDEX($C$2:C487,MATCH(A488,$A$2:A487,0)),"")</f>
        <v/>
      </c>
      <c r="O488" s="17"/>
      <c r="P488" s="29"/>
    </row>
    <row r="489" ht="15.75" customHeight="1">
      <c r="A489" s="9" t="str">
        <f>IFERROR(__xludf.DUMMYFUNCTION("IF(B489="""","""",RIGHT(regexreplace(B489&amp;"""",""[^0-9]"",""""),9))"),"")</f>
        <v/>
      </c>
      <c r="B489" s="5"/>
      <c r="C489" s="5"/>
      <c r="D489" s="5"/>
      <c r="E489" s="23"/>
      <c r="F489" s="23"/>
      <c r="G489" s="23"/>
      <c r="H489" s="23"/>
      <c r="I489" s="23"/>
      <c r="J489" s="23"/>
      <c r="K489" s="10" t="str">
        <f t="shared" si="1"/>
        <v/>
      </c>
      <c r="L489" s="27"/>
      <c r="M489" s="27"/>
      <c r="N489" s="10" t="str">
        <f t="shared" ref="N489:N490" si="165">IF(COUNTIF($A$2:A488,A489)&gt;0,INDEX($C$2:C488,MATCH(A489,$A$2:A488,0)),"")</f>
        <v/>
      </c>
      <c r="O489" s="17"/>
      <c r="P489" s="29"/>
    </row>
    <row r="490" ht="15.75" customHeight="1">
      <c r="A490" s="9" t="str">
        <f>IFERROR(__xludf.DUMMYFUNCTION("IF(B490="""","""",RIGHT(regexreplace(B490&amp;"""",""[^0-9]"",""""),9))"),"")</f>
        <v/>
      </c>
      <c r="B490" s="5"/>
      <c r="C490" s="5"/>
      <c r="D490" s="5"/>
      <c r="E490" s="23"/>
      <c r="F490" s="23"/>
      <c r="G490" s="23"/>
      <c r="H490" s="23"/>
      <c r="I490" s="23"/>
      <c r="J490" s="23"/>
      <c r="K490" s="10" t="str">
        <f t="shared" si="1"/>
        <v/>
      </c>
      <c r="L490" s="27"/>
      <c r="M490" s="27"/>
      <c r="N490" s="10" t="str">
        <f t="shared" si="165"/>
        <v/>
      </c>
      <c r="O490" s="17"/>
      <c r="P490" s="29"/>
    </row>
    <row r="491" ht="15.75" customHeight="1">
      <c r="A491" s="9" t="str">
        <f>IFERROR(__xludf.DUMMYFUNCTION("IF(B491="""","""",RIGHT(regexreplace(B491&amp;"""",""[^0-9]"",""""),9))"),"")</f>
        <v/>
      </c>
      <c r="B491" s="5"/>
      <c r="C491" s="5"/>
      <c r="D491" s="5"/>
      <c r="E491" s="23"/>
      <c r="F491" s="23"/>
      <c r="G491" s="23"/>
      <c r="H491" s="23"/>
      <c r="I491" s="23"/>
      <c r="J491" s="23"/>
      <c r="K491" s="10" t="str">
        <f t="shared" si="1"/>
        <v/>
      </c>
      <c r="L491" s="27"/>
      <c r="M491" s="27"/>
      <c r="N491" s="10" t="str">
        <f t="array" ref="N491">IF(COUNTIF($A$2:A490,A)&gt;0,INDEX($C$2:C490,MATCH(A491,$A$2:A490,0)),"")</f>
        <v/>
      </c>
      <c r="O491" s="17"/>
      <c r="P491" s="29"/>
    </row>
    <row r="492" ht="15.75" customHeight="1">
      <c r="A492" s="9" t="str">
        <f>IFERROR(__xludf.DUMMYFUNCTION("IF(B492="""","""",RIGHT(regexreplace(B492&amp;"""",""[^0-9]"",""""),9))"),"")</f>
        <v/>
      </c>
      <c r="B492" s="5"/>
      <c r="C492" s="5"/>
      <c r="D492" s="5"/>
      <c r="E492" s="23"/>
      <c r="F492" s="23"/>
      <c r="G492" s="23"/>
      <c r="H492" s="23"/>
      <c r="I492" s="23"/>
      <c r="J492" s="23"/>
      <c r="K492" s="10" t="str">
        <f t="shared" si="1"/>
        <v/>
      </c>
      <c r="L492" s="27"/>
      <c r="M492" s="27"/>
      <c r="N492" s="10" t="str">
        <f t="shared" ref="N492:N493" si="166">IF(COUNTIF($A$2:A491,A492)&gt;0,INDEX($C$2:C491,MATCH(A492,$A$2:A491,0)),"")</f>
        <v/>
      </c>
      <c r="O492" s="17"/>
      <c r="P492" s="29"/>
    </row>
    <row r="493" ht="15.75" customHeight="1">
      <c r="A493" s="9" t="str">
        <f>IFERROR(__xludf.DUMMYFUNCTION("IF(B493="""","""",RIGHT(regexreplace(B493&amp;"""",""[^0-9]"",""""),9))"),"")</f>
        <v/>
      </c>
      <c r="B493" s="5"/>
      <c r="C493" s="5"/>
      <c r="D493" s="5"/>
      <c r="E493" s="23"/>
      <c r="F493" s="23"/>
      <c r="G493" s="23"/>
      <c r="H493" s="23"/>
      <c r="I493" s="23"/>
      <c r="J493" s="23"/>
      <c r="K493" s="10" t="str">
        <f t="shared" si="1"/>
        <v/>
      </c>
      <c r="L493" s="27"/>
      <c r="M493" s="27"/>
      <c r="N493" s="10" t="str">
        <f t="shared" si="166"/>
        <v/>
      </c>
      <c r="O493" s="17"/>
      <c r="P493" s="29"/>
    </row>
    <row r="494" ht="15.75" customHeight="1">
      <c r="A494" s="9" t="str">
        <f>IFERROR(__xludf.DUMMYFUNCTION("IF(B494="""","""",RIGHT(regexreplace(B494&amp;"""",""[^0-9]"",""""),9))"),"")</f>
        <v/>
      </c>
      <c r="B494" s="5"/>
      <c r="C494" s="5"/>
      <c r="D494" s="5"/>
      <c r="E494" s="23"/>
      <c r="F494" s="23"/>
      <c r="G494" s="23"/>
      <c r="H494" s="23"/>
      <c r="I494" s="23"/>
      <c r="J494" s="23"/>
      <c r="K494" s="10" t="str">
        <f t="shared" si="1"/>
        <v/>
      </c>
      <c r="L494" s="27"/>
      <c r="M494" s="27"/>
      <c r="N494" s="10" t="str">
        <f t="array" ref="N494">IF(COUNTIF($A$2:A493,A)&gt;0,INDEX($C$2:C493,MATCH(A494,$A$2:A493,0)),"")</f>
        <v/>
      </c>
      <c r="O494" s="17"/>
      <c r="P494" s="29"/>
    </row>
    <row r="495" ht="15.75" customHeight="1">
      <c r="A495" s="9" t="str">
        <f>IFERROR(__xludf.DUMMYFUNCTION("IF(B495="""","""",RIGHT(regexreplace(B495&amp;"""",""[^0-9]"",""""),9))"),"")</f>
        <v/>
      </c>
      <c r="B495" s="5"/>
      <c r="C495" s="5"/>
      <c r="D495" s="5"/>
      <c r="E495" s="23"/>
      <c r="F495" s="23"/>
      <c r="G495" s="23"/>
      <c r="H495" s="23"/>
      <c r="I495" s="23"/>
      <c r="J495" s="23"/>
      <c r="K495" s="10" t="str">
        <f t="shared" si="1"/>
        <v/>
      </c>
      <c r="L495" s="27"/>
      <c r="M495" s="27"/>
      <c r="N495" s="10" t="str">
        <f t="shared" ref="N495:N496" si="167">IF(COUNTIF($A$2:A494,A495)&gt;0,INDEX($C$2:C494,MATCH(A495,$A$2:A494,0)),"")</f>
        <v/>
      </c>
      <c r="O495" s="17"/>
      <c r="P495" s="29"/>
    </row>
    <row r="496" ht="15.75" customHeight="1">
      <c r="A496" s="9" t="str">
        <f>IFERROR(__xludf.DUMMYFUNCTION("IF(B496="""","""",RIGHT(regexreplace(B496&amp;"""",""[^0-9]"",""""),9))"),"")</f>
        <v/>
      </c>
      <c r="B496" s="5"/>
      <c r="C496" s="5"/>
      <c r="D496" s="5"/>
      <c r="E496" s="23"/>
      <c r="F496" s="23"/>
      <c r="G496" s="23"/>
      <c r="H496" s="23"/>
      <c r="I496" s="23"/>
      <c r="J496" s="23"/>
      <c r="K496" s="10" t="str">
        <f t="shared" si="1"/>
        <v/>
      </c>
      <c r="L496" s="27"/>
      <c r="M496" s="27"/>
      <c r="N496" s="10" t="str">
        <f t="shared" si="167"/>
        <v/>
      </c>
      <c r="O496" s="17"/>
      <c r="P496" s="29"/>
    </row>
    <row r="497" ht="15.75" customHeight="1">
      <c r="A497" s="9" t="str">
        <f>IFERROR(__xludf.DUMMYFUNCTION("IF(B497="""","""",RIGHT(regexreplace(B497&amp;"""",""[^0-9]"",""""),9))"),"")</f>
        <v/>
      </c>
      <c r="B497" s="5"/>
      <c r="C497" s="5"/>
      <c r="D497" s="5"/>
      <c r="E497" s="23"/>
      <c r="F497" s="23"/>
      <c r="G497" s="23"/>
      <c r="H497" s="23"/>
      <c r="I497" s="23"/>
      <c r="J497" s="23"/>
      <c r="K497" s="10" t="str">
        <f t="shared" si="1"/>
        <v/>
      </c>
      <c r="L497" s="27"/>
      <c r="M497" s="27"/>
      <c r="N497" s="10" t="str">
        <f t="array" ref="N497">IF(COUNTIF($A$2:A496,A)&gt;0,INDEX($C$2:C496,MATCH(A497,$A$2:A496,0)),"")</f>
        <v/>
      </c>
      <c r="O497" s="17"/>
      <c r="P497" s="29"/>
    </row>
    <row r="498" ht="15.75" customHeight="1">
      <c r="A498" s="9" t="str">
        <f>IFERROR(__xludf.DUMMYFUNCTION("IF(B498="""","""",RIGHT(regexreplace(B498&amp;"""",""[^0-9]"",""""),9))"),"")</f>
        <v/>
      </c>
      <c r="B498" s="5"/>
      <c r="C498" s="5"/>
      <c r="D498" s="5"/>
      <c r="E498" s="23"/>
      <c r="F498" s="23"/>
      <c r="G498" s="23"/>
      <c r="H498" s="23"/>
      <c r="I498" s="23"/>
      <c r="J498" s="23"/>
      <c r="K498" s="10" t="str">
        <f t="shared" si="1"/>
        <v/>
      </c>
      <c r="L498" s="27"/>
      <c r="M498" s="27"/>
      <c r="N498" s="10" t="str">
        <f t="shared" ref="N498:N499" si="168">IF(COUNTIF($A$2:A497,A498)&gt;0,INDEX($C$2:C497,MATCH(A498,$A$2:A497,0)),"")</f>
        <v/>
      </c>
      <c r="O498" s="17"/>
      <c r="P498" s="29"/>
    </row>
    <row r="499" ht="15.75" customHeight="1">
      <c r="A499" s="9" t="str">
        <f>IFERROR(__xludf.DUMMYFUNCTION("IF(B499="""","""",RIGHT(regexreplace(B499&amp;"""",""[^0-9]"",""""),9))"),"")</f>
        <v/>
      </c>
      <c r="B499" s="5"/>
      <c r="C499" s="5"/>
      <c r="D499" s="5"/>
      <c r="E499" s="23"/>
      <c r="F499" s="23"/>
      <c r="G499" s="23"/>
      <c r="H499" s="23"/>
      <c r="I499" s="23"/>
      <c r="J499" s="23"/>
      <c r="K499" s="10" t="str">
        <f t="shared" si="1"/>
        <v/>
      </c>
      <c r="L499" s="27"/>
      <c r="M499" s="27"/>
      <c r="N499" s="10" t="str">
        <f t="shared" si="168"/>
        <v/>
      </c>
      <c r="O499" s="17"/>
      <c r="P499" s="29"/>
    </row>
    <row r="500" ht="15.75" customHeight="1">
      <c r="A500" s="9" t="str">
        <f>IFERROR(__xludf.DUMMYFUNCTION("IF(B500="""","""",RIGHT(regexreplace(B500&amp;"""",""[^0-9]"",""""),9))"),"")</f>
        <v/>
      </c>
      <c r="B500" s="5"/>
      <c r="C500" s="5"/>
      <c r="D500" s="5"/>
      <c r="E500" s="23"/>
      <c r="F500" s="23"/>
      <c r="G500" s="23"/>
      <c r="H500" s="23"/>
      <c r="I500" s="23"/>
      <c r="J500" s="23"/>
      <c r="K500" s="10" t="str">
        <f t="shared" si="1"/>
        <v/>
      </c>
      <c r="L500" s="27"/>
      <c r="M500" s="27"/>
      <c r="N500" s="10" t="str">
        <f t="array" ref="N500">IF(COUNTIF($A$2:A499,A)&gt;0,INDEX($C$2:C499,MATCH(A500,$A$2:A499,0)),"")</f>
        <v/>
      </c>
      <c r="O500" s="17"/>
      <c r="P500" s="29"/>
    </row>
    <row r="501" ht="15.75" customHeight="1">
      <c r="A501" s="9" t="str">
        <f>IFERROR(__xludf.DUMMYFUNCTION("IF(B501="""","""",RIGHT(regexreplace(B501&amp;"""",""[^0-9]"",""""),9))"),"")</f>
        <v/>
      </c>
      <c r="B501" s="5"/>
      <c r="C501" s="5"/>
      <c r="D501" s="5"/>
      <c r="E501" s="23"/>
      <c r="F501" s="23"/>
      <c r="G501" s="23"/>
      <c r="H501" s="23"/>
      <c r="I501" s="23"/>
      <c r="J501" s="23"/>
      <c r="K501" s="10" t="str">
        <f t="shared" si="1"/>
        <v/>
      </c>
      <c r="L501" s="27"/>
      <c r="M501" s="27"/>
      <c r="N501" s="10" t="str">
        <f t="shared" ref="N501:N502" si="169">IF(COUNTIF($A$2:A500,A501)&gt;0,INDEX($C$2:C500,MATCH(A501,$A$2:A500,0)),"")</f>
        <v/>
      </c>
      <c r="O501" s="17"/>
      <c r="P501" s="29"/>
    </row>
    <row r="502" ht="15.75" customHeight="1">
      <c r="A502" s="9" t="str">
        <f>IFERROR(__xludf.DUMMYFUNCTION("IF(B502="""","""",RIGHT(regexreplace(B502&amp;"""",""[^0-9]"",""""),9))"),"")</f>
        <v/>
      </c>
      <c r="B502" s="5"/>
      <c r="C502" s="5"/>
      <c r="D502" s="5"/>
      <c r="E502" s="23"/>
      <c r="F502" s="23"/>
      <c r="G502" s="23"/>
      <c r="H502" s="23"/>
      <c r="I502" s="23"/>
      <c r="J502" s="23"/>
      <c r="K502" s="10" t="str">
        <f t="shared" si="1"/>
        <v/>
      </c>
      <c r="L502" s="27"/>
      <c r="M502" s="27"/>
      <c r="N502" s="10" t="str">
        <f t="shared" si="169"/>
        <v/>
      </c>
      <c r="O502" s="17"/>
      <c r="P502" s="29"/>
    </row>
    <row r="503" ht="15.75" customHeight="1">
      <c r="A503" s="9" t="str">
        <f>IFERROR(__xludf.DUMMYFUNCTION("IF(B503="""","""",RIGHT(regexreplace(B503&amp;"""",""[^0-9]"",""""),9))"),"")</f>
        <v/>
      </c>
      <c r="B503" s="5"/>
      <c r="C503" s="5"/>
      <c r="D503" s="5"/>
      <c r="E503" s="23"/>
      <c r="F503" s="23"/>
      <c r="G503" s="23"/>
      <c r="H503" s="23"/>
      <c r="I503" s="23"/>
      <c r="J503" s="23"/>
      <c r="K503" s="10" t="str">
        <f t="shared" si="1"/>
        <v/>
      </c>
      <c r="L503" s="27"/>
      <c r="M503" s="27"/>
      <c r="N503" s="10" t="str">
        <f t="array" ref="N503">IF(COUNTIF($A$2:A502,A)&gt;0,INDEX($C$2:C502,MATCH(A503,$A$2:A502,0)),"")</f>
        <v/>
      </c>
      <c r="O503" s="17"/>
      <c r="P503" s="29"/>
    </row>
    <row r="504" ht="15.75" customHeight="1">
      <c r="A504" s="9" t="str">
        <f>IFERROR(__xludf.DUMMYFUNCTION("IF(B504="""","""",RIGHT(regexreplace(B504&amp;"""",""[^0-9]"",""""),9))"),"")</f>
        <v/>
      </c>
      <c r="B504" s="5"/>
      <c r="C504" s="5"/>
      <c r="D504" s="5"/>
      <c r="E504" s="23"/>
      <c r="F504" s="23"/>
      <c r="G504" s="23"/>
      <c r="H504" s="23"/>
      <c r="I504" s="23"/>
      <c r="J504" s="23"/>
      <c r="K504" s="10" t="str">
        <f t="shared" si="1"/>
        <v/>
      </c>
      <c r="L504" s="27"/>
      <c r="M504" s="27"/>
      <c r="N504" s="10" t="str">
        <f t="shared" ref="N504:N505" si="170">IF(COUNTIF($A$2:A503,A504)&gt;0,INDEX($C$2:C503,MATCH(A504,$A$2:A503,0)),"")</f>
        <v/>
      </c>
      <c r="O504" s="17"/>
      <c r="P504" s="29"/>
    </row>
    <row r="505" ht="15.75" customHeight="1">
      <c r="A505" s="9" t="str">
        <f>IFERROR(__xludf.DUMMYFUNCTION("IF(B505="""","""",RIGHT(regexreplace(B505&amp;"""",""[^0-9]"",""""),9))"),"")</f>
        <v/>
      </c>
      <c r="B505" s="5"/>
      <c r="C505" s="5"/>
      <c r="D505" s="5"/>
      <c r="E505" s="23"/>
      <c r="F505" s="23"/>
      <c r="G505" s="23"/>
      <c r="H505" s="23"/>
      <c r="I505" s="23"/>
      <c r="J505" s="23"/>
      <c r="K505" s="10" t="str">
        <f t="shared" si="1"/>
        <v/>
      </c>
      <c r="L505" s="27"/>
      <c r="M505" s="27"/>
      <c r="N505" s="10" t="str">
        <f t="shared" si="170"/>
        <v/>
      </c>
      <c r="O505" s="17"/>
      <c r="P505" s="29"/>
    </row>
    <row r="506" ht="15.75" customHeight="1">
      <c r="A506" s="9" t="str">
        <f>IFERROR(__xludf.DUMMYFUNCTION("IF(B506="""","""",RIGHT(regexreplace(B506&amp;"""",""[^0-9]"",""""),9))"),"")</f>
        <v/>
      </c>
      <c r="B506" s="5"/>
      <c r="C506" s="5"/>
      <c r="D506" s="5"/>
      <c r="E506" s="23"/>
      <c r="F506" s="23"/>
      <c r="G506" s="23"/>
      <c r="H506" s="23"/>
      <c r="I506" s="23"/>
      <c r="J506" s="23"/>
      <c r="K506" s="10" t="str">
        <f t="shared" si="1"/>
        <v/>
      </c>
      <c r="L506" s="27"/>
      <c r="M506" s="27"/>
      <c r="N506" s="10" t="str">
        <f t="array" ref="N506">IF(COUNTIF($A$2:A505,A)&gt;0,INDEX($C$2:C505,MATCH(A506,$A$2:A505,0)),"")</f>
        <v/>
      </c>
      <c r="O506" s="17"/>
      <c r="P506" s="29"/>
    </row>
    <row r="507" ht="15.75" customHeight="1">
      <c r="A507" s="9" t="str">
        <f>IFERROR(__xludf.DUMMYFUNCTION("IF(B507="""","""",RIGHT(regexreplace(B507&amp;"""",""[^0-9]"",""""),9))"),"")</f>
        <v/>
      </c>
      <c r="B507" s="5"/>
      <c r="C507" s="5"/>
      <c r="D507" s="5"/>
      <c r="E507" s="23"/>
      <c r="F507" s="23"/>
      <c r="G507" s="23"/>
      <c r="H507" s="23"/>
      <c r="I507" s="23"/>
      <c r="J507" s="23"/>
      <c r="K507" s="10" t="str">
        <f t="shared" si="1"/>
        <v/>
      </c>
      <c r="L507" s="27"/>
      <c r="M507" s="27"/>
      <c r="N507" s="10" t="str">
        <f t="shared" ref="N507:N508" si="171">IF(COUNTIF($A$2:A506,A507)&gt;0,INDEX($C$2:C506,MATCH(A507,$A$2:A506,0)),"")</f>
        <v/>
      </c>
      <c r="O507" s="17"/>
      <c r="P507" s="29"/>
    </row>
    <row r="508" ht="15.75" customHeight="1">
      <c r="A508" s="9" t="str">
        <f>IFERROR(__xludf.DUMMYFUNCTION("IF(B508="""","""",RIGHT(regexreplace(B508&amp;"""",""[^0-9]"",""""),9))"),"")</f>
        <v/>
      </c>
      <c r="B508" s="5"/>
      <c r="C508" s="5"/>
      <c r="D508" s="5"/>
      <c r="E508" s="23"/>
      <c r="F508" s="23"/>
      <c r="G508" s="23"/>
      <c r="H508" s="23"/>
      <c r="I508" s="23"/>
      <c r="J508" s="23"/>
      <c r="K508" s="10" t="str">
        <f t="shared" si="1"/>
        <v/>
      </c>
      <c r="L508" s="27"/>
      <c r="M508" s="27"/>
      <c r="N508" s="10" t="str">
        <f t="shared" si="171"/>
        <v/>
      </c>
      <c r="O508" s="17"/>
      <c r="P508" s="29"/>
    </row>
    <row r="509" ht="15.75" customHeight="1">
      <c r="A509" s="9" t="str">
        <f>IFERROR(__xludf.DUMMYFUNCTION("IF(B509="""","""",RIGHT(regexreplace(B509&amp;"""",""[^0-9]"",""""),9))"),"")</f>
        <v/>
      </c>
      <c r="B509" s="5"/>
      <c r="C509" s="5"/>
      <c r="D509" s="5"/>
      <c r="E509" s="23"/>
      <c r="F509" s="23"/>
      <c r="G509" s="23"/>
      <c r="H509" s="23"/>
      <c r="I509" s="23"/>
      <c r="J509" s="23"/>
      <c r="K509" s="10" t="str">
        <f t="shared" si="1"/>
        <v/>
      </c>
      <c r="L509" s="27"/>
      <c r="M509" s="27"/>
      <c r="N509" s="10" t="str">
        <f t="array" ref="N509">IF(COUNTIF($A$2:A508,A)&gt;0,INDEX($C$2:C508,MATCH(A509,$A$2:A508,0)),"")</f>
        <v/>
      </c>
      <c r="O509" s="17"/>
      <c r="P509" s="29"/>
    </row>
    <row r="510" ht="15.75" customHeight="1">
      <c r="A510" s="9" t="str">
        <f>IFERROR(__xludf.DUMMYFUNCTION("IF(B510="""","""",RIGHT(regexreplace(B510&amp;"""",""[^0-9]"",""""),9))"),"")</f>
        <v/>
      </c>
      <c r="B510" s="5"/>
      <c r="C510" s="5"/>
      <c r="D510" s="5"/>
      <c r="E510" s="23"/>
      <c r="F510" s="23"/>
      <c r="G510" s="23"/>
      <c r="H510" s="23"/>
      <c r="I510" s="23"/>
      <c r="J510" s="23"/>
      <c r="K510" s="10" t="str">
        <f t="shared" si="1"/>
        <v/>
      </c>
      <c r="L510" s="27"/>
      <c r="M510" s="27"/>
      <c r="N510" s="10" t="str">
        <f t="shared" ref="N510:N511" si="172">IF(COUNTIF($A$2:A509,A510)&gt;0,INDEX($C$2:C509,MATCH(A510,$A$2:A509,0)),"")</f>
        <v/>
      </c>
      <c r="O510" s="17"/>
      <c r="P510" s="29"/>
    </row>
    <row r="511" ht="15.75" customHeight="1">
      <c r="A511" s="9" t="str">
        <f>IFERROR(__xludf.DUMMYFUNCTION("IF(B511="""","""",RIGHT(regexreplace(B511&amp;"""",""[^0-9]"",""""),9))"),"")</f>
        <v/>
      </c>
      <c r="B511" s="5"/>
      <c r="C511" s="5"/>
      <c r="D511" s="5"/>
      <c r="E511" s="23"/>
      <c r="F511" s="23"/>
      <c r="G511" s="23"/>
      <c r="H511" s="23"/>
      <c r="I511" s="23"/>
      <c r="J511" s="23"/>
      <c r="K511" s="10" t="str">
        <f t="shared" si="1"/>
        <v/>
      </c>
      <c r="L511" s="27"/>
      <c r="M511" s="27"/>
      <c r="N511" s="10" t="str">
        <f t="shared" si="172"/>
        <v/>
      </c>
      <c r="O511" s="17"/>
      <c r="P511" s="29"/>
    </row>
    <row r="512" ht="15.75" customHeight="1">
      <c r="A512" s="9" t="str">
        <f>IFERROR(__xludf.DUMMYFUNCTION("IF(B512="""","""",RIGHT(regexreplace(B512&amp;"""",""[^0-9]"",""""),9))"),"")</f>
        <v/>
      </c>
      <c r="B512" s="5"/>
      <c r="C512" s="5"/>
      <c r="D512" s="5"/>
      <c r="E512" s="23"/>
      <c r="F512" s="23"/>
      <c r="G512" s="23"/>
      <c r="H512" s="23"/>
      <c r="I512" s="23"/>
      <c r="J512" s="23"/>
      <c r="K512" s="10" t="str">
        <f t="shared" si="1"/>
        <v/>
      </c>
      <c r="L512" s="27"/>
      <c r="M512" s="27"/>
      <c r="N512" s="10" t="str">
        <f t="array" ref="N512">IF(COUNTIF($A$2:A511,A)&gt;0,INDEX($C$2:C511,MATCH(A512,$A$2:A511,0)),"")</f>
        <v/>
      </c>
      <c r="O512" s="17"/>
      <c r="P512" s="29"/>
    </row>
    <row r="513" ht="15.75" customHeight="1">
      <c r="A513" s="9" t="str">
        <f>IFERROR(__xludf.DUMMYFUNCTION("IF(B513="""","""",RIGHT(regexreplace(B513&amp;"""",""[^0-9]"",""""),9))"),"")</f>
        <v/>
      </c>
      <c r="B513" s="5"/>
      <c r="C513" s="5"/>
      <c r="D513" s="5"/>
      <c r="E513" s="23"/>
      <c r="F513" s="23"/>
      <c r="G513" s="23"/>
      <c r="H513" s="23"/>
      <c r="I513" s="23"/>
      <c r="J513" s="23"/>
      <c r="K513" s="10" t="str">
        <f t="shared" si="1"/>
        <v/>
      </c>
      <c r="L513" s="27"/>
      <c r="M513" s="27"/>
      <c r="N513" s="10" t="str">
        <f t="shared" ref="N513:N514" si="173">IF(COUNTIF($A$2:A512,A513)&gt;0,INDEX($C$2:C512,MATCH(A513,$A$2:A512,0)),"")</f>
        <v/>
      </c>
      <c r="O513" s="17"/>
      <c r="P513" s="29"/>
    </row>
    <row r="514" ht="15.75" customHeight="1">
      <c r="A514" s="9" t="str">
        <f>IFERROR(__xludf.DUMMYFUNCTION("IF(B514="""","""",RIGHT(regexreplace(B514&amp;"""",""[^0-9]"",""""),9))"),"")</f>
        <v/>
      </c>
      <c r="B514" s="5"/>
      <c r="C514" s="5"/>
      <c r="D514" s="5"/>
      <c r="E514" s="23"/>
      <c r="F514" s="23"/>
      <c r="G514" s="23"/>
      <c r="H514" s="23"/>
      <c r="I514" s="23"/>
      <c r="J514" s="23"/>
      <c r="K514" s="10" t="str">
        <f t="shared" si="1"/>
        <v/>
      </c>
      <c r="L514" s="27"/>
      <c r="M514" s="27"/>
      <c r="N514" s="10" t="str">
        <f t="shared" si="173"/>
        <v/>
      </c>
      <c r="O514" s="17"/>
      <c r="P514" s="29"/>
    </row>
    <row r="515" ht="15.75" customHeight="1">
      <c r="A515" s="9" t="str">
        <f>IFERROR(__xludf.DUMMYFUNCTION("IF(B515="""","""",RIGHT(regexreplace(B515&amp;"""",""[^0-9]"",""""),9))"),"")</f>
        <v/>
      </c>
      <c r="B515" s="5"/>
      <c r="C515" s="5"/>
      <c r="D515" s="5"/>
      <c r="E515" s="23"/>
      <c r="F515" s="23"/>
      <c r="G515" s="23"/>
      <c r="H515" s="23"/>
      <c r="I515" s="23"/>
      <c r="J515" s="23"/>
      <c r="K515" s="10" t="str">
        <f t="shared" si="1"/>
        <v/>
      </c>
      <c r="L515" s="27"/>
      <c r="M515" s="27"/>
      <c r="N515" s="10" t="str">
        <f t="array" ref="N515">IF(COUNTIF($A$2:A514,A)&gt;0,INDEX($C$2:C514,MATCH(A515,$A$2:A514,0)),"")</f>
        <v/>
      </c>
      <c r="O515" s="17"/>
      <c r="P515" s="29"/>
    </row>
    <row r="516" ht="15.75" customHeight="1">
      <c r="A516" s="9" t="str">
        <f>IFERROR(__xludf.DUMMYFUNCTION("IF(B516="""","""",RIGHT(regexreplace(B516&amp;"""",""[^0-9]"",""""),9))"),"")</f>
        <v/>
      </c>
      <c r="B516" s="5"/>
      <c r="C516" s="5"/>
      <c r="D516" s="5"/>
      <c r="E516" s="23"/>
      <c r="F516" s="23"/>
      <c r="G516" s="23"/>
      <c r="H516" s="23"/>
      <c r="I516" s="23"/>
      <c r="J516" s="23"/>
      <c r="K516" s="10" t="str">
        <f t="shared" si="1"/>
        <v/>
      </c>
      <c r="L516" s="27"/>
      <c r="M516" s="27"/>
      <c r="N516" s="10" t="str">
        <f t="shared" ref="N516:N517" si="174">IF(COUNTIF($A$2:A515,A516)&gt;0,INDEX($C$2:C515,MATCH(A516,$A$2:A515,0)),"")</f>
        <v/>
      </c>
      <c r="O516" s="17"/>
      <c r="P516" s="29"/>
    </row>
    <row r="517" ht="15.75" customHeight="1">
      <c r="A517" s="9" t="str">
        <f>IFERROR(__xludf.DUMMYFUNCTION("IF(B517="""","""",RIGHT(regexreplace(B517&amp;"""",""[^0-9]"",""""),9))"),"")</f>
        <v/>
      </c>
      <c r="B517" s="5"/>
      <c r="C517" s="5"/>
      <c r="D517" s="5"/>
      <c r="E517" s="23"/>
      <c r="F517" s="23"/>
      <c r="G517" s="23"/>
      <c r="H517" s="23"/>
      <c r="I517" s="23"/>
      <c r="J517" s="23"/>
      <c r="K517" s="10" t="str">
        <f t="shared" si="1"/>
        <v/>
      </c>
      <c r="L517" s="27"/>
      <c r="M517" s="27"/>
      <c r="N517" s="10" t="str">
        <f t="shared" si="174"/>
        <v/>
      </c>
      <c r="O517" s="17"/>
      <c r="P517" s="29"/>
    </row>
    <row r="518" ht="15.75" customHeight="1">
      <c r="A518" s="9" t="str">
        <f>IFERROR(__xludf.DUMMYFUNCTION("IF(B518="""","""",RIGHT(regexreplace(B518&amp;"""",""[^0-9]"",""""),9))"),"")</f>
        <v/>
      </c>
      <c r="B518" s="5"/>
      <c r="C518" s="5"/>
      <c r="D518" s="5"/>
      <c r="E518" s="23"/>
      <c r="F518" s="23"/>
      <c r="G518" s="23"/>
      <c r="H518" s="23"/>
      <c r="I518" s="23"/>
      <c r="J518" s="23"/>
      <c r="K518" s="10" t="str">
        <f t="shared" si="1"/>
        <v/>
      </c>
      <c r="L518" s="27"/>
      <c r="M518" s="27"/>
      <c r="N518" s="10" t="str">
        <f t="array" ref="N518">IF(COUNTIF($A$2:A517,A)&gt;0,INDEX($C$2:C517,MATCH(A518,$A$2:A517,0)),"")</f>
        <v/>
      </c>
      <c r="O518" s="17"/>
      <c r="P518" s="29"/>
    </row>
    <row r="519" ht="15.75" customHeight="1">
      <c r="A519" s="9" t="str">
        <f>IFERROR(__xludf.DUMMYFUNCTION("IF(B519="""","""",RIGHT(regexreplace(B519&amp;"""",""[^0-9]"",""""),9))"),"")</f>
        <v/>
      </c>
      <c r="B519" s="5"/>
      <c r="C519" s="5"/>
      <c r="D519" s="5"/>
      <c r="E519" s="23"/>
      <c r="F519" s="23"/>
      <c r="G519" s="23"/>
      <c r="H519" s="23"/>
      <c r="I519" s="23"/>
      <c r="J519" s="23"/>
      <c r="K519" s="10" t="str">
        <f t="shared" si="1"/>
        <v/>
      </c>
      <c r="L519" s="27"/>
      <c r="M519" s="27"/>
      <c r="N519" s="10" t="str">
        <f t="shared" ref="N519:N520" si="175">IF(COUNTIF($A$2:A518,A519)&gt;0,INDEX($C$2:C518,MATCH(A519,$A$2:A518,0)),"")</f>
        <v/>
      </c>
      <c r="O519" s="17"/>
      <c r="P519" s="29"/>
    </row>
    <row r="520" ht="15.75" customHeight="1">
      <c r="A520" s="9" t="str">
        <f>IFERROR(__xludf.DUMMYFUNCTION("IF(B520="""","""",RIGHT(regexreplace(B520&amp;"""",""[^0-9]"",""""),9))"),"")</f>
        <v/>
      </c>
      <c r="B520" s="5"/>
      <c r="C520" s="5"/>
      <c r="D520" s="5"/>
      <c r="E520" s="23"/>
      <c r="F520" s="23"/>
      <c r="G520" s="23"/>
      <c r="H520" s="23"/>
      <c r="I520" s="23"/>
      <c r="J520" s="23"/>
      <c r="K520" s="10" t="str">
        <f t="shared" si="1"/>
        <v/>
      </c>
      <c r="L520" s="27"/>
      <c r="M520" s="27"/>
      <c r="N520" s="10" t="str">
        <f t="shared" si="175"/>
        <v/>
      </c>
      <c r="O520" s="17"/>
      <c r="P520" s="29"/>
    </row>
    <row r="521" ht="15.75" customHeight="1">
      <c r="A521" s="9" t="str">
        <f>IFERROR(__xludf.DUMMYFUNCTION("IF(B521="""","""",RIGHT(regexreplace(B521&amp;"""",""[^0-9]"",""""),9))"),"")</f>
        <v/>
      </c>
      <c r="B521" s="5"/>
      <c r="C521" s="5"/>
      <c r="D521" s="5"/>
      <c r="E521" s="23"/>
      <c r="F521" s="23"/>
      <c r="G521" s="23"/>
      <c r="H521" s="23"/>
      <c r="I521" s="23"/>
      <c r="J521" s="23"/>
      <c r="K521" s="10" t="str">
        <f t="shared" si="1"/>
        <v/>
      </c>
      <c r="L521" s="27"/>
      <c r="M521" s="27"/>
      <c r="N521" s="10" t="str">
        <f t="array" ref="N521">IF(COUNTIF($A$2:A520,A)&gt;0,INDEX($C$2:C520,MATCH(A521,$A$2:A520,0)),"")</f>
        <v/>
      </c>
      <c r="O521" s="17"/>
      <c r="P521" s="29"/>
    </row>
    <row r="522" ht="15.75" customHeight="1">
      <c r="A522" s="9" t="str">
        <f>IFERROR(__xludf.DUMMYFUNCTION("IF(B522="""","""",RIGHT(regexreplace(B522&amp;"""",""[^0-9]"",""""),9))"),"")</f>
        <v/>
      </c>
      <c r="B522" s="5"/>
      <c r="C522" s="5"/>
      <c r="D522" s="5"/>
      <c r="E522" s="23"/>
      <c r="F522" s="23"/>
      <c r="G522" s="23"/>
      <c r="H522" s="23"/>
      <c r="I522" s="23"/>
      <c r="J522" s="23"/>
      <c r="K522" s="10" t="str">
        <f t="shared" si="1"/>
        <v/>
      </c>
      <c r="L522" s="27"/>
      <c r="M522" s="27"/>
      <c r="N522" s="10" t="str">
        <f t="shared" ref="N522:N523" si="176">IF(COUNTIF($A$2:A521,A522)&gt;0,INDEX($C$2:C521,MATCH(A522,$A$2:A521,0)),"")</f>
        <v/>
      </c>
      <c r="O522" s="17"/>
      <c r="P522" s="29"/>
    </row>
    <row r="523" ht="15.75" customHeight="1">
      <c r="A523" s="9" t="str">
        <f>IFERROR(__xludf.DUMMYFUNCTION("IF(B523="""","""",RIGHT(regexreplace(B523&amp;"""",""[^0-9]"",""""),9))"),"")</f>
        <v/>
      </c>
      <c r="B523" s="5"/>
      <c r="C523" s="5"/>
      <c r="D523" s="5"/>
      <c r="E523" s="23"/>
      <c r="F523" s="23"/>
      <c r="G523" s="23"/>
      <c r="H523" s="23"/>
      <c r="I523" s="23"/>
      <c r="J523" s="23"/>
      <c r="K523" s="10" t="str">
        <f t="shared" si="1"/>
        <v/>
      </c>
      <c r="L523" s="27"/>
      <c r="M523" s="27"/>
      <c r="N523" s="10" t="str">
        <f t="shared" si="176"/>
        <v/>
      </c>
      <c r="O523" s="17"/>
      <c r="P523" s="29"/>
    </row>
    <row r="524" ht="15.75" customHeight="1">
      <c r="A524" s="9" t="str">
        <f>IFERROR(__xludf.DUMMYFUNCTION("IF(B524="""","""",RIGHT(regexreplace(B524&amp;"""",""[^0-9]"",""""),9))"),"")</f>
        <v/>
      </c>
      <c r="B524" s="5"/>
      <c r="C524" s="5"/>
      <c r="D524" s="5"/>
      <c r="E524" s="23"/>
      <c r="F524" s="23"/>
      <c r="G524" s="23"/>
      <c r="H524" s="23"/>
      <c r="I524" s="23"/>
      <c r="J524" s="23"/>
      <c r="K524" s="10" t="str">
        <f t="shared" si="1"/>
        <v/>
      </c>
      <c r="L524" s="27"/>
      <c r="M524" s="27"/>
      <c r="N524" s="10" t="str">
        <f t="array" ref="N524">IF(COUNTIF($A$2:A523,A)&gt;0,INDEX($C$2:C523,MATCH(A524,$A$2:A523,0)),"")</f>
        <v/>
      </c>
      <c r="O524" s="17"/>
      <c r="P524" s="29"/>
    </row>
    <row r="525" ht="15.75" customHeight="1">
      <c r="A525" s="9" t="str">
        <f>IFERROR(__xludf.DUMMYFUNCTION("IF(B525="""","""",RIGHT(regexreplace(B525&amp;"""",""[^0-9]"",""""),9))"),"")</f>
        <v/>
      </c>
      <c r="B525" s="5"/>
      <c r="C525" s="5"/>
      <c r="D525" s="5"/>
      <c r="E525" s="23"/>
      <c r="F525" s="23"/>
      <c r="G525" s="23"/>
      <c r="H525" s="23"/>
      <c r="I525" s="23"/>
      <c r="J525" s="23"/>
      <c r="K525" s="10" t="str">
        <f t="shared" si="1"/>
        <v/>
      </c>
      <c r="L525" s="27"/>
      <c r="M525" s="27"/>
      <c r="N525" s="10" t="str">
        <f t="shared" ref="N525:N526" si="177">IF(COUNTIF($A$2:A524,A525)&gt;0,INDEX($C$2:C524,MATCH(A525,$A$2:A524,0)),"")</f>
        <v/>
      </c>
      <c r="O525" s="17"/>
      <c r="P525" s="29"/>
    </row>
    <row r="526" ht="15.75" customHeight="1">
      <c r="A526" s="9" t="str">
        <f>IFERROR(__xludf.DUMMYFUNCTION("IF(B526="""","""",RIGHT(regexreplace(B526&amp;"""",""[^0-9]"",""""),9))"),"")</f>
        <v/>
      </c>
      <c r="B526" s="5"/>
      <c r="C526" s="5"/>
      <c r="D526" s="5"/>
      <c r="E526" s="23"/>
      <c r="F526" s="23"/>
      <c r="G526" s="23"/>
      <c r="H526" s="23"/>
      <c r="I526" s="23"/>
      <c r="J526" s="23"/>
      <c r="K526" s="10" t="str">
        <f t="shared" si="1"/>
        <v/>
      </c>
      <c r="L526" s="27"/>
      <c r="M526" s="27"/>
      <c r="N526" s="10" t="str">
        <f t="shared" si="177"/>
        <v/>
      </c>
      <c r="O526" s="17"/>
      <c r="P526" s="29"/>
    </row>
    <row r="527" ht="15.75" customHeight="1">
      <c r="A527" s="9" t="str">
        <f>IFERROR(__xludf.DUMMYFUNCTION("IF(B527="""","""",RIGHT(regexreplace(B527&amp;"""",""[^0-9]"",""""),9))"),"")</f>
        <v/>
      </c>
      <c r="B527" s="5"/>
      <c r="C527" s="5"/>
      <c r="D527" s="5"/>
      <c r="E527" s="23"/>
      <c r="F527" s="23"/>
      <c r="G527" s="23"/>
      <c r="H527" s="23"/>
      <c r="I527" s="23"/>
      <c r="J527" s="23"/>
      <c r="K527" s="10" t="str">
        <f t="shared" si="1"/>
        <v/>
      </c>
      <c r="L527" s="27"/>
      <c r="M527" s="27"/>
      <c r="N527" s="10" t="str">
        <f t="array" ref="N527">IF(COUNTIF($A$2:A526,A)&gt;0,INDEX($C$2:C526,MATCH(A527,$A$2:A526,0)),"")</f>
        <v/>
      </c>
      <c r="O527" s="17"/>
      <c r="P527" s="29"/>
    </row>
    <row r="528" ht="15.75" customHeight="1">
      <c r="A528" s="9" t="str">
        <f>IFERROR(__xludf.DUMMYFUNCTION("IF(B528="""","""",RIGHT(regexreplace(B528&amp;"""",""[^0-9]"",""""),9))"),"")</f>
        <v/>
      </c>
      <c r="B528" s="5"/>
      <c r="C528" s="5"/>
      <c r="D528" s="5"/>
      <c r="E528" s="23"/>
      <c r="F528" s="23"/>
      <c r="G528" s="23"/>
      <c r="H528" s="23"/>
      <c r="I528" s="23"/>
      <c r="J528" s="23"/>
      <c r="K528" s="10" t="str">
        <f t="shared" si="1"/>
        <v/>
      </c>
      <c r="L528" s="27"/>
      <c r="M528" s="27"/>
      <c r="N528" s="10" t="str">
        <f t="shared" ref="N528:N529" si="178">IF(COUNTIF($A$2:A527,A528)&gt;0,INDEX($C$2:C527,MATCH(A528,$A$2:A527,0)),"")</f>
        <v/>
      </c>
      <c r="O528" s="17"/>
      <c r="P528" s="29"/>
    </row>
    <row r="529" ht="15.75" customHeight="1">
      <c r="A529" s="9" t="str">
        <f>IFERROR(__xludf.DUMMYFUNCTION("IF(B529="""","""",RIGHT(regexreplace(B529&amp;"""",""[^0-9]"",""""),9))"),"")</f>
        <v/>
      </c>
      <c r="B529" s="5"/>
      <c r="C529" s="5"/>
      <c r="D529" s="5"/>
      <c r="E529" s="23"/>
      <c r="F529" s="23"/>
      <c r="G529" s="23"/>
      <c r="H529" s="23"/>
      <c r="I529" s="23"/>
      <c r="J529" s="23"/>
      <c r="K529" s="10" t="str">
        <f t="shared" si="1"/>
        <v/>
      </c>
      <c r="L529" s="27"/>
      <c r="M529" s="27"/>
      <c r="N529" s="10" t="str">
        <f t="shared" si="178"/>
        <v/>
      </c>
      <c r="O529" s="17"/>
      <c r="P529" s="29"/>
    </row>
    <row r="530" ht="15.75" customHeight="1">
      <c r="A530" s="9" t="str">
        <f>IFERROR(__xludf.DUMMYFUNCTION("IF(B530="""","""",RIGHT(regexreplace(B530&amp;"""",""[^0-9]"",""""),9))"),"")</f>
        <v/>
      </c>
      <c r="B530" s="5"/>
      <c r="C530" s="5"/>
      <c r="D530" s="5"/>
      <c r="E530" s="23"/>
      <c r="F530" s="23"/>
      <c r="G530" s="23"/>
      <c r="H530" s="23"/>
      <c r="I530" s="23"/>
      <c r="J530" s="23"/>
      <c r="K530" s="10" t="str">
        <f t="shared" si="1"/>
        <v/>
      </c>
      <c r="L530" s="27"/>
      <c r="M530" s="27"/>
      <c r="N530" s="10" t="str">
        <f t="array" ref="N530">IF(COUNTIF($A$2:A529,A)&gt;0,INDEX($C$2:C529,MATCH(A530,$A$2:A529,0)),"")</f>
        <v/>
      </c>
      <c r="O530" s="17"/>
      <c r="P530" s="29"/>
    </row>
    <row r="531" ht="15.75" customHeight="1">
      <c r="A531" s="9" t="str">
        <f>IFERROR(__xludf.DUMMYFUNCTION("IF(B531="""","""",RIGHT(regexreplace(B531&amp;"""",""[^0-9]"",""""),9))"),"")</f>
        <v/>
      </c>
      <c r="B531" s="5"/>
      <c r="C531" s="5"/>
      <c r="D531" s="5"/>
      <c r="E531" s="23"/>
      <c r="F531" s="23"/>
      <c r="G531" s="23"/>
      <c r="H531" s="23"/>
      <c r="I531" s="23"/>
      <c r="J531" s="23"/>
      <c r="K531" s="10" t="str">
        <f t="shared" si="1"/>
        <v/>
      </c>
      <c r="L531" s="27"/>
      <c r="M531" s="27"/>
      <c r="N531" s="10" t="str">
        <f t="shared" ref="N531:N532" si="179">IF(COUNTIF($A$2:A530,A531)&gt;0,INDEX($C$2:C530,MATCH(A531,$A$2:A530,0)),"")</f>
        <v/>
      </c>
      <c r="O531" s="17"/>
      <c r="P531" s="29"/>
    </row>
    <row r="532" ht="15.75" customHeight="1">
      <c r="A532" s="9" t="str">
        <f>IFERROR(__xludf.DUMMYFUNCTION("IF(B532="""","""",RIGHT(regexreplace(B532&amp;"""",""[^0-9]"",""""),9))"),"")</f>
        <v/>
      </c>
      <c r="B532" s="5"/>
      <c r="C532" s="5"/>
      <c r="D532" s="5"/>
      <c r="E532" s="23"/>
      <c r="F532" s="23"/>
      <c r="G532" s="23"/>
      <c r="H532" s="23"/>
      <c r="I532" s="23"/>
      <c r="J532" s="23"/>
      <c r="K532" s="10" t="str">
        <f t="shared" si="1"/>
        <v/>
      </c>
      <c r="L532" s="27"/>
      <c r="M532" s="27"/>
      <c r="N532" s="10" t="str">
        <f t="shared" si="179"/>
        <v/>
      </c>
      <c r="O532" s="17"/>
      <c r="P532" s="29"/>
    </row>
    <row r="533" ht="15.75" customHeight="1">
      <c r="A533" s="9" t="str">
        <f>IFERROR(__xludf.DUMMYFUNCTION("IF(B533="""","""",RIGHT(regexreplace(B533&amp;"""",""[^0-9]"",""""),9))"),"")</f>
        <v/>
      </c>
      <c r="B533" s="5"/>
      <c r="C533" s="5"/>
      <c r="D533" s="5"/>
      <c r="E533" s="23"/>
      <c r="F533" s="23"/>
      <c r="G533" s="23"/>
      <c r="H533" s="23"/>
      <c r="I533" s="23"/>
      <c r="J533" s="23"/>
      <c r="K533" s="10" t="str">
        <f t="shared" si="1"/>
        <v/>
      </c>
      <c r="L533" s="27"/>
      <c r="M533" s="27"/>
      <c r="N533" s="10" t="str">
        <f t="array" ref="N533">IF(COUNTIF($A$2:A532,A)&gt;0,INDEX($C$2:C532,MATCH(A533,$A$2:A532,0)),"")</f>
        <v/>
      </c>
      <c r="O533" s="17"/>
      <c r="P533" s="29"/>
    </row>
    <row r="534" ht="15.75" customHeight="1">
      <c r="A534" s="9" t="str">
        <f>IFERROR(__xludf.DUMMYFUNCTION("IF(B534="""","""",RIGHT(regexreplace(B534&amp;"""",""[^0-9]"",""""),9))"),"")</f>
        <v/>
      </c>
      <c r="B534" s="5"/>
      <c r="C534" s="5"/>
      <c r="D534" s="5"/>
      <c r="E534" s="23"/>
      <c r="F534" s="23"/>
      <c r="G534" s="23"/>
      <c r="H534" s="23"/>
      <c r="I534" s="23"/>
      <c r="J534" s="23"/>
      <c r="K534" s="10" t="str">
        <f t="shared" si="1"/>
        <v/>
      </c>
      <c r="L534" s="27"/>
      <c r="M534" s="27"/>
      <c r="N534" s="10" t="str">
        <f t="shared" ref="N534:N535" si="180">IF(COUNTIF($A$2:A533,A534)&gt;0,INDEX($C$2:C533,MATCH(A534,$A$2:A533,0)),"")</f>
        <v/>
      </c>
      <c r="O534" s="17"/>
      <c r="P534" s="29"/>
    </row>
    <row r="535" ht="15.75" customHeight="1">
      <c r="A535" s="9" t="str">
        <f>IFERROR(__xludf.DUMMYFUNCTION("IF(B535="""","""",RIGHT(regexreplace(B535&amp;"""",""[^0-9]"",""""),9))"),"")</f>
        <v/>
      </c>
      <c r="B535" s="5"/>
      <c r="C535" s="5"/>
      <c r="D535" s="5"/>
      <c r="E535" s="23"/>
      <c r="F535" s="23"/>
      <c r="G535" s="23"/>
      <c r="H535" s="23"/>
      <c r="I535" s="23"/>
      <c r="J535" s="23"/>
      <c r="K535" s="10" t="str">
        <f t="shared" si="1"/>
        <v/>
      </c>
      <c r="L535" s="27"/>
      <c r="M535" s="27"/>
      <c r="N535" s="10" t="str">
        <f t="shared" si="180"/>
        <v/>
      </c>
      <c r="O535" s="17"/>
      <c r="P535" s="29"/>
    </row>
    <row r="536" ht="15.75" customHeight="1">
      <c r="A536" s="9" t="str">
        <f>IFERROR(__xludf.DUMMYFUNCTION("IF(B536="""","""",RIGHT(regexreplace(B536&amp;"""",""[^0-9]"",""""),9))"),"")</f>
        <v/>
      </c>
      <c r="B536" s="5"/>
      <c r="C536" s="5"/>
      <c r="D536" s="5"/>
      <c r="E536" s="23"/>
      <c r="F536" s="23"/>
      <c r="G536" s="23"/>
      <c r="H536" s="23"/>
      <c r="I536" s="23"/>
      <c r="J536" s="23"/>
      <c r="K536" s="10" t="str">
        <f t="shared" si="1"/>
        <v/>
      </c>
      <c r="L536" s="27"/>
      <c r="M536" s="27"/>
      <c r="N536" s="10" t="str">
        <f t="array" ref="N536">IF(COUNTIF($A$2:A535,A)&gt;0,INDEX($C$2:C535,MATCH(A536,$A$2:A535,0)),"")</f>
        <v/>
      </c>
      <c r="O536" s="17"/>
      <c r="P536" s="29"/>
    </row>
    <row r="537" ht="15.75" customHeight="1">
      <c r="A537" s="9" t="str">
        <f>IFERROR(__xludf.DUMMYFUNCTION("IF(B537="""","""",RIGHT(regexreplace(B537&amp;"""",""[^0-9]"",""""),9))"),"")</f>
        <v/>
      </c>
      <c r="B537" s="5"/>
      <c r="C537" s="5"/>
      <c r="D537" s="5"/>
      <c r="E537" s="23"/>
      <c r="F537" s="23"/>
      <c r="G537" s="23"/>
      <c r="H537" s="23"/>
      <c r="I537" s="23"/>
      <c r="J537" s="23"/>
      <c r="K537" s="10" t="str">
        <f t="shared" si="1"/>
        <v/>
      </c>
      <c r="L537" s="27"/>
      <c r="M537" s="27"/>
      <c r="N537" s="10" t="str">
        <f t="shared" ref="N537:N538" si="181">IF(COUNTIF($A$2:A536,A537)&gt;0,INDEX($C$2:C536,MATCH(A537,$A$2:A536,0)),"")</f>
        <v/>
      </c>
      <c r="O537" s="17"/>
      <c r="P537" s="29"/>
    </row>
    <row r="538" ht="15.75" customHeight="1">
      <c r="A538" s="9" t="str">
        <f>IFERROR(__xludf.DUMMYFUNCTION("IF(B538="""","""",RIGHT(regexreplace(B538&amp;"""",""[^0-9]"",""""),9))"),"")</f>
        <v/>
      </c>
      <c r="B538" s="5"/>
      <c r="C538" s="5"/>
      <c r="D538" s="5"/>
      <c r="E538" s="23"/>
      <c r="F538" s="23"/>
      <c r="G538" s="23"/>
      <c r="H538" s="23"/>
      <c r="I538" s="23"/>
      <c r="J538" s="23"/>
      <c r="K538" s="10" t="str">
        <f t="shared" si="1"/>
        <v/>
      </c>
      <c r="L538" s="27"/>
      <c r="M538" s="27"/>
      <c r="N538" s="10" t="str">
        <f t="shared" si="181"/>
        <v/>
      </c>
      <c r="O538" s="17"/>
      <c r="P538" s="29"/>
    </row>
    <row r="539" ht="15.75" customHeight="1">
      <c r="A539" s="9" t="str">
        <f>IFERROR(__xludf.DUMMYFUNCTION("IF(B539="""","""",RIGHT(regexreplace(B539&amp;"""",""[^0-9]"",""""),9))"),"")</f>
        <v/>
      </c>
      <c r="B539" s="5"/>
      <c r="C539" s="5"/>
      <c r="D539" s="5"/>
      <c r="E539" s="23"/>
      <c r="F539" s="23"/>
      <c r="G539" s="23"/>
      <c r="H539" s="23"/>
      <c r="I539" s="23"/>
      <c r="J539" s="23"/>
      <c r="K539" s="10" t="str">
        <f t="shared" si="1"/>
        <v/>
      </c>
      <c r="L539" s="27"/>
      <c r="M539" s="27"/>
      <c r="N539" s="10" t="str">
        <f t="array" ref="N539">IF(COUNTIF($A$2:A538,A)&gt;0,INDEX($C$2:C538,MATCH(A539,$A$2:A538,0)),"")</f>
        <v/>
      </c>
      <c r="O539" s="17"/>
      <c r="P539" s="29"/>
    </row>
    <row r="540" ht="15.75" customHeight="1">
      <c r="A540" s="9" t="str">
        <f>IFERROR(__xludf.DUMMYFUNCTION("IF(B540="""","""",RIGHT(regexreplace(B540&amp;"""",""[^0-9]"",""""),9))"),"")</f>
        <v/>
      </c>
      <c r="B540" s="5"/>
      <c r="C540" s="5"/>
      <c r="D540" s="5"/>
      <c r="E540" s="23"/>
      <c r="F540" s="23"/>
      <c r="G540" s="23"/>
      <c r="H540" s="23"/>
      <c r="I540" s="23"/>
      <c r="J540" s="23"/>
      <c r="K540" s="10" t="str">
        <f t="shared" si="1"/>
        <v/>
      </c>
      <c r="L540" s="27"/>
      <c r="M540" s="27"/>
      <c r="N540" s="10" t="str">
        <f t="shared" ref="N540:N541" si="182">IF(COUNTIF($A$2:A539,A540)&gt;0,INDEX($C$2:C539,MATCH(A540,$A$2:A539,0)),"")</f>
        <v/>
      </c>
      <c r="O540" s="17"/>
      <c r="P540" s="29"/>
    </row>
    <row r="541" ht="15.75" customHeight="1">
      <c r="A541" s="9" t="str">
        <f>IFERROR(__xludf.DUMMYFUNCTION("IF(B541="""","""",RIGHT(regexreplace(B541&amp;"""",""[^0-9]"",""""),9))"),"")</f>
        <v/>
      </c>
      <c r="B541" s="5"/>
      <c r="C541" s="5"/>
      <c r="D541" s="5"/>
      <c r="E541" s="23"/>
      <c r="F541" s="23"/>
      <c r="G541" s="23"/>
      <c r="H541" s="23"/>
      <c r="I541" s="23"/>
      <c r="J541" s="23"/>
      <c r="K541" s="10" t="str">
        <f t="shared" si="1"/>
        <v/>
      </c>
      <c r="L541" s="27"/>
      <c r="M541" s="27"/>
      <c r="N541" s="10" t="str">
        <f t="shared" si="182"/>
        <v/>
      </c>
      <c r="O541" s="17"/>
      <c r="P541" s="29"/>
    </row>
    <row r="542" ht="15.75" customHeight="1">
      <c r="A542" s="9" t="str">
        <f>IFERROR(__xludf.DUMMYFUNCTION("IF(B542="""","""",RIGHT(regexreplace(B542&amp;"""",""[^0-9]"",""""),9))"),"")</f>
        <v/>
      </c>
      <c r="B542" s="5"/>
      <c r="C542" s="5"/>
      <c r="D542" s="5"/>
      <c r="E542" s="23"/>
      <c r="F542" s="23"/>
      <c r="G542" s="23"/>
      <c r="H542" s="23"/>
      <c r="I542" s="23"/>
      <c r="J542" s="23"/>
      <c r="K542" s="10" t="str">
        <f t="shared" si="1"/>
        <v/>
      </c>
      <c r="L542" s="27"/>
      <c r="M542" s="27"/>
      <c r="N542" s="10" t="str">
        <f t="array" ref="N542">IF(COUNTIF($A$2:A541,A)&gt;0,INDEX($C$2:C541,MATCH(A542,$A$2:A541,0)),"")</f>
        <v/>
      </c>
      <c r="O542" s="17"/>
      <c r="P542" s="29"/>
    </row>
    <row r="543" ht="15.75" customHeight="1">
      <c r="A543" s="9" t="str">
        <f>IFERROR(__xludf.DUMMYFUNCTION("IF(B543="""","""",RIGHT(regexreplace(B543&amp;"""",""[^0-9]"",""""),9))"),"")</f>
        <v/>
      </c>
      <c r="B543" s="5"/>
      <c r="C543" s="5"/>
      <c r="D543" s="5"/>
      <c r="E543" s="23"/>
      <c r="F543" s="23"/>
      <c r="G543" s="23"/>
      <c r="H543" s="23"/>
      <c r="I543" s="23"/>
      <c r="J543" s="23"/>
      <c r="K543" s="10" t="str">
        <f t="shared" si="1"/>
        <v/>
      </c>
      <c r="L543" s="27"/>
      <c r="M543" s="27"/>
      <c r="N543" s="10" t="str">
        <f t="shared" ref="N543:N544" si="183">IF(COUNTIF($A$2:A542,A543)&gt;0,INDEX($C$2:C542,MATCH(A543,$A$2:A542,0)),"")</f>
        <v/>
      </c>
      <c r="O543" s="17"/>
      <c r="P543" s="29"/>
    </row>
    <row r="544" ht="15.75" customHeight="1">
      <c r="A544" s="9" t="str">
        <f>IFERROR(__xludf.DUMMYFUNCTION("IF(B544="""","""",RIGHT(regexreplace(B544&amp;"""",""[^0-9]"",""""),9))"),"")</f>
        <v/>
      </c>
      <c r="B544" s="5"/>
      <c r="C544" s="5"/>
      <c r="D544" s="5"/>
      <c r="E544" s="23"/>
      <c r="F544" s="23"/>
      <c r="G544" s="23"/>
      <c r="H544" s="23"/>
      <c r="I544" s="23"/>
      <c r="J544" s="23"/>
      <c r="K544" s="10" t="str">
        <f t="shared" si="1"/>
        <v/>
      </c>
      <c r="L544" s="27"/>
      <c r="M544" s="27"/>
      <c r="N544" s="10" t="str">
        <f t="shared" si="183"/>
        <v/>
      </c>
      <c r="O544" s="17"/>
      <c r="P544" s="29"/>
    </row>
    <row r="545" ht="15.75" customHeight="1">
      <c r="A545" s="9" t="str">
        <f>IFERROR(__xludf.DUMMYFUNCTION("IF(B545="""","""",RIGHT(regexreplace(B545&amp;"""",""[^0-9]"",""""),9))"),"")</f>
        <v/>
      </c>
      <c r="B545" s="5"/>
      <c r="C545" s="5"/>
      <c r="D545" s="5"/>
      <c r="E545" s="23"/>
      <c r="F545" s="23"/>
      <c r="G545" s="23"/>
      <c r="H545" s="23"/>
      <c r="I545" s="23"/>
      <c r="J545" s="23"/>
      <c r="K545" s="10" t="str">
        <f t="shared" si="1"/>
        <v/>
      </c>
      <c r="L545" s="27"/>
      <c r="M545" s="27"/>
      <c r="N545" s="10" t="str">
        <f t="array" ref="N545">IF(COUNTIF($A$2:A544,A)&gt;0,INDEX($C$2:C544,MATCH(A545,$A$2:A544,0)),"")</f>
        <v/>
      </c>
      <c r="O545" s="17"/>
      <c r="P545" s="29"/>
    </row>
    <row r="546" ht="15.75" customHeight="1">
      <c r="A546" s="9" t="str">
        <f>IFERROR(__xludf.DUMMYFUNCTION("IF(B546="""","""",RIGHT(regexreplace(B546&amp;"""",""[^0-9]"",""""),9))"),"")</f>
        <v/>
      </c>
      <c r="B546" s="5"/>
      <c r="C546" s="5"/>
      <c r="D546" s="5"/>
      <c r="E546" s="23"/>
      <c r="F546" s="23"/>
      <c r="G546" s="23"/>
      <c r="H546" s="23"/>
      <c r="I546" s="23"/>
      <c r="J546" s="23"/>
      <c r="K546" s="10" t="str">
        <f t="shared" si="1"/>
        <v/>
      </c>
      <c r="L546" s="27"/>
      <c r="M546" s="27"/>
      <c r="N546" s="10" t="str">
        <f t="shared" ref="N546:N547" si="184">IF(COUNTIF($A$2:A545,A546)&gt;0,INDEX($C$2:C545,MATCH(A546,$A$2:A545,0)),"")</f>
        <v/>
      </c>
      <c r="O546" s="17"/>
      <c r="P546" s="29"/>
    </row>
    <row r="547" ht="15.75" customHeight="1">
      <c r="A547" s="9" t="str">
        <f>IFERROR(__xludf.DUMMYFUNCTION("IF(B547="""","""",RIGHT(regexreplace(B547&amp;"""",""[^0-9]"",""""),9))"),"")</f>
        <v/>
      </c>
      <c r="B547" s="5"/>
      <c r="C547" s="5"/>
      <c r="D547" s="5"/>
      <c r="E547" s="23"/>
      <c r="F547" s="23"/>
      <c r="G547" s="23"/>
      <c r="H547" s="23"/>
      <c r="I547" s="23"/>
      <c r="J547" s="23"/>
      <c r="K547" s="10" t="str">
        <f t="shared" si="1"/>
        <v/>
      </c>
      <c r="L547" s="27"/>
      <c r="M547" s="27"/>
      <c r="N547" s="10" t="str">
        <f t="shared" si="184"/>
        <v/>
      </c>
      <c r="O547" s="17"/>
      <c r="P547" s="29"/>
    </row>
    <row r="548" ht="15.75" customHeight="1">
      <c r="A548" s="9" t="str">
        <f>IFERROR(__xludf.DUMMYFUNCTION("IF(B548="""","""",RIGHT(regexreplace(B548&amp;"""",""[^0-9]"",""""),9))"),"")</f>
        <v/>
      </c>
      <c r="B548" s="5"/>
      <c r="C548" s="5"/>
      <c r="D548" s="5"/>
      <c r="E548" s="23"/>
      <c r="F548" s="23"/>
      <c r="G548" s="23"/>
      <c r="H548" s="23"/>
      <c r="I548" s="23"/>
      <c r="J548" s="23"/>
      <c r="K548" s="10" t="str">
        <f t="shared" si="1"/>
        <v/>
      </c>
      <c r="L548" s="27"/>
      <c r="M548" s="27"/>
      <c r="N548" s="10" t="str">
        <f t="array" ref="N548">IF(COUNTIF($A$2:A547,A)&gt;0,INDEX($C$2:C547,MATCH(A548,$A$2:A547,0)),"")</f>
        <v/>
      </c>
      <c r="O548" s="17"/>
      <c r="P548" s="29"/>
    </row>
    <row r="549" ht="15.75" customHeight="1">
      <c r="A549" s="9" t="str">
        <f>IFERROR(__xludf.DUMMYFUNCTION("IF(B549="""","""",RIGHT(regexreplace(B549&amp;"""",""[^0-9]"",""""),9))"),"")</f>
        <v/>
      </c>
      <c r="B549" s="5"/>
      <c r="C549" s="5"/>
      <c r="D549" s="5"/>
      <c r="E549" s="23"/>
      <c r="F549" s="23"/>
      <c r="G549" s="23"/>
      <c r="H549" s="23"/>
      <c r="I549" s="23"/>
      <c r="J549" s="23"/>
      <c r="K549" s="10" t="str">
        <f t="shared" si="1"/>
        <v/>
      </c>
      <c r="L549" s="27"/>
      <c r="M549" s="27"/>
      <c r="N549" s="10" t="str">
        <f t="shared" ref="N549:N550" si="185">IF(COUNTIF($A$2:A548,A549)&gt;0,INDEX($C$2:C548,MATCH(A549,$A$2:A548,0)),"")</f>
        <v/>
      </c>
      <c r="O549" s="17"/>
      <c r="P549" s="29"/>
    </row>
    <row r="550" ht="15.75" customHeight="1">
      <c r="A550" s="9" t="str">
        <f>IFERROR(__xludf.DUMMYFUNCTION("IF(B550="""","""",RIGHT(regexreplace(B550&amp;"""",""[^0-9]"",""""),9))"),"")</f>
        <v/>
      </c>
      <c r="B550" s="5"/>
      <c r="C550" s="5"/>
      <c r="D550" s="5"/>
      <c r="E550" s="23"/>
      <c r="F550" s="23"/>
      <c r="G550" s="23"/>
      <c r="H550" s="23"/>
      <c r="I550" s="23"/>
      <c r="J550" s="23"/>
      <c r="K550" s="10" t="str">
        <f t="shared" si="1"/>
        <v/>
      </c>
      <c r="L550" s="27"/>
      <c r="M550" s="27"/>
      <c r="N550" s="10" t="str">
        <f t="shared" si="185"/>
        <v/>
      </c>
      <c r="O550" s="17"/>
      <c r="P550" s="29"/>
    </row>
    <row r="551" ht="15.75" customHeight="1">
      <c r="A551" s="9" t="str">
        <f>IFERROR(__xludf.DUMMYFUNCTION("IF(B551="""","""",RIGHT(regexreplace(B551&amp;"""",""[^0-9]"",""""),9))"),"")</f>
        <v/>
      </c>
      <c r="B551" s="5"/>
      <c r="C551" s="5"/>
      <c r="D551" s="5"/>
      <c r="E551" s="23"/>
      <c r="F551" s="23"/>
      <c r="G551" s="23"/>
      <c r="H551" s="23"/>
      <c r="I551" s="23"/>
      <c r="J551" s="23"/>
      <c r="K551" s="10" t="str">
        <f t="shared" si="1"/>
        <v/>
      </c>
      <c r="L551" s="27"/>
      <c r="M551" s="27"/>
      <c r="N551" s="10" t="str">
        <f t="array" ref="N551">IF(COUNTIF($A$2:A550,A)&gt;0,INDEX($C$2:C550,MATCH(A551,$A$2:A550,0)),"")</f>
        <v/>
      </c>
      <c r="O551" s="17"/>
      <c r="P551" s="29"/>
    </row>
    <row r="552" ht="15.75" customHeight="1">
      <c r="A552" s="9" t="str">
        <f>IFERROR(__xludf.DUMMYFUNCTION("IF(B552="""","""",RIGHT(regexreplace(B552&amp;"""",""[^0-9]"",""""),9))"),"")</f>
        <v/>
      </c>
      <c r="B552" s="5"/>
      <c r="C552" s="5"/>
      <c r="D552" s="5"/>
      <c r="E552" s="23"/>
      <c r="F552" s="23"/>
      <c r="G552" s="23"/>
      <c r="H552" s="23"/>
      <c r="I552" s="23"/>
      <c r="J552" s="23"/>
      <c r="K552" s="10" t="str">
        <f t="shared" si="1"/>
        <v/>
      </c>
      <c r="L552" s="27"/>
      <c r="M552" s="27"/>
      <c r="N552" s="10" t="str">
        <f t="shared" ref="N552:N553" si="186">IF(COUNTIF($A$2:A551,A552)&gt;0,INDEX($C$2:C551,MATCH(A552,$A$2:A551,0)),"")</f>
        <v/>
      </c>
      <c r="O552" s="17"/>
      <c r="P552" s="29"/>
    </row>
    <row r="553" ht="15.75" customHeight="1">
      <c r="A553" s="9" t="str">
        <f>IFERROR(__xludf.DUMMYFUNCTION("IF(B553="""","""",RIGHT(regexreplace(B553&amp;"""",""[^0-9]"",""""),9))"),"")</f>
        <v/>
      </c>
      <c r="B553" s="5"/>
      <c r="C553" s="5"/>
      <c r="D553" s="5"/>
      <c r="E553" s="23"/>
      <c r="F553" s="23"/>
      <c r="G553" s="23"/>
      <c r="H553" s="23"/>
      <c r="I553" s="23"/>
      <c r="J553" s="23"/>
      <c r="K553" s="10" t="str">
        <f t="shared" si="1"/>
        <v/>
      </c>
      <c r="L553" s="27"/>
      <c r="M553" s="27"/>
      <c r="N553" s="10" t="str">
        <f t="shared" si="186"/>
        <v/>
      </c>
      <c r="O553" s="17"/>
      <c r="P553" s="29"/>
    </row>
    <row r="554" ht="15.75" customHeight="1">
      <c r="A554" s="9" t="str">
        <f>IFERROR(__xludf.DUMMYFUNCTION("IF(B554="""","""",RIGHT(regexreplace(B554&amp;"""",""[^0-9]"",""""),9))"),"")</f>
        <v/>
      </c>
      <c r="B554" s="5"/>
      <c r="C554" s="5"/>
      <c r="D554" s="5"/>
      <c r="E554" s="23"/>
      <c r="F554" s="23"/>
      <c r="G554" s="23"/>
      <c r="H554" s="23"/>
      <c r="I554" s="23"/>
      <c r="J554" s="23"/>
      <c r="K554" s="10" t="str">
        <f t="shared" si="1"/>
        <v/>
      </c>
      <c r="L554" s="27"/>
      <c r="M554" s="27"/>
      <c r="N554" s="10" t="str">
        <f t="array" ref="N554">IF(COUNTIF($A$2:A553,A)&gt;0,INDEX($C$2:C553,MATCH(A554,$A$2:A553,0)),"")</f>
        <v/>
      </c>
      <c r="O554" s="17"/>
      <c r="P554" s="29"/>
    </row>
    <row r="555" ht="15.75" customHeight="1">
      <c r="A555" s="9" t="str">
        <f>IFERROR(__xludf.DUMMYFUNCTION("IF(B555="""","""",RIGHT(regexreplace(B555&amp;"""",""[^0-9]"",""""),9))"),"")</f>
        <v/>
      </c>
      <c r="B555" s="5"/>
      <c r="C555" s="5"/>
      <c r="D555" s="5"/>
      <c r="E555" s="23"/>
      <c r="F555" s="23"/>
      <c r="G555" s="23"/>
      <c r="H555" s="23"/>
      <c r="I555" s="23"/>
      <c r="J555" s="23"/>
      <c r="K555" s="10" t="str">
        <f t="shared" si="1"/>
        <v/>
      </c>
      <c r="L555" s="27"/>
      <c r="M555" s="27"/>
      <c r="N555" s="10" t="str">
        <f t="shared" ref="N555:N556" si="187">IF(COUNTIF($A$2:A554,A555)&gt;0,INDEX($C$2:C554,MATCH(A555,$A$2:A554,0)),"")</f>
        <v/>
      </c>
      <c r="O555" s="17"/>
      <c r="P555" s="29"/>
    </row>
    <row r="556" ht="15.75" customHeight="1">
      <c r="A556" s="9" t="str">
        <f>IFERROR(__xludf.DUMMYFUNCTION("IF(B556="""","""",RIGHT(regexreplace(B556&amp;"""",""[^0-9]"",""""),9))"),"")</f>
        <v/>
      </c>
      <c r="B556" s="5"/>
      <c r="C556" s="5"/>
      <c r="D556" s="5"/>
      <c r="E556" s="23"/>
      <c r="F556" s="23"/>
      <c r="G556" s="23"/>
      <c r="H556" s="23"/>
      <c r="I556" s="23"/>
      <c r="J556" s="23"/>
      <c r="K556" s="10" t="str">
        <f t="shared" si="1"/>
        <v/>
      </c>
      <c r="L556" s="27"/>
      <c r="M556" s="27"/>
      <c r="N556" s="10" t="str">
        <f t="shared" si="187"/>
        <v/>
      </c>
      <c r="O556" s="17"/>
      <c r="P556" s="29"/>
    </row>
    <row r="557" ht="15.75" customHeight="1">
      <c r="A557" s="9" t="str">
        <f>IFERROR(__xludf.DUMMYFUNCTION("IF(B557="""","""",RIGHT(regexreplace(B557&amp;"""",""[^0-9]"",""""),9))"),"")</f>
        <v/>
      </c>
      <c r="B557" s="5"/>
      <c r="C557" s="5"/>
      <c r="D557" s="5"/>
      <c r="E557" s="23"/>
      <c r="F557" s="23"/>
      <c r="G557" s="23"/>
      <c r="H557" s="23"/>
      <c r="I557" s="23"/>
      <c r="J557" s="23"/>
      <c r="K557" s="10" t="str">
        <f t="shared" si="1"/>
        <v/>
      </c>
      <c r="L557" s="27"/>
      <c r="M557" s="27"/>
      <c r="N557" s="10" t="str">
        <f t="array" ref="N557">IF(COUNTIF($A$2:A556,A)&gt;0,INDEX($C$2:C556,MATCH(A557,$A$2:A556,0)),"")</f>
        <v/>
      </c>
      <c r="O557" s="17"/>
      <c r="P557" s="29"/>
    </row>
    <row r="558" ht="15.75" customHeight="1">
      <c r="A558" s="9" t="str">
        <f>IFERROR(__xludf.DUMMYFUNCTION("IF(B558="""","""",RIGHT(regexreplace(B558&amp;"""",""[^0-9]"",""""),9))"),"")</f>
        <v/>
      </c>
      <c r="B558" s="5"/>
      <c r="C558" s="5"/>
      <c r="D558" s="5"/>
      <c r="E558" s="23"/>
      <c r="F558" s="23"/>
      <c r="G558" s="23"/>
      <c r="H558" s="23"/>
      <c r="I558" s="23"/>
      <c r="J558" s="23"/>
      <c r="K558" s="10" t="str">
        <f t="shared" si="1"/>
        <v/>
      </c>
      <c r="L558" s="27"/>
      <c r="M558" s="27"/>
      <c r="N558" s="10" t="str">
        <f t="shared" ref="N558:N559" si="188">IF(COUNTIF($A$2:A557,A558)&gt;0,INDEX($C$2:C557,MATCH(A558,$A$2:A557,0)),"")</f>
        <v/>
      </c>
      <c r="O558" s="17"/>
      <c r="P558" s="29"/>
    </row>
    <row r="559" ht="15.75" customHeight="1">
      <c r="A559" s="9" t="str">
        <f>IFERROR(__xludf.DUMMYFUNCTION("IF(B559="""","""",RIGHT(regexreplace(B559&amp;"""",""[^0-9]"",""""),9))"),"")</f>
        <v/>
      </c>
      <c r="B559" s="5"/>
      <c r="C559" s="5"/>
      <c r="D559" s="5"/>
      <c r="E559" s="23"/>
      <c r="F559" s="23"/>
      <c r="G559" s="23"/>
      <c r="H559" s="23"/>
      <c r="I559" s="23"/>
      <c r="J559" s="23"/>
      <c r="K559" s="10" t="str">
        <f t="shared" si="1"/>
        <v/>
      </c>
      <c r="L559" s="27"/>
      <c r="M559" s="27"/>
      <c r="N559" s="10" t="str">
        <f t="shared" si="188"/>
        <v/>
      </c>
      <c r="O559" s="17"/>
      <c r="P559" s="29"/>
    </row>
    <row r="560" ht="15.75" customHeight="1">
      <c r="A560" s="9" t="str">
        <f>IFERROR(__xludf.DUMMYFUNCTION("IF(B560="""","""",RIGHT(regexreplace(B560&amp;"""",""[^0-9]"",""""),9))"),"")</f>
        <v/>
      </c>
      <c r="B560" s="5"/>
      <c r="C560" s="5"/>
      <c r="D560" s="5"/>
      <c r="E560" s="23"/>
      <c r="F560" s="23"/>
      <c r="G560" s="23"/>
      <c r="H560" s="23"/>
      <c r="I560" s="23"/>
      <c r="J560" s="23"/>
      <c r="K560" s="10" t="str">
        <f t="shared" si="1"/>
        <v/>
      </c>
      <c r="L560" s="27"/>
      <c r="M560" s="27"/>
      <c r="N560" s="10" t="str">
        <f t="array" ref="N560">IF(COUNTIF($A$2:A559,A)&gt;0,INDEX($C$2:C559,MATCH(A560,$A$2:A559,0)),"")</f>
        <v/>
      </c>
      <c r="O560" s="17"/>
      <c r="P560" s="29"/>
    </row>
    <row r="561" ht="15.75" customHeight="1">
      <c r="A561" s="9" t="str">
        <f>IFERROR(__xludf.DUMMYFUNCTION("IF(B561="""","""",RIGHT(regexreplace(B561&amp;"""",""[^0-9]"",""""),9))"),"")</f>
        <v/>
      </c>
      <c r="B561" s="5"/>
      <c r="C561" s="5"/>
      <c r="D561" s="5"/>
      <c r="E561" s="23"/>
      <c r="F561" s="23"/>
      <c r="G561" s="23"/>
      <c r="H561" s="23"/>
      <c r="I561" s="23"/>
      <c r="J561" s="23"/>
      <c r="K561" s="10" t="str">
        <f t="shared" si="1"/>
        <v/>
      </c>
      <c r="L561" s="27"/>
      <c r="M561" s="27"/>
      <c r="N561" s="10" t="str">
        <f t="shared" ref="N561:N562" si="189">IF(COUNTIF($A$2:A560,A561)&gt;0,INDEX($C$2:C560,MATCH(A561,$A$2:A560,0)),"")</f>
        <v/>
      </c>
      <c r="O561" s="17"/>
      <c r="P561" s="29"/>
    </row>
    <row r="562" ht="15.75" customHeight="1">
      <c r="A562" s="9" t="str">
        <f>IFERROR(__xludf.DUMMYFUNCTION("IF(B562="""","""",RIGHT(regexreplace(B562&amp;"""",""[^0-9]"",""""),9))"),"")</f>
        <v/>
      </c>
      <c r="B562" s="5"/>
      <c r="C562" s="5"/>
      <c r="D562" s="5"/>
      <c r="E562" s="23"/>
      <c r="F562" s="23"/>
      <c r="G562" s="23"/>
      <c r="H562" s="23"/>
      <c r="I562" s="23"/>
      <c r="J562" s="23"/>
      <c r="K562" s="10" t="str">
        <f t="shared" si="1"/>
        <v/>
      </c>
      <c r="L562" s="27"/>
      <c r="M562" s="27"/>
      <c r="N562" s="10" t="str">
        <f t="shared" si="189"/>
        <v/>
      </c>
      <c r="O562" s="17"/>
      <c r="P562" s="29"/>
    </row>
    <row r="563" ht="15.75" customHeight="1">
      <c r="A563" s="9" t="str">
        <f>IFERROR(__xludf.DUMMYFUNCTION("IF(B563="""","""",RIGHT(regexreplace(B563&amp;"""",""[^0-9]"",""""),9))"),"")</f>
        <v/>
      </c>
      <c r="B563" s="5"/>
      <c r="C563" s="5"/>
      <c r="D563" s="5"/>
      <c r="E563" s="23"/>
      <c r="F563" s="23"/>
      <c r="G563" s="23"/>
      <c r="H563" s="23"/>
      <c r="I563" s="23"/>
      <c r="J563" s="23"/>
      <c r="K563" s="10" t="str">
        <f t="shared" si="1"/>
        <v/>
      </c>
      <c r="L563" s="27"/>
      <c r="M563" s="27"/>
      <c r="N563" s="10" t="str">
        <f t="array" ref="N563">IF(COUNTIF($A$2:A562,A)&gt;0,INDEX($C$2:C562,MATCH(A563,$A$2:A562,0)),"")</f>
        <v/>
      </c>
      <c r="O563" s="17"/>
      <c r="P563" s="29"/>
    </row>
    <row r="564" ht="15.75" customHeight="1">
      <c r="A564" s="9" t="str">
        <f>IFERROR(__xludf.DUMMYFUNCTION("IF(B564="""","""",RIGHT(regexreplace(B564&amp;"""",""[^0-9]"",""""),9))"),"")</f>
        <v/>
      </c>
      <c r="B564" s="5"/>
      <c r="C564" s="5"/>
      <c r="D564" s="5"/>
      <c r="E564" s="23"/>
      <c r="F564" s="23"/>
      <c r="G564" s="23"/>
      <c r="H564" s="23"/>
      <c r="I564" s="23"/>
      <c r="J564" s="23"/>
      <c r="K564" s="10" t="str">
        <f t="shared" si="1"/>
        <v/>
      </c>
      <c r="L564" s="27"/>
      <c r="M564" s="27"/>
      <c r="N564" s="10" t="str">
        <f t="shared" ref="N564:N565" si="190">IF(COUNTIF($A$2:A563,A564)&gt;0,INDEX($C$2:C563,MATCH(A564,$A$2:A563,0)),"")</f>
        <v/>
      </c>
      <c r="O564" s="17"/>
      <c r="P564" s="29"/>
    </row>
    <row r="565" ht="15.75" customHeight="1">
      <c r="A565" s="9" t="str">
        <f>IFERROR(__xludf.DUMMYFUNCTION("IF(B565="""","""",RIGHT(regexreplace(B565&amp;"""",""[^0-9]"",""""),9))"),"")</f>
        <v/>
      </c>
      <c r="B565" s="5"/>
      <c r="C565" s="5"/>
      <c r="D565" s="5"/>
      <c r="E565" s="23"/>
      <c r="F565" s="23"/>
      <c r="G565" s="23"/>
      <c r="H565" s="23"/>
      <c r="I565" s="23"/>
      <c r="J565" s="23"/>
      <c r="K565" s="10" t="str">
        <f t="shared" si="1"/>
        <v/>
      </c>
      <c r="L565" s="27"/>
      <c r="M565" s="27"/>
      <c r="N565" s="10" t="str">
        <f t="shared" si="190"/>
        <v/>
      </c>
      <c r="O565" s="17"/>
      <c r="P565" s="29"/>
    </row>
    <row r="566" ht="15.75" customHeight="1">
      <c r="A566" s="9" t="str">
        <f>IFERROR(__xludf.DUMMYFUNCTION("IF(B566="""","""",RIGHT(regexreplace(B566&amp;"""",""[^0-9]"",""""),9))"),"")</f>
        <v/>
      </c>
      <c r="B566" s="5"/>
      <c r="C566" s="5"/>
      <c r="D566" s="5"/>
      <c r="E566" s="23"/>
      <c r="F566" s="23"/>
      <c r="G566" s="23"/>
      <c r="H566" s="23"/>
      <c r="I566" s="23"/>
      <c r="J566" s="23"/>
      <c r="K566" s="10" t="str">
        <f t="shared" si="1"/>
        <v/>
      </c>
      <c r="L566" s="27"/>
      <c r="M566" s="27"/>
      <c r="N566" s="10" t="str">
        <f t="array" ref="N566">IF(COUNTIF($A$2:A565,A)&gt;0,INDEX($C$2:C565,MATCH(A566,$A$2:A565,0)),"")</f>
        <v/>
      </c>
      <c r="O566" s="17"/>
      <c r="P566" s="29"/>
    </row>
    <row r="567" ht="15.75" customHeight="1">
      <c r="A567" s="9" t="str">
        <f>IFERROR(__xludf.DUMMYFUNCTION("IF(B567="""","""",RIGHT(regexreplace(B567&amp;"""",""[^0-9]"",""""),9))"),"")</f>
        <v/>
      </c>
      <c r="B567" s="5"/>
      <c r="C567" s="5"/>
      <c r="D567" s="5"/>
      <c r="E567" s="23"/>
      <c r="F567" s="23"/>
      <c r="G567" s="23"/>
      <c r="H567" s="23"/>
      <c r="I567" s="23"/>
      <c r="J567" s="23"/>
      <c r="K567" s="10" t="str">
        <f t="shared" si="1"/>
        <v/>
      </c>
      <c r="L567" s="27"/>
      <c r="M567" s="27"/>
      <c r="N567" s="10" t="str">
        <f t="shared" ref="N567:N568" si="191">IF(COUNTIF($A$2:A566,A567)&gt;0,INDEX($C$2:C566,MATCH(A567,$A$2:A566,0)),"")</f>
        <v/>
      </c>
      <c r="O567" s="17"/>
      <c r="P567" s="29"/>
    </row>
    <row r="568" ht="15.75" customHeight="1">
      <c r="A568" s="9" t="str">
        <f>IFERROR(__xludf.DUMMYFUNCTION("IF(B568="""","""",RIGHT(regexreplace(B568&amp;"""",""[^0-9]"",""""),9))"),"")</f>
        <v/>
      </c>
      <c r="B568" s="5"/>
      <c r="C568" s="5"/>
      <c r="D568" s="5"/>
      <c r="E568" s="23"/>
      <c r="F568" s="23"/>
      <c r="G568" s="23"/>
      <c r="H568" s="23"/>
      <c r="I568" s="23"/>
      <c r="J568" s="23"/>
      <c r="K568" s="10" t="str">
        <f t="shared" si="1"/>
        <v/>
      </c>
      <c r="L568" s="27"/>
      <c r="M568" s="27"/>
      <c r="N568" s="10" t="str">
        <f t="shared" si="191"/>
        <v/>
      </c>
      <c r="O568" s="17"/>
      <c r="P568" s="29"/>
    </row>
    <row r="569" ht="15.75" customHeight="1">
      <c r="A569" s="9" t="str">
        <f>IFERROR(__xludf.DUMMYFUNCTION("IF(B569="""","""",RIGHT(regexreplace(B569&amp;"""",""[^0-9]"",""""),9))"),"")</f>
        <v/>
      </c>
      <c r="B569" s="5"/>
      <c r="C569" s="5"/>
      <c r="D569" s="5"/>
      <c r="E569" s="23"/>
      <c r="F569" s="23"/>
      <c r="G569" s="23"/>
      <c r="H569" s="23"/>
      <c r="I569" s="23"/>
      <c r="J569" s="23"/>
      <c r="K569" s="10" t="str">
        <f t="shared" si="1"/>
        <v/>
      </c>
      <c r="L569" s="27"/>
      <c r="M569" s="27"/>
      <c r="N569" s="10" t="str">
        <f t="array" ref="N569">IF(COUNTIF($A$2:A568,A)&gt;0,INDEX($C$2:C568,MATCH(A569,$A$2:A568,0)),"")</f>
        <v/>
      </c>
      <c r="O569" s="17"/>
      <c r="P569" s="29"/>
    </row>
    <row r="570" ht="15.75" customHeight="1">
      <c r="A570" s="9" t="str">
        <f>IFERROR(__xludf.DUMMYFUNCTION("IF(B570="""","""",RIGHT(regexreplace(B570&amp;"""",""[^0-9]"",""""),9))"),"")</f>
        <v/>
      </c>
      <c r="B570" s="5"/>
      <c r="C570" s="5"/>
      <c r="D570" s="5"/>
      <c r="E570" s="23"/>
      <c r="F570" s="23"/>
      <c r="G570" s="23"/>
      <c r="H570" s="23"/>
      <c r="I570" s="23"/>
      <c r="J570" s="23"/>
      <c r="K570" s="10" t="str">
        <f t="shared" si="1"/>
        <v/>
      </c>
      <c r="L570" s="27"/>
      <c r="M570" s="27"/>
      <c r="N570" s="10" t="str">
        <f t="shared" ref="N570:N571" si="192">IF(COUNTIF($A$2:A569,A570)&gt;0,INDEX($C$2:C569,MATCH(A570,$A$2:A569,0)),"")</f>
        <v/>
      </c>
      <c r="O570" s="17"/>
      <c r="P570" s="29"/>
    </row>
    <row r="571" ht="15.75" customHeight="1">
      <c r="A571" s="9" t="str">
        <f>IFERROR(__xludf.DUMMYFUNCTION("IF(B571="""","""",RIGHT(regexreplace(B571&amp;"""",""[^0-9]"",""""),9))"),"")</f>
        <v/>
      </c>
      <c r="B571" s="5"/>
      <c r="C571" s="5"/>
      <c r="D571" s="5"/>
      <c r="E571" s="23"/>
      <c r="F571" s="23"/>
      <c r="G571" s="23"/>
      <c r="H571" s="23"/>
      <c r="I571" s="23"/>
      <c r="J571" s="23"/>
      <c r="K571" s="10" t="str">
        <f t="shared" si="1"/>
        <v/>
      </c>
      <c r="L571" s="27"/>
      <c r="M571" s="27"/>
      <c r="N571" s="10" t="str">
        <f t="shared" si="192"/>
        <v/>
      </c>
      <c r="O571" s="17"/>
      <c r="P571" s="29"/>
    </row>
    <row r="572" ht="15.75" customHeight="1">
      <c r="A572" s="9" t="str">
        <f>IFERROR(__xludf.DUMMYFUNCTION("IF(B572="""","""",RIGHT(regexreplace(B572&amp;"""",""[^0-9]"",""""),9))"),"")</f>
        <v/>
      </c>
      <c r="B572" s="5"/>
      <c r="C572" s="5"/>
      <c r="D572" s="5"/>
      <c r="E572" s="23"/>
      <c r="F572" s="23"/>
      <c r="G572" s="23"/>
      <c r="H572" s="23"/>
      <c r="I572" s="23"/>
      <c r="J572" s="23"/>
      <c r="K572" s="10" t="str">
        <f t="shared" si="1"/>
        <v/>
      </c>
      <c r="L572" s="27"/>
      <c r="M572" s="27"/>
      <c r="N572" s="10" t="str">
        <f t="array" ref="N572">IF(COUNTIF($A$2:A571,A)&gt;0,INDEX($C$2:C571,MATCH(A572,$A$2:A571,0)),"")</f>
        <v/>
      </c>
      <c r="O572" s="17"/>
      <c r="P572" s="29"/>
    </row>
    <row r="573" ht="15.75" customHeight="1">
      <c r="A573" s="9" t="str">
        <f>IFERROR(__xludf.DUMMYFUNCTION("IF(B573="""","""",RIGHT(regexreplace(B573&amp;"""",""[^0-9]"",""""),9))"),"")</f>
        <v/>
      </c>
      <c r="B573" s="5"/>
      <c r="C573" s="5"/>
      <c r="D573" s="5"/>
      <c r="E573" s="23"/>
      <c r="F573" s="23"/>
      <c r="G573" s="23"/>
      <c r="H573" s="23"/>
      <c r="I573" s="23"/>
      <c r="J573" s="23"/>
      <c r="K573" s="10" t="str">
        <f t="shared" si="1"/>
        <v/>
      </c>
      <c r="L573" s="27"/>
      <c r="M573" s="27"/>
      <c r="N573" s="10" t="str">
        <f t="shared" ref="N573:N574" si="193">IF(COUNTIF($A$2:A572,A573)&gt;0,INDEX($C$2:C572,MATCH(A573,$A$2:A572,0)),"")</f>
        <v/>
      </c>
      <c r="O573" s="17"/>
      <c r="P573" s="29"/>
    </row>
    <row r="574" ht="15.75" customHeight="1">
      <c r="A574" s="9" t="str">
        <f>IFERROR(__xludf.DUMMYFUNCTION("IF(B574="""","""",RIGHT(regexreplace(B574&amp;"""",""[^0-9]"",""""),9))"),"")</f>
        <v/>
      </c>
      <c r="B574" s="5"/>
      <c r="C574" s="5"/>
      <c r="D574" s="5"/>
      <c r="E574" s="23"/>
      <c r="F574" s="23"/>
      <c r="G574" s="23"/>
      <c r="H574" s="23"/>
      <c r="I574" s="23"/>
      <c r="J574" s="23"/>
      <c r="K574" s="10" t="str">
        <f t="shared" si="1"/>
        <v/>
      </c>
      <c r="L574" s="27"/>
      <c r="M574" s="27"/>
      <c r="N574" s="10" t="str">
        <f t="shared" si="193"/>
        <v/>
      </c>
      <c r="O574" s="17"/>
      <c r="P574" s="29"/>
    </row>
    <row r="575" ht="15.75" customHeight="1">
      <c r="A575" s="9" t="str">
        <f>IFERROR(__xludf.DUMMYFUNCTION("IF(B575="""","""",RIGHT(regexreplace(B575&amp;"""",""[^0-9]"",""""),9))"),"")</f>
        <v/>
      </c>
      <c r="B575" s="5"/>
      <c r="C575" s="5"/>
      <c r="D575" s="5"/>
      <c r="E575" s="23"/>
      <c r="F575" s="23"/>
      <c r="G575" s="23"/>
      <c r="H575" s="23"/>
      <c r="I575" s="23"/>
      <c r="J575" s="23"/>
      <c r="K575" s="10" t="str">
        <f t="shared" si="1"/>
        <v/>
      </c>
      <c r="L575" s="27"/>
      <c r="M575" s="27"/>
      <c r="N575" s="10" t="str">
        <f t="array" ref="N575">IF(COUNTIF($A$2:A574,A)&gt;0,INDEX($C$2:C574,MATCH(A575,$A$2:A574,0)),"")</f>
        <v/>
      </c>
      <c r="O575" s="17"/>
      <c r="P575" s="29"/>
    </row>
    <row r="576" ht="15.75" customHeight="1">
      <c r="A576" s="9" t="str">
        <f>IFERROR(__xludf.DUMMYFUNCTION("IF(B576="""","""",RIGHT(regexreplace(B576&amp;"""",""[^0-9]"",""""),9))"),"")</f>
        <v/>
      </c>
      <c r="B576" s="5"/>
      <c r="C576" s="5"/>
      <c r="D576" s="5"/>
      <c r="E576" s="23"/>
      <c r="F576" s="23"/>
      <c r="G576" s="23"/>
      <c r="H576" s="23"/>
      <c r="I576" s="23"/>
      <c r="J576" s="23"/>
      <c r="K576" s="10" t="str">
        <f t="shared" si="1"/>
        <v/>
      </c>
      <c r="L576" s="27"/>
      <c r="M576" s="27"/>
      <c r="N576" s="10" t="str">
        <f t="shared" ref="N576:N577" si="194">IF(COUNTIF($A$2:A575,A576)&gt;0,INDEX($C$2:C575,MATCH(A576,$A$2:A575,0)),"")</f>
        <v/>
      </c>
      <c r="O576" s="17"/>
      <c r="P576" s="29"/>
    </row>
    <row r="577" ht="15.75" customHeight="1">
      <c r="A577" s="9" t="str">
        <f>IFERROR(__xludf.DUMMYFUNCTION("IF(B577="""","""",RIGHT(regexreplace(B577&amp;"""",""[^0-9]"",""""),9))"),"")</f>
        <v/>
      </c>
      <c r="B577" s="5"/>
      <c r="C577" s="5"/>
      <c r="D577" s="5"/>
      <c r="E577" s="23"/>
      <c r="F577" s="23"/>
      <c r="G577" s="23"/>
      <c r="H577" s="23"/>
      <c r="I577" s="23"/>
      <c r="J577" s="23"/>
      <c r="K577" s="10" t="str">
        <f t="shared" si="1"/>
        <v/>
      </c>
      <c r="L577" s="27"/>
      <c r="M577" s="27"/>
      <c r="N577" s="10" t="str">
        <f t="shared" si="194"/>
        <v/>
      </c>
      <c r="O577" s="17"/>
      <c r="P577" s="29"/>
    </row>
    <row r="578" ht="15.75" customHeight="1">
      <c r="A578" s="9" t="str">
        <f>IFERROR(__xludf.DUMMYFUNCTION("IF(B578="""","""",RIGHT(regexreplace(B578&amp;"""",""[^0-9]"",""""),9))"),"")</f>
        <v/>
      </c>
      <c r="B578" s="5"/>
      <c r="C578" s="5"/>
      <c r="D578" s="5"/>
      <c r="E578" s="23"/>
      <c r="F578" s="23"/>
      <c r="G578" s="23"/>
      <c r="H578" s="23"/>
      <c r="I578" s="23"/>
      <c r="J578" s="23"/>
      <c r="K578" s="10" t="str">
        <f t="shared" si="1"/>
        <v/>
      </c>
      <c r="L578" s="27"/>
      <c r="M578" s="27"/>
      <c r="N578" s="10" t="str">
        <f t="array" ref="N578">IF(COUNTIF($A$2:A577,A)&gt;0,INDEX($C$2:C577,MATCH(A578,$A$2:A577,0)),"")</f>
        <v/>
      </c>
      <c r="O578" s="17"/>
      <c r="P578" s="29"/>
    </row>
    <row r="579" ht="15.75" customHeight="1">
      <c r="A579" s="9" t="str">
        <f>IFERROR(__xludf.DUMMYFUNCTION("IF(B579="""","""",RIGHT(regexreplace(B579&amp;"""",""[^0-9]"",""""),9))"),"")</f>
        <v/>
      </c>
      <c r="B579" s="5"/>
      <c r="C579" s="5"/>
      <c r="D579" s="5"/>
      <c r="E579" s="23"/>
      <c r="F579" s="23"/>
      <c r="G579" s="23"/>
      <c r="H579" s="23"/>
      <c r="I579" s="23"/>
      <c r="J579" s="23"/>
      <c r="K579" s="10" t="str">
        <f t="shared" si="1"/>
        <v/>
      </c>
      <c r="L579" s="27"/>
      <c r="M579" s="27"/>
      <c r="N579" s="10" t="str">
        <f t="shared" ref="N579:N580" si="195">IF(COUNTIF($A$2:A578,A579)&gt;0,INDEX($C$2:C578,MATCH(A579,$A$2:A578,0)),"")</f>
        <v/>
      </c>
      <c r="O579" s="17"/>
      <c r="P579" s="29"/>
    </row>
    <row r="580" ht="15.75" customHeight="1">
      <c r="A580" s="9" t="str">
        <f>IFERROR(__xludf.DUMMYFUNCTION("IF(B580="""","""",RIGHT(regexreplace(B580&amp;"""",""[^0-9]"",""""),9))"),"")</f>
        <v/>
      </c>
      <c r="B580" s="5"/>
      <c r="C580" s="5"/>
      <c r="D580" s="5"/>
      <c r="E580" s="23"/>
      <c r="F580" s="23"/>
      <c r="G580" s="23"/>
      <c r="H580" s="23"/>
      <c r="I580" s="23"/>
      <c r="J580" s="23"/>
      <c r="K580" s="10" t="str">
        <f t="shared" si="1"/>
        <v/>
      </c>
      <c r="L580" s="27"/>
      <c r="M580" s="27"/>
      <c r="N580" s="10" t="str">
        <f t="shared" si="195"/>
        <v/>
      </c>
      <c r="O580" s="17"/>
      <c r="P580" s="29"/>
    </row>
    <row r="581" ht="15.75" customHeight="1">
      <c r="A581" s="9" t="str">
        <f>IFERROR(__xludf.DUMMYFUNCTION("IF(B581="""","""",RIGHT(regexreplace(B581&amp;"""",""[^0-9]"",""""),9))"),"")</f>
        <v/>
      </c>
      <c r="B581" s="5"/>
      <c r="C581" s="5"/>
      <c r="D581" s="5"/>
      <c r="E581" s="23"/>
      <c r="F581" s="23"/>
      <c r="G581" s="23"/>
      <c r="H581" s="23"/>
      <c r="I581" s="23"/>
      <c r="J581" s="23"/>
      <c r="K581" s="10" t="str">
        <f t="shared" si="1"/>
        <v/>
      </c>
      <c r="L581" s="27"/>
      <c r="M581" s="27"/>
      <c r="N581" s="10" t="str">
        <f t="array" ref="N581">IF(COUNTIF($A$2:A580,A)&gt;0,INDEX($C$2:C580,MATCH(A581,$A$2:A580,0)),"")</f>
        <v/>
      </c>
      <c r="O581" s="17"/>
      <c r="P581" s="29"/>
    </row>
    <row r="582" ht="15.75" customHeight="1">
      <c r="A582" s="9" t="str">
        <f>IFERROR(__xludf.DUMMYFUNCTION("IF(B582="""","""",RIGHT(regexreplace(B582&amp;"""",""[^0-9]"",""""),9))"),"")</f>
        <v/>
      </c>
      <c r="B582" s="5"/>
      <c r="C582" s="5"/>
      <c r="D582" s="5"/>
      <c r="E582" s="23"/>
      <c r="F582" s="23"/>
      <c r="G582" s="23"/>
      <c r="H582" s="23"/>
      <c r="I582" s="23"/>
      <c r="J582" s="23"/>
      <c r="K582" s="10" t="str">
        <f t="shared" si="1"/>
        <v/>
      </c>
      <c r="L582" s="27"/>
      <c r="M582" s="27"/>
      <c r="N582" s="10" t="str">
        <f t="shared" ref="N582:N583" si="196">IF(COUNTIF($A$2:A581,A582)&gt;0,INDEX($C$2:C581,MATCH(A582,$A$2:A581,0)),"")</f>
        <v/>
      </c>
      <c r="O582" s="17"/>
      <c r="P582" s="29"/>
    </row>
    <row r="583" ht="15.75" customHeight="1">
      <c r="A583" s="9" t="str">
        <f>IFERROR(__xludf.DUMMYFUNCTION("IF(B583="""","""",RIGHT(regexreplace(B583&amp;"""",""[^0-9]"",""""),9))"),"")</f>
        <v/>
      </c>
      <c r="B583" s="5"/>
      <c r="C583" s="5"/>
      <c r="D583" s="5"/>
      <c r="E583" s="23"/>
      <c r="F583" s="23"/>
      <c r="G583" s="23"/>
      <c r="H583" s="23"/>
      <c r="I583" s="23"/>
      <c r="J583" s="23"/>
      <c r="K583" s="10" t="str">
        <f t="shared" si="1"/>
        <v/>
      </c>
      <c r="L583" s="27"/>
      <c r="M583" s="27"/>
      <c r="N583" s="10" t="str">
        <f t="shared" si="196"/>
        <v/>
      </c>
      <c r="O583" s="17"/>
      <c r="P583" s="29"/>
    </row>
    <row r="584" ht="15.75" customHeight="1">
      <c r="A584" s="9" t="str">
        <f>IFERROR(__xludf.DUMMYFUNCTION("IF(B584="""","""",RIGHT(regexreplace(B584&amp;"""",""[^0-9]"",""""),9))"),"")</f>
        <v/>
      </c>
      <c r="B584" s="5"/>
      <c r="C584" s="5"/>
      <c r="D584" s="5"/>
      <c r="E584" s="23"/>
      <c r="F584" s="23"/>
      <c r="G584" s="23"/>
      <c r="H584" s="23"/>
      <c r="I584" s="23"/>
      <c r="J584" s="23"/>
      <c r="K584" s="10" t="str">
        <f t="shared" si="1"/>
        <v/>
      </c>
      <c r="L584" s="27"/>
      <c r="M584" s="27"/>
      <c r="N584" s="10" t="str">
        <f t="array" ref="N584">IF(COUNTIF($A$2:A583,A)&gt;0,INDEX($C$2:C583,MATCH(A584,$A$2:A583,0)),"")</f>
        <v/>
      </c>
      <c r="O584" s="17"/>
      <c r="P584" s="29"/>
    </row>
    <row r="585" ht="15.75" customHeight="1">
      <c r="A585" s="9" t="str">
        <f>IFERROR(__xludf.DUMMYFUNCTION("IF(B585="""","""",RIGHT(regexreplace(B585&amp;"""",""[^0-9]"",""""),9))"),"")</f>
        <v/>
      </c>
      <c r="B585" s="5"/>
      <c r="C585" s="5"/>
      <c r="D585" s="5"/>
      <c r="E585" s="23"/>
      <c r="F585" s="23"/>
      <c r="G585" s="23"/>
      <c r="H585" s="23"/>
      <c r="I585" s="23"/>
      <c r="J585" s="23"/>
      <c r="K585" s="10" t="str">
        <f t="shared" si="1"/>
        <v/>
      </c>
      <c r="L585" s="27"/>
      <c r="M585" s="27"/>
      <c r="N585" s="10" t="str">
        <f t="shared" ref="N585:N586" si="197">IF(COUNTIF($A$2:A584,A585)&gt;0,INDEX($C$2:C584,MATCH(A585,$A$2:A584,0)),"")</f>
        <v/>
      </c>
      <c r="O585" s="17"/>
      <c r="P585" s="29"/>
    </row>
    <row r="586" ht="15.75" customHeight="1">
      <c r="A586" s="9" t="str">
        <f>IFERROR(__xludf.DUMMYFUNCTION("IF(B586="""","""",RIGHT(regexreplace(B586&amp;"""",""[^0-9]"",""""),9))"),"")</f>
        <v/>
      </c>
      <c r="B586" s="5"/>
      <c r="C586" s="5"/>
      <c r="D586" s="5"/>
      <c r="E586" s="23"/>
      <c r="F586" s="23"/>
      <c r="G586" s="23"/>
      <c r="H586" s="23"/>
      <c r="I586" s="23"/>
      <c r="J586" s="23"/>
      <c r="K586" s="10" t="str">
        <f t="shared" si="1"/>
        <v/>
      </c>
      <c r="L586" s="27"/>
      <c r="M586" s="27"/>
      <c r="N586" s="10" t="str">
        <f t="shared" si="197"/>
        <v/>
      </c>
      <c r="O586" s="17"/>
      <c r="P586" s="29"/>
    </row>
    <row r="587" ht="15.75" customHeight="1">
      <c r="A587" s="9" t="str">
        <f>IFERROR(__xludf.DUMMYFUNCTION("IF(B587="""","""",RIGHT(regexreplace(B587&amp;"""",""[^0-9]"",""""),9))"),"")</f>
        <v/>
      </c>
      <c r="B587" s="5"/>
      <c r="C587" s="5"/>
      <c r="D587" s="5"/>
      <c r="E587" s="23"/>
      <c r="F587" s="23"/>
      <c r="G587" s="23"/>
      <c r="H587" s="23"/>
      <c r="I587" s="23"/>
      <c r="J587" s="23"/>
      <c r="K587" s="10" t="str">
        <f t="shared" si="1"/>
        <v/>
      </c>
      <c r="L587" s="27"/>
      <c r="M587" s="27"/>
      <c r="N587" s="10" t="str">
        <f t="array" ref="N587">IF(COUNTIF($A$2:A586,A)&gt;0,INDEX($C$2:C586,MATCH(A587,$A$2:A586,0)),"")</f>
        <v/>
      </c>
      <c r="O587" s="17"/>
      <c r="P587" s="29"/>
    </row>
    <row r="588" ht="15.75" customHeight="1">
      <c r="A588" s="9" t="str">
        <f>IFERROR(__xludf.DUMMYFUNCTION("IF(B588="""","""",RIGHT(regexreplace(B588&amp;"""",""[^0-9]"",""""),9))"),"")</f>
        <v/>
      </c>
      <c r="B588" s="5"/>
      <c r="C588" s="5"/>
      <c r="D588" s="5"/>
      <c r="E588" s="23"/>
      <c r="F588" s="23"/>
      <c r="G588" s="23"/>
      <c r="H588" s="23"/>
      <c r="I588" s="23"/>
      <c r="J588" s="23"/>
      <c r="K588" s="10" t="str">
        <f t="shared" si="1"/>
        <v/>
      </c>
      <c r="L588" s="27"/>
      <c r="M588" s="27"/>
      <c r="N588" s="10" t="str">
        <f t="shared" ref="N588:N589" si="198">IF(COUNTIF($A$2:A587,A588)&gt;0,INDEX($C$2:C587,MATCH(A588,$A$2:A587,0)),"")</f>
        <v/>
      </c>
      <c r="O588" s="17"/>
      <c r="P588" s="29"/>
    </row>
    <row r="589" ht="15.75" customHeight="1">
      <c r="A589" s="9" t="str">
        <f>IFERROR(__xludf.DUMMYFUNCTION("IF(B589="""","""",RIGHT(regexreplace(B589&amp;"""",""[^0-9]"",""""),9))"),"")</f>
        <v/>
      </c>
      <c r="B589" s="5"/>
      <c r="C589" s="5"/>
      <c r="D589" s="5"/>
      <c r="E589" s="23"/>
      <c r="F589" s="23"/>
      <c r="G589" s="23"/>
      <c r="H589" s="23"/>
      <c r="I589" s="23"/>
      <c r="J589" s="23"/>
      <c r="K589" s="10" t="str">
        <f t="shared" si="1"/>
        <v/>
      </c>
      <c r="L589" s="27"/>
      <c r="M589" s="27"/>
      <c r="N589" s="10" t="str">
        <f t="shared" si="198"/>
        <v/>
      </c>
      <c r="O589" s="17"/>
      <c r="P589" s="29"/>
    </row>
    <row r="590" ht="15.75" customHeight="1">
      <c r="A590" s="9" t="str">
        <f>IFERROR(__xludf.DUMMYFUNCTION("IF(B590="""","""",RIGHT(regexreplace(B590&amp;"""",""[^0-9]"",""""),9))"),"")</f>
        <v/>
      </c>
      <c r="B590" s="5"/>
      <c r="C590" s="5"/>
      <c r="D590" s="5"/>
      <c r="E590" s="23"/>
      <c r="F590" s="23"/>
      <c r="G590" s="23"/>
      <c r="H590" s="23"/>
      <c r="I590" s="23"/>
      <c r="J590" s="23"/>
      <c r="K590" s="10" t="str">
        <f t="shared" si="1"/>
        <v/>
      </c>
      <c r="L590" s="27"/>
      <c r="M590" s="27"/>
      <c r="N590" s="10" t="str">
        <f t="array" ref="N590">IF(COUNTIF($A$2:A589,A)&gt;0,INDEX($C$2:C589,MATCH(A590,$A$2:A589,0)),"")</f>
        <v/>
      </c>
      <c r="O590" s="17"/>
      <c r="P590" s="29"/>
    </row>
    <row r="591" ht="15.75" customHeight="1">
      <c r="A591" s="9" t="str">
        <f>IFERROR(__xludf.DUMMYFUNCTION("IF(B591="""","""",RIGHT(regexreplace(B591&amp;"""",""[^0-9]"",""""),9))"),"")</f>
        <v/>
      </c>
      <c r="B591" s="5"/>
      <c r="C591" s="5"/>
      <c r="D591" s="5"/>
      <c r="E591" s="23"/>
      <c r="F591" s="23"/>
      <c r="G591" s="23"/>
      <c r="H591" s="23"/>
      <c r="I591" s="23"/>
      <c r="J591" s="23"/>
      <c r="K591" s="10" t="str">
        <f t="shared" si="1"/>
        <v/>
      </c>
      <c r="L591" s="27"/>
      <c r="M591" s="27"/>
      <c r="N591" s="10" t="str">
        <f t="shared" ref="N591:N592" si="199">IF(COUNTIF($A$2:A590,A591)&gt;0,INDEX($C$2:C590,MATCH(A591,$A$2:A590,0)),"")</f>
        <v/>
      </c>
      <c r="O591" s="17"/>
      <c r="P591" s="29"/>
    </row>
    <row r="592" ht="15.75" customHeight="1">
      <c r="A592" s="9" t="str">
        <f>IFERROR(__xludf.DUMMYFUNCTION("IF(B592="""","""",RIGHT(regexreplace(B592&amp;"""",""[^0-9]"",""""),9))"),"")</f>
        <v/>
      </c>
      <c r="B592" s="5"/>
      <c r="C592" s="5"/>
      <c r="D592" s="5"/>
      <c r="E592" s="23"/>
      <c r="F592" s="23"/>
      <c r="G592" s="23"/>
      <c r="H592" s="23"/>
      <c r="I592" s="23"/>
      <c r="J592" s="23"/>
      <c r="K592" s="10" t="str">
        <f t="shared" si="1"/>
        <v/>
      </c>
      <c r="L592" s="27"/>
      <c r="M592" s="27"/>
      <c r="N592" s="10" t="str">
        <f t="shared" si="199"/>
        <v/>
      </c>
      <c r="O592" s="17"/>
      <c r="P592" s="29"/>
    </row>
    <row r="593" ht="15.75" customHeight="1">
      <c r="A593" s="9" t="str">
        <f>IFERROR(__xludf.DUMMYFUNCTION("IF(B593="""","""",RIGHT(regexreplace(B593&amp;"""",""[^0-9]"",""""),9))"),"")</f>
        <v/>
      </c>
      <c r="B593" s="5"/>
      <c r="C593" s="5"/>
      <c r="D593" s="5"/>
      <c r="E593" s="23"/>
      <c r="F593" s="23"/>
      <c r="G593" s="23"/>
      <c r="H593" s="23"/>
      <c r="I593" s="23"/>
      <c r="J593" s="23"/>
      <c r="K593" s="10" t="str">
        <f t="shared" si="1"/>
        <v/>
      </c>
      <c r="L593" s="27"/>
      <c r="M593" s="27"/>
      <c r="N593" s="10" t="str">
        <f t="array" ref="N593">IF(COUNTIF($A$2:A592,A)&gt;0,INDEX($C$2:C592,MATCH(A593,$A$2:A592,0)),"")</f>
        <v/>
      </c>
      <c r="O593" s="17"/>
      <c r="P593" s="29"/>
    </row>
    <row r="594" ht="15.75" customHeight="1">
      <c r="A594" s="9" t="str">
        <f>IFERROR(__xludf.DUMMYFUNCTION("IF(B594="""","""",RIGHT(regexreplace(B594&amp;"""",""[^0-9]"",""""),9))"),"")</f>
        <v/>
      </c>
      <c r="B594" s="5"/>
      <c r="C594" s="5"/>
      <c r="D594" s="5"/>
      <c r="E594" s="23"/>
      <c r="F594" s="23"/>
      <c r="G594" s="23"/>
      <c r="H594" s="23"/>
      <c r="I594" s="23"/>
      <c r="J594" s="23"/>
      <c r="K594" s="10" t="str">
        <f t="shared" si="1"/>
        <v/>
      </c>
      <c r="L594" s="27"/>
      <c r="M594" s="27"/>
      <c r="N594" s="10" t="str">
        <f t="shared" ref="N594:N595" si="200">IF(COUNTIF($A$2:A593,A594)&gt;0,INDEX($C$2:C593,MATCH(A594,$A$2:A593,0)),"")</f>
        <v/>
      </c>
      <c r="O594" s="17"/>
      <c r="P594" s="29"/>
    </row>
    <row r="595" ht="15.75" customHeight="1">
      <c r="A595" s="9" t="str">
        <f>IFERROR(__xludf.DUMMYFUNCTION("IF(B595="""","""",RIGHT(regexreplace(B595&amp;"""",""[^0-9]"",""""),9))"),"")</f>
        <v/>
      </c>
      <c r="B595" s="5"/>
      <c r="C595" s="5"/>
      <c r="D595" s="5"/>
      <c r="E595" s="23"/>
      <c r="F595" s="23"/>
      <c r="G595" s="23"/>
      <c r="H595" s="23"/>
      <c r="I595" s="23"/>
      <c r="J595" s="23"/>
      <c r="K595" s="10" t="str">
        <f t="shared" si="1"/>
        <v/>
      </c>
      <c r="L595" s="27"/>
      <c r="M595" s="27"/>
      <c r="N595" s="10" t="str">
        <f t="shared" si="200"/>
        <v/>
      </c>
      <c r="O595" s="17"/>
      <c r="P595" s="29"/>
    </row>
    <row r="596" ht="15.75" customHeight="1">
      <c r="A596" s="9" t="str">
        <f>IFERROR(__xludf.DUMMYFUNCTION("IF(B596="""","""",RIGHT(regexreplace(B596&amp;"""",""[^0-9]"",""""),9))"),"")</f>
        <v/>
      </c>
      <c r="B596" s="5"/>
      <c r="C596" s="5"/>
      <c r="D596" s="5"/>
      <c r="E596" s="23"/>
      <c r="F596" s="23"/>
      <c r="G596" s="23"/>
      <c r="H596" s="23"/>
      <c r="I596" s="23"/>
      <c r="J596" s="23"/>
      <c r="K596" s="10" t="str">
        <f t="shared" si="1"/>
        <v/>
      </c>
      <c r="L596" s="27"/>
      <c r="M596" s="27"/>
      <c r="N596" s="10" t="str">
        <f t="array" ref="N596">IF(COUNTIF($A$2:A595,A)&gt;0,INDEX($C$2:C595,MATCH(A596,$A$2:A595,0)),"")</f>
        <v/>
      </c>
      <c r="O596" s="17"/>
      <c r="P596" s="29"/>
    </row>
    <row r="597" ht="15.75" customHeight="1">
      <c r="A597" s="9" t="str">
        <f>IFERROR(__xludf.DUMMYFUNCTION("IF(B597="""","""",RIGHT(regexreplace(B597&amp;"""",""[^0-9]"",""""),9))"),"")</f>
        <v/>
      </c>
      <c r="B597" s="5"/>
      <c r="C597" s="5"/>
      <c r="D597" s="5"/>
      <c r="E597" s="23"/>
      <c r="F597" s="23"/>
      <c r="G597" s="23"/>
      <c r="H597" s="23"/>
      <c r="I597" s="23"/>
      <c r="J597" s="23"/>
      <c r="K597" s="10" t="str">
        <f t="shared" si="1"/>
        <v/>
      </c>
      <c r="L597" s="27"/>
      <c r="M597" s="27"/>
      <c r="N597" s="10" t="str">
        <f t="shared" ref="N597:N598" si="201">IF(COUNTIF($A$2:A596,A597)&gt;0,INDEX($C$2:C596,MATCH(A597,$A$2:A596,0)),"")</f>
        <v/>
      </c>
      <c r="O597" s="17"/>
      <c r="P597" s="29"/>
    </row>
    <row r="598" ht="15.75" customHeight="1">
      <c r="A598" s="9" t="str">
        <f>IFERROR(__xludf.DUMMYFUNCTION("IF(B598="""","""",RIGHT(regexreplace(B598&amp;"""",""[^0-9]"",""""),9))"),"")</f>
        <v/>
      </c>
      <c r="B598" s="5"/>
      <c r="C598" s="5"/>
      <c r="D598" s="5"/>
      <c r="E598" s="23"/>
      <c r="F598" s="23"/>
      <c r="G598" s="23"/>
      <c r="H598" s="23"/>
      <c r="I598" s="23"/>
      <c r="J598" s="23"/>
      <c r="K598" s="10" t="str">
        <f t="shared" si="1"/>
        <v/>
      </c>
      <c r="L598" s="27"/>
      <c r="M598" s="27"/>
      <c r="N598" s="10" t="str">
        <f t="shared" si="201"/>
        <v/>
      </c>
      <c r="O598" s="17"/>
      <c r="P598" s="29"/>
    </row>
    <row r="599" ht="15.75" customHeight="1">
      <c r="A599" s="9" t="str">
        <f>IFERROR(__xludf.DUMMYFUNCTION("IF(B599="""","""",RIGHT(regexreplace(B599&amp;"""",""[^0-9]"",""""),9))"),"")</f>
        <v/>
      </c>
      <c r="B599" s="5"/>
      <c r="C599" s="5"/>
      <c r="D599" s="5"/>
      <c r="E599" s="23"/>
      <c r="F599" s="23"/>
      <c r="G599" s="23"/>
      <c r="H599" s="23"/>
      <c r="I599" s="23"/>
      <c r="J599" s="23"/>
      <c r="K599" s="10" t="str">
        <f t="shared" si="1"/>
        <v/>
      </c>
      <c r="L599" s="27"/>
      <c r="M599" s="27"/>
      <c r="N599" s="10" t="str">
        <f t="array" ref="N599">IF(COUNTIF($A$2:A598,A)&gt;0,INDEX($C$2:C598,MATCH(A599,$A$2:A598,0)),"")</f>
        <v/>
      </c>
      <c r="O599" s="17"/>
      <c r="P599" s="29"/>
    </row>
    <row r="600" ht="15.75" customHeight="1">
      <c r="A600" s="9" t="str">
        <f>IFERROR(__xludf.DUMMYFUNCTION("IF(B600="""","""",RIGHT(regexreplace(B600&amp;"""",""[^0-9]"",""""),9))"),"")</f>
        <v/>
      </c>
      <c r="B600" s="5"/>
      <c r="C600" s="5"/>
      <c r="D600" s="5"/>
      <c r="E600" s="23"/>
      <c r="F600" s="23"/>
      <c r="G600" s="23"/>
      <c r="H600" s="23"/>
      <c r="I600" s="23"/>
      <c r="J600" s="23"/>
      <c r="K600" s="10" t="str">
        <f t="shared" si="1"/>
        <v/>
      </c>
      <c r="L600" s="27"/>
      <c r="M600" s="27"/>
      <c r="N600" s="10" t="str">
        <f t="shared" ref="N600:N601" si="202">IF(COUNTIF($A$2:A599,A600)&gt;0,INDEX($C$2:C599,MATCH(A600,$A$2:A599,0)),"")</f>
        <v/>
      </c>
      <c r="O600" s="17"/>
      <c r="P600" s="29"/>
    </row>
    <row r="601" ht="15.75" customHeight="1">
      <c r="A601" s="9" t="str">
        <f>IFERROR(__xludf.DUMMYFUNCTION("IF(B601="""","""",RIGHT(regexreplace(B601&amp;"""",""[^0-9]"",""""),9))"),"")</f>
        <v/>
      </c>
      <c r="B601" s="5"/>
      <c r="C601" s="5"/>
      <c r="D601" s="5"/>
      <c r="E601" s="23"/>
      <c r="F601" s="23"/>
      <c r="G601" s="23"/>
      <c r="H601" s="23"/>
      <c r="I601" s="23"/>
      <c r="J601" s="23"/>
      <c r="K601" s="10" t="str">
        <f t="shared" si="1"/>
        <v/>
      </c>
      <c r="L601" s="27"/>
      <c r="M601" s="27"/>
      <c r="N601" s="10" t="str">
        <f t="shared" si="202"/>
        <v/>
      </c>
      <c r="O601" s="17"/>
      <c r="P601" s="29"/>
    </row>
    <row r="602" ht="15.75" customHeight="1">
      <c r="A602" s="9" t="str">
        <f>IFERROR(__xludf.DUMMYFUNCTION("IF(B602="""","""",RIGHT(regexreplace(B602&amp;"""",""[^0-9]"",""""),9))"),"")</f>
        <v/>
      </c>
      <c r="B602" s="5"/>
      <c r="C602" s="5"/>
      <c r="D602" s="5"/>
      <c r="E602" s="23"/>
      <c r="F602" s="23"/>
      <c r="G602" s="23"/>
      <c r="H602" s="23"/>
      <c r="I602" s="23"/>
      <c r="J602" s="23"/>
      <c r="K602" s="10" t="str">
        <f t="shared" si="1"/>
        <v/>
      </c>
      <c r="L602" s="27"/>
      <c r="M602" s="27"/>
      <c r="N602" s="10" t="str">
        <f t="array" ref="N602">IF(COUNTIF($A$2:A601,A)&gt;0,INDEX($C$2:C601,MATCH(A602,$A$2:A601,0)),"")</f>
        <v/>
      </c>
      <c r="O602" s="17"/>
      <c r="P602" s="29"/>
    </row>
    <row r="603" ht="15.75" customHeight="1">
      <c r="A603" s="9" t="str">
        <f>IFERROR(__xludf.DUMMYFUNCTION("IF(B603="""","""",RIGHT(regexreplace(B603&amp;"""",""[^0-9]"",""""),9))"),"")</f>
        <v/>
      </c>
      <c r="B603" s="5"/>
      <c r="C603" s="5"/>
      <c r="D603" s="5"/>
      <c r="E603" s="23"/>
      <c r="F603" s="23"/>
      <c r="G603" s="23"/>
      <c r="H603" s="23"/>
      <c r="I603" s="23"/>
      <c r="J603" s="23"/>
      <c r="K603" s="10" t="str">
        <f t="shared" si="1"/>
        <v/>
      </c>
      <c r="L603" s="27"/>
      <c r="M603" s="27"/>
      <c r="N603" s="10" t="str">
        <f t="shared" ref="N603:N604" si="203">IF(COUNTIF($A$2:A602,A603)&gt;0,INDEX($C$2:C602,MATCH(A603,$A$2:A602,0)),"")</f>
        <v/>
      </c>
      <c r="O603" s="17"/>
      <c r="P603" s="29"/>
    </row>
    <row r="604" ht="15.75" customHeight="1">
      <c r="A604" s="9" t="str">
        <f>IFERROR(__xludf.DUMMYFUNCTION("IF(B604="""","""",RIGHT(regexreplace(B604&amp;"""",""[^0-9]"",""""),9))"),"")</f>
        <v/>
      </c>
      <c r="B604" s="5"/>
      <c r="C604" s="5"/>
      <c r="D604" s="5"/>
      <c r="E604" s="23"/>
      <c r="F604" s="23"/>
      <c r="G604" s="23"/>
      <c r="H604" s="23"/>
      <c r="I604" s="23"/>
      <c r="J604" s="23"/>
      <c r="K604" s="10" t="str">
        <f t="shared" si="1"/>
        <v/>
      </c>
      <c r="L604" s="27"/>
      <c r="M604" s="27"/>
      <c r="N604" s="10" t="str">
        <f t="shared" si="203"/>
        <v/>
      </c>
      <c r="O604" s="17"/>
      <c r="P604" s="29"/>
    </row>
    <row r="605" ht="15.75" customHeight="1">
      <c r="A605" s="9" t="str">
        <f>IFERROR(__xludf.DUMMYFUNCTION("IF(B605="""","""",RIGHT(regexreplace(B605&amp;"""",""[^0-9]"",""""),9))"),"")</f>
        <v/>
      </c>
      <c r="B605" s="5"/>
      <c r="C605" s="5"/>
      <c r="D605" s="5"/>
      <c r="E605" s="23"/>
      <c r="F605" s="23"/>
      <c r="G605" s="23"/>
      <c r="H605" s="23"/>
      <c r="I605" s="23"/>
      <c r="J605" s="23"/>
      <c r="K605" s="10" t="str">
        <f t="shared" si="1"/>
        <v/>
      </c>
      <c r="L605" s="27"/>
      <c r="M605" s="27"/>
      <c r="N605" s="10" t="str">
        <f t="array" ref="N605">IF(COUNTIF($A$2:A604,A)&gt;0,INDEX($C$2:C604,MATCH(A605,$A$2:A604,0)),"")</f>
        <v/>
      </c>
      <c r="O605" s="17"/>
      <c r="P605" s="29"/>
    </row>
    <row r="606" ht="15.75" customHeight="1">
      <c r="A606" s="9" t="str">
        <f>IFERROR(__xludf.DUMMYFUNCTION("IF(B606="""","""",RIGHT(regexreplace(B606&amp;"""",""[^0-9]"",""""),9))"),"")</f>
        <v/>
      </c>
      <c r="B606" s="5"/>
      <c r="C606" s="5"/>
      <c r="D606" s="5"/>
      <c r="E606" s="23"/>
      <c r="F606" s="23"/>
      <c r="G606" s="23"/>
      <c r="H606" s="23"/>
      <c r="I606" s="23"/>
      <c r="J606" s="23"/>
      <c r="K606" s="10" t="str">
        <f t="shared" si="1"/>
        <v/>
      </c>
      <c r="L606" s="27"/>
      <c r="M606" s="27"/>
      <c r="N606" s="10" t="str">
        <f t="shared" ref="N606:N607" si="204">IF(COUNTIF($A$2:A605,A606)&gt;0,INDEX($C$2:C605,MATCH(A606,$A$2:A605,0)),"")</f>
        <v/>
      </c>
      <c r="O606" s="17"/>
      <c r="P606" s="29"/>
    </row>
    <row r="607" ht="15.75" customHeight="1">
      <c r="A607" s="9" t="str">
        <f>IFERROR(__xludf.DUMMYFUNCTION("IF(B607="""","""",RIGHT(regexreplace(B607&amp;"""",""[^0-9]"",""""),9))"),"")</f>
        <v/>
      </c>
      <c r="B607" s="5"/>
      <c r="C607" s="5"/>
      <c r="D607" s="5"/>
      <c r="E607" s="23"/>
      <c r="F607" s="23"/>
      <c r="G607" s="23"/>
      <c r="H607" s="23"/>
      <c r="I607" s="23"/>
      <c r="J607" s="23"/>
      <c r="K607" s="10" t="str">
        <f t="shared" si="1"/>
        <v/>
      </c>
      <c r="L607" s="27"/>
      <c r="M607" s="27"/>
      <c r="N607" s="10" t="str">
        <f t="shared" si="204"/>
        <v/>
      </c>
      <c r="O607" s="17"/>
      <c r="P607" s="29"/>
    </row>
    <row r="608" ht="15.75" customHeight="1">
      <c r="A608" s="9" t="str">
        <f>IFERROR(__xludf.DUMMYFUNCTION("IF(B608="""","""",RIGHT(regexreplace(B608&amp;"""",""[^0-9]"",""""),9))"),"")</f>
        <v/>
      </c>
      <c r="B608" s="5"/>
      <c r="C608" s="5"/>
      <c r="D608" s="5"/>
      <c r="E608" s="23"/>
      <c r="F608" s="23"/>
      <c r="G608" s="23"/>
      <c r="H608" s="23"/>
      <c r="I608" s="23"/>
      <c r="J608" s="23"/>
      <c r="K608" s="10" t="str">
        <f t="shared" si="1"/>
        <v/>
      </c>
      <c r="L608" s="27"/>
      <c r="M608" s="27"/>
      <c r="N608" s="10" t="str">
        <f t="array" ref="N608">IF(COUNTIF($A$2:A607,A)&gt;0,INDEX($C$2:C607,MATCH(A608,$A$2:A607,0)),"")</f>
        <v/>
      </c>
      <c r="O608" s="17"/>
      <c r="P608" s="29"/>
    </row>
    <row r="609" ht="15.75" customHeight="1">
      <c r="A609" s="9" t="str">
        <f>IFERROR(__xludf.DUMMYFUNCTION("IF(B609="""","""",RIGHT(regexreplace(B609&amp;"""",""[^0-9]"",""""),9))"),"")</f>
        <v/>
      </c>
      <c r="B609" s="5"/>
      <c r="C609" s="5"/>
      <c r="D609" s="5"/>
      <c r="E609" s="23"/>
      <c r="F609" s="23"/>
      <c r="G609" s="23"/>
      <c r="H609" s="23"/>
      <c r="I609" s="23"/>
      <c r="J609" s="23"/>
      <c r="K609" s="10" t="str">
        <f t="shared" si="1"/>
        <v/>
      </c>
      <c r="L609" s="27"/>
      <c r="M609" s="27"/>
      <c r="N609" s="10" t="str">
        <f t="shared" ref="N609:N610" si="205">IF(COUNTIF($A$2:A608,A609)&gt;0,INDEX($C$2:C608,MATCH(A609,$A$2:A608,0)),"")</f>
        <v/>
      </c>
      <c r="O609" s="17"/>
      <c r="P609" s="29"/>
    </row>
    <row r="610" ht="15.75" customHeight="1">
      <c r="A610" s="9" t="str">
        <f>IFERROR(__xludf.DUMMYFUNCTION("IF(B610="""","""",RIGHT(regexreplace(B610&amp;"""",""[^0-9]"",""""),9))"),"")</f>
        <v/>
      </c>
      <c r="B610" s="5"/>
      <c r="C610" s="5"/>
      <c r="D610" s="5"/>
      <c r="E610" s="23"/>
      <c r="F610" s="23"/>
      <c r="G610" s="23"/>
      <c r="H610" s="23"/>
      <c r="I610" s="23"/>
      <c r="J610" s="23"/>
      <c r="K610" s="10" t="str">
        <f t="shared" si="1"/>
        <v/>
      </c>
      <c r="L610" s="27"/>
      <c r="M610" s="27"/>
      <c r="N610" s="10" t="str">
        <f t="shared" si="205"/>
        <v/>
      </c>
      <c r="O610" s="17"/>
      <c r="P610" s="29"/>
    </row>
    <row r="611" ht="15.75" customHeight="1">
      <c r="A611" s="9" t="str">
        <f>IFERROR(__xludf.DUMMYFUNCTION("IF(B611="""","""",RIGHT(regexreplace(B611&amp;"""",""[^0-9]"",""""),9))"),"")</f>
        <v/>
      </c>
      <c r="B611" s="5"/>
      <c r="C611" s="5"/>
      <c r="D611" s="5"/>
      <c r="E611" s="23"/>
      <c r="F611" s="23"/>
      <c r="G611" s="23"/>
      <c r="H611" s="23"/>
      <c r="I611" s="23"/>
      <c r="J611" s="23"/>
      <c r="K611" s="10" t="str">
        <f t="shared" si="1"/>
        <v/>
      </c>
      <c r="L611" s="27"/>
      <c r="M611" s="27"/>
      <c r="N611" s="10" t="str">
        <f t="array" ref="N611">IF(COUNTIF($A$2:A610,A)&gt;0,INDEX($C$2:C610,MATCH(A611,$A$2:A610,0)),"")</f>
        <v/>
      </c>
      <c r="O611" s="17"/>
      <c r="P611" s="29"/>
    </row>
    <row r="612" ht="15.75" customHeight="1">
      <c r="A612" s="9" t="str">
        <f>IFERROR(__xludf.DUMMYFUNCTION("IF(B612="""","""",RIGHT(regexreplace(B612&amp;"""",""[^0-9]"",""""),9))"),"")</f>
        <v/>
      </c>
      <c r="B612" s="5"/>
      <c r="C612" s="5"/>
      <c r="D612" s="5"/>
      <c r="E612" s="23"/>
      <c r="F612" s="23"/>
      <c r="G612" s="23"/>
      <c r="H612" s="23"/>
      <c r="I612" s="23"/>
      <c r="J612" s="23"/>
      <c r="K612" s="10" t="str">
        <f t="shared" si="1"/>
        <v/>
      </c>
      <c r="L612" s="27"/>
      <c r="M612" s="27"/>
      <c r="N612" s="10" t="str">
        <f t="shared" ref="N612:N613" si="206">IF(COUNTIF($A$2:A611,A612)&gt;0,INDEX($C$2:C611,MATCH(A612,$A$2:A611,0)),"")</f>
        <v/>
      </c>
      <c r="O612" s="17"/>
      <c r="P612" s="29"/>
    </row>
    <row r="613" ht="15.75" customHeight="1">
      <c r="A613" s="9" t="str">
        <f>IFERROR(__xludf.DUMMYFUNCTION("IF(B613="""","""",RIGHT(regexreplace(B613&amp;"""",""[^0-9]"",""""),9))"),"")</f>
        <v/>
      </c>
      <c r="B613" s="5"/>
      <c r="C613" s="5"/>
      <c r="D613" s="5"/>
      <c r="E613" s="23"/>
      <c r="F613" s="23"/>
      <c r="G613" s="23"/>
      <c r="H613" s="23"/>
      <c r="I613" s="23"/>
      <c r="J613" s="23"/>
      <c r="K613" s="10" t="str">
        <f t="shared" si="1"/>
        <v/>
      </c>
      <c r="L613" s="27"/>
      <c r="M613" s="27"/>
      <c r="N613" s="10" t="str">
        <f t="shared" si="206"/>
        <v/>
      </c>
      <c r="O613" s="17"/>
      <c r="P613" s="29"/>
    </row>
    <row r="614" ht="15.75" customHeight="1">
      <c r="A614" s="9" t="str">
        <f>IFERROR(__xludf.DUMMYFUNCTION("IF(B614="""","""",RIGHT(regexreplace(B614&amp;"""",""[^0-9]"",""""),9))"),"")</f>
        <v/>
      </c>
      <c r="B614" s="5"/>
      <c r="C614" s="5"/>
      <c r="D614" s="5"/>
      <c r="E614" s="23"/>
      <c r="F614" s="23"/>
      <c r="G614" s="23"/>
      <c r="H614" s="23"/>
      <c r="I614" s="23"/>
      <c r="J614" s="23"/>
      <c r="K614" s="10" t="str">
        <f t="shared" si="1"/>
        <v/>
      </c>
      <c r="L614" s="27"/>
      <c r="M614" s="27"/>
      <c r="N614" s="10" t="str">
        <f t="array" ref="N614">IF(COUNTIF($A$2:A613,A)&gt;0,INDEX($C$2:C613,MATCH(A614,$A$2:A613,0)),"")</f>
        <v/>
      </c>
      <c r="O614" s="17"/>
      <c r="P614" s="29"/>
    </row>
    <row r="615" ht="15.75" customHeight="1">
      <c r="A615" s="9" t="str">
        <f>IFERROR(__xludf.DUMMYFUNCTION("IF(B615="""","""",RIGHT(regexreplace(B615&amp;"""",""[^0-9]"",""""),9))"),"")</f>
        <v/>
      </c>
      <c r="B615" s="5"/>
      <c r="C615" s="5"/>
      <c r="D615" s="5"/>
      <c r="E615" s="23"/>
      <c r="F615" s="23"/>
      <c r="G615" s="23"/>
      <c r="H615" s="23"/>
      <c r="I615" s="23"/>
      <c r="J615" s="23"/>
      <c r="K615" s="10" t="str">
        <f t="shared" si="1"/>
        <v/>
      </c>
      <c r="L615" s="27"/>
      <c r="M615" s="27"/>
      <c r="N615" s="10" t="str">
        <f t="shared" ref="N615:N616" si="207">IF(COUNTIF($A$2:A614,A615)&gt;0,INDEX($C$2:C614,MATCH(A615,$A$2:A614,0)),"")</f>
        <v/>
      </c>
      <c r="O615" s="17"/>
      <c r="P615" s="29"/>
    </row>
    <row r="616" ht="15.75" customHeight="1">
      <c r="A616" s="9" t="str">
        <f>IFERROR(__xludf.DUMMYFUNCTION("IF(B616="""","""",RIGHT(regexreplace(B616&amp;"""",""[^0-9]"",""""),9))"),"")</f>
        <v/>
      </c>
      <c r="B616" s="5"/>
      <c r="C616" s="5"/>
      <c r="D616" s="5"/>
      <c r="E616" s="23"/>
      <c r="F616" s="23"/>
      <c r="G616" s="23"/>
      <c r="H616" s="23"/>
      <c r="I616" s="23"/>
      <c r="J616" s="23"/>
      <c r="K616" s="10" t="str">
        <f t="shared" si="1"/>
        <v/>
      </c>
      <c r="L616" s="27"/>
      <c r="M616" s="27"/>
      <c r="N616" s="10" t="str">
        <f t="shared" si="207"/>
        <v/>
      </c>
      <c r="O616" s="17"/>
      <c r="P616" s="29"/>
    </row>
    <row r="617" ht="15.75" customHeight="1">
      <c r="A617" s="9" t="str">
        <f>IFERROR(__xludf.DUMMYFUNCTION("IF(B617="""","""",RIGHT(regexreplace(B617&amp;"""",""[^0-9]"",""""),9))"),"")</f>
        <v/>
      </c>
      <c r="B617" s="5"/>
      <c r="C617" s="5"/>
      <c r="D617" s="5"/>
      <c r="E617" s="23"/>
      <c r="F617" s="23"/>
      <c r="G617" s="23"/>
      <c r="H617" s="23"/>
      <c r="I617" s="23"/>
      <c r="J617" s="23"/>
      <c r="K617" s="10" t="str">
        <f t="shared" si="1"/>
        <v/>
      </c>
      <c r="L617" s="27"/>
      <c r="M617" s="27"/>
      <c r="N617" s="10" t="str">
        <f t="array" ref="N617">IF(COUNTIF($A$2:A616,A)&gt;0,INDEX($C$2:C616,MATCH(A617,$A$2:A616,0)),"")</f>
        <v/>
      </c>
      <c r="O617" s="17"/>
      <c r="P617" s="29"/>
    </row>
    <row r="618" ht="15.75" customHeight="1">
      <c r="A618" s="9" t="str">
        <f>IFERROR(__xludf.DUMMYFUNCTION("IF(B618="""","""",RIGHT(regexreplace(B618&amp;"""",""[^0-9]"",""""),9))"),"")</f>
        <v/>
      </c>
      <c r="B618" s="5"/>
      <c r="C618" s="5"/>
      <c r="D618" s="5"/>
      <c r="E618" s="23"/>
      <c r="F618" s="23"/>
      <c r="G618" s="23"/>
      <c r="H618" s="23"/>
      <c r="I618" s="23"/>
      <c r="J618" s="23"/>
      <c r="K618" s="10" t="str">
        <f t="shared" si="1"/>
        <v/>
      </c>
      <c r="L618" s="27"/>
      <c r="M618" s="27"/>
      <c r="N618" s="10" t="str">
        <f t="shared" ref="N618:N619" si="208">IF(COUNTIF($A$2:A617,A618)&gt;0,INDEX($C$2:C617,MATCH(A618,$A$2:A617,0)),"")</f>
        <v/>
      </c>
      <c r="O618" s="17"/>
      <c r="P618" s="29"/>
    </row>
    <row r="619" ht="15.75" customHeight="1">
      <c r="A619" s="9" t="str">
        <f>IFERROR(__xludf.DUMMYFUNCTION("IF(B619="""","""",RIGHT(regexreplace(B619&amp;"""",""[^0-9]"",""""),9))"),"")</f>
        <v/>
      </c>
      <c r="B619" s="5"/>
      <c r="C619" s="5"/>
      <c r="D619" s="5"/>
      <c r="E619" s="23"/>
      <c r="F619" s="23"/>
      <c r="G619" s="23"/>
      <c r="H619" s="23"/>
      <c r="I619" s="23"/>
      <c r="J619" s="23"/>
      <c r="K619" s="10" t="str">
        <f t="shared" si="1"/>
        <v/>
      </c>
      <c r="L619" s="27"/>
      <c r="M619" s="27"/>
      <c r="N619" s="10" t="str">
        <f t="shared" si="208"/>
        <v/>
      </c>
      <c r="O619" s="17"/>
      <c r="P619" s="29"/>
    </row>
    <row r="620" ht="15.75" customHeight="1">
      <c r="A620" s="9" t="str">
        <f>IFERROR(__xludf.DUMMYFUNCTION("IF(B620="""","""",RIGHT(regexreplace(B620&amp;"""",""[^0-9]"",""""),9))"),"")</f>
        <v/>
      </c>
      <c r="B620" s="5"/>
      <c r="C620" s="5"/>
      <c r="D620" s="5"/>
      <c r="E620" s="23"/>
      <c r="F620" s="23"/>
      <c r="G620" s="23"/>
      <c r="H620" s="23"/>
      <c r="I620" s="23"/>
      <c r="J620" s="23"/>
      <c r="K620" s="10" t="str">
        <f t="shared" si="1"/>
        <v/>
      </c>
      <c r="L620" s="27"/>
      <c r="M620" s="27"/>
      <c r="N620" s="10" t="str">
        <f t="array" ref="N620">IF(COUNTIF($A$2:A619,A)&gt;0,INDEX($C$2:C619,MATCH(A620,$A$2:A619,0)),"")</f>
        <v/>
      </c>
      <c r="O620" s="17"/>
      <c r="P620" s="29"/>
    </row>
    <row r="621" ht="15.75" customHeight="1">
      <c r="A621" s="9" t="str">
        <f>IFERROR(__xludf.DUMMYFUNCTION("IF(B621="""","""",RIGHT(regexreplace(B621&amp;"""",""[^0-9]"",""""),9))"),"")</f>
        <v/>
      </c>
      <c r="B621" s="5"/>
      <c r="C621" s="5"/>
      <c r="D621" s="5"/>
      <c r="E621" s="23"/>
      <c r="F621" s="23"/>
      <c r="G621" s="23"/>
      <c r="H621" s="23"/>
      <c r="I621" s="23"/>
      <c r="J621" s="23"/>
      <c r="K621" s="10" t="str">
        <f t="shared" si="1"/>
        <v/>
      </c>
      <c r="L621" s="27"/>
      <c r="M621" s="27"/>
      <c r="N621" s="10" t="str">
        <f t="shared" ref="N621:N622" si="209">IF(COUNTIF($A$2:A620,A621)&gt;0,INDEX($C$2:C620,MATCH(A621,$A$2:A620,0)),"")</f>
        <v/>
      </c>
      <c r="O621" s="17"/>
      <c r="P621" s="29"/>
    </row>
    <row r="622" ht="15.75" customHeight="1">
      <c r="A622" s="9" t="str">
        <f>IFERROR(__xludf.DUMMYFUNCTION("IF(B622="""","""",RIGHT(regexreplace(B622&amp;"""",""[^0-9]"",""""),9))"),"")</f>
        <v/>
      </c>
      <c r="B622" s="5"/>
      <c r="C622" s="5"/>
      <c r="D622" s="5"/>
      <c r="E622" s="23"/>
      <c r="F622" s="23"/>
      <c r="G622" s="23"/>
      <c r="H622" s="23"/>
      <c r="I622" s="23"/>
      <c r="J622" s="23"/>
      <c r="K622" s="10" t="str">
        <f t="shared" si="1"/>
        <v/>
      </c>
      <c r="L622" s="27"/>
      <c r="M622" s="27"/>
      <c r="N622" s="10" t="str">
        <f t="shared" si="209"/>
        <v/>
      </c>
      <c r="O622" s="17"/>
      <c r="P622" s="29"/>
    </row>
    <row r="623" ht="15.75" customHeight="1">
      <c r="A623" s="9" t="str">
        <f>IFERROR(__xludf.DUMMYFUNCTION("IF(B623="""","""",RIGHT(regexreplace(B623&amp;"""",""[^0-9]"",""""),9))"),"")</f>
        <v/>
      </c>
      <c r="B623" s="5"/>
      <c r="C623" s="5"/>
      <c r="D623" s="5"/>
      <c r="E623" s="23"/>
      <c r="F623" s="23"/>
      <c r="G623" s="23"/>
      <c r="H623" s="23"/>
      <c r="I623" s="23"/>
      <c r="J623" s="23"/>
      <c r="K623" s="10" t="str">
        <f t="shared" si="1"/>
        <v/>
      </c>
      <c r="L623" s="27"/>
      <c r="M623" s="27"/>
      <c r="N623" s="10" t="str">
        <f t="array" ref="N623">IF(COUNTIF($A$2:A622,A)&gt;0,INDEX($C$2:C622,MATCH(A623,$A$2:A622,0)),"")</f>
        <v/>
      </c>
      <c r="O623" s="17"/>
      <c r="P623" s="29"/>
    </row>
    <row r="624" ht="15.75" customHeight="1">
      <c r="A624" s="9" t="str">
        <f>IFERROR(__xludf.DUMMYFUNCTION("IF(B624="""","""",RIGHT(regexreplace(B624&amp;"""",""[^0-9]"",""""),9))"),"")</f>
        <v/>
      </c>
      <c r="B624" s="5"/>
      <c r="C624" s="5"/>
      <c r="D624" s="5"/>
      <c r="E624" s="23"/>
      <c r="F624" s="23"/>
      <c r="G624" s="23"/>
      <c r="H624" s="23"/>
      <c r="I624" s="23"/>
      <c r="J624" s="23"/>
      <c r="K624" s="10" t="str">
        <f t="shared" si="1"/>
        <v/>
      </c>
      <c r="L624" s="27"/>
      <c r="M624" s="27"/>
      <c r="N624" s="10" t="str">
        <f t="shared" ref="N624:N625" si="210">IF(COUNTIF($A$2:A623,A624)&gt;0,INDEX($C$2:C623,MATCH(A624,$A$2:A623,0)),"")</f>
        <v/>
      </c>
      <c r="O624" s="17"/>
      <c r="P624" s="29"/>
    </row>
    <row r="625" ht="15.75" customHeight="1">
      <c r="A625" s="9" t="str">
        <f>IFERROR(__xludf.DUMMYFUNCTION("IF(B625="""","""",RIGHT(regexreplace(B625&amp;"""",""[^0-9]"",""""),9))"),"")</f>
        <v/>
      </c>
      <c r="B625" s="5"/>
      <c r="C625" s="5"/>
      <c r="D625" s="5"/>
      <c r="E625" s="23"/>
      <c r="F625" s="23"/>
      <c r="G625" s="23"/>
      <c r="H625" s="23"/>
      <c r="I625" s="23"/>
      <c r="J625" s="23"/>
      <c r="K625" s="10" t="str">
        <f t="shared" si="1"/>
        <v/>
      </c>
      <c r="L625" s="27"/>
      <c r="M625" s="27"/>
      <c r="N625" s="10" t="str">
        <f t="shared" si="210"/>
        <v/>
      </c>
      <c r="O625" s="17"/>
      <c r="P625" s="29"/>
    </row>
    <row r="626" ht="15.75" customHeight="1">
      <c r="A626" s="9" t="str">
        <f>IFERROR(__xludf.DUMMYFUNCTION("IF(B626="""","""",RIGHT(regexreplace(B626&amp;"""",""[^0-9]"",""""),9))"),"")</f>
        <v/>
      </c>
      <c r="B626" s="5"/>
      <c r="C626" s="5"/>
      <c r="D626" s="5"/>
      <c r="E626" s="23"/>
      <c r="F626" s="23"/>
      <c r="G626" s="23"/>
      <c r="H626" s="23"/>
      <c r="I626" s="23"/>
      <c r="J626" s="23"/>
      <c r="K626" s="10" t="str">
        <f t="shared" si="1"/>
        <v/>
      </c>
      <c r="L626" s="27"/>
      <c r="M626" s="27"/>
      <c r="N626" s="10" t="str">
        <f t="array" ref="N626">IF(COUNTIF($A$2:A625,A)&gt;0,INDEX($C$2:C625,MATCH(A626,$A$2:A625,0)),"")</f>
        <v/>
      </c>
      <c r="O626" s="17"/>
      <c r="P626" s="29"/>
    </row>
    <row r="627" ht="15.75" customHeight="1">
      <c r="A627" s="9" t="str">
        <f>IFERROR(__xludf.DUMMYFUNCTION("IF(B627="""","""",RIGHT(regexreplace(B627&amp;"""",""[^0-9]"",""""),9))"),"")</f>
        <v/>
      </c>
      <c r="B627" s="5"/>
      <c r="C627" s="5"/>
      <c r="D627" s="5"/>
      <c r="E627" s="23"/>
      <c r="F627" s="23"/>
      <c r="G627" s="23"/>
      <c r="H627" s="23"/>
      <c r="I627" s="23"/>
      <c r="J627" s="23"/>
      <c r="K627" s="10" t="str">
        <f t="shared" si="1"/>
        <v/>
      </c>
      <c r="L627" s="27"/>
      <c r="M627" s="27"/>
      <c r="N627" s="10" t="str">
        <f t="shared" ref="N627:N628" si="211">IF(COUNTIF($A$2:A626,A627)&gt;0,INDEX($C$2:C626,MATCH(A627,$A$2:A626,0)),"")</f>
        <v/>
      </c>
      <c r="O627" s="17"/>
      <c r="P627" s="29"/>
    </row>
    <row r="628" ht="15.75" customHeight="1">
      <c r="A628" s="9" t="str">
        <f>IFERROR(__xludf.DUMMYFUNCTION("IF(B628="""","""",RIGHT(regexreplace(B628&amp;"""",""[^0-9]"",""""),9))"),"")</f>
        <v/>
      </c>
      <c r="B628" s="5"/>
      <c r="C628" s="5"/>
      <c r="D628" s="5"/>
      <c r="E628" s="23"/>
      <c r="F628" s="23"/>
      <c r="G628" s="23"/>
      <c r="H628" s="23"/>
      <c r="I628" s="23"/>
      <c r="J628" s="23"/>
      <c r="K628" s="10" t="str">
        <f t="shared" si="1"/>
        <v/>
      </c>
      <c r="L628" s="27"/>
      <c r="M628" s="27"/>
      <c r="N628" s="10" t="str">
        <f t="shared" si="211"/>
        <v/>
      </c>
      <c r="O628" s="17"/>
      <c r="P628" s="29"/>
    </row>
    <row r="629" ht="15.75" customHeight="1">
      <c r="A629" s="9" t="str">
        <f>IFERROR(__xludf.DUMMYFUNCTION("IF(B629="""","""",RIGHT(regexreplace(B629&amp;"""",""[^0-9]"",""""),9))"),"")</f>
        <v/>
      </c>
      <c r="B629" s="5"/>
      <c r="C629" s="5"/>
      <c r="D629" s="5"/>
      <c r="E629" s="23"/>
      <c r="F629" s="23"/>
      <c r="G629" s="23"/>
      <c r="H629" s="23"/>
      <c r="I629" s="23"/>
      <c r="J629" s="23"/>
      <c r="K629" s="10" t="str">
        <f t="shared" si="1"/>
        <v/>
      </c>
      <c r="L629" s="27"/>
      <c r="M629" s="27"/>
      <c r="N629" s="10" t="str">
        <f t="array" ref="N629">IF(COUNTIF($A$2:A628,A)&gt;0,INDEX($C$2:C628,MATCH(A629,$A$2:A628,0)),"")</f>
        <v/>
      </c>
      <c r="O629" s="17"/>
      <c r="P629" s="29"/>
    </row>
    <row r="630" ht="15.75" customHeight="1">
      <c r="A630" s="9" t="str">
        <f>IFERROR(__xludf.DUMMYFUNCTION("IF(B630="""","""",RIGHT(regexreplace(B630&amp;"""",""[^0-9]"",""""),9))"),"")</f>
        <v/>
      </c>
      <c r="B630" s="5"/>
      <c r="C630" s="5"/>
      <c r="D630" s="5"/>
      <c r="E630" s="23"/>
      <c r="F630" s="23"/>
      <c r="G630" s="23"/>
      <c r="H630" s="23"/>
      <c r="I630" s="23"/>
      <c r="J630" s="23"/>
      <c r="K630" s="10" t="str">
        <f t="shared" si="1"/>
        <v/>
      </c>
      <c r="L630" s="27"/>
      <c r="M630" s="27"/>
      <c r="N630" s="10" t="str">
        <f t="shared" ref="N630:N631" si="212">IF(COUNTIF($A$2:A629,A630)&gt;0,INDEX($C$2:C629,MATCH(A630,$A$2:A629,0)),"")</f>
        <v/>
      </c>
      <c r="O630" s="17"/>
      <c r="P630" s="29"/>
    </row>
    <row r="631" ht="15.75" customHeight="1">
      <c r="A631" s="9" t="str">
        <f>IFERROR(__xludf.DUMMYFUNCTION("IF(B631="""","""",RIGHT(regexreplace(B631&amp;"""",""[^0-9]"",""""),9))"),"")</f>
        <v/>
      </c>
      <c r="B631" s="5"/>
      <c r="C631" s="5"/>
      <c r="D631" s="5"/>
      <c r="E631" s="23"/>
      <c r="F631" s="23"/>
      <c r="G631" s="23"/>
      <c r="H631" s="23"/>
      <c r="I631" s="23"/>
      <c r="J631" s="23"/>
      <c r="K631" s="10" t="str">
        <f t="shared" si="1"/>
        <v/>
      </c>
      <c r="L631" s="27"/>
      <c r="M631" s="27"/>
      <c r="N631" s="10" t="str">
        <f t="shared" si="212"/>
        <v/>
      </c>
      <c r="O631" s="17"/>
      <c r="P631" s="29"/>
    </row>
    <row r="632" ht="15.75" customHeight="1">
      <c r="A632" s="9" t="str">
        <f>IFERROR(__xludf.DUMMYFUNCTION("IF(B632="""","""",RIGHT(regexreplace(B632&amp;"""",""[^0-9]"",""""),9))"),"")</f>
        <v/>
      </c>
      <c r="B632" s="5"/>
      <c r="C632" s="5"/>
      <c r="D632" s="5"/>
      <c r="E632" s="23"/>
      <c r="F632" s="23"/>
      <c r="G632" s="23"/>
      <c r="H632" s="23"/>
      <c r="I632" s="23"/>
      <c r="J632" s="23"/>
      <c r="K632" s="10" t="str">
        <f t="shared" si="1"/>
        <v/>
      </c>
      <c r="L632" s="27"/>
      <c r="M632" s="27"/>
      <c r="N632" s="10" t="str">
        <f t="array" ref="N632">IF(COUNTIF($A$2:A631,A)&gt;0,INDEX($C$2:C631,MATCH(A632,$A$2:A631,0)),"")</f>
        <v/>
      </c>
      <c r="O632" s="17"/>
      <c r="P632" s="29"/>
    </row>
    <row r="633" ht="15.75" customHeight="1">
      <c r="A633" s="9" t="str">
        <f>IFERROR(__xludf.DUMMYFUNCTION("IF(B633="""","""",RIGHT(regexreplace(B633&amp;"""",""[^0-9]"",""""),9))"),"")</f>
        <v/>
      </c>
      <c r="B633" s="5"/>
      <c r="C633" s="5"/>
      <c r="D633" s="5"/>
      <c r="E633" s="23"/>
      <c r="F633" s="23"/>
      <c r="G633" s="23"/>
      <c r="H633" s="23"/>
      <c r="I633" s="23"/>
      <c r="J633" s="23"/>
      <c r="K633" s="10" t="str">
        <f t="shared" si="1"/>
        <v/>
      </c>
      <c r="L633" s="27"/>
      <c r="M633" s="27"/>
      <c r="N633" s="10" t="str">
        <f t="shared" ref="N633:N634" si="213">IF(COUNTIF($A$2:A632,A633)&gt;0,INDEX($C$2:C632,MATCH(A633,$A$2:A632,0)),"")</f>
        <v/>
      </c>
      <c r="O633" s="17"/>
      <c r="P633" s="29"/>
    </row>
    <row r="634" ht="15.75" customHeight="1">
      <c r="A634" s="9" t="str">
        <f>IFERROR(__xludf.DUMMYFUNCTION("IF(B634="""","""",RIGHT(regexreplace(B634&amp;"""",""[^0-9]"",""""),9))"),"")</f>
        <v/>
      </c>
      <c r="B634" s="5"/>
      <c r="C634" s="5"/>
      <c r="D634" s="5"/>
      <c r="E634" s="23"/>
      <c r="F634" s="23"/>
      <c r="G634" s="23"/>
      <c r="H634" s="23"/>
      <c r="I634" s="23"/>
      <c r="J634" s="23"/>
      <c r="K634" s="10" t="str">
        <f t="shared" si="1"/>
        <v/>
      </c>
      <c r="L634" s="27"/>
      <c r="M634" s="27"/>
      <c r="N634" s="10" t="str">
        <f t="shared" si="213"/>
        <v/>
      </c>
      <c r="O634" s="17"/>
      <c r="P634" s="29"/>
    </row>
    <row r="635" ht="15.75" customHeight="1">
      <c r="A635" s="9" t="str">
        <f>IFERROR(__xludf.DUMMYFUNCTION("IF(B635="""","""",RIGHT(regexreplace(B635&amp;"""",""[^0-9]"",""""),9))"),"")</f>
        <v/>
      </c>
      <c r="B635" s="5"/>
      <c r="C635" s="5"/>
      <c r="D635" s="5"/>
      <c r="E635" s="23"/>
      <c r="F635" s="23"/>
      <c r="G635" s="23"/>
      <c r="H635" s="23"/>
      <c r="I635" s="23"/>
      <c r="J635" s="23"/>
      <c r="K635" s="10" t="str">
        <f t="shared" si="1"/>
        <v/>
      </c>
      <c r="L635" s="27"/>
      <c r="M635" s="27"/>
      <c r="N635" s="10" t="str">
        <f t="array" ref="N635">IF(COUNTIF($A$2:A634,A)&gt;0,INDEX($C$2:C634,MATCH(A635,$A$2:A634,0)),"")</f>
        <v/>
      </c>
      <c r="O635" s="17"/>
      <c r="P635" s="29"/>
    </row>
    <row r="636" ht="15.75" customHeight="1">
      <c r="A636" s="9" t="str">
        <f>IFERROR(__xludf.DUMMYFUNCTION("IF(B636="""","""",RIGHT(regexreplace(B636&amp;"""",""[^0-9]"",""""),9))"),"")</f>
        <v/>
      </c>
      <c r="B636" s="5"/>
      <c r="C636" s="5"/>
      <c r="D636" s="5"/>
      <c r="E636" s="23"/>
      <c r="F636" s="23"/>
      <c r="G636" s="23"/>
      <c r="H636" s="23"/>
      <c r="I636" s="23"/>
      <c r="J636" s="23"/>
      <c r="K636" s="10" t="str">
        <f t="shared" si="1"/>
        <v/>
      </c>
      <c r="L636" s="27"/>
      <c r="M636" s="27"/>
      <c r="N636" s="10" t="str">
        <f t="shared" ref="N636:N637" si="214">IF(COUNTIF($A$2:A635,A636)&gt;0,INDEX($C$2:C635,MATCH(A636,$A$2:A635,0)),"")</f>
        <v/>
      </c>
      <c r="O636" s="17"/>
      <c r="P636" s="29"/>
    </row>
    <row r="637" ht="15.75" customHeight="1">
      <c r="A637" s="9" t="str">
        <f>IFERROR(__xludf.DUMMYFUNCTION("IF(B637="""","""",RIGHT(regexreplace(B637&amp;"""",""[^0-9]"",""""),9))"),"")</f>
        <v/>
      </c>
      <c r="B637" s="5"/>
      <c r="C637" s="5"/>
      <c r="D637" s="5"/>
      <c r="E637" s="23"/>
      <c r="F637" s="23"/>
      <c r="G637" s="23"/>
      <c r="H637" s="23"/>
      <c r="I637" s="23"/>
      <c r="J637" s="23"/>
      <c r="K637" s="10" t="str">
        <f t="shared" si="1"/>
        <v/>
      </c>
      <c r="L637" s="27"/>
      <c r="M637" s="27"/>
      <c r="N637" s="10" t="str">
        <f t="shared" si="214"/>
        <v/>
      </c>
      <c r="O637" s="17"/>
      <c r="P637" s="29"/>
    </row>
    <row r="638" ht="15.75" customHeight="1">
      <c r="A638" s="9" t="str">
        <f>IFERROR(__xludf.DUMMYFUNCTION("IF(B638="""","""",RIGHT(regexreplace(B638&amp;"""",""[^0-9]"",""""),9))"),"")</f>
        <v/>
      </c>
      <c r="B638" s="5"/>
      <c r="C638" s="5"/>
      <c r="D638" s="5"/>
      <c r="E638" s="23"/>
      <c r="F638" s="23"/>
      <c r="G638" s="23"/>
      <c r="H638" s="23"/>
      <c r="I638" s="23"/>
      <c r="J638" s="23"/>
      <c r="K638" s="10" t="str">
        <f t="shared" si="1"/>
        <v/>
      </c>
      <c r="L638" s="27"/>
      <c r="M638" s="27"/>
      <c r="N638" s="10" t="str">
        <f t="array" ref="N638">IF(COUNTIF($A$2:A637,A)&gt;0,INDEX($C$2:C637,MATCH(A638,$A$2:A637,0)),"")</f>
        <v/>
      </c>
      <c r="O638" s="17"/>
      <c r="P638" s="29"/>
    </row>
    <row r="639" ht="15.75" customHeight="1">
      <c r="A639" s="9" t="str">
        <f>IFERROR(__xludf.DUMMYFUNCTION("IF(B639="""","""",RIGHT(regexreplace(B639&amp;"""",""[^0-9]"",""""),9))"),"")</f>
        <v/>
      </c>
      <c r="B639" s="5"/>
      <c r="C639" s="5"/>
      <c r="D639" s="5"/>
      <c r="E639" s="23"/>
      <c r="F639" s="23"/>
      <c r="G639" s="23"/>
      <c r="H639" s="23"/>
      <c r="I639" s="23"/>
      <c r="J639" s="23"/>
      <c r="K639" s="10" t="str">
        <f t="shared" si="1"/>
        <v/>
      </c>
      <c r="L639" s="27"/>
      <c r="M639" s="27"/>
      <c r="N639" s="10" t="str">
        <f t="shared" ref="N639:N640" si="215">IF(COUNTIF($A$2:A638,A639)&gt;0,INDEX($C$2:C638,MATCH(A639,$A$2:A638,0)),"")</f>
        <v/>
      </c>
      <c r="O639" s="17"/>
      <c r="P639" s="29"/>
    </row>
    <row r="640" ht="15.75" customHeight="1">
      <c r="A640" s="9" t="str">
        <f>IFERROR(__xludf.DUMMYFUNCTION("IF(B640="""","""",RIGHT(regexreplace(B640&amp;"""",""[^0-9]"",""""),9))"),"")</f>
        <v/>
      </c>
      <c r="B640" s="5"/>
      <c r="C640" s="5"/>
      <c r="D640" s="5"/>
      <c r="E640" s="23"/>
      <c r="F640" s="23"/>
      <c r="G640" s="23"/>
      <c r="H640" s="23"/>
      <c r="I640" s="23"/>
      <c r="J640" s="23"/>
      <c r="K640" s="10" t="str">
        <f t="shared" si="1"/>
        <v/>
      </c>
      <c r="L640" s="27"/>
      <c r="M640" s="27"/>
      <c r="N640" s="10" t="str">
        <f t="shared" si="215"/>
        <v/>
      </c>
      <c r="O640" s="17"/>
      <c r="P640" s="29"/>
    </row>
    <row r="641" ht="15.75" customHeight="1">
      <c r="A641" s="9" t="str">
        <f>IFERROR(__xludf.DUMMYFUNCTION("IF(B641="""","""",RIGHT(regexreplace(B641&amp;"""",""[^0-9]"",""""),9))"),"")</f>
        <v/>
      </c>
      <c r="B641" s="5"/>
      <c r="C641" s="5"/>
      <c r="D641" s="5"/>
      <c r="E641" s="23"/>
      <c r="F641" s="23"/>
      <c r="G641" s="23"/>
      <c r="H641" s="23"/>
      <c r="I641" s="23"/>
      <c r="J641" s="23"/>
      <c r="K641" s="10" t="str">
        <f t="shared" si="1"/>
        <v/>
      </c>
      <c r="L641" s="27"/>
      <c r="M641" s="27"/>
      <c r="N641" s="10" t="str">
        <f t="array" ref="N641">IF(COUNTIF($A$2:A640,A)&gt;0,INDEX($C$2:C640,MATCH(A641,$A$2:A640,0)),"")</f>
        <v/>
      </c>
      <c r="O641" s="17"/>
      <c r="P641" s="29"/>
    </row>
    <row r="642" ht="15.75" customHeight="1">
      <c r="A642" s="9" t="str">
        <f>IFERROR(__xludf.DUMMYFUNCTION("IF(B642="""","""",RIGHT(regexreplace(B642&amp;"""",""[^0-9]"",""""),9))"),"")</f>
        <v/>
      </c>
      <c r="B642" s="5"/>
      <c r="C642" s="5"/>
      <c r="D642" s="5"/>
      <c r="E642" s="23"/>
      <c r="F642" s="23"/>
      <c r="G642" s="23"/>
      <c r="H642" s="23"/>
      <c r="I642" s="23"/>
      <c r="J642" s="23"/>
      <c r="K642" s="10" t="str">
        <f t="shared" si="1"/>
        <v/>
      </c>
      <c r="L642" s="27"/>
      <c r="M642" s="27"/>
      <c r="N642" s="10" t="str">
        <f t="shared" ref="N642:N643" si="216">IF(COUNTIF($A$2:A641,A642)&gt;0,INDEX($C$2:C641,MATCH(A642,$A$2:A641,0)),"")</f>
        <v/>
      </c>
      <c r="O642" s="17"/>
      <c r="P642" s="29"/>
    </row>
    <row r="643" ht="15.75" customHeight="1">
      <c r="A643" s="9" t="str">
        <f>IFERROR(__xludf.DUMMYFUNCTION("IF(B643="""","""",RIGHT(regexreplace(B643&amp;"""",""[^0-9]"",""""),9))"),"")</f>
        <v/>
      </c>
      <c r="B643" s="5"/>
      <c r="C643" s="5"/>
      <c r="D643" s="5"/>
      <c r="E643" s="23"/>
      <c r="F643" s="23"/>
      <c r="G643" s="23"/>
      <c r="H643" s="23"/>
      <c r="I643" s="23"/>
      <c r="J643" s="23"/>
      <c r="K643" s="10" t="str">
        <f t="shared" si="1"/>
        <v/>
      </c>
      <c r="L643" s="27"/>
      <c r="M643" s="27"/>
      <c r="N643" s="10" t="str">
        <f t="shared" si="216"/>
        <v/>
      </c>
      <c r="O643" s="17"/>
      <c r="P643" s="29"/>
    </row>
    <row r="644" ht="15.75" customHeight="1">
      <c r="A644" s="9" t="str">
        <f>IFERROR(__xludf.DUMMYFUNCTION("IF(B644="""","""",RIGHT(regexreplace(B644&amp;"""",""[^0-9]"",""""),9))"),"")</f>
        <v/>
      </c>
      <c r="B644" s="5"/>
      <c r="C644" s="5"/>
      <c r="D644" s="5"/>
      <c r="E644" s="23"/>
      <c r="F644" s="23"/>
      <c r="G644" s="23"/>
      <c r="H644" s="23"/>
      <c r="I644" s="23"/>
      <c r="J644" s="23"/>
      <c r="K644" s="10" t="str">
        <f t="shared" si="1"/>
        <v/>
      </c>
      <c r="L644" s="27"/>
      <c r="M644" s="27"/>
      <c r="N644" s="10" t="str">
        <f t="array" ref="N644">IF(COUNTIF($A$2:A643,A)&gt;0,INDEX($C$2:C643,MATCH(A644,$A$2:A643,0)),"")</f>
        <v/>
      </c>
      <c r="O644" s="17"/>
      <c r="P644" s="29"/>
    </row>
    <row r="645" ht="15.75" customHeight="1">
      <c r="A645" s="9" t="str">
        <f>IFERROR(__xludf.DUMMYFUNCTION("IF(B645="""","""",RIGHT(regexreplace(B645&amp;"""",""[^0-9]"",""""),9))"),"")</f>
        <v/>
      </c>
      <c r="B645" s="5"/>
      <c r="C645" s="5"/>
      <c r="D645" s="5"/>
      <c r="E645" s="23"/>
      <c r="F645" s="23"/>
      <c r="G645" s="23"/>
      <c r="H645" s="23"/>
      <c r="I645" s="23"/>
      <c r="J645" s="23"/>
      <c r="K645" s="10" t="str">
        <f t="shared" si="1"/>
        <v/>
      </c>
      <c r="L645" s="27"/>
      <c r="M645" s="27"/>
      <c r="N645" s="10" t="str">
        <f t="shared" ref="N645:N646" si="217">IF(COUNTIF($A$2:A644,A645)&gt;0,INDEX($C$2:C644,MATCH(A645,$A$2:A644,0)),"")</f>
        <v/>
      </c>
      <c r="O645" s="17"/>
      <c r="P645" s="29"/>
    </row>
    <row r="646" ht="15.75" customHeight="1">
      <c r="A646" s="9" t="str">
        <f>IFERROR(__xludf.DUMMYFUNCTION("IF(B646="""","""",RIGHT(regexreplace(B646&amp;"""",""[^0-9]"",""""),9))"),"")</f>
        <v/>
      </c>
      <c r="B646" s="5"/>
      <c r="C646" s="5"/>
      <c r="D646" s="5"/>
      <c r="E646" s="23"/>
      <c r="F646" s="23"/>
      <c r="G646" s="23"/>
      <c r="H646" s="23"/>
      <c r="I646" s="23"/>
      <c r="J646" s="23"/>
      <c r="K646" s="10" t="str">
        <f t="shared" si="1"/>
        <v/>
      </c>
      <c r="L646" s="27"/>
      <c r="M646" s="27"/>
      <c r="N646" s="10" t="str">
        <f t="shared" si="217"/>
        <v/>
      </c>
      <c r="O646" s="17"/>
      <c r="P646" s="29"/>
    </row>
    <row r="647" ht="15.75" customHeight="1">
      <c r="A647" s="9" t="str">
        <f>IFERROR(__xludf.DUMMYFUNCTION("IF(B647="""","""",RIGHT(regexreplace(B647&amp;"""",""[^0-9]"",""""),9))"),"")</f>
        <v/>
      </c>
      <c r="B647" s="5"/>
      <c r="C647" s="5"/>
      <c r="D647" s="5"/>
      <c r="E647" s="23"/>
      <c r="F647" s="23"/>
      <c r="G647" s="23"/>
      <c r="H647" s="23"/>
      <c r="I647" s="23"/>
      <c r="J647" s="23"/>
      <c r="K647" s="10" t="str">
        <f t="shared" si="1"/>
        <v/>
      </c>
      <c r="L647" s="27"/>
      <c r="M647" s="27"/>
      <c r="N647" s="10" t="str">
        <f t="array" ref="N647">IF(COUNTIF($A$2:A646,A)&gt;0,INDEX($C$2:C646,MATCH(A647,$A$2:A646,0)),"")</f>
        <v/>
      </c>
      <c r="O647" s="17"/>
      <c r="P647" s="29"/>
    </row>
    <row r="648" ht="15.75" customHeight="1">
      <c r="A648" s="9" t="str">
        <f>IFERROR(__xludf.DUMMYFUNCTION("IF(B648="""","""",RIGHT(regexreplace(B648&amp;"""",""[^0-9]"",""""),9))"),"")</f>
        <v/>
      </c>
      <c r="B648" s="5"/>
      <c r="C648" s="5"/>
      <c r="D648" s="5"/>
      <c r="E648" s="23"/>
      <c r="F648" s="23"/>
      <c r="G648" s="23"/>
      <c r="H648" s="23"/>
      <c r="I648" s="23"/>
      <c r="J648" s="23"/>
      <c r="K648" s="10" t="str">
        <f t="shared" si="1"/>
        <v/>
      </c>
      <c r="L648" s="27"/>
      <c r="M648" s="27"/>
      <c r="N648" s="10" t="str">
        <f t="shared" ref="N648:N649" si="218">IF(COUNTIF($A$2:A647,A648)&gt;0,INDEX($C$2:C647,MATCH(A648,$A$2:A647,0)),"")</f>
        <v/>
      </c>
      <c r="O648" s="17"/>
      <c r="P648" s="29"/>
    </row>
    <row r="649" ht="15.75" customHeight="1">
      <c r="A649" s="9" t="str">
        <f>IFERROR(__xludf.DUMMYFUNCTION("IF(B649="""","""",RIGHT(regexreplace(B649&amp;"""",""[^0-9]"",""""),9))"),"")</f>
        <v/>
      </c>
      <c r="B649" s="5"/>
      <c r="C649" s="5"/>
      <c r="D649" s="5"/>
      <c r="E649" s="23"/>
      <c r="F649" s="23"/>
      <c r="G649" s="23"/>
      <c r="H649" s="23"/>
      <c r="I649" s="23"/>
      <c r="J649" s="23"/>
      <c r="K649" s="10" t="str">
        <f t="shared" si="1"/>
        <v/>
      </c>
      <c r="L649" s="27"/>
      <c r="M649" s="27"/>
      <c r="N649" s="10" t="str">
        <f t="shared" si="218"/>
        <v/>
      </c>
      <c r="O649" s="17"/>
      <c r="P649" s="29"/>
    </row>
    <row r="650" ht="15.75" customHeight="1">
      <c r="A650" s="9" t="str">
        <f>IFERROR(__xludf.DUMMYFUNCTION("IF(B650="""","""",RIGHT(regexreplace(B650&amp;"""",""[^0-9]"",""""),9))"),"")</f>
        <v/>
      </c>
      <c r="B650" s="5"/>
      <c r="C650" s="5"/>
      <c r="D650" s="5"/>
      <c r="E650" s="23"/>
      <c r="F650" s="23"/>
      <c r="G650" s="23"/>
      <c r="H650" s="23"/>
      <c r="I650" s="23"/>
      <c r="J650" s="23"/>
      <c r="K650" s="10" t="str">
        <f t="shared" si="1"/>
        <v/>
      </c>
      <c r="L650" s="27"/>
      <c r="M650" s="27"/>
      <c r="N650" s="10" t="str">
        <f t="array" ref="N650">IF(COUNTIF($A$2:A649,A)&gt;0,INDEX($C$2:C649,MATCH(A650,$A$2:A649,0)),"")</f>
        <v/>
      </c>
      <c r="O650" s="17"/>
      <c r="P650" s="29"/>
    </row>
    <row r="651" ht="15.75" customHeight="1">
      <c r="A651" s="9" t="str">
        <f>IFERROR(__xludf.DUMMYFUNCTION("IF(B651="""","""",RIGHT(regexreplace(B651&amp;"""",""[^0-9]"",""""),9))"),"")</f>
        <v/>
      </c>
      <c r="B651" s="5"/>
      <c r="C651" s="5"/>
      <c r="D651" s="5"/>
      <c r="E651" s="23"/>
      <c r="F651" s="23"/>
      <c r="G651" s="23"/>
      <c r="H651" s="23"/>
      <c r="I651" s="23"/>
      <c r="J651" s="23"/>
      <c r="K651" s="10" t="str">
        <f t="shared" si="1"/>
        <v/>
      </c>
      <c r="L651" s="27"/>
      <c r="M651" s="27"/>
      <c r="N651" s="10" t="str">
        <f t="shared" ref="N651:N652" si="219">IF(COUNTIF($A$2:A650,A651)&gt;0,INDEX($C$2:C650,MATCH(A651,$A$2:A650,0)),"")</f>
        <v/>
      </c>
      <c r="O651" s="17"/>
      <c r="P651" s="29"/>
    </row>
    <row r="652" ht="15.75" customHeight="1">
      <c r="A652" s="9" t="str">
        <f>IFERROR(__xludf.DUMMYFUNCTION("IF(B652="""","""",RIGHT(regexreplace(B652&amp;"""",""[^0-9]"",""""),9))"),"")</f>
        <v/>
      </c>
      <c r="B652" s="5"/>
      <c r="C652" s="5"/>
      <c r="D652" s="5"/>
      <c r="E652" s="23"/>
      <c r="F652" s="23"/>
      <c r="G652" s="23"/>
      <c r="H652" s="23"/>
      <c r="I652" s="23"/>
      <c r="J652" s="23"/>
      <c r="K652" s="10" t="str">
        <f t="shared" si="1"/>
        <v/>
      </c>
      <c r="L652" s="27"/>
      <c r="M652" s="27"/>
      <c r="N652" s="10" t="str">
        <f t="shared" si="219"/>
        <v/>
      </c>
      <c r="O652" s="17"/>
      <c r="P652" s="29"/>
    </row>
    <row r="653" ht="15.75" customHeight="1">
      <c r="A653" s="9" t="str">
        <f>IFERROR(__xludf.DUMMYFUNCTION("IF(B653="""","""",RIGHT(regexreplace(B653&amp;"""",""[^0-9]"",""""),9))"),"")</f>
        <v/>
      </c>
      <c r="B653" s="5"/>
      <c r="C653" s="5"/>
      <c r="D653" s="5"/>
      <c r="E653" s="23"/>
      <c r="F653" s="23"/>
      <c r="G653" s="23"/>
      <c r="H653" s="23"/>
      <c r="I653" s="23"/>
      <c r="J653" s="23"/>
      <c r="K653" s="10" t="str">
        <f t="shared" si="1"/>
        <v/>
      </c>
      <c r="L653" s="27"/>
      <c r="M653" s="27"/>
      <c r="N653" s="10" t="str">
        <f t="array" ref="N653">IF(COUNTIF($A$2:A652,A)&gt;0,INDEX($C$2:C652,MATCH(A653,$A$2:A652,0)),"")</f>
        <v/>
      </c>
      <c r="O653" s="17"/>
      <c r="P653" s="29"/>
    </row>
    <row r="654" ht="15.75" customHeight="1">
      <c r="A654" s="9" t="str">
        <f>IFERROR(__xludf.DUMMYFUNCTION("IF(B654="""","""",RIGHT(regexreplace(B654&amp;"""",""[^0-9]"",""""),9))"),"")</f>
        <v/>
      </c>
      <c r="B654" s="5"/>
      <c r="C654" s="5"/>
      <c r="D654" s="5"/>
      <c r="E654" s="23"/>
      <c r="F654" s="23"/>
      <c r="G654" s="23"/>
      <c r="H654" s="23"/>
      <c r="I654" s="23"/>
      <c r="J654" s="23"/>
      <c r="K654" s="10" t="str">
        <f t="shared" si="1"/>
        <v/>
      </c>
      <c r="L654" s="27"/>
      <c r="M654" s="27"/>
      <c r="N654" s="10" t="str">
        <f t="shared" ref="N654:N655" si="220">IF(COUNTIF($A$2:A653,A654)&gt;0,INDEX($C$2:C653,MATCH(A654,$A$2:A653,0)),"")</f>
        <v/>
      </c>
      <c r="O654" s="17"/>
      <c r="P654" s="29"/>
    </row>
    <row r="655" ht="15.75" customHeight="1">
      <c r="A655" s="9" t="str">
        <f>IFERROR(__xludf.DUMMYFUNCTION("IF(B655="""","""",RIGHT(regexreplace(B655&amp;"""",""[^0-9]"",""""),9))"),"")</f>
        <v/>
      </c>
      <c r="B655" s="5"/>
      <c r="C655" s="5"/>
      <c r="D655" s="5"/>
      <c r="E655" s="23"/>
      <c r="F655" s="23"/>
      <c r="G655" s="23"/>
      <c r="H655" s="23"/>
      <c r="I655" s="23"/>
      <c r="J655" s="23"/>
      <c r="K655" s="10" t="str">
        <f t="shared" si="1"/>
        <v/>
      </c>
      <c r="L655" s="27"/>
      <c r="M655" s="27"/>
      <c r="N655" s="10" t="str">
        <f t="shared" si="220"/>
        <v/>
      </c>
      <c r="O655" s="17"/>
      <c r="P655" s="29"/>
    </row>
    <row r="656" ht="15.75" customHeight="1">
      <c r="A656" s="9" t="str">
        <f>IFERROR(__xludf.DUMMYFUNCTION("IF(B656="""","""",RIGHT(regexreplace(B656&amp;"""",""[^0-9]"",""""),9))"),"")</f>
        <v/>
      </c>
      <c r="B656" s="5"/>
      <c r="C656" s="5"/>
      <c r="D656" s="5"/>
      <c r="E656" s="23"/>
      <c r="F656" s="23"/>
      <c r="G656" s="23"/>
      <c r="H656" s="23"/>
      <c r="I656" s="23"/>
      <c r="J656" s="23"/>
      <c r="K656" s="10" t="str">
        <f t="shared" si="1"/>
        <v/>
      </c>
      <c r="L656" s="27"/>
      <c r="M656" s="27"/>
      <c r="N656" s="10" t="str">
        <f t="array" ref="N656">IF(COUNTIF($A$2:A655,A)&gt;0,INDEX($C$2:C655,MATCH(A656,$A$2:A655,0)),"")</f>
        <v/>
      </c>
      <c r="O656" s="17"/>
      <c r="P656" s="29"/>
    </row>
    <row r="657" ht="15.75" customHeight="1">
      <c r="A657" s="9" t="str">
        <f>IFERROR(__xludf.DUMMYFUNCTION("IF(B657="""","""",RIGHT(regexreplace(B657&amp;"""",""[^0-9]"",""""),9))"),"")</f>
        <v/>
      </c>
      <c r="B657" s="5"/>
      <c r="C657" s="5"/>
      <c r="D657" s="5"/>
      <c r="E657" s="23"/>
      <c r="F657" s="23"/>
      <c r="G657" s="23"/>
      <c r="H657" s="23"/>
      <c r="I657" s="23"/>
      <c r="J657" s="23"/>
      <c r="K657" s="10" t="str">
        <f t="shared" si="1"/>
        <v/>
      </c>
      <c r="L657" s="27"/>
      <c r="M657" s="27"/>
      <c r="N657" s="10" t="str">
        <f t="shared" ref="N657:N658" si="221">IF(COUNTIF($A$2:A656,A657)&gt;0,INDEX($C$2:C656,MATCH(A657,$A$2:A656,0)),"")</f>
        <v/>
      </c>
      <c r="O657" s="17"/>
      <c r="P657" s="29"/>
    </row>
    <row r="658" ht="15.75" customHeight="1">
      <c r="A658" s="9" t="str">
        <f>IFERROR(__xludf.DUMMYFUNCTION("IF(B658="""","""",RIGHT(regexreplace(B658&amp;"""",""[^0-9]"",""""),9))"),"")</f>
        <v/>
      </c>
      <c r="B658" s="5"/>
      <c r="C658" s="5"/>
      <c r="D658" s="5"/>
      <c r="E658" s="23"/>
      <c r="F658" s="23"/>
      <c r="G658" s="23"/>
      <c r="H658" s="23"/>
      <c r="I658" s="23"/>
      <c r="J658" s="23"/>
      <c r="K658" s="10" t="str">
        <f t="shared" si="1"/>
        <v/>
      </c>
      <c r="L658" s="27"/>
      <c r="M658" s="27"/>
      <c r="N658" s="10" t="str">
        <f t="shared" si="221"/>
        <v/>
      </c>
      <c r="O658" s="17"/>
      <c r="P658" s="29"/>
    </row>
    <row r="659" ht="15.75" customHeight="1">
      <c r="A659" s="9" t="str">
        <f>IFERROR(__xludf.DUMMYFUNCTION("IF(B659="""","""",RIGHT(regexreplace(B659&amp;"""",""[^0-9]"",""""),9))"),"")</f>
        <v/>
      </c>
      <c r="B659" s="5"/>
      <c r="C659" s="5"/>
      <c r="D659" s="5"/>
      <c r="E659" s="23"/>
      <c r="F659" s="23"/>
      <c r="G659" s="23"/>
      <c r="H659" s="23"/>
      <c r="I659" s="23"/>
      <c r="J659" s="23"/>
      <c r="K659" s="10" t="str">
        <f t="shared" si="1"/>
        <v/>
      </c>
      <c r="L659" s="27"/>
      <c r="M659" s="27"/>
      <c r="N659" s="10" t="str">
        <f t="array" ref="N659">IF(COUNTIF($A$2:A658,A)&gt;0,INDEX($C$2:C658,MATCH(A659,$A$2:A658,0)),"")</f>
        <v/>
      </c>
      <c r="O659" s="17"/>
      <c r="P659" s="29"/>
    </row>
    <row r="660" ht="15.75" customHeight="1">
      <c r="A660" s="9" t="str">
        <f>IFERROR(__xludf.DUMMYFUNCTION("IF(B660="""","""",RIGHT(regexreplace(B660&amp;"""",""[^0-9]"",""""),9))"),"")</f>
        <v/>
      </c>
      <c r="B660" s="5"/>
      <c r="C660" s="5"/>
      <c r="D660" s="5"/>
      <c r="E660" s="23"/>
      <c r="F660" s="23"/>
      <c r="G660" s="23"/>
      <c r="H660" s="23"/>
      <c r="I660" s="23"/>
      <c r="J660" s="23"/>
      <c r="K660" s="10" t="str">
        <f t="shared" si="1"/>
        <v/>
      </c>
      <c r="L660" s="27"/>
      <c r="M660" s="27"/>
      <c r="N660" s="10" t="str">
        <f t="shared" ref="N660:N661" si="222">IF(COUNTIF($A$2:A659,A660)&gt;0,INDEX($C$2:C659,MATCH(A660,$A$2:A659,0)),"")</f>
        <v/>
      </c>
      <c r="O660" s="17"/>
      <c r="P660" s="29"/>
    </row>
    <row r="661" ht="15.75" customHeight="1">
      <c r="A661" s="9" t="str">
        <f>IFERROR(__xludf.DUMMYFUNCTION("IF(B661="""","""",RIGHT(regexreplace(B661&amp;"""",""[^0-9]"",""""),9))"),"")</f>
        <v/>
      </c>
      <c r="B661" s="5"/>
      <c r="C661" s="5"/>
      <c r="D661" s="5"/>
      <c r="E661" s="23"/>
      <c r="F661" s="23"/>
      <c r="G661" s="23"/>
      <c r="H661" s="23"/>
      <c r="I661" s="23"/>
      <c r="J661" s="23"/>
      <c r="K661" s="10" t="str">
        <f t="shared" si="1"/>
        <v/>
      </c>
      <c r="L661" s="27"/>
      <c r="M661" s="27"/>
      <c r="N661" s="10" t="str">
        <f t="shared" si="222"/>
        <v/>
      </c>
      <c r="O661" s="17"/>
      <c r="P661" s="29"/>
    </row>
    <row r="662" ht="15.75" customHeight="1">
      <c r="A662" s="9" t="str">
        <f>IFERROR(__xludf.DUMMYFUNCTION("IF(B662="""","""",RIGHT(regexreplace(B662&amp;"""",""[^0-9]"",""""),9))"),"")</f>
        <v/>
      </c>
      <c r="B662" s="5"/>
      <c r="C662" s="5"/>
      <c r="D662" s="5"/>
      <c r="E662" s="23"/>
      <c r="F662" s="23"/>
      <c r="G662" s="23"/>
      <c r="H662" s="23"/>
      <c r="I662" s="23"/>
      <c r="J662" s="23"/>
      <c r="K662" s="10" t="str">
        <f t="shared" si="1"/>
        <v/>
      </c>
      <c r="L662" s="27"/>
      <c r="M662" s="27"/>
      <c r="N662" s="10" t="str">
        <f t="array" ref="N662">IF(COUNTIF($A$2:A661,A)&gt;0,INDEX($C$2:C661,MATCH(A662,$A$2:A661,0)),"")</f>
        <v/>
      </c>
      <c r="O662" s="17"/>
      <c r="P662" s="29"/>
    </row>
    <row r="663" ht="15.75" customHeight="1">
      <c r="A663" s="9" t="str">
        <f>IFERROR(__xludf.DUMMYFUNCTION("IF(B663="""","""",RIGHT(regexreplace(B663&amp;"""",""[^0-9]"",""""),9))"),"")</f>
        <v/>
      </c>
      <c r="B663" s="5"/>
      <c r="C663" s="5"/>
      <c r="D663" s="5"/>
      <c r="E663" s="23"/>
      <c r="F663" s="23"/>
      <c r="G663" s="23"/>
      <c r="H663" s="23"/>
      <c r="I663" s="23"/>
      <c r="J663" s="23"/>
      <c r="K663" s="10" t="str">
        <f t="shared" si="1"/>
        <v/>
      </c>
      <c r="L663" s="27"/>
      <c r="M663" s="27"/>
      <c r="N663" s="10" t="str">
        <f t="shared" ref="N663:N664" si="223">IF(COUNTIF($A$2:A662,A663)&gt;0,INDEX($C$2:C662,MATCH(A663,$A$2:A662,0)),"")</f>
        <v/>
      </c>
      <c r="O663" s="17"/>
      <c r="P663" s="29"/>
    </row>
    <row r="664" ht="15.75" customHeight="1">
      <c r="A664" s="9" t="str">
        <f>IFERROR(__xludf.DUMMYFUNCTION("IF(B664="""","""",RIGHT(regexreplace(B664&amp;"""",""[^0-9]"",""""),9))"),"")</f>
        <v/>
      </c>
      <c r="B664" s="5"/>
      <c r="C664" s="5"/>
      <c r="D664" s="5"/>
      <c r="E664" s="23"/>
      <c r="F664" s="23"/>
      <c r="G664" s="23"/>
      <c r="H664" s="23"/>
      <c r="I664" s="23"/>
      <c r="J664" s="23"/>
      <c r="K664" s="10" t="str">
        <f t="shared" si="1"/>
        <v/>
      </c>
      <c r="L664" s="27"/>
      <c r="M664" s="27"/>
      <c r="N664" s="10" t="str">
        <f t="shared" si="223"/>
        <v/>
      </c>
      <c r="O664" s="17"/>
      <c r="P664" s="29"/>
    </row>
    <row r="665" ht="15.75" customHeight="1">
      <c r="A665" s="9" t="str">
        <f>IFERROR(__xludf.DUMMYFUNCTION("IF(B665="""","""",RIGHT(regexreplace(B665&amp;"""",""[^0-9]"",""""),9))"),"")</f>
        <v/>
      </c>
      <c r="B665" s="5"/>
      <c r="C665" s="5"/>
      <c r="D665" s="5"/>
      <c r="E665" s="23"/>
      <c r="F665" s="23"/>
      <c r="G665" s="23"/>
      <c r="H665" s="23"/>
      <c r="I665" s="23"/>
      <c r="J665" s="23"/>
      <c r="K665" s="10" t="str">
        <f t="shared" si="1"/>
        <v/>
      </c>
      <c r="L665" s="27"/>
      <c r="M665" s="27"/>
      <c r="N665" s="10" t="str">
        <f t="array" ref="N665">IF(COUNTIF($A$2:A664,A)&gt;0,INDEX($C$2:C664,MATCH(A665,$A$2:A664,0)),"")</f>
        <v/>
      </c>
      <c r="O665" s="17"/>
      <c r="P665" s="29"/>
    </row>
    <row r="666" ht="15.75" customHeight="1">
      <c r="A666" s="9" t="str">
        <f>IFERROR(__xludf.DUMMYFUNCTION("IF(B666="""","""",RIGHT(regexreplace(B666&amp;"""",""[^0-9]"",""""),9))"),"")</f>
        <v/>
      </c>
      <c r="B666" s="5"/>
      <c r="C666" s="5"/>
      <c r="D666" s="5"/>
      <c r="E666" s="23"/>
      <c r="F666" s="23"/>
      <c r="G666" s="23"/>
      <c r="H666" s="23"/>
      <c r="I666" s="23"/>
      <c r="J666" s="23"/>
      <c r="K666" s="10" t="str">
        <f t="shared" si="1"/>
        <v/>
      </c>
      <c r="L666" s="27"/>
      <c r="M666" s="27"/>
      <c r="N666" s="10" t="str">
        <f t="shared" ref="N666:N667" si="224">IF(COUNTIF($A$2:A665,A666)&gt;0,INDEX($C$2:C665,MATCH(A666,$A$2:A665,0)),"")</f>
        <v/>
      </c>
      <c r="O666" s="17"/>
      <c r="P666" s="29"/>
    </row>
    <row r="667" ht="15.75" customHeight="1">
      <c r="A667" s="9" t="str">
        <f>IFERROR(__xludf.DUMMYFUNCTION("IF(B667="""","""",RIGHT(regexreplace(B667&amp;"""",""[^0-9]"",""""),9))"),"")</f>
        <v/>
      </c>
      <c r="B667" s="5"/>
      <c r="C667" s="5"/>
      <c r="D667" s="5"/>
      <c r="E667" s="23"/>
      <c r="F667" s="23"/>
      <c r="G667" s="23"/>
      <c r="H667" s="23"/>
      <c r="I667" s="23"/>
      <c r="J667" s="23"/>
      <c r="K667" s="10" t="str">
        <f t="shared" si="1"/>
        <v/>
      </c>
      <c r="L667" s="27"/>
      <c r="M667" s="27"/>
      <c r="N667" s="10" t="str">
        <f t="shared" si="224"/>
        <v/>
      </c>
      <c r="O667" s="17"/>
      <c r="P667" s="29"/>
    </row>
    <row r="668" ht="15.75" customHeight="1">
      <c r="A668" s="9" t="str">
        <f>IFERROR(__xludf.DUMMYFUNCTION("IF(B668="""","""",RIGHT(regexreplace(B668&amp;"""",""[^0-9]"",""""),9))"),"")</f>
        <v/>
      </c>
      <c r="B668" s="5"/>
      <c r="C668" s="5"/>
      <c r="D668" s="5"/>
      <c r="E668" s="23"/>
      <c r="F668" s="23"/>
      <c r="G668" s="23"/>
      <c r="H668" s="23"/>
      <c r="I668" s="23"/>
      <c r="J668" s="23"/>
      <c r="K668" s="10" t="str">
        <f t="shared" si="1"/>
        <v/>
      </c>
      <c r="L668" s="27"/>
      <c r="M668" s="27"/>
      <c r="N668" s="10" t="str">
        <f t="array" ref="N668">IF(COUNTIF($A$2:A667,A)&gt;0,INDEX($C$2:C667,MATCH(A668,$A$2:A667,0)),"")</f>
        <v/>
      </c>
      <c r="O668" s="17"/>
      <c r="P668" s="29"/>
    </row>
    <row r="669" ht="15.75" customHeight="1">
      <c r="A669" s="9" t="str">
        <f>IFERROR(__xludf.DUMMYFUNCTION("IF(B669="""","""",RIGHT(regexreplace(B669&amp;"""",""[^0-9]"",""""),9))"),"")</f>
        <v/>
      </c>
      <c r="B669" s="5"/>
      <c r="C669" s="5"/>
      <c r="D669" s="5"/>
      <c r="E669" s="23"/>
      <c r="F669" s="23"/>
      <c r="G669" s="23"/>
      <c r="H669" s="23"/>
      <c r="I669" s="23"/>
      <c r="J669" s="23"/>
      <c r="K669" s="10" t="str">
        <f t="shared" si="1"/>
        <v/>
      </c>
      <c r="L669" s="27"/>
      <c r="M669" s="27"/>
      <c r="N669" s="10" t="str">
        <f t="shared" ref="N669:N670" si="225">IF(COUNTIF($A$2:A668,A669)&gt;0,INDEX($C$2:C668,MATCH(A669,$A$2:A668,0)),"")</f>
        <v/>
      </c>
      <c r="O669" s="17"/>
      <c r="P669" s="29"/>
    </row>
    <row r="670" ht="15.75" customHeight="1">
      <c r="A670" s="9" t="str">
        <f>IFERROR(__xludf.DUMMYFUNCTION("IF(B670="""","""",RIGHT(regexreplace(B670&amp;"""",""[^0-9]"",""""),9))"),"")</f>
        <v/>
      </c>
      <c r="B670" s="5"/>
      <c r="C670" s="5"/>
      <c r="D670" s="5"/>
      <c r="E670" s="23"/>
      <c r="F670" s="23"/>
      <c r="G670" s="23"/>
      <c r="H670" s="23"/>
      <c r="I670" s="23"/>
      <c r="J670" s="23"/>
      <c r="K670" s="10" t="str">
        <f t="shared" si="1"/>
        <v/>
      </c>
      <c r="L670" s="27"/>
      <c r="M670" s="27"/>
      <c r="N670" s="10" t="str">
        <f t="shared" si="225"/>
        <v/>
      </c>
      <c r="O670" s="17"/>
      <c r="P670" s="29"/>
    </row>
    <row r="671" ht="15.75" customHeight="1">
      <c r="A671" s="9" t="str">
        <f>IFERROR(__xludf.DUMMYFUNCTION("IF(B671="""","""",RIGHT(regexreplace(B671&amp;"""",""[^0-9]"",""""),9))"),"")</f>
        <v/>
      </c>
      <c r="B671" s="5"/>
      <c r="C671" s="5"/>
      <c r="D671" s="5"/>
      <c r="E671" s="23"/>
      <c r="F671" s="23"/>
      <c r="G671" s="23"/>
      <c r="H671" s="23"/>
      <c r="I671" s="23"/>
      <c r="J671" s="23"/>
      <c r="K671" s="10" t="str">
        <f t="shared" si="1"/>
        <v/>
      </c>
      <c r="L671" s="27"/>
      <c r="M671" s="27"/>
      <c r="N671" s="10" t="str">
        <f t="array" ref="N671">IF(COUNTIF($A$2:A670,A)&gt;0,INDEX($C$2:C670,MATCH(A671,$A$2:A670,0)),"")</f>
        <v/>
      </c>
      <c r="O671" s="17"/>
      <c r="P671" s="29"/>
    </row>
    <row r="672" ht="15.75" customHeight="1">
      <c r="A672" s="9" t="str">
        <f>IFERROR(__xludf.DUMMYFUNCTION("IF(B672="""","""",RIGHT(regexreplace(B672&amp;"""",""[^0-9]"",""""),9))"),"")</f>
        <v/>
      </c>
      <c r="B672" s="5"/>
      <c r="C672" s="5"/>
      <c r="D672" s="5"/>
      <c r="E672" s="23"/>
      <c r="F672" s="23"/>
      <c r="G672" s="23"/>
      <c r="H672" s="23"/>
      <c r="I672" s="23"/>
      <c r="J672" s="23"/>
      <c r="K672" s="10" t="str">
        <f t="shared" si="1"/>
        <v/>
      </c>
      <c r="L672" s="27"/>
      <c r="M672" s="27"/>
      <c r="N672" s="10" t="str">
        <f t="shared" ref="N672:N673" si="226">IF(COUNTIF($A$2:A671,A672)&gt;0,INDEX($C$2:C671,MATCH(A672,$A$2:A671,0)),"")</f>
        <v/>
      </c>
      <c r="O672" s="17"/>
      <c r="P672" s="29"/>
    </row>
    <row r="673" ht="15.75" customHeight="1">
      <c r="A673" s="9" t="str">
        <f>IFERROR(__xludf.DUMMYFUNCTION("IF(B673="""","""",RIGHT(regexreplace(B673&amp;"""",""[^0-9]"",""""),9))"),"")</f>
        <v/>
      </c>
      <c r="B673" s="5"/>
      <c r="C673" s="5"/>
      <c r="D673" s="5"/>
      <c r="E673" s="23"/>
      <c r="F673" s="23"/>
      <c r="G673" s="23"/>
      <c r="H673" s="23"/>
      <c r="I673" s="23"/>
      <c r="J673" s="23"/>
      <c r="K673" s="10" t="str">
        <f t="shared" si="1"/>
        <v/>
      </c>
      <c r="L673" s="27"/>
      <c r="M673" s="27"/>
      <c r="N673" s="10" t="str">
        <f t="shared" si="226"/>
        <v/>
      </c>
      <c r="O673" s="17"/>
      <c r="P673" s="29"/>
    </row>
    <row r="674" ht="15.75" customHeight="1">
      <c r="A674" s="9" t="str">
        <f>IFERROR(__xludf.DUMMYFUNCTION("IF(B674="""","""",RIGHT(regexreplace(B674&amp;"""",""[^0-9]"",""""),9))"),"")</f>
        <v/>
      </c>
      <c r="B674" s="5"/>
      <c r="C674" s="5"/>
      <c r="D674" s="5"/>
      <c r="E674" s="23"/>
      <c r="F674" s="23"/>
      <c r="G674" s="23"/>
      <c r="H674" s="23"/>
      <c r="I674" s="23"/>
      <c r="J674" s="23"/>
      <c r="K674" s="10" t="str">
        <f t="shared" si="1"/>
        <v/>
      </c>
      <c r="L674" s="27"/>
      <c r="M674" s="27"/>
      <c r="N674" s="10" t="str">
        <f t="array" ref="N674">IF(COUNTIF($A$2:A673,A)&gt;0,INDEX($C$2:C673,MATCH(A674,$A$2:A673,0)),"")</f>
        <v/>
      </c>
      <c r="O674" s="17"/>
      <c r="P674" s="29"/>
    </row>
    <row r="675" ht="15.75" customHeight="1">
      <c r="A675" s="9" t="str">
        <f>IFERROR(__xludf.DUMMYFUNCTION("IF(B675="""","""",RIGHT(regexreplace(B675&amp;"""",""[^0-9]"",""""),9))"),"")</f>
        <v/>
      </c>
      <c r="B675" s="5"/>
      <c r="C675" s="5"/>
      <c r="D675" s="5"/>
      <c r="E675" s="23"/>
      <c r="F675" s="23"/>
      <c r="G675" s="23"/>
      <c r="H675" s="23"/>
      <c r="I675" s="23"/>
      <c r="J675" s="23"/>
      <c r="K675" s="10" t="str">
        <f t="shared" si="1"/>
        <v/>
      </c>
      <c r="L675" s="27"/>
      <c r="M675" s="27"/>
      <c r="N675" s="10" t="str">
        <f t="shared" ref="N675:N676" si="227">IF(COUNTIF($A$2:A674,A675)&gt;0,INDEX($C$2:C674,MATCH(A675,$A$2:A674,0)),"")</f>
        <v/>
      </c>
      <c r="O675" s="17"/>
      <c r="P675" s="29"/>
    </row>
    <row r="676" ht="15.75" customHeight="1">
      <c r="A676" s="9" t="str">
        <f>IFERROR(__xludf.DUMMYFUNCTION("IF(B676="""","""",RIGHT(regexreplace(B676&amp;"""",""[^0-9]"",""""),9))"),"")</f>
        <v/>
      </c>
      <c r="B676" s="5"/>
      <c r="C676" s="5"/>
      <c r="D676" s="5"/>
      <c r="E676" s="23"/>
      <c r="F676" s="23"/>
      <c r="G676" s="23"/>
      <c r="H676" s="23"/>
      <c r="I676" s="23"/>
      <c r="J676" s="23"/>
      <c r="K676" s="10" t="str">
        <f t="shared" si="1"/>
        <v/>
      </c>
      <c r="L676" s="27"/>
      <c r="M676" s="27"/>
      <c r="N676" s="10" t="str">
        <f t="shared" si="227"/>
        <v/>
      </c>
      <c r="O676" s="17"/>
      <c r="P676" s="29"/>
    </row>
    <row r="677" ht="15.75" customHeight="1">
      <c r="A677" s="9" t="str">
        <f>IFERROR(__xludf.DUMMYFUNCTION("IF(B677="""","""",RIGHT(regexreplace(B677&amp;"""",""[^0-9]"",""""),9))"),"")</f>
        <v/>
      </c>
      <c r="B677" s="5"/>
      <c r="C677" s="5"/>
      <c r="D677" s="5"/>
      <c r="E677" s="23"/>
      <c r="F677" s="23"/>
      <c r="G677" s="23"/>
      <c r="H677" s="23"/>
      <c r="I677" s="23"/>
      <c r="J677" s="23"/>
      <c r="K677" s="10" t="str">
        <f t="shared" si="1"/>
        <v/>
      </c>
      <c r="L677" s="27"/>
      <c r="M677" s="27"/>
      <c r="N677" s="10" t="str">
        <f t="array" ref="N677">IF(COUNTIF($A$2:A676,A)&gt;0,INDEX($C$2:C676,MATCH(A677,$A$2:A676,0)),"")</f>
        <v/>
      </c>
      <c r="O677" s="17"/>
      <c r="P677" s="29"/>
    </row>
    <row r="678" ht="15.75" customHeight="1">
      <c r="A678" s="9" t="str">
        <f>IFERROR(__xludf.DUMMYFUNCTION("IF(B678="""","""",RIGHT(regexreplace(B678&amp;"""",""[^0-9]"",""""),9))"),"")</f>
        <v/>
      </c>
      <c r="B678" s="5"/>
      <c r="C678" s="5"/>
      <c r="D678" s="5"/>
      <c r="E678" s="23"/>
      <c r="F678" s="23"/>
      <c r="G678" s="23"/>
      <c r="H678" s="23"/>
      <c r="I678" s="23"/>
      <c r="J678" s="23"/>
      <c r="K678" s="10" t="str">
        <f t="shared" si="1"/>
        <v/>
      </c>
      <c r="L678" s="27"/>
      <c r="M678" s="27"/>
      <c r="N678" s="10" t="str">
        <f t="shared" ref="N678:N679" si="228">IF(COUNTIF($A$2:A677,A678)&gt;0,INDEX($C$2:C677,MATCH(A678,$A$2:A677,0)),"")</f>
        <v/>
      </c>
      <c r="O678" s="17"/>
      <c r="P678" s="29"/>
    </row>
    <row r="679" ht="15.75" customHeight="1">
      <c r="A679" s="9" t="str">
        <f>IFERROR(__xludf.DUMMYFUNCTION("IF(B679="""","""",RIGHT(regexreplace(B679&amp;"""",""[^0-9]"",""""),9))"),"")</f>
        <v/>
      </c>
      <c r="B679" s="5"/>
      <c r="C679" s="5"/>
      <c r="D679" s="5"/>
      <c r="E679" s="23"/>
      <c r="F679" s="23"/>
      <c r="G679" s="23"/>
      <c r="H679" s="23"/>
      <c r="I679" s="23"/>
      <c r="J679" s="23"/>
      <c r="K679" s="10" t="str">
        <f t="shared" si="1"/>
        <v/>
      </c>
      <c r="L679" s="27"/>
      <c r="M679" s="27"/>
      <c r="N679" s="10" t="str">
        <f t="shared" si="228"/>
        <v/>
      </c>
      <c r="O679" s="17"/>
      <c r="P679" s="29"/>
    </row>
    <row r="680" ht="15.75" customHeight="1">
      <c r="A680" s="9" t="str">
        <f>IFERROR(__xludf.DUMMYFUNCTION("IF(B680="""","""",RIGHT(regexreplace(B680&amp;"""",""[^0-9]"",""""),9))"),"")</f>
        <v/>
      </c>
      <c r="B680" s="5"/>
      <c r="C680" s="5"/>
      <c r="D680" s="5"/>
      <c r="E680" s="23"/>
      <c r="F680" s="23"/>
      <c r="G680" s="23"/>
      <c r="H680" s="23"/>
      <c r="I680" s="23"/>
      <c r="J680" s="23"/>
      <c r="K680" s="10" t="str">
        <f t="shared" si="1"/>
        <v/>
      </c>
      <c r="L680" s="27"/>
      <c r="M680" s="27"/>
      <c r="N680" s="10" t="str">
        <f t="array" ref="N680">IF(COUNTIF($A$2:A679,A)&gt;0,INDEX($C$2:C679,MATCH(A680,$A$2:A679,0)),"")</f>
        <v/>
      </c>
      <c r="O680" s="17"/>
      <c r="P680" s="29"/>
    </row>
    <row r="681" ht="15.75" customHeight="1">
      <c r="A681" s="9" t="str">
        <f>IFERROR(__xludf.DUMMYFUNCTION("IF(B681="""","""",RIGHT(regexreplace(B681&amp;"""",""[^0-9]"",""""),9))"),"")</f>
        <v/>
      </c>
      <c r="B681" s="5"/>
      <c r="C681" s="5"/>
      <c r="D681" s="5"/>
      <c r="E681" s="23"/>
      <c r="F681" s="23"/>
      <c r="G681" s="23"/>
      <c r="H681" s="23"/>
      <c r="I681" s="23"/>
      <c r="J681" s="23"/>
      <c r="K681" s="10" t="str">
        <f t="shared" si="1"/>
        <v/>
      </c>
      <c r="L681" s="27"/>
      <c r="M681" s="27"/>
      <c r="N681" s="10" t="str">
        <f t="shared" ref="N681:N682" si="229">IF(COUNTIF($A$2:A680,A681)&gt;0,INDEX($C$2:C680,MATCH(A681,$A$2:A680,0)),"")</f>
        <v/>
      </c>
      <c r="O681" s="17"/>
      <c r="P681" s="29"/>
    </row>
    <row r="682" ht="15.75" customHeight="1">
      <c r="A682" s="9" t="str">
        <f>IFERROR(__xludf.DUMMYFUNCTION("IF(B682="""","""",RIGHT(regexreplace(B682&amp;"""",""[^0-9]"",""""),9))"),"")</f>
        <v/>
      </c>
      <c r="B682" s="5"/>
      <c r="C682" s="5"/>
      <c r="D682" s="5"/>
      <c r="E682" s="23"/>
      <c r="F682" s="23"/>
      <c r="G682" s="23"/>
      <c r="H682" s="23"/>
      <c r="I682" s="23"/>
      <c r="J682" s="23"/>
      <c r="K682" s="10" t="str">
        <f t="shared" si="1"/>
        <v/>
      </c>
      <c r="L682" s="27"/>
      <c r="M682" s="27"/>
      <c r="N682" s="10" t="str">
        <f t="shared" si="229"/>
        <v/>
      </c>
      <c r="O682" s="17"/>
      <c r="P682" s="29"/>
    </row>
    <row r="683" ht="15.75" customHeight="1">
      <c r="A683" s="9" t="str">
        <f>IFERROR(__xludf.DUMMYFUNCTION("IF(B683="""","""",RIGHT(regexreplace(B683&amp;"""",""[^0-9]"",""""),9))"),"")</f>
        <v/>
      </c>
      <c r="B683" s="5"/>
      <c r="C683" s="5"/>
      <c r="D683" s="5"/>
      <c r="E683" s="23"/>
      <c r="F683" s="23"/>
      <c r="G683" s="23"/>
      <c r="H683" s="23"/>
      <c r="I683" s="23"/>
      <c r="J683" s="23"/>
      <c r="K683" s="10" t="str">
        <f t="shared" si="1"/>
        <v/>
      </c>
      <c r="L683" s="27"/>
      <c r="M683" s="27"/>
      <c r="N683" s="10" t="str">
        <f t="array" ref="N683">IF(COUNTIF($A$2:A682,A)&gt;0,INDEX($C$2:C682,MATCH(A683,$A$2:A682,0)),"")</f>
        <v/>
      </c>
      <c r="O683" s="17"/>
      <c r="P683" s="29"/>
    </row>
    <row r="684" ht="15.75" customHeight="1">
      <c r="A684" s="9" t="str">
        <f>IFERROR(__xludf.DUMMYFUNCTION("IF(B684="""","""",RIGHT(regexreplace(B684&amp;"""",""[^0-9]"",""""),9))"),"")</f>
        <v/>
      </c>
      <c r="B684" s="5"/>
      <c r="C684" s="5"/>
      <c r="D684" s="5"/>
      <c r="E684" s="23"/>
      <c r="F684" s="23"/>
      <c r="G684" s="23"/>
      <c r="H684" s="23"/>
      <c r="I684" s="23"/>
      <c r="J684" s="23"/>
      <c r="K684" s="10" t="str">
        <f t="shared" si="1"/>
        <v/>
      </c>
      <c r="L684" s="27"/>
      <c r="M684" s="27"/>
      <c r="N684" s="10" t="str">
        <f t="shared" ref="N684:N685" si="230">IF(COUNTIF($A$2:A683,A684)&gt;0,INDEX($C$2:C683,MATCH(A684,$A$2:A683,0)),"")</f>
        <v/>
      </c>
      <c r="O684" s="17"/>
      <c r="P684" s="29"/>
    </row>
    <row r="685" ht="15.75" customHeight="1">
      <c r="A685" s="9" t="str">
        <f>IFERROR(__xludf.DUMMYFUNCTION("IF(B685="""","""",RIGHT(regexreplace(B685&amp;"""",""[^0-9]"",""""),9))"),"")</f>
        <v/>
      </c>
      <c r="B685" s="5"/>
      <c r="C685" s="5"/>
      <c r="D685" s="5"/>
      <c r="E685" s="23"/>
      <c r="F685" s="23"/>
      <c r="G685" s="23"/>
      <c r="H685" s="23"/>
      <c r="I685" s="23"/>
      <c r="J685" s="23"/>
      <c r="K685" s="10" t="str">
        <f t="shared" si="1"/>
        <v/>
      </c>
      <c r="L685" s="27"/>
      <c r="M685" s="27"/>
      <c r="N685" s="10" t="str">
        <f t="shared" si="230"/>
        <v/>
      </c>
      <c r="O685" s="17"/>
      <c r="P685" s="29"/>
    </row>
    <row r="686" ht="15.75" customHeight="1">
      <c r="A686" s="9" t="str">
        <f>IFERROR(__xludf.DUMMYFUNCTION("IF(B686="""","""",RIGHT(regexreplace(B686&amp;"""",""[^0-9]"",""""),9))"),"")</f>
        <v/>
      </c>
      <c r="B686" s="5"/>
      <c r="C686" s="5"/>
      <c r="D686" s="5"/>
      <c r="E686" s="23"/>
      <c r="F686" s="23"/>
      <c r="G686" s="23"/>
      <c r="H686" s="23"/>
      <c r="I686" s="23"/>
      <c r="J686" s="23"/>
      <c r="K686" s="10" t="str">
        <f t="shared" si="1"/>
        <v/>
      </c>
      <c r="L686" s="27"/>
      <c r="M686" s="27"/>
      <c r="N686" s="10" t="str">
        <f t="array" ref="N686">IF(COUNTIF($A$2:A685,A)&gt;0,INDEX($C$2:C685,MATCH(A686,$A$2:A685,0)),"")</f>
        <v/>
      </c>
      <c r="O686" s="17"/>
      <c r="P686" s="29"/>
    </row>
    <row r="687" ht="15.75" customHeight="1">
      <c r="A687" s="9" t="str">
        <f>IFERROR(__xludf.DUMMYFUNCTION("IF(B687="""","""",RIGHT(regexreplace(B687&amp;"""",""[^0-9]"",""""),9))"),"")</f>
        <v/>
      </c>
      <c r="B687" s="5"/>
      <c r="C687" s="5"/>
      <c r="D687" s="5"/>
      <c r="E687" s="23"/>
      <c r="F687" s="23"/>
      <c r="G687" s="23"/>
      <c r="H687" s="23"/>
      <c r="I687" s="23"/>
      <c r="J687" s="23"/>
      <c r="K687" s="10" t="str">
        <f t="shared" si="1"/>
        <v/>
      </c>
      <c r="L687" s="27"/>
      <c r="M687" s="27"/>
      <c r="N687" s="10" t="str">
        <f t="shared" ref="N687:N688" si="231">IF(COUNTIF($A$2:A686,A687)&gt;0,INDEX($C$2:C686,MATCH(A687,$A$2:A686,0)),"")</f>
        <v/>
      </c>
      <c r="O687" s="17"/>
      <c r="P687" s="29"/>
    </row>
    <row r="688" ht="15.75" customHeight="1">
      <c r="A688" s="9" t="str">
        <f>IFERROR(__xludf.DUMMYFUNCTION("IF(B688="""","""",RIGHT(regexreplace(B688&amp;"""",""[^0-9]"",""""),9))"),"")</f>
        <v/>
      </c>
      <c r="B688" s="5"/>
      <c r="C688" s="5"/>
      <c r="D688" s="5"/>
      <c r="E688" s="23"/>
      <c r="F688" s="23"/>
      <c r="G688" s="23"/>
      <c r="H688" s="23"/>
      <c r="I688" s="23"/>
      <c r="J688" s="23"/>
      <c r="K688" s="10" t="str">
        <f t="shared" si="1"/>
        <v/>
      </c>
      <c r="L688" s="27"/>
      <c r="M688" s="27"/>
      <c r="N688" s="10" t="str">
        <f t="shared" si="231"/>
        <v/>
      </c>
      <c r="O688" s="17"/>
      <c r="P688" s="29"/>
    </row>
    <row r="689" ht="15.75" customHeight="1">
      <c r="A689" s="9" t="str">
        <f>IFERROR(__xludf.DUMMYFUNCTION("IF(B689="""","""",RIGHT(regexreplace(B689&amp;"""",""[^0-9]"",""""),9))"),"")</f>
        <v/>
      </c>
      <c r="B689" s="5"/>
      <c r="C689" s="5"/>
      <c r="D689" s="5"/>
      <c r="E689" s="23"/>
      <c r="F689" s="23"/>
      <c r="G689" s="23"/>
      <c r="H689" s="23"/>
      <c r="I689" s="23"/>
      <c r="J689" s="23"/>
      <c r="K689" s="10" t="str">
        <f t="shared" si="1"/>
        <v/>
      </c>
      <c r="L689" s="27"/>
      <c r="M689" s="27"/>
      <c r="N689" s="10" t="str">
        <f t="array" ref="N689">IF(COUNTIF($A$2:A688,A)&gt;0,INDEX($C$2:C688,MATCH(A689,$A$2:A688,0)),"")</f>
        <v/>
      </c>
      <c r="O689" s="17"/>
      <c r="P689" s="29"/>
    </row>
    <row r="690" ht="15.75" customHeight="1">
      <c r="A690" s="9" t="str">
        <f>IFERROR(__xludf.DUMMYFUNCTION("IF(B690="""","""",RIGHT(regexreplace(B690&amp;"""",""[^0-9]"",""""),9))"),"")</f>
        <v/>
      </c>
      <c r="B690" s="5"/>
      <c r="C690" s="5"/>
      <c r="D690" s="5"/>
      <c r="E690" s="23"/>
      <c r="F690" s="23"/>
      <c r="G690" s="23"/>
      <c r="H690" s="23"/>
      <c r="I690" s="23"/>
      <c r="J690" s="23"/>
      <c r="K690" s="10" t="str">
        <f t="shared" si="1"/>
        <v/>
      </c>
      <c r="L690" s="27"/>
      <c r="M690" s="27"/>
      <c r="N690" s="10" t="str">
        <f t="shared" ref="N690:N691" si="232">IF(COUNTIF($A$2:A689,A690)&gt;0,INDEX($C$2:C689,MATCH(A690,$A$2:A689,0)),"")</f>
        <v/>
      </c>
      <c r="O690" s="17"/>
      <c r="P690" s="29"/>
    </row>
    <row r="691" ht="15.75" customHeight="1">
      <c r="A691" s="9" t="str">
        <f>IFERROR(__xludf.DUMMYFUNCTION("IF(B691="""","""",RIGHT(regexreplace(B691&amp;"""",""[^0-9]"",""""),9))"),"")</f>
        <v/>
      </c>
      <c r="B691" s="5"/>
      <c r="C691" s="5"/>
      <c r="D691" s="5"/>
      <c r="E691" s="23"/>
      <c r="F691" s="23"/>
      <c r="G691" s="23"/>
      <c r="H691" s="23"/>
      <c r="I691" s="23"/>
      <c r="J691" s="23"/>
      <c r="K691" s="10" t="str">
        <f t="shared" si="1"/>
        <v/>
      </c>
      <c r="L691" s="27"/>
      <c r="M691" s="27"/>
      <c r="N691" s="10" t="str">
        <f t="shared" si="232"/>
        <v/>
      </c>
      <c r="O691" s="17"/>
      <c r="P691" s="29"/>
    </row>
    <row r="692" ht="15.75" customHeight="1">
      <c r="A692" s="9" t="str">
        <f>IFERROR(__xludf.DUMMYFUNCTION("IF(B692="""","""",RIGHT(regexreplace(B692&amp;"""",""[^0-9]"",""""),9))"),"")</f>
        <v/>
      </c>
      <c r="B692" s="5"/>
      <c r="C692" s="5"/>
      <c r="D692" s="5"/>
      <c r="E692" s="23"/>
      <c r="F692" s="23"/>
      <c r="G692" s="23"/>
      <c r="H692" s="23"/>
      <c r="I692" s="23"/>
      <c r="J692" s="23"/>
      <c r="K692" s="10" t="str">
        <f t="shared" si="1"/>
        <v/>
      </c>
      <c r="L692" s="27"/>
      <c r="M692" s="27"/>
      <c r="N692" s="10" t="str">
        <f t="array" ref="N692">IF(COUNTIF($A$2:A691,A)&gt;0,INDEX($C$2:C691,MATCH(A692,$A$2:A691,0)),"")</f>
        <v/>
      </c>
      <c r="O692" s="17"/>
      <c r="P692" s="29"/>
    </row>
    <row r="693" ht="15.75" customHeight="1">
      <c r="A693" s="9" t="str">
        <f>IFERROR(__xludf.DUMMYFUNCTION("IF(B693="""","""",RIGHT(regexreplace(B693&amp;"""",""[^0-9]"",""""),9))"),"")</f>
        <v/>
      </c>
      <c r="B693" s="5"/>
      <c r="C693" s="5"/>
      <c r="D693" s="5"/>
      <c r="E693" s="23"/>
      <c r="F693" s="23"/>
      <c r="G693" s="23"/>
      <c r="H693" s="23"/>
      <c r="I693" s="23"/>
      <c r="J693" s="23"/>
      <c r="K693" s="10" t="str">
        <f t="shared" si="1"/>
        <v/>
      </c>
      <c r="L693" s="27"/>
      <c r="M693" s="27"/>
      <c r="N693" s="10" t="str">
        <f t="shared" ref="N693:N694" si="233">IF(COUNTIF($A$2:A692,A693)&gt;0,INDEX($C$2:C692,MATCH(A693,$A$2:A692,0)),"")</f>
        <v/>
      </c>
      <c r="O693" s="17"/>
      <c r="P693" s="29"/>
    </row>
    <row r="694" ht="15.75" customHeight="1">
      <c r="A694" s="9" t="str">
        <f>IFERROR(__xludf.DUMMYFUNCTION("IF(B694="""","""",RIGHT(regexreplace(B694&amp;"""",""[^0-9]"",""""),9))"),"")</f>
        <v/>
      </c>
      <c r="B694" s="5"/>
      <c r="C694" s="5"/>
      <c r="D694" s="5"/>
      <c r="E694" s="23"/>
      <c r="F694" s="23"/>
      <c r="G694" s="23"/>
      <c r="H694" s="23"/>
      <c r="I694" s="23"/>
      <c r="J694" s="23"/>
      <c r="K694" s="10" t="str">
        <f t="shared" si="1"/>
        <v/>
      </c>
      <c r="L694" s="27"/>
      <c r="M694" s="27"/>
      <c r="N694" s="10" t="str">
        <f t="shared" si="233"/>
        <v/>
      </c>
      <c r="O694" s="17"/>
      <c r="P694" s="29"/>
    </row>
    <row r="695" ht="15.75" customHeight="1">
      <c r="A695" s="9" t="str">
        <f>IFERROR(__xludf.DUMMYFUNCTION("IF(B695="""","""",RIGHT(regexreplace(B695&amp;"""",""[^0-9]"",""""),9))"),"")</f>
        <v/>
      </c>
      <c r="B695" s="5"/>
      <c r="C695" s="5"/>
      <c r="D695" s="5"/>
      <c r="E695" s="23"/>
      <c r="F695" s="23"/>
      <c r="G695" s="23"/>
      <c r="H695" s="23"/>
      <c r="I695" s="23"/>
      <c r="J695" s="23"/>
      <c r="K695" s="10" t="str">
        <f t="shared" si="1"/>
        <v/>
      </c>
      <c r="L695" s="27"/>
      <c r="M695" s="27"/>
      <c r="N695" s="10" t="str">
        <f t="array" ref="N695">IF(COUNTIF($A$2:A694,A)&gt;0,INDEX($C$2:C694,MATCH(A695,$A$2:A694,0)),"")</f>
        <v/>
      </c>
      <c r="O695" s="17"/>
      <c r="P695" s="29"/>
    </row>
    <row r="696" ht="15.75" customHeight="1">
      <c r="A696" s="9" t="str">
        <f>IFERROR(__xludf.DUMMYFUNCTION("IF(B696="""","""",RIGHT(regexreplace(B696&amp;"""",""[^0-9]"",""""),9))"),"")</f>
        <v/>
      </c>
      <c r="B696" s="5"/>
      <c r="C696" s="5"/>
      <c r="D696" s="5"/>
      <c r="E696" s="23"/>
      <c r="F696" s="23"/>
      <c r="G696" s="23"/>
      <c r="H696" s="23"/>
      <c r="I696" s="23"/>
      <c r="J696" s="23"/>
      <c r="K696" s="10" t="str">
        <f t="shared" si="1"/>
        <v/>
      </c>
      <c r="L696" s="27"/>
      <c r="M696" s="27"/>
      <c r="N696" s="10" t="str">
        <f t="shared" ref="N696:N697" si="234">IF(COUNTIF($A$2:A695,A696)&gt;0,INDEX($C$2:C695,MATCH(A696,$A$2:A695,0)),"")</f>
        <v/>
      </c>
      <c r="O696" s="17"/>
      <c r="P696" s="29"/>
    </row>
    <row r="697" ht="15.75" customHeight="1">
      <c r="A697" s="9" t="str">
        <f>IFERROR(__xludf.DUMMYFUNCTION("IF(B697="""","""",RIGHT(regexreplace(B697&amp;"""",""[^0-9]"",""""),9))"),"")</f>
        <v/>
      </c>
      <c r="B697" s="5"/>
      <c r="C697" s="5"/>
      <c r="D697" s="5"/>
      <c r="E697" s="23"/>
      <c r="F697" s="23"/>
      <c r="G697" s="23"/>
      <c r="H697" s="23"/>
      <c r="I697" s="23"/>
      <c r="J697" s="23"/>
      <c r="K697" s="10" t="str">
        <f t="shared" si="1"/>
        <v/>
      </c>
      <c r="L697" s="27"/>
      <c r="M697" s="27"/>
      <c r="N697" s="10" t="str">
        <f t="shared" si="234"/>
        <v/>
      </c>
      <c r="O697" s="17"/>
      <c r="P697" s="29"/>
    </row>
    <row r="698" ht="15.75" customHeight="1">
      <c r="A698" s="9" t="str">
        <f>IFERROR(__xludf.DUMMYFUNCTION("IF(B698="""","""",RIGHT(regexreplace(B698&amp;"""",""[^0-9]"",""""),9))"),"")</f>
        <v/>
      </c>
      <c r="B698" s="5"/>
      <c r="C698" s="5"/>
      <c r="D698" s="5"/>
      <c r="E698" s="23"/>
      <c r="F698" s="23"/>
      <c r="G698" s="23"/>
      <c r="H698" s="23"/>
      <c r="I698" s="23"/>
      <c r="J698" s="23"/>
      <c r="K698" s="10" t="str">
        <f t="shared" si="1"/>
        <v/>
      </c>
      <c r="L698" s="27"/>
      <c r="M698" s="27"/>
      <c r="N698" s="10" t="str">
        <f t="array" ref="N698">IF(COUNTIF($A$2:A697,A)&gt;0,INDEX($C$2:C697,MATCH(A698,$A$2:A697,0)),"")</f>
        <v/>
      </c>
      <c r="O698" s="17"/>
      <c r="P698" s="29"/>
    </row>
    <row r="699" ht="15.75" customHeight="1">
      <c r="A699" s="9" t="str">
        <f>IFERROR(__xludf.DUMMYFUNCTION("IF(B699="""","""",RIGHT(regexreplace(B699&amp;"""",""[^0-9]"",""""),9))"),"")</f>
        <v/>
      </c>
      <c r="B699" s="5"/>
      <c r="C699" s="5"/>
      <c r="D699" s="5"/>
      <c r="E699" s="23"/>
      <c r="F699" s="23"/>
      <c r="G699" s="23"/>
      <c r="H699" s="23"/>
      <c r="I699" s="23"/>
      <c r="J699" s="23"/>
      <c r="K699" s="10" t="str">
        <f t="shared" si="1"/>
        <v/>
      </c>
      <c r="L699" s="27"/>
      <c r="M699" s="27"/>
      <c r="N699" s="10" t="str">
        <f t="shared" ref="N699:N700" si="235">IF(COUNTIF($A$2:A698,A699)&gt;0,INDEX($C$2:C698,MATCH(A699,$A$2:A698,0)),"")</f>
        <v/>
      </c>
      <c r="O699" s="17"/>
      <c r="P699" s="29"/>
    </row>
    <row r="700" ht="15.75" customHeight="1">
      <c r="A700" s="9" t="str">
        <f>IFERROR(__xludf.DUMMYFUNCTION("IF(B700="""","""",RIGHT(regexreplace(B700&amp;"""",""[^0-9]"",""""),9))"),"")</f>
        <v/>
      </c>
      <c r="B700" s="5"/>
      <c r="C700" s="5"/>
      <c r="D700" s="5"/>
      <c r="E700" s="23"/>
      <c r="F700" s="23"/>
      <c r="G700" s="23"/>
      <c r="H700" s="23"/>
      <c r="I700" s="23"/>
      <c r="J700" s="23"/>
      <c r="K700" s="10" t="str">
        <f t="shared" si="1"/>
        <v/>
      </c>
      <c r="L700" s="27"/>
      <c r="M700" s="27"/>
      <c r="N700" s="10" t="str">
        <f t="shared" si="235"/>
        <v/>
      </c>
      <c r="O700" s="17"/>
      <c r="P700" s="29"/>
    </row>
    <row r="701" ht="15.75" customHeight="1">
      <c r="A701" s="9" t="str">
        <f>IFERROR(__xludf.DUMMYFUNCTION("IF(B701="""","""",RIGHT(regexreplace(B701&amp;"""",""[^0-9]"",""""),9))"),"")</f>
        <v/>
      </c>
      <c r="B701" s="5"/>
      <c r="C701" s="5"/>
      <c r="D701" s="5"/>
      <c r="E701" s="23"/>
      <c r="F701" s="23"/>
      <c r="G701" s="23"/>
      <c r="H701" s="23"/>
      <c r="I701" s="23"/>
      <c r="J701" s="23"/>
      <c r="K701" s="10" t="str">
        <f t="shared" si="1"/>
        <v/>
      </c>
      <c r="L701" s="27"/>
      <c r="M701" s="27"/>
      <c r="N701" s="10" t="str">
        <f t="array" ref="N701">IF(COUNTIF($A$2:A700,A)&gt;0,INDEX($C$2:C700,MATCH(A701,$A$2:A700,0)),"")</f>
        <v/>
      </c>
      <c r="O701" s="17"/>
      <c r="P701" s="29"/>
    </row>
    <row r="702" ht="15.75" customHeight="1">
      <c r="A702" s="9" t="str">
        <f>IFERROR(__xludf.DUMMYFUNCTION("IF(B702="""","""",RIGHT(regexreplace(B702&amp;"""",""[^0-9]"",""""),9))"),"")</f>
        <v/>
      </c>
      <c r="B702" s="5"/>
      <c r="C702" s="5"/>
      <c r="D702" s="5"/>
      <c r="E702" s="23"/>
      <c r="F702" s="23"/>
      <c r="G702" s="23"/>
      <c r="H702" s="23"/>
      <c r="I702" s="23"/>
      <c r="J702" s="23"/>
      <c r="K702" s="10" t="str">
        <f t="shared" si="1"/>
        <v/>
      </c>
      <c r="L702" s="27"/>
      <c r="M702" s="27"/>
      <c r="N702" s="10" t="str">
        <f t="shared" ref="N702:N703" si="236">IF(COUNTIF($A$2:A701,A702)&gt;0,INDEX($C$2:C701,MATCH(A702,$A$2:A701,0)),"")</f>
        <v/>
      </c>
      <c r="O702" s="17"/>
      <c r="P702" s="29"/>
    </row>
    <row r="703" ht="15.75" customHeight="1">
      <c r="A703" s="9" t="str">
        <f>IFERROR(__xludf.DUMMYFUNCTION("IF(B703="""","""",RIGHT(regexreplace(B703&amp;"""",""[^0-9]"",""""),9))"),"")</f>
        <v/>
      </c>
      <c r="B703" s="5"/>
      <c r="C703" s="5"/>
      <c r="D703" s="5"/>
      <c r="E703" s="23"/>
      <c r="F703" s="23"/>
      <c r="G703" s="23"/>
      <c r="H703" s="23"/>
      <c r="I703" s="23"/>
      <c r="J703" s="23"/>
      <c r="K703" s="10" t="str">
        <f t="shared" si="1"/>
        <v/>
      </c>
      <c r="L703" s="27"/>
      <c r="M703" s="27"/>
      <c r="N703" s="10" t="str">
        <f t="shared" si="236"/>
        <v/>
      </c>
      <c r="O703" s="17"/>
      <c r="P703" s="29"/>
    </row>
    <row r="704" ht="15.75" customHeight="1">
      <c r="A704" s="9" t="str">
        <f>IFERROR(__xludf.DUMMYFUNCTION("IF(B704="""","""",RIGHT(regexreplace(B704&amp;"""",""[^0-9]"",""""),9))"),"")</f>
        <v/>
      </c>
      <c r="B704" s="5"/>
      <c r="C704" s="5"/>
      <c r="D704" s="5"/>
      <c r="E704" s="23"/>
      <c r="F704" s="23"/>
      <c r="G704" s="23"/>
      <c r="H704" s="23"/>
      <c r="I704" s="23"/>
      <c r="J704" s="23"/>
      <c r="K704" s="10" t="str">
        <f t="shared" si="1"/>
        <v/>
      </c>
      <c r="L704" s="27"/>
      <c r="M704" s="27"/>
      <c r="N704" s="10" t="str">
        <f t="array" ref="N704">IF(COUNTIF($A$2:A703,A)&gt;0,INDEX($C$2:C703,MATCH(A704,$A$2:A703,0)),"")</f>
        <v/>
      </c>
      <c r="O704" s="17"/>
      <c r="P704" s="29"/>
    </row>
    <row r="705" ht="15.75" customHeight="1">
      <c r="A705" s="9" t="str">
        <f>IFERROR(__xludf.DUMMYFUNCTION("IF(B705="""","""",RIGHT(regexreplace(B705&amp;"""",""[^0-9]"",""""),9))"),"")</f>
        <v/>
      </c>
      <c r="B705" s="5"/>
      <c r="C705" s="5"/>
      <c r="D705" s="5"/>
      <c r="E705" s="23"/>
      <c r="F705" s="23"/>
      <c r="G705" s="23"/>
      <c r="H705" s="23"/>
      <c r="I705" s="23"/>
      <c r="J705" s="23"/>
      <c r="K705" s="10" t="str">
        <f t="shared" si="1"/>
        <v/>
      </c>
      <c r="L705" s="27"/>
      <c r="M705" s="27"/>
      <c r="N705" s="10" t="str">
        <f t="shared" ref="N705:N706" si="237">IF(COUNTIF($A$2:A704,A705)&gt;0,INDEX($C$2:C704,MATCH(A705,$A$2:A704,0)),"")</f>
        <v/>
      </c>
      <c r="O705" s="17"/>
      <c r="P705" s="29"/>
    </row>
    <row r="706" ht="15.75" customHeight="1">
      <c r="A706" s="9" t="str">
        <f>IFERROR(__xludf.DUMMYFUNCTION("IF(B706="""","""",RIGHT(regexreplace(B706&amp;"""",""[^0-9]"",""""),9))"),"")</f>
        <v/>
      </c>
      <c r="B706" s="5"/>
      <c r="C706" s="5"/>
      <c r="D706" s="5"/>
      <c r="E706" s="23"/>
      <c r="F706" s="23"/>
      <c r="G706" s="23"/>
      <c r="H706" s="23"/>
      <c r="I706" s="23"/>
      <c r="J706" s="23"/>
      <c r="K706" s="10" t="str">
        <f t="shared" si="1"/>
        <v/>
      </c>
      <c r="L706" s="27"/>
      <c r="M706" s="27"/>
      <c r="N706" s="10" t="str">
        <f t="shared" si="237"/>
        <v/>
      </c>
      <c r="O706" s="17"/>
      <c r="P706" s="29"/>
    </row>
    <row r="707" ht="15.75" customHeight="1">
      <c r="A707" s="9" t="str">
        <f>IFERROR(__xludf.DUMMYFUNCTION("IF(B707="""","""",RIGHT(regexreplace(B707&amp;"""",""[^0-9]"",""""),9))"),"")</f>
        <v/>
      </c>
      <c r="B707" s="5"/>
      <c r="C707" s="5"/>
      <c r="D707" s="5"/>
      <c r="E707" s="23"/>
      <c r="F707" s="23"/>
      <c r="G707" s="23"/>
      <c r="H707" s="23"/>
      <c r="I707" s="23"/>
      <c r="J707" s="23"/>
      <c r="K707" s="10" t="str">
        <f t="shared" si="1"/>
        <v/>
      </c>
      <c r="L707" s="27"/>
      <c r="M707" s="27"/>
      <c r="N707" s="10" t="str">
        <f t="array" ref="N707">IF(COUNTIF($A$2:A706,A)&gt;0,INDEX($C$2:C706,MATCH(A707,$A$2:A706,0)),"")</f>
        <v/>
      </c>
      <c r="O707" s="17"/>
      <c r="P707" s="29"/>
    </row>
    <row r="708" ht="15.75" customHeight="1">
      <c r="A708" s="9" t="str">
        <f>IFERROR(__xludf.DUMMYFUNCTION("IF(B708="""","""",RIGHT(regexreplace(B708&amp;"""",""[^0-9]"",""""),9))"),"")</f>
        <v/>
      </c>
      <c r="B708" s="5"/>
      <c r="C708" s="5"/>
      <c r="D708" s="5"/>
      <c r="E708" s="23"/>
      <c r="F708" s="23"/>
      <c r="G708" s="23"/>
      <c r="H708" s="23"/>
      <c r="I708" s="23"/>
      <c r="J708" s="23"/>
      <c r="K708" s="10" t="str">
        <f t="shared" si="1"/>
        <v/>
      </c>
      <c r="L708" s="27"/>
      <c r="M708" s="27"/>
      <c r="N708" s="10" t="str">
        <f t="shared" ref="N708:N709" si="238">IF(COUNTIF($A$2:A707,A708)&gt;0,INDEX($C$2:C707,MATCH(A708,$A$2:A707,0)),"")</f>
        <v/>
      </c>
      <c r="O708" s="17"/>
      <c r="P708" s="29"/>
    </row>
    <row r="709" ht="15.75" customHeight="1">
      <c r="A709" s="9" t="str">
        <f>IFERROR(__xludf.DUMMYFUNCTION("IF(B709="""","""",RIGHT(regexreplace(B709&amp;"""",""[^0-9]"",""""),9))"),"")</f>
        <v/>
      </c>
      <c r="B709" s="5"/>
      <c r="C709" s="5"/>
      <c r="D709" s="5"/>
      <c r="E709" s="23"/>
      <c r="F709" s="23"/>
      <c r="G709" s="23"/>
      <c r="H709" s="23"/>
      <c r="I709" s="23"/>
      <c r="J709" s="23"/>
      <c r="K709" s="10" t="str">
        <f t="shared" si="1"/>
        <v/>
      </c>
      <c r="L709" s="27"/>
      <c r="M709" s="27"/>
      <c r="N709" s="10" t="str">
        <f t="shared" si="238"/>
        <v/>
      </c>
      <c r="O709" s="17"/>
      <c r="P709" s="29"/>
    </row>
    <row r="710" ht="15.75" customHeight="1">
      <c r="A710" s="9" t="str">
        <f>IFERROR(__xludf.DUMMYFUNCTION("IF(B710="""","""",RIGHT(regexreplace(B710&amp;"""",""[^0-9]"",""""),9))"),"")</f>
        <v/>
      </c>
      <c r="B710" s="5"/>
      <c r="C710" s="5"/>
      <c r="D710" s="5"/>
      <c r="E710" s="23"/>
      <c r="F710" s="23"/>
      <c r="G710" s="23"/>
      <c r="H710" s="23"/>
      <c r="I710" s="23"/>
      <c r="J710" s="23"/>
      <c r="K710" s="10" t="str">
        <f t="shared" si="1"/>
        <v/>
      </c>
      <c r="L710" s="27"/>
      <c r="M710" s="27"/>
      <c r="N710" s="10" t="str">
        <f t="array" ref="N710">IF(COUNTIF($A$2:A709,A)&gt;0,INDEX($C$2:C709,MATCH(A710,$A$2:A709,0)),"")</f>
        <v/>
      </c>
      <c r="O710" s="17"/>
      <c r="P710" s="29"/>
    </row>
    <row r="711" ht="15.75" customHeight="1">
      <c r="A711" s="9" t="str">
        <f>IFERROR(__xludf.DUMMYFUNCTION("IF(B711="""","""",RIGHT(regexreplace(B711&amp;"""",""[^0-9]"",""""),9))"),"")</f>
        <v/>
      </c>
      <c r="B711" s="5"/>
      <c r="C711" s="5"/>
      <c r="D711" s="5"/>
      <c r="E711" s="23"/>
      <c r="F711" s="23"/>
      <c r="G711" s="23"/>
      <c r="H711" s="23"/>
      <c r="I711" s="23"/>
      <c r="J711" s="23"/>
      <c r="K711" s="10" t="str">
        <f t="shared" si="1"/>
        <v/>
      </c>
      <c r="L711" s="27"/>
      <c r="M711" s="27"/>
      <c r="N711" s="10" t="str">
        <f t="shared" ref="N711:N712" si="239">IF(COUNTIF($A$2:A710,A711)&gt;0,INDEX($C$2:C710,MATCH(A711,$A$2:A710,0)),"")</f>
        <v/>
      </c>
      <c r="O711" s="17"/>
      <c r="P711" s="29"/>
    </row>
    <row r="712" ht="15.75" customHeight="1">
      <c r="A712" s="9" t="str">
        <f>IFERROR(__xludf.DUMMYFUNCTION("IF(B712="""","""",RIGHT(regexreplace(B712&amp;"""",""[^0-9]"",""""),9))"),"")</f>
        <v/>
      </c>
      <c r="B712" s="5"/>
      <c r="C712" s="5"/>
      <c r="D712" s="5"/>
      <c r="E712" s="23"/>
      <c r="F712" s="23"/>
      <c r="G712" s="23"/>
      <c r="H712" s="23"/>
      <c r="I712" s="23"/>
      <c r="J712" s="23"/>
      <c r="K712" s="10" t="str">
        <f t="shared" si="1"/>
        <v/>
      </c>
      <c r="L712" s="27"/>
      <c r="M712" s="27"/>
      <c r="N712" s="10" t="str">
        <f t="shared" si="239"/>
        <v/>
      </c>
      <c r="O712" s="17"/>
      <c r="P712" s="29"/>
    </row>
    <row r="713" ht="15.75" customHeight="1">
      <c r="A713" s="9" t="str">
        <f>IFERROR(__xludf.DUMMYFUNCTION("IF(B713="""","""",RIGHT(regexreplace(B713&amp;"""",""[^0-9]"",""""),9))"),"")</f>
        <v/>
      </c>
      <c r="B713" s="5"/>
      <c r="C713" s="5"/>
      <c r="D713" s="5"/>
      <c r="E713" s="23"/>
      <c r="F713" s="23"/>
      <c r="G713" s="23"/>
      <c r="H713" s="23"/>
      <c r="I713" s="23"/>
      <c r="J713" s="23"/>
      <c r="K713" s="10" t="str">
        <f t="shared" si="1"/>
        <v/>
      </c>
      <c r="L713" s="27"/>
      <c r="M713" s="27"/>
      <c r="N713" s="10" t="str">
        <f t="array" ref="N713">IF(COUNTIF($A$2:A712,A)&gt;0,INDEX($C$2:C712,MATCH(A713,$A$2:A712,0)),"")</f>
        <v/>
      </c>
      <c r="O713" s="17"/>
      <c r="P713" s="29"/>
    </row>
    <row r="714" ht="15.75" customHeight="1">
      <c r="A714" s="9" t="str">
        <f>IFERROR(__xludf.DUMMYFUNCTION("IF(B714="""","""",RIGHT(regexreplace(B714&amp;"""",""[^0-9]"",""""),9))"),"")</f>
        <v/>
      </c>
      <c r="B714" s="5"/>
      <c r="C714" s="5"/>
      <c r="D714" s="5"/>
      <c r="E714" s="23"/>
      <c r="F714" s="23"/>
      <c r="G714" s="23"/>
      <c r="H714" s="23"/>
      <c r="I714" s="23"/>
      <c r="J714" s="23"/>
      <c r="K714" s="10" t="str">
        <f t="shared" si="1"/>
        <v/>
      </c>
      <c r="L714" s="27"/>
      <c r="M714" s="27"/>
      <c r="N714" s="10" t="str">
        <f t="shared" ref="N714:N715" si="240">IF(COUNTIF($A$2:A713,A714)&gt;0,INDEX($C$2:C713,MATCH(A714,$A$2:A713,0)),"")</f>
        <v/>
      </c>
      <c r="O714" s="17"/>
      <c r="P714" s="29"/>
    </row>
    <row r="715" ht="15.75" customHeight="1">
      <c r="A715" s="9" t="str">
        <f>IFERROR(__xludf.DUMMYFUNCTION("IF(B715="""","""",RIGHT(regexreplace(B715&amp;"""",""[^0-9]"",""""),9))"),"")</f>
        <v/>
      </c>
      <c r="B715" s="5"/>
      <c r="C715" s="5"/>
      <c r="D715" s="5"/>
      <c r="E715" s="23"/>
      <c r="F715" s="23"/>
      <c r="G715" s="23"/>
      <c r="H715" s="23"/>
      <c r="I715" s="23"/>
      <c r="J715" s="23"/>
      <c r="K715" s="10" t="str">
        <f t="shared" si="1"/>
        <v/>
      </c>
      <c r="L715" s="27"/>
      <c r="M715" s="27"/>
      <c r="N715" s="10" t="str">
        <f t="shared" si="240"/>
        <v/>
      </c>
      <c r="O715" s="17"/>
      <c r="P715" s="29"/>
    </row>
    <row r="716" ht="15.75" customHeight="1">
      <c r="A716" s="9" t="str">
        <f>IFERROR(__xludf.DUMMYFUNCTION("IF(B716="""","""",RIGHT(regexreplace(B716&amp;"""",""[^0-9]"",""""),9))"),"")</f>
        <v/>
      </c>
      <c r="B716" s="5"/>
      <c r="C716" s="5"/>
      <c r="D716" s="5"/>
      <c r="E716" s="23"/>
      <c r="F716" s="23"/>
      <c r="G716" s="23"/>
      <c r="H716" s="23"/>
      <c r="I716" s="23"/>
      <c r="J716" s="23"/>
      <c r="K716" s="10" t="str">
        <f t="shared" si="1"/>
        <v/>
      </c>
      <c r="L716" s="27"/>
      <c r="M716" s="27"/>
      <c r="N716" s="10" t="str">
        <f t="array" ref="N716">IF(COUNTIF($A$2:A715,A)&gt;0,INDEX($C$2:C715,MATCH(A716,$A$2:A715,0)),"")</f>
        <v/>
      </c>
      <c r="O716" s="17"/>
      <c r="P716" s="29"/>
    </row>
    <row r="717" ht="15.75" customHeight="1">
      <c r="A717" s="9" t="str">
        <f>IFERROR(__xludf.DUMMYFUNCTION("IF(B717="""","""",RIGHT(regexreplace(B717&amp;"""",""[^0-9]"",""""),9))"),"")</f>
        <v/>
      </c>
      <c r="B717" s="5"/>
      <c r="C717" s="5"/>
      <c r="D717" s="5"/>
      <c r="E717" s="23"/>
      <c r="F717" s="23"/>
      <c r="G717" s="23"/>
      <c r="H717" s="23"/>
      <c r="I717" s="23"/>
      <c r="J717" s="23"/>
      <c r="K717" s="10" t="str">
        <f t="shared" si="1"/>
        <v/>
      </c>
      <c r="L717" s="27"/>
      <c r="M717" s="27"/>
      <c r="N717" s="10" t="str">
        <f t="shared" ref="N717:N718" si="241">IF(COUNTIF($A$2:A716,A717)&gt;0,INDEX($C$2:C716,MATCH(A717,$A$2:A716,0)),"")</f>
        <v/>
      </c>
      <c r="O717" s="17"/>
      <c r="P717" s="29"/>
    </row>
    <row r="718" ht="15.75" customHeight="1">
      <c r="A718" s="9" t="str">
        <f>IFERROR(__xludf.DUMMYFUNCTION("IF(B718="""","""",RIGHT(regexreplace(B718&amp;"""",""[^0-9]"",""""),9))"),"")</f>
        <v/>
      </c>
      <c r="B718" s="5"/>
      <c r="C718" s="5"/>
      <c r="D718" s="5"/>
      <c r="E718" s="23"/>
      <c r="F718" s="23"/>
      <c r="G718" s="23"/>
      <c r="H718" s="23"/>
      <c r="I718" s="23"/>
      <c r="J718" s="23"/>
      <c r="K718" s="10" t="str">
        <f t="shared" si="1"/>
        <v/>
      </c>
      <c r="L718" s="27"/>
      <c r="M718" s="27"/>
      <c r="N718" s="10" t="str">
        <f t="shared" si="241"/>
        <v/>
      </c>
      <c r="O718" s="17"/>
      <c r="P718" s="29"/>
    </row>
    <row r="719" ht="15.75" customHeight="1">
      <c r="A719" s="9" t="str">
        <f>IFERROR(__xludf.DUMMYFUNCTION("IF(B719="""","""",RIGHT(regexreplace(B719&amp;"""",""[^0-9]"",""""),9))"),"")</f>
        <v/>
      </c>
      <c r="B719" s="5"/>
      <c r="C719" s="5"/>
      <c r="D719" s="5"/>
      <c r="E719" s="23"/>
      <c r="F719" s="23"/>
      <c r="G719" s="23"/>
      <c r="H719" s="23"/>
      <c r="I719" s="23"/>
      <c r="J719" s="23"/>
      <c r="K719" s="10" t="str">
        <f t="shared" si="1"/>
        <v/>
      </c>
      <c r="L719" s="27"/>
      <c r="M719" s="27"/>
      <c r="N719" s="10" t="str">
        <f t="array" ref="N719">IF(COUNTIF($A$2:A718,A)&gt;0,INDEX($C$2:C718,MATCH(A719,$A$2:A718,0)),"")</f>
        <v/>
      </c>
      <c r="O719" s="17"/>
      <c r="P719" s="29"/>
    </row>
    <row r="720" ht="15.75" customHeight="1">
      <c r="A720" s="9" t="str">
        <f>IFERROR(__xludf.DUMMYFUNCTION("IF(B720="""","""",RIGHT(regexreplace(B720&amp;"""",""[^0-9]"",""""),9))"),"")</f>
        <v/>
      </c>
      <c r="B720" s="5"/>
      <c r="C720" s="5"/>
      <c r="D720" s="5"/>
      <c r="E720" s="23"/>
      <c r="F720" s="23"/>
      <c r="G720" s="23"/>
      <c r="H720" s="23"/>
      <c r="I720" s="23"/>
      <c r="J720" s="23"/>
      <c r="K720" s="10" t="str">
        <f t="shared" si="1"/>
        <v/>
      </c>
      <c r="L720" s="27"/>
      <c r="M720" s="27"/>
      <c r="N720" s="10" t="str">
        <f t="shared" ref="N720:N721" si="242">IF(COUNTIF($A$2:A719,A720)&gt;0,INDEX($C$2:C719,MATCH(A720,$A$2:A719,0)),"")</f>
        <v/>
      </c>
      <c r="O720" s="17"/>
      <c r="P720" s="29"/>
    </row>
    <row r="721" ht="15.75" customHeight="1">
      <c r="A721" s="9" t="str">
        <f>IFERROR(__xludf.DUMMYFUNCTION("IF(B721="""","""",RIGHT(regexreplace(B721&amp;"""",""[^0-9]"",""""),9))"),"")</f>
        <v/>
      </c>
      <c r="B721" s="5"/>
      <c r="C721" s="5"/>
      <c r="D721" s="5"/>
      <c r="E721" s="23"/>
      <c r="F721" s="23"/>
      <c r="G721" s="23"/>
      <c r="H721" s="23"/>
      <c r="I721" s="23"/>
      <c r="J721" s="23"/>
      <c r="K721" s="10" t="str">
        <f t="shared" si="1"/>
        <v/>
      </c>
      <c r="L721" s="27"/>
      <c r="M721" s="27"/>
      <c r="N721" s="10" t="str">
        <f t="shared" si="242"/>
        <v/>
      </c>
      <c r="O721" s="17"/>
      <c r="P721" s="29"/>
    </row>
    <row r="722" ht="15.75" customHeight="1">
      <c r="A722" s="9" t="str">
        <f>IFERROR(__xludf.DUMMYFUNCTION("IF(B722="""","""",RIGHT(regexreplace(B722&amp;"""",""[^0-9]"",""""),9))"),"")</f>
        <v/>
      </c>
      <c r="B722" s="5"/>
      <c r="C722" s="5"/>
      <c r="D722" s="5"/>
      <c r="E722" s="23"/>
      <c r="F722" s="23"/>
      <c r="G722" s="23"/>
      <c r="H722" s="23"/>
      <c r="I722" s="23"/>
      <c r="J722" s="23"/>
      <c r="K722" s="10" t="str">
        <f t="shared" si="1"/>
        <v/>
      </c>
      <c r="L722" s="27"/>
      <c r="M722" s="27"/>
      <c r="N722" s="10" t="str">
        <f t="array" ref="N722">IF(COUNTIF($A$2:A721,A)&gt;0,INDEX($C$2:C721,MATCH(A722,$A$2:A721,0)),"")</f>
        <v/>
      </c>
      <c r="O722" s="17"/>
      <c r="P722" s="29"/>
    </row>
    <row r="723" ht="15.75" customHeight="1">
      <c r="A723" s="9" t="str">
        <f>IFERROR(__xludf.DUMMYFUNCTION("IF(B723="""","""",RIGHT(regexreplace(B723&amp;"""",""[^0-9]"",""""),9))"),"")</f>
        <v/>
      </c>
      <c r="B723" s="5"/>
      <c r="C723" s="5"/>
      <c r="D723" s="5"/>
      <c r="E723" s="23"/>
      <c r="F723" s="23"/>
      <c r="G723" s="23"/>
      <c r="H723" s="23"/>
      <c r="I723" s="23"/>
      <c r="J723" s="23"/>
      <c r="K723" s="10" t="str">
        <f t="shared" si="1"/>
        <v/>
      </c>
      <c r="L723" s="27"/>
      <c r="M723" s="27"/>
      <c r="N723" s="10" t="str">
        <f t="shared" ref="N723:N724" si="243">IF(COUNTIF($A$2:A722,A723)&gt;0,INDEX($C$2:C722,MATCH(A723,$A$2:A722,0)),"")</f>
        <v/>
      </c>
      <c r="O723" s="17"/>
      <c r="P723" s="29"/>
    </row>
    <row r="724" ht="15.75" customHeight="1">
      <c r="A724" s="9" t="str">
        <f>IFERROR(__xludf.DUMMYFUNCTION("IF(B724="""","""",RIGHT(regexreplace(B724&amp;"""",""[^0-9]"",""""),9))"),"")</f>
        <v/>
      </c>
      <c r="B724" s="5"/>
      <c r="C724" s="5"/>
      <c r="D724" s="5"/>
      <c r="E724" s="23"/>
      <c r="F724" s="23"/>
      <c r="G724" s="23"/>
      <c r="H724" s="23"/>
      <c r="I724" s="23"/>
      <c r="J724" s="23"/>
      <c r="K724" s="10" t="str">
        <f t="shared" si="1"/>
        <v/>
      </c>
      <c r="L724" s="27"/>
      <c r="M724" s="27"/>
      <c r="N724" s="10" t="str">
        <f t="shared" si="243"/>
        <v/>
      </c>
      <c r="O724" s="17"/>
      <c r="P724" s="29"/>
    </row>
    <row r="725" ht="15.75" customHeight="1">
      <c r="A725" s="9" t="str">
        <f>IFERROR(__xludf.DUMMYFUNCTION("IF(B725="""","""",RIGHT(regexreplace(B725&amp;"""",""[^0-9]"",""""),9))"),"")</f>
        <v/>
      </c>
      <c r="B725" s="5"/>
      <c r="C725" s="5"/>
      <c r="D725" s="5"/>
      <c r="E725" s="23"/>
      <c r="F725" s="23"/>
      <c r="G725" s="23"/>
      <c r="H725" s="23"/>
      <c r="I725" s="23"/>
      <c r="J725" s="23"/>
      <c r="K725" s="10" t="str">
        <f t="shared" si="1"/>
        <v/>
      </c>
      <c r="L725" s="27"/>
      <c r="M725" s="27"/>
      <c r="N725" s="10" t="str">
        <f t="array" ref="N725">IF(COUNTIF($A$2:A724,A)&gt;0,INDEX($C$2:C724,MATCH(A725,$A$2:A724,0)),"")</f>
        <v/>
      </c>
      <c r="O725" s="17"/>
      <c r="P725" s="29"/>
    </row>
    <row r="726" ht="15.75" customHeight="1">
      <c r="A726" s="9" t="str">
        <f>IFERROR(__xludf.DUMMYFUNCTION("IF(B726="""","""",RIGHT(regexreplace(B726&amp;"""",""[^0-9]"",""""),9))"),"")</f>
        <v/>
      </c>
      <c r="B726" s="5"/>
      <c r="C726" s="5"/>
      <c r="D726" s="5"/>
      <c r="E726" s="23"/>
      <c r="F726" s="23"/>
      <c r="G726" s="23"/>
      <c r="H726" s="23"/>
      <c r="I726" s="23"/>
      <c r="J726" s="23"/>
      <c r="K726" s="10" t="str">
        <f t="shared" si="1"/>
        <v/>
      </c>
      <c r="L726" s="27"/>
      <c r="M726" s="27"/>
      <c r="N726" s="10" t="str">
        <f t="shared" ref="N726:N727" si="244">IF(COUNTIF($A$2:A725,A726)&gt;0,INDEX($C$2:C725,MATCH(A726,$A$2:A725,0)),"")</f>
        <v/>
      </c>
      <c r="O726" s="17"/>
      <c r="P726" s="29"/>
    </row>
    <row r="727" ht="15.75" customHeight="1">
      <c r="A727" s="9" t="str">
        <f>IFERROR(__xludf.DUMMYFUNCTION("IF(B727="""","""",RIGHT(regexreplace(B727&amp;"""",""[^0-9]"",""""),9))"),"")</f>
        <v/>
      </c>
      <c r="B727" s="5"/>
      <c r="C727" s="5"/>
      <c r="D727" s="5"/>
      <c r="E727" s="23"/>
      <c r="F727" s="23"/>
      <c r="G727" s="23"/>
      <c r="H727" s="23"/>
      <c r="I727" s="23"/>
      <c r="J727" s="23"/>
      <c r="K727" s="10" t="str">
        <f t="shared" si="1"/>
        <v/>
      </c>
      <c r="L727" s="27"/>
      <c r="M727" s="27"/>
      <c r="N727" s="10" t="str">
        <f t="shared" si="244"/>
        <v/>
      </c>
      <c r="O727" s="17"/>
      <c r="P727" s="29"/>
    </row>
    <row r="728" ht="15.75" customHeight="1">
      <c r="A728" s="9" t="str">
        <f>IFERROR(__xludf.DUMMYFUNCTION("IF(B728="""","""",RIGHT(regexreplace(B728&amp;"""",""[^0-9]"",""""),9))"),"")</f>
        <v/>
      </c>
      <c r="B728" s="5"/>
      <c r="C728" s="5"/>
      <c r="D728" s="5"/>
      <c r="E728" s="23"/>
      <c r="F728" s="23"/>
      <c r="G728" s="23"/>
      <c r="H728" s="23"/>
      <c r="I728" s="23"/>
      <c r="J728" s="23"/>
      <c r="K728" s="10" t="str">
        <f t="shared" si="1"/>
        <v/>
      </c>
      <c r="L728" s="27"/>
      <c r="M728" s="27"/>
      <c r="N728" s="10" t="str">
        <f t="array" ref="N728">IF(COUNTIF($A$2:A727,A)&gt;0,INDEX($C$2:C727,MATCH(A728,$A$2:A727,0)),"")</f>
        <v/>
      </c>
      <c r="O728" s="17"/>
      <c r="P728" s="29"/>
    </row>
    <row r="729" ht="15.75" customHeight="1">
      <c r="A729" s="9" t="str">
        <f>IFERROR(__xludf.DUMMYFUNCTION("IF(B729="""","""",RIGHT(regexreplace(B729&amp;"""",""[^0-9]"",""""),9))"),"")</f>
        <v/>
      </c>
      <c r="B729" s="5"/>
      <c r="C729" s="5"/>
      <c r="D729" s="5"/>
      <c r="E729" s="23"/>
      <c r="F729" s="23"/>
      <c r="G729" s="23"/>
      <c r="H729" s="23"/>
      <c r="I729" s="23"/>
      <c r="J729" s="23"/>
      <c r="K729" s="10" t="str">
        <f t="shared" si="1"/>
        <v/>
      </c>
      <c r="L729" s="27"/>
      <c r="M729" s="27"/>
      <c r="N729" s="10" t="str">
        <f t="shared" ref="N729:N730" si="245">IF(COUNTIF($A$2:A728,A729)&gt;0,INDEX($C$2:C728,MATCH(A729,$A$2:A728,0)),"")</f>
        <v/>
      </c>
      <c r="O729" s="17"/>
      <c r="P729" s="29"/>
    </row>
    <row r="730" ht="15.75" customHeight="1">
      <c r="A730" s="9" t="str">
        <f>IFERROR(__xludf.DUMMYFUNCTION("IF(B730="""","""",RIGHT(regexreplace(B730&amp;"""",""[^0-9]"",""""),9))"),"")</f>
        <v/>
      </c>
      <c r="B730" s="5"/>
      <c r="C730" s="5"/>
      <c r="D730" s="5"/>
      <c r="E730" s="23"/>
      <c r="F730" s="23"/>
      <c r="G730" s="23"/>
      <c r="H730" s="23"/>
      <c r="I730" s="23"/>
      <c r="J730" s="23"/>
      <c r="K730" s="10" t="str">
        <f t="shared" si="1"/>
        <v/>
      </c>
      <c r="L730" s="27"/>
      <c r="M730" s="27"/>
      <c r="N730" s="10" t="str">
        <f t="shared" si="245"/>
        <v/>
      </c>
      <c r="O730" s="17"/>
      <c r="P730" s="29"/>
    </row>
    <row r="731" ht="15.75" customHeight="1">
      <c r="A731" s="9" t="str">
        <f>IFERROR(__xludf.DUMMYFUNCTION("IF(B731="""","""",RIGHT(regexreplace(B731&amp;"""",""[^0-9]"",""""),9))"),"")</f>
        <v/>
      </c>
      <c r="B731" s="5"/>
      <c r="C731" s="5"/>
      <c r="D731" s="5"/>
      <c r="E731" s="23"/>
      <c r="F731" s="23"/>
      <c r="G731" s="23"/>
      <c r="H731" s="23"/>
      <c r="I731" s="23"/>
      <c r="J731" s="23"/>
      <c r="K731" s="10" t="str">
        <f t="shared" si="1"/>
        <v/>
      </c>
      <c r="L731" s="27"/>
      <c r="M731" s="27"/>
      <c r="N731" s="10" t="str">
        <f t="array" ref="N731">IF(COUNTIF($A$2:A730,A)&gt;0,INDEX($C$2:C730,MATCH(A731,$A$2:A730,0)),"")</f>
        <v/>
      </c>
      <c r="O731" s="17"/>
      <c r="P731" s="29"/>
    </row>
    <row r="732" ht="15.75" customHeight="1">
      <c r="A732" s="9" t="str">
        <f>IFERROR(__xludf.DUMMYFUNCTION("IF(B732="""","""",RIGHT(regexreplace(B732&amp;"""",""[^0-9]"",""""),9))"),"")</f>
        <v/>
      </c>
      <c r="B732" s="5"/>
      <c r="C732" s="5"/>
      <c r="D732" s="5"/>
      <c r="E732" s="23"/>
      <c r="F732" s="23"/>
      <c r="G732" s="23"/>
      <c r="H732" s="23"/>
      <c r="I732" s="23"/>
      <c r="J732" s="23"/>
      <c r="K732" s="10" t="str">
        <f t="shared" si="1"/>
        <v/>
      </c>
      <c r="L732" s="27"/>
      <c r="M732" s="27"/>
      <c r="N732" s="10" t="str">
        <f t="shared" ref="N732:N733" si="246">IF(COUNTIF($A$2:A731,A732)&gt;0,INDEX($C$2:C731,MATCH(A732,$A$2:A731,0)),"")</f>
        <v/>
      </c>
      <c r="O732" s="17"/>
      <c r="P732" s="29"/>
    </row>
    <row r="733" ht="15.75" customHeight="1">
      <c r="A733" s="9" t="str">
        <f>IFERROR(__xludf.DUMMYFUNCTION("IF(B733="""","""",RIGHT(regexreplace(B733&amp;"""",""[^0-9]"",""""),9))"),"")</f>
        <v/>
      </c>
      <c r="B733" s="5"/>
      <c r="C733" s="5"/>
      <c r="D733" s="5"/>
      <c r="E733" s="23"/>
      <c r="F733" s="23"/>
      <c r="G733" s="23"/>
      <c r="H733" s="23"/>
      <c r="I733" s="23"/>
      <c r="J733" s="23"/>
      <c r="K733" s="10" t="str">
        <f t="shared" si="1"/>
        <v/>
      </c>
      <c r="L733" s="27"/>
      <c r="M733" s="27"/>
      <c r="N733" s="10" t="str">
        <f t="shared" si="246"/>
        <v/>
      </c>
      <c r="O733" s="17"/>
      <c r="P733" s="29"/>
    </row>
    <row r="734" ht="15.75" customHeight="1">
      <c r="A734" s="9" t="str">
        <f>IFERROR(__xludf.DUMMYFUNCTION("IF(B734="""","""",RIGHT(regexreplace(B734&amp;"""",""[^0-9]"",""""),9))"),"")</f>
        <v/>
      </c>
      <c r="B734" s="5"/>
      <c r="C734" s="5"/>
      <c r="D734" s="5"/>
      <c r="E734" s="23"/>
      <c r="F734" s="23"/>
      <c r="G734" s="23"/>
      <c r="H734" s="23"/>
      <c r="I734" s="23"/>
      <c r="J734" s="23"/>
      <c r="K734" s="10" t="str">
        <f t="shared" si="1"/>
        <v/>
      </c>
      <c r="L734" s="27"/>
      <c r="M734" s="27"/>
      <c r="N734" s="10" t="str">
        <f t="array" ref="N734">IF(COUNTIF($A$2:A733,A)&gt;0,INDEX($C$2:C733,MATCH(A734,$A$2:A733,0)),"")</f>
        <v/>
      </c>
      <c r="O734" s="17"/>
      <c r="P734" s="29"/>
    </row>
    <row r="735" ht="15.75" customHeight="1">
      <c r="A735" s="9" t="str">
        <f>IFERROR(__xludf.DUMMYFUNCTION("IF(B735="""","""",RIGHT(regexreplace(B735&amp;"""",""[^0-9]"",""""),9))"),"")</f>
        <v/>
      </c>
      <c r="B735" s="5"/>
      <c r="C735" s="5"/>
      <c r="D735" s="5"/>
      <c r="E735" s="23"/>
      <c r="F735" s="23"/>
      <c r="G735" s="23"/>
      <c r="H735" s="23"/>
      <c r="I735" s="23"/>
      <c r="J735" s="23"/>
      <c r="K735" s="10" t="str">
        <f t="shared" si="1"/>
        <v/>
      </c>
      <c r="L735" s="27"/>
      <c r="M735" s="27"/>
      <c r="N735" s="10" t="str">
        <f t="shared" ref="N735:N736" si="247">IF(COUNTIF($A$2:A734,A735)&gt;0,INDEX($C$2:C734,MATCH(A735,$A$2:A734,0)),"")</f>
        <v/>
      </c>
      <c r="O735" s="17"/>
      <c r="P735" s="29"/>
    </row>
    <row r="736" ht="15.75" customHeight="1">
      <c r="A736" s="9" t="str">
        <f>IFERROR(__xludf.DUMMYFUNCTION("IF(B736="""","""",RIGHT(regexreplace(B736&amp;"""",""[^0-9]"",""""),9))"),"")</f>
        <v/>
      </c>
      <c r="B736" s="5"/>
      <c r="C736" s="5"/>
      <c r="D736" s="5"/>
      <c r="E736" s="23"/>
      <c r="F736" s="23"/>
      <c r="G736" s="23"/>
      <c r="H736" s="23"/>
      <c r="I736" s="23"/>
      <c r="J736" s="23"/>
      <c r="K736" s="10" t="str">
        <f t="shared" si="1"/>
        <v/>
      </c>
      <c r="L736" s="27"/>
      <c r="M736" s="27"/>
      <c r="N736" s="10" t="str">
        <f t="shared" si="247"/>
        <v/>
      </c>
      <c r="O736" s="17"/>
      <c r="P736" s="29"/>
    </row>
    <row r="737" ht="15.75" customHeight="1">
      <c r="A737" s="9" t="str">
        <f>IFERROR(__xludf.DUMMYFUNCTION("IF(B737="""","""",RIGHT(regexreplace(B737&amp;"""",""[^0-9]"",""""),9))"),"")</f>
        <v/>
      </c>
      <c r="B737" s="5"/>
      <c r="C737" s="5"/>
      <c r="D737" s="5"/>
      <c r="E737" s="23"/>
      <c r="F737" s="23"/>
      <c r="G737" s="23"/>
      <c r="H737" s="23"/>
      <c r="I737" s="23"/>
      <c r="J737" s="23"/>
      <c r="K737" s="10" t="str">
        <f t="shared" si="1"/>
        <v/>
      </c>
      <c r="L737" s="27"/>
      <c r="M737" s="27"/>
      <c r="N737" s="10" t="str">
        <f t="array" ref="N737">IF(COUNTIF($A$2:A736,A)&gt;0,INDEX($C$2:C736,MATCH(A737,$A$2:A736,0)),"")</f>
        <v/>
      </c>
      <c r="O737" s="17"/>
      <c r="P737" s="29"/>
    </row>
    <row r="738" ht="15.75" customHeight="1">
      <c r="A738" s="9" t="str">
        <f>IFERROR(__xludf.DUMMYFUNCTION("IF(B738="""","""",RIGHT(regexreplace(B738&amp;"""",""[^0-9]"",""""),9))"),"")</f>
        <v/>
      </c>
      <c r="B738" s="5"/>
      <c r="C738" s="5"/>
      <c r="D738" s="5"/>
      <c r="E738" s="23"/>
      <c r="F738" s="23"/>
      <c r="G738" s="23"/>
      <c r="H738" s="23"/>
      <c r="I738" s="23"/>
      <c r="J738" s="23"/>
      <c r="K738" s="10" t="str">
        <f t="shared" si="1"/>
        <v/>
      </c>
      <c r="L738" s="27"/>
      <c r="M738" s="27"/>
      <c r="N738" s="10" t="str">
        <f t="shared" ref="N738:N739" si="248">IF(COUNTIF($A$2:A737,A738)&gt;0,INDEX($C$2:C737,MATCH(A738,$A$2:A737,0)),"")</f>
        <v/>
      </c>
      <c r="O738" s="17"/>
      <c r="P738" s="29"/>
    </row>
    <row r="739" ht="15.75" customHeight="1">
      <c r="A739" s="9" t="str">
        <f>IFERROR(__xludf.DUMMYFUNCTION("IF(B739="""","""",RIGHT(regexreplace(B739&amp;"""",""[^0-9]"",""""),9))"),"")</f>
        <v/>
      </c>
      <c r="B739" s="5"/>
      <c r="C739" s="5"/>
      <c r="D739" s="5"/>
      <c r="E739" s="23"/>
      <c r="F739" s="23"/>
      <c r="G739" s="23"/>
      <c r="H739" s="23"/>
      <c r="I739" s="23"/>
      <c r="J739" s="23"/>
      <c r="K739" s="10" t="str">
        <f t="shared" si="1"/>
        <v/>
      </c>
      <c r="L739" s="27"/>
      <c r="M739" s="27"/>
      <c r="N739" s="10" t="str">
        <f t="shared" si="248"/>
        <v/>
      </c>
      <c r="O739" s="17"/>
      <c r="P739" s="29"/>
    </row>
    <row r="740" ht="15.75" customHeight="1">
      <c r="A740" s="9" t="str">
        <f>IFERROR(__xludf.DUMMYFUNCTION("IF(B740="""","""",RIGHT(regexreplace(B740&amp;"""",""[^0-9]"",""""),9))"),"")</f>
        <v/>
      </c>
      <c r="B740" s="5"/>
      <c r="C740" s="5"/>
      <c r="D740" s="5"/>
      <c r="E740" s="23"/>
      <c r="F740" s="23"/>
      <c r="G740" s="23"/>
      <c r="H740" s="23"/>
      <c r="I740" s="23"/>
      <c r="J740" s="23"/>
      <c r="K740" s="10" t="str">
        <f t="shared" si="1"/>
        <v/>
      </c>
      <c r="L740" s="27"/>
      <c r="M740" s="27"/>
      <c r="N740" s="10" t="str">
        <f t="array" ref="N740">IF(COUNTIF($A$2:A739,A)&gt;0,INDEX($C$2:C739,MATCH(A740,$A$2:A739,0)),"")</f>
        <v/>
      </c>
      <c r="O740" s="17"/>
      <c r="P740" s="29"/>
    </row>
    <row r="741" ht="15.75" customHeight="1">
      <c r="A741" s="9" t="str">
        <f>IFERROR(__xludf.DUMMYFUNCTION("IF(B741="""","""",RIGHT(regexreplace(B741&amp;"""",""[^0-9]"",""""),9))"),"")</f>
        <v/>
      </c>
      <c r="B741" s="5"/>
      <c r="C741" s="5"/>
      <c r="D741" s="5"/>
      <c r="E741" s="23"/>
      <c r="F741" s="23"/>
      <c r="G741" s="23"/>
      <c r="H741" s="23"/>
      <c r="I741" s="23"/>
      <c r="J741" s="23"/>
      <c r="K741" s="10" t="str">
        <f t="shared" si="1"/>
        <v/>
      </c>
      <c r="L741" s="27"/>
      <c r="M741" s="27"/>
      <c r="N741" s="10" t="str">
        <f t="shared" ref="N741:N742" si="249">IF(COUNTIF($A$2:A740,A741)&gt;0,INDEX($C$2:C740,MATCH(A741,$A$2:A740,0)),"")</f>
        <v/>
      </c>
      <c r="O741" s="17"/>
      <c r="P741" s="29"/>
    </row>
    <row r="742" ht="15.75" customHeight="1">
      <c r="A742" s="9" t="str">
        <f>IFERROR(__xludf.DUMMYFUNCTION("IF(B742="""","""",RIGHT(regexreplace(B742&amp;"""",""[^0-9]"",""""),9))"),"")</f>
        <v/>
      </c>
      <c r="B742" s="5"/>
      <c r="C742" s="5"/>
      <c r="D742" s="5"/>
      <c r="E742" s="23"/>
      <c r="F742" s="23"/>
      <c r="G742" s="23"/>
      <c r="H742" s="23"/>
      <c r="I742" s="23"/>
      <c r="J742" s="23"/>
      <c r="K742" s="10" t="str">
        <f t="shared" si="1"/>
        <v/>
      </c>
      <c r="L742" s="27"/>
      <c r="M742" s="27"/>
      <c r="N742" s="10" t="str">
        <f t="shared" si="249"/>
        <v/>
      </c>
      <c r="O742" s="17"/>
      <c r="P742" s="29"/>
    </row>
    <row r="743" ht="15.75" customHeight="1">
      <c r="A743" s="9" t="str">
        <f>IFERROR(__xludf.DUMMYFUNCTION("IF(B743="""","""",RIGHT(regexreplace(B743&amp;"""",""[^0-9]"",""""),9))"),"")</f>
        <v/>
      </c>
      <c r="B743" s="5"/>
      <c r="C743" s="5"/>
      <c r="D743" s="5"/>
      <c r="E743" s="23"/>
      <c r="F743" s="23"/>
      <c r="G743" s="23"/>
      <c r="H743" s="23"/>
      <c r="I743" s="23"/>
      <c r="J743" s="23"/>
      <c r="K743" s="10" t="str">
        <f t="shared" si="1"/>
        <v/>
      </c>
      <c r="L743" s="27"/>
      <c r="M743" s="27"/>
      <c r="N743" s="10" t="str">
        <f t="array" ref="N743">IF(COUNTIF($A$2:A742,A)&gt;0,INDEX($C$2:C742,MATCH(A743,$A$2:A742,0)),"")</f>
        <v/>
      </c>
      <c r="O743" s="17"/>
      <c r="P743" s="29"/>
    </row>
    <row r="744" ht="15.75" customHeight="1">
      <c r="A744" s="9" t="str">
        <f>IFERROR(__xludf.DUMMYFUNCTION("IF(B744="""","""",RIGHT(regexreplace(B744&amp;"""",""[^0-9]"",""""),9))"),"")</f>
        <v/>
      </c>
      <c r="B744" s="5"/>
      <c r="C744" s="5"/>
      <c r="D744" s="5"/>
      <c r="E744" s="23"/>
      <c r="F744" s="23"/>
      <c r="G744" s="23"/>
      <c r="H744" s="23"/>
      <c r="I744" s="23"/>
      <c r="J744" s="23"/>
      <c r="K744" s="10" t="str">
        <f t="shared" si="1"/>
        <v/>
      </c>
      <c r="L744" s="27"/>
      <c r="M744" s="27"/>
      <c r="N744" s="10" t="str">
        <f t="shared" ref="N744:N745" si="250">IF(COUNTIF($A$2:A743,A744)&gt;0,INDEX($C$2:C743,MATCH(A744,$A$2:A743,0)),"")</f>
        <v/>
      </c>
      <c r="O744" s="17"/>
      <c r="P744" s="29"/>
    </row>
    <row r="745" ht="15.75" customHeight="1">
      <c r="A745" s="9" t="str">
        <f>IFERROR(__xludf.DUMMYFUNCTION("IF(B745="""","""",RIGHT(regexreplace(B745&amp;"""",""[^0-9]"",""""),9))"),"")</f>
        <v/>
      </c>
      <c r="B745" s="5"/>
      <c r="C745" s="5"/>
      <c r="D745" s="5"/>
      <c r="E745" s="23"/>
      <c r="F745" s="23"/>
      <c r="G745" s="23"/>
      <c r="H745" s="23"/>
      <c r="I745" s="23"/>
      <c r="J745" s="23"/>
      <c r="K745" s="10" t="str">
        <f t="shared" si="1"/>
        <v/>
      </c>
      <c r="L745" s="27"/>
      <c r="M745" s="27"/>
      <c r="N745" s="10" t="str">
        <f t="shared" si="250"/>
        <v/>
      </c>
      <c r="O745" s="17"/>
      <c r="P745" s="29"/>
    </row>
    <row r="746" ht="15.75" customHeight="1">
      <c r="A746" s="9" t="str">
        <f>IFERROR(__xludf.DUMMYFUNCTION("IF(B746="""","""",RIGHT(regexreplace(B746&amp;"""",""[^0-9]"",""""),9))"),"")</f>
        <v/>
      </c>
      <c r="B746" s="5"/>
      <c r="C746" s="5"/>
      <c r="D746" s="5"/>
      <c r="E746" s="23"/>
      <c r="F746" s="23"/>
      <c r="G746" s="23"/>
      <c r="H746" s="23"/>
      <c r="I746" s="23"/>
      <c r="J746" s="23"/>
      <c r="K746" s="10" t="str">
        <f t="shared" si="1"/>
        <v/>
      </c>
      <c r="L746" s="27"/>
      <c r="M746" s="27"/>
      <c r="N746" s="10" t="str">
        <f t="array" ref="N746">IF(COUNTIF($A$2:A745,A)&gt;0,INDEX($C$2:C745,MATCH(A746,$A$2:A745,0)),"")</f>
        <v/>
      </c>
      <c r="O746" s="17"/>
      <c r="P746" s="29"/>
    </row>
    <row r="747" ht="15.75" customHeight="1">
      <c r="A747" s="9" t="str">
        <f>IFERROR(__xludf.DUMMYFUNCTION("IF(B747="""","""",RIGHT(regexreplace(B747&amp;"""",""[^0-9]"",""""),9))"),"")</f>
        <v/>
      </c>
      <c r="B747" s="5"/>
      <c r="C747" s="5"/>
      <c r="D747" s="5"/>
      <c r="E747" s="23"/>
      <c r="F747" s="23"/>
      <c r="G747" s="23"/>
      <c r="H747" s="23"/>
      <c r="I747" s="23"/>
      <c r="J747" s="23"/>
      <c r="K747" s="10" t="str">
        <f t="shared" si="1"/>
        <v/>
      </c>
      <c r="L747" s="27"/>
      <c r="M747" s="27"/>
      <c r="N747" s="10" t="str">
        <f t="shared" ref="N747:N748" si="251">IF(COUNTIF($A$2:A746,A747)&gt;0,INDEX($C$2:C746,MATCH(A747,$A$2:A746,0)),"")</f>
        <v/>
      </c>
      <c r="O747" s="17"/>
      <c r="P747" s="29"/>
    </row>
    <row r="748" ht="15.75" customHeight="1">
      <c r="A748" s="9" t="str">
        <f>IFERROR(__xludf.DUMMYFUNCTION("IF(B748="""","""",RIGHT(regexreplace(B748&amp;"""",""[^0-9]"",""""),9))"),"")</f>
        <v/>
      </c>
      <c r="B748" s="5"/>
      <c r="C748" s="5"/>
      <c r="D748" s="5"/>
      <c r="E748" s="23"/>
      <c r="F748" s="23"/>
      <c r="G748" s="23"/>
      <c r="H748" s="23"/>
      <c r="I748" s="23"/>
      <c r="J748" s="23"/>
      <c r="K748" s="10" t="str">
        <f t="shared" si="1"/>
        <v/>
      </c>
      <c r="L748" s="27"/>
      <c r="M748" s="27"/>
      <c r="N748" s="10" t="str">
        <f t="shared" si="251"/>
        <v/>
      </c>
      <c r="O748" s="17"/>
      <c r="P748" s="29"/>
    </row>
    <row r="749" ht="15.75" customHeight="1">
      <c r="A749" s="9" t="str">
        <f>IFERROR(__xludf.DUMMYFUNCTION("IF(B749="""","""",RIGHT(regexreplace(B749&amp;"""",""[^0-9]"",""""),9))"),"")</f>
        <v/>
      </c>
      <c r="B749" s="5"/>
      <c r="C749" s="5"/>
      <c r="D749" s="5"/>
      <c r="E749" s="23"/>
      <c r="F749" s="23"/>
      <c r="G749" s="23"/>
      <c r="H749" s="23"/>
      <c r="I749" s="23"/>
      <c r="J749" s="23"/>
      <c r="K749" s="10" t="str">
        <f t="shared" si="1"/>
        <v/>
      </c>
      <c r="L749" s="27"/>
      <c r="M749" s="27"/>
      <c r="N749" s="10" t="str">
        <f t="array" ref="N749">IF(COUNTIF($A$2:A748,A)&gt;0,INDEX($C$2:C748,MATCH(A749,$A$2:A748,0)),"")</f>
        <v/>
      </c>
      <c r="O749" s="17"/>
      <c r="P749" s="29"/>
    </row>
    <row r="750" ht="15.75" customHeight="1">
      <c r="A750" s="9" t="str">
        <f>IFERROR(__xludf.DUMMYFUNCTION("IF(B750="""","""",RIGHT(regexreplace(B750&amp;"""",""[^0-9]"",""""),9))"),"")</f>
        <v/>
      </c>
      <c r="B750" s="5"/>
      <c r="C750" s="5"/>
      <c r="D750" s="5"/>
      <c r="E750" s="23"/>
      <c r="F750" s="23"/>
      <c r="G750" s="23"/>
      <c r="H750" s="23"/>
      <c r="I750" s="23"/>
      <c r="J750" s="23"/>
      <c r="K750" s="10" t="str">
        <f t="shared" si="1"/>
        <v/>
      </c>
      <c r="L750" s="27"/>
      <c r="M750" s="27"/>
      <c r="N750" s="10" t="str">
        <f t="shared" ref="N750:N751" si="252">IF(COUNTIF($A$2:A749,A750)&gt;0,INDEX($C$2:C749,MATCH(A750,$A$2:A749,0)),"")</f>
        <v/>
      </c>
      <c r="O750" s="17"/>
      <c r="P750" s="29"/>
    </row>
    <row r="751" ht="15.75" customHeight="1">
      <c r="A751" s="9" t="str">
        <f>IFERROR(__xludf.DUMMYFUNCTION("IF(B751="""","""",RIGHT(regexreplace(B751&amp;"""",""[^0-9]"",""""),9))"),"")</f>
        <v/>
      </c>
      <c r="B751" s="5"/>
      <c r="C751" s="5"/>
      <c r="D751" s="5"/>
      <c r="E751" s="23"/>
      <c r="F751" s="23"/>
      <c r="G751" s="23"/>
      <c r="H751" s="23"/>
      <c r="I751" s="23"/>
      <c r="J751" s="23"/>
      <c r="K751" s="10" t="str">
        <f t="shared" si="1"/>
        <v/>
      </c>
      <c r="L751" s="27"/>
      <c r="M751" s="27"/>
      <c r="N751" s="10" t="str">
        <f t="shared" si="252"/>
        <v/>
      </c>
      <c r="O751" s="17"/>
      <c r="P751" s="29"/>
    </row>
    <row r="752" ht="15.75" customHeight="1">
      <c r="A752" s="9" t="str">
        <f>IFERROR(__xludf.DUMMYFUNCTION("IF(B752="""","""",RIGHT(regexreplace(B752&amp;"""",""[^0-9]"",""""),9))"),"")</f>
        <v/>
      </c>
      <c r="B752" s="5"/>
      <c r="C752" s="5"/>
      <c r="D752" s="5"/>
      <c r="E752" s="23"/>
      <c r="F752" s="23"/>
      <c r="G752" s="23"/>
      <c r="H752" s="23"/>
      <c r="I752" s="23"/>
      <c r="J752" s="23"/>
      <c r="K752" s="10" t="str">
        <f t="shared" si="1"/>
        <v/>
      </c>
      <c r="L752" s="27"/>
      <c r="M752" s="27"/>
      <c r="N752" s="10" t="str">
        <f t="array" ref="N752">IF(COUNTIF($A$2:A751,A)&gt;0,INDEX($C$2:C751,MATCH(A752,$A$2:A751,0)),"")</f>
        <v/>
      </c>
      <c r="O752" s="17"/>
      <c r="P752" s="29"/>
    </row>
    <row r="753" ht="15.75" customHeight="1">
      <c r="A753" s="9" t="str">
        <f>IFERROR(__xludf.DUMMYFUNCTION("IF(B753="""","""",RIGHT(regexreplace(B753&amp;"""",""[^0-9]"",""""),9))"),"")</f>
        <v/>
      </c>
      <c r="B753" s="5"/>
      <c r="C753" s="5"/>
      <c r="D753" s="5"/>
      <c r="E753" s="23"/>
      <c r="F753" s="23"/>
      <c r="G753" s="23"/>
      <c r="H753" s="23"/>
      <c r="I753" s="23"/>
      <c r="J753" s="23"/>
      <c r="K753" s="10" t="str">
        <f t="shared" si="1"/>
        <v/>
      </c>
      <c r="L753" s="27"/>
      <c r="M753" s="27"/>
      <c r="N753" s="10" t="str">
        <f t="shared" ref="N753:N754" si="253">IF(COUNTIF($A$2:A752,A753)&gt;0,INDEX($C$2:C752,MATCH(A753,$A$2:A752,0)),"")</f>
        <v/>
      </c>
      <c r="O753" s="17"/>
      <c r="P753" s="29"/>
    </row>
    <row r="754" ht="15.75" customHeight="1">
      <c r="A754" s="9" t="str">
        <f>IFERROR(__xludf.DUMMYFUNCTION("IF(B754="""","""",RIGHT(regexreplace(B754&amp;"""",""[^0-9]"",""""),9))"),"")</f>
        <v/>
      </c>
      <c r="B754" s="5"/>
      <c r="C754" s="5"/>
      <c r="D754" s="5"/>
      <c r="E754" s="23"/>
      <c r="F754" s="23"/>
      <c r="G754" s="23"/>
      <c r="H754" s="23"/>
      <c r="I754" s="23"/>
      <c r="J754" s="23"/>
      <c r="K754" s="10" t="str">
        <f t="shared" si="1"/>
        <v/>
      </c>
      <c r="L754" s="27"/>
      <c r="M754" s="27"/>
      <c r="N754" s="10" t="str">
        <f t="shared" si="253"/>
        <v/>
      </c>
      <c r="O754" s="17"/>
      <c r="P754" s="29"/>
    </row>
    <row r="755" ht="15.75" customHeight="1">
      <c r="A755" s="9" t="str">
        <f>IFERROR(__xludf.DUMMYFUNCTION("IF(B755="""","""",RIGHT(regexreplace(B755&amp;"""",""[^0-9]"",""""),9))"),"")</f>
        <v/>
      </c>
      <c r="B755" s="5"/>
      <c r="C755" s="5"/>
      <c r="D755" s="5"/>
      <c r="E755" s="23"/>
      <c r="F755" s="23"/>
      <c r="G755" s="23"/>
      <c r="H755" s="23"/>
      <c r="I755" s="23"/>
      <c r="J755" s="23"/>
      <c r="K755" s="10" t="str">
        <f t="shared" si="1"/>
        <v/>
      </c>
      <c r="L755" s="27"/>
      <c r="M755" s="27"/>
      <c r="N755" s="10" t="str">
        <f t="array" ref="N755">IF(COUNTIF($A$2:A754,A)&gt;0,INDEX($C$2:C754,MATCH(A755,$A$2:A754,0)),"")</f>
        <v/>
      </c>
      <c r="O755" s="17"/>
      <c r="P755" s="29"/>
    </row>
    <row r="756" ht="15.75" customHeight="1">
      <c r="A756" s="9" t="str">
        <f>IFERROR(__xludf.DUMMYFUNCTION("IF(B756="""","""",RIGHT(regexreplace(B756&amp;"""",""[^0-9]"",""""),9))"),"")</f>
        <v/>
      </c>
      <c r="B756" s="5"/>
      <c r="C756" s="5"/>
      <c r="D756" s="5"/>
      <c r="E756" s="23"/>
      <c r="F756" s="23"/>
      <c r="G756" s="23"/>
      <c r="H756" s="23"/>
      <c r="I756" s="23"/>
      <c r="J756" s="23"/>
      <c r="K756" s="10" t="str">
        <f t="shared" si="1"/>
        <v/>
      </c>
      <c r="L756" s="27"/>
      <c r="M756" s="27"/>
      <c r="N756" s="10" t="str">
        <f t="shared" ref="N756:N757" si="254">IF(COUNTIF($A$2:A755,A756)&gt;0,INDEX($C$2:C755,MATCH(A756,$A$2:A755,0)),"")</f>
        <v/>
      </c>
      <c r="O756" s="17"/>
      <c r="P756" s="29"/>
    </row>
    <row r="757" ht="15.75" customHeight="1">
      <c r="A757" s="9" t="str">
        <f>IFERROR(__xludf.DUMMYFUNCTION("IF(B757="""","""",RIGHT(regexreplace(B757&amp;"""",""[^0-9]"",""""),9))"),"")</f>
        <v/>
      </c>
      <c r="B757" s="5"/>
      <c r="C757" s="5"/>
      <c r="D757" s="5"/>
      <c r="E757" s="23"/>
      <c r="F757" s="23"/>
      <c r="G757" s="23"/>
      <c r="H757" s="23"/>
      <c r="I757" s="23"/>
      <c r="J757" s="23"/>
      <c r="K757" s="10" t="str">
        <f t="shared" si="1"/>
        <v/>
      </c>
      <c r="L757" s="27"/>
      <c r="M757" s="27"/>
      <c r="N757" s="10" t="str">
        <f t="shared" si="254"/>
        <v/>
      </c>
      <c r="O757" s="17"/>
      <c r="P757" s="29"/>
    </row>
    <row r="758" ht="15.75" customHeight="1">
      <c r="A758" s="9" t="str">
        <f>IFERROR(__xludf.DUMMYFUNCTION("IF(B758="""","""",RIGHT(regexreplace(B758&amp;"""",""[^0-9]"",""""),9))"),"")</f>
        <v/>
      </c>
      <c r="B758" s="5"/>
      <c r="C758" s="5"/>
      <c r="D758" s="5"/>
      <c r="E758" s="23"/>
      <c r="F758" s="23"/>
      <c r="G758" s="23"/>
      <c r="H758" s="23"/>
      <c r="I758" s="23"/>
      <c r="J758" s="23"/>
      <c r="K758" s="10" t="str">
        <f t="shared" si="1"/>
        <v/>
      </c>
      <c r="L758" s="27"/>
      <c r="M758" s="27"/>
      <c r="N758" s="10" t="str">
        <f t="array" ref="N758">IF(COUNTIF($A$2:A757,A)&gt;0,INDEX($C$2:C757,MATCH(A758,$A$2:A757,0)),"")</f>
        <v/>
      </c>
      <c r="O758" s="17"/>
      <c r="P758" s="29"/>
    </row>
    <row r="759" ht="15.75" customHeight="1">
      <c r="A759" s="9" t="str">
        <f>IFERROR(__xludf.DUMMYFUNCTION("IF(B759="""","""",RIGHT(regexreplace(B759&amp;"""",""[^0-9]"",""""),9))"),"")</f>
        <v/>
      </c>
      <c r="B759" s="5"/>
      <c r="C759" s="5"/>
      <c r="D759" s="5"/>
      <c r="E759" s="23"/>
      <c r="F759" s="23"/>
      <c r="G759" s="23"/>
      <c r="H759" s="23"/>
      <c r="I759" s="23"/>
      <c r="J759" s="23"/>
      <c r="K759" s="10" t="str">
        <f t="shared" si="1"/>
        <v/>
      </c>
      <c r="L759" s="27"/>
      <c r="M759" s="27"/>
      <c r="N759" s="10" t="str">
        <f t="shared" ref="N759:N760" si="255">IF(COUNTIF($A$2:A758,A759)&gt;0,INDEX($C$2:C758,MATCH(A759,$A$2:A758,0)),"")</f>
        <v/>
      </c>
      <c r="O759" s="17"/>
      <c r="P759" s="29"/>
    </row>
    <row r="760" ht="15.75" customHeight="1">
      <c r="A760" s="9" t="str">
        <f>IFERROR(__xludf.DUMMYFUNCTION("IF(B760="""","""",RIGHT(regexreplace(B760&amp;"""",""[^0-9]"",""""),9))"),"")</f>
        <v/>
      </c>
      <c r="B760" s="5"/>
      <c r="C760" s="5"/>
      <c r="D760" s="5"/>
      <c r="E760" s="23"/>
      <c r="F760" s="23"/>
      <c r="G760" s="23"/>
      <c r="H760" s="23"/>
      <c r="I760" s="23"/>
      <c r="J760" s="23"/>
      <c r="K760" s="10" t="str">
        <f t="shared" si="1"/>
        <v/>
      </c>
      <c r="L760" s="27"/>
      <c r="M760" s="27"/>
      <c r="N760" s="10" t="str">
        <f t="shared" si="255"/>
        <v/>
      </c>
      <c r="O760" s="17"/>
      <c r="P760" s="29"/>
    </row>
    <row r="761" ht="15.75" customHeight="1">
      <c r="A761" s="9" t="str">
        <f>IFERROR(__xludf.DUMMYFUNCTION("IF(B761="""","""",RIGHT(regexreplace(B761&amp;"""",""[^0-9]"",""""),9))"),"")</f>
        <v/>
      </c>
      <c r="B761" s="5"/>
      <c r="C761" s="5"/>
      <c r="D761" s="5"/>
      <c r="E761" s="23"/>
      <c r="F761" s="23"/>
      <c r="G761" s="23"/>
      <c r="H761" s="23"/>
      <c r="I761" s="23"/>
      <c r="J761" s="23"/>
      <c r="K761" s="10" t="str">
        <f t="shared" si="1"/>
        <v/>
      </c>
      <c r="L761" s="27"/>
      <c r="M761" s="27"/>
      <c r="N761" s="10" t="str">
        <f t="array" ref="N761">IF(COUNTIF($A$2:A760,A)&gt;0,INDEX($C$2:C760,MATCH(A761,$A$2:A760,0)),"")</f>
        <v/>
      </c>
      <c r="O761" s="17"/>
      <c r="P761" s="29"/>
    </row>
    <row r="762" ht="15.75" customHeight="1">
      <c r="A762" s="9" t="str">
        <f>IFERROR(__xludf.DUMMYFUNCTION("IF(B762="""","""",RIGHT(regexreplace(B762&amp;"""",""[^0-9]"",""""),9))"),"")</f>
        <v/>
      </c>
      <c r="B762" s="5"/>
      <c r="C762" s="5"/>
      <c r="D762" s="5"/>
      <c r="E762" s="23"/>
      <c r="F762" s="23"/>
      <c r="G762" s="23"/>
      <c r="H762" s="23"/>
      <c r="I762" s="23"/>
      <c r="J762" s="23"/>
      <c r="K762" s="10" t="str">
        <f t="shared" si="1"/>
        <v/>
      </c>
      <c r="L762" s="27"/>
      <c r="M762" s="27"/>
      <c r="N762" s="10" t="str">
        <f t="shared" ref="N762:N763" si="256">IF(COUNTIF($A$2:A761,A762)&gt;0,INDEX($C$2:C761,MATCH(A762,$A$2:A761,0)),"")</f>
        <v/>
      </c>
      <c r="O762" s="17"/>
      <c r="P762" s="29"/>
    </row>
    <row r="763" ht="15.75" customHeight="1">
      <c r="A763" s="9" t="str">
        <f>IFERROR(__xludf.DUMMYFUNCTION("IF(B763="""","""",RIGHT(regexreplace(B763&amp;"""",""[^0-9]"",""""),9))"),"")</f>
        <v/>
      </c>
      <c r="B763" s="5"/>
      <c r="C763" s="5"/>
      <c r="D763" s="5"/>
      <c r="E763" s="23"/>
      <c r="F763" s="23"/>
      <c r="G763" s="23"/>
      <c r="H763" s="23"/>
      <c r="I763" s="23"/>
      <c r="J763" s="23"/>
      <c r="K763" s="10" t="str">
        <f t="shared" si="1"/>
        <v/>
      </c>
      <c r="L763" s="27"/>
      <c r="M763" s="27"/>
      <c r="N763" s="10" t="str">
        <f t="shared" si="256"/>
        <v/>
      </c>
      <c r="O763" s="17"/>
      <c r="P763" s="29"/>
    </row>
    <row r="764" ht="15.75" customHeight="1">
      <c r="A764" s="9" t="str">
        <f>IFERROR(__xludf.DUMMYFUNCTION("IF(B764="""","""",RIGHT(regexreplace(B764&amp;"""",""[^0-9]"",""""),9))"),"")</f>
        <v/>
      </c>
      <c r="B764" s="5"/>
      <c r="C764" s="5"/>
      <c r="D764" s="5"/>
      <c r="E764" s="23"/>
      <c r="F764" s="23"/>
      <c r="G764" s="23"/>
      <c r="H764" s="23"/>
      <c r="I764" s="23"/>
      <c r="J764" s="23"/>
      <c r="K764" s="10" t="str">
        <f t="shared" si="1"/>
        <v/>
      </c>
      <c r="L764" s="27"/>
      <c r="M764" s="27"/>
      <c r="N764" s="10" t="str">
        <f t="array" ref="N764">IF(COUNTIF($A$2:A763,A)&gt;0,INDEX($C$2:C763,MATCH(A764,$A$2:A763,0)),"")</f>
        <v/>
      </c>
      <c r="O764" s="17"/>
      <c r="P764" s="29"/>
    </row>
    <row r="765" ht="15.75" customHeight="1">
      <c r="A765" s="9" t="str">
        <f>IFERROR(__xludf.DUMMYFUNCTION("IF(B765="""","""",RIGHT(regexreplace(B765&amp;"""",""[^0-9]"",""""),9))"),"")</f>
        <v/>
      </c>
      <c r="B765" s="5"/>
      <c r="C765" s="5"/>
      <c r="D765" s="5"/>
      <c r="E765" s="23"/>
      <c r="F765" s="23"/>
      <c r="G765" s="23"/>
      <c r="H765" s="23"/>
      <c r="I765" s="23"/>
      <c r="J765" s="23"/>
      <c r="K765" s="10" t="str">
        <f t="shared" si="1"/>
        <v/>
      </c>
      <c r="L765" s="27"/>
      <c r="M765" s="27"/>
      <c r="N765" s="10" t="str">
        <f t="shared" ref="N765:N766" si="257">IF(COUNTIF($A$2:A764,A765)&gt;0,INDEX($C$2:C764,MATCH(A765,$A$2:A764,0)),"")</f>
        <v/>
      </c>
      <c r="O765" s="17"/>
      <c r="P765" s="29"/>
    </row>
    <row r="766" ht="15.75" customHeight="1">
      <c r="A766" s="9" t="str">
        <f>IFERROR(__xludf.DUMMYFUNCTION("IF(B766="""","""",RIGHT(regexreplace(B766&amp;"""",""[^0-9]"",""""),9))"),"")</f>
        <v/>
      </c>
      <c r="B766" s="5"/>
      <c r="C766" s="5"/>
      <c r="D766" s="5"/>
      <c r="E766" s="23"/>
      <c r="F766" s="23"/>
      <c r="G766" s="23"/>
      <c r="H766" s="23"/>
      <c r="I766" s="23"/>
      <c r="J766" s="23"/>
      <c r="K766" s="10" t="str">
        <f t="shared" si="1"/>
        <v/>
      </c>
      <c r="L766" s="27"/>
      <c r="M766" s="27"/>
      <c r="N766" s="10" t="str">
        <f t="shared" si="257"/>
        <v/>
      </c>
      <c r="O766" s="17"/>
      <c r="P766" s="29"/>
    </row>
    <row r="767" ht="15.75" customHeight="1">
      <c r="A767" s="9" t="str">
        <f>IFERROR(__xludf.DUMMYFUNCTION("IF(B767="""","""",RIGHT(regexreplace(B767&amp;"""",""[^0-9]"",""""),9))"),"")</f>
        <v/>
      </c>
      <c r="B767" s="5"/>
      <c r="C767" s="5"/>
      <c r="D767" s="5"/>
      <c r="E767" s="23"/>
      <c r="F767" s="23"/>
      <c r="G767" s="23"/>
      <c r="H767" s="23"/>
      <c r="I767" s="23"/>
      <c r="J767" s="23"/>
      <c r="K767" s="10" t="str">
        <f t="shared" si="1"/>
        <v/>
      </c>
      <c r="L767" s="27"/>
      <c r="M767" s="27"/>
      <c r="N767" s="10" t="str">
        <f t="array" ref="N767">IF(COUNTIF($A$2:A766,A)&gt;0,INDEX($C$2:C766,MATCH(A767,$A$2:A766,0)),"")</f>
        <v/>
      </c>
      <c r="O767" s="17"/>
      <c r="P767" s="29"/>
    </row>
    <row r="768" ht="15.75" customHeight="1">
      <c r="A768" s="9" t="str">
        <f>IFERROR(__xludf.DUMMYFUNCTION("IF(B768="""","""",RIGHT(regexreplace(B768&amp;"""",""[^0-9]"",""""),9))"),"")</f>
        <v/>
      </c>
      <c r="B768" s="5"/>
      <c r="C768" s="5"/>
      <c r="D768" s="5"/>
      <c r="E768" s="23"/>
      <c r="F768" s="23"/>
      <c r="G768" s="23"/>
      <c r="H768" s="23"/>
      <c r="I768" s="23"/>
      <c r="J768" s="23"/>
      <c r="K768" s="10" t="str">
        <f t="shared" si="1"/>
        <v/>
      </c>
      <c r="L768" s="27"/>
      <c r="M768" s="27"/>
      <c r="N768" s="10" t="str">
        <f t="shared" ref="N768:N769" si="258">IF(COUNTIF($A$2:A767,A768)&gt;0,INDEX($C$2:C767,MATCH(A768,$A$2:A767,0)),"")</f>
        <v/>
      </c>
      <c r="O768" s="17"/>
      <c r="P768" s="29"/>
    </row>
    <row r="769" ht="15.75" customHeight="1">
      <c r="A769" s="9" t="str">
        <f>IFERROR(__xludf.DUMMYFUNCTION("IF(B769="""","""",RIGHT(regexreplace(B769&amp;"""",""[^0-9]"",""""),9))"),"")</f>
        <v/>
      </c>
      <c r="B769" s="5"/>
      <c r="C769" s="5"/>
      <c r="D769" s="5"/>
      <c r="E769" s="23"/>
      <c r="F769" s="23"/>
      <c r="G769" s="23"/>
      <c r="H769" s="23"/>
      <c r="I769" s="23"/>
      <c r="J769" s="23"/>
      <c r="K769" s="10" t="str">
        <f t="shared" si="1"/>
        <v/>
      </c>
      <c r="L769" s="27"/>
      <c r="M769" s="27"/>
      <c r="N769" s="10" t="str">
        <f t="shared" si="258"/>
        <v/>
      </c>
      <c r="O769" s="17"/>
      <c r="P769" s="29"/>
    </row>
    <row r="770" ht="15.75" customHeight="1">
      <c r="A770" s="9" t="str">
        <f>IFERROR(__xludf.DUMMYFUNCTION("IF(B770="""","""",RIGHT(regexreplace(B770&amp;"""",""[^0-9]"",""""),9))"),"")</f>
        <v/>
      </c>
      <c r="B770" s="5"/>
      <c r="C770" s="5"/>
      <c r="D770" s="5"/>
      <c r="E770" s="23"/>
      <c r="F770" s="23"/>
      <c r="G770" s="23"/>
      <c r="H770" s="23"/>
      <c r="I770" s="23"/>
      <c r="J770" s="23"/>
      <c r="K770" s="10" t="str">
        <f t="shared" si="1"/>
        <v/>
      </c>
      <c r="L770" s="27"/>
      <c r="M770" s="27"/>
      <c r="N770" s="10" t="str">
        <f t="array" ref="N770">IF(COUNTIF($A$2:A769,A)&gt;0,INDEX($C$2:C769,MATCH(A770,$A$2:A769,0)),"")</f>
        <v/>
      </c>
      <c r="O770" s="17"/>
      <c r="P770" s="29"/>
    </row>
    <row r="771" ht="15.75" customHeight="1">
      <c r="A771" s="9" t="str">
        <f>IFERROR(__xludf.DUMMYFUNCTION("IF(B771="""","""",RIGHT(regexreplace(B771&amp;"""",""[^0-9]"",""""),9))"),"")</f>
        <v/>
      </c>
      <c r="B771" s="5"/>
      <c r="C771" s="5"/>
      <c r="D771" s="5"/>
      <c r="E771" s="23"/>
      <c r="F771" s="23"/>
      <c r="G771" s="23"/>
      <c r="H771" s="23"/>
      <c r="I771" s="23"/>
      <c r="J771" s="23"/>
      <c r="K771" s="10" t="str">
        <f t="shared" si="1"/>
        <v/>
      </c>
      <c r="L771" s="27"/>
      <c r="M771" s="27"/>
      <c r="N771" s="10" t="str">
        <f t="shared" ref="N771:N772" si="259">IF(COUNTIF($A$2:A770,A771)&gt;0,INDEX($C$2:C770,MATCH(A771,$A$2:A770,0)),"")</f>
        <v/>
      </c>
      <c r="O771" s="17"/>
      <c r="P771" s="29"/>
    </row>
    <row r="772" ht="15.75" customHeight="1">
      <c r="A772" s="9" t="str">
        <f>IFERROR(__xludf.DUMMYFUNCTION("IF(B772="""","""",RIGHT(regexreplace(B772&amp;"""",""[^0-9]"",""""),9))"),"")</f>
        <v/>
      </c>
      <c r="B772" s="5"/>
      <c r="C772" s="5"/>
      <c r="D772" s="5"/>
      <c r="E772" s="23"/>
      <c r="F772" s="23"/>
      <c r="G772" s="23"/>
      <c r="H772" s="23"/>
      <c r="I772" s="23"/>
      <c r="J772" s="23"/>
      <c r="K772" s="10" t="str">
        <f t="shared" si="1"/>
        <v/>
      </c>
      <c r="L772" s="27"/>
      <c r="M772" s="27"/>
      <c r="N772" s="10" t="str">
        <f t="shared" si="259"/>
        <v/>
      </c>
      <c r="O772" s="17"/>
      <c r="P772" s="29"/>
    </row>
    <row r="773" ht="15.75" customHeight="1">
      <c r="A773" s="9" t="str">
        <f>IFERROR(__xludf.DUMMYFUNCTION("IF(B773="""","""",RIGHT(regexreplace(B773&amp;"""",""[^0-9]"",""""),9))"),"")</f>
        <v/>
      </c>
      <c r="B773" s="5"/>
      <c r="C773" s="5"/>
      <c r="D773" s="5"/>
      <c r="E773" s="23"/>
      <c r="F773" s="23"/>
      <c r="G773" s="23"/>
      <c r="H773" s="23"/>
      <c r="I773" s="23"/>
      <c r="J773" s="23"/>
      <c r="K773" s="10" t="str">
        <f t="shared" si="1"/>
        <v/>
      </c>
      <c r="L773" s="27"/>
      <c r="M773" s="27"/>
      <c r="N773" s="10" t="str">
        <f t="array" ref="N773">IF(COUNTIF($A$2:A772,A)&gt;0,INDEX($C$2:C772,MATCH(A773,$A$2:A772,0)),"")</f>
        <v/>
      </c>
      <c r="O773" s="17"/>
      <c r="P773" s="29"/>
    </row>
    <row r="774" ht="15.75" customHeight="1">
      <c r="A774" s="9" t="str">
        <f>IFERROR(__xludf.DUMMYFUNCTION("IF(B774="""","""",RIGHT(regexreplace(B774&amp;"""",""[^0-9]"",""""),9))"),"")</f>
        <v/>
      </c>
      <c r="B774" s="5"/>
      <c r="C774" s="5"/>
      <c r="D774" s="5"/>
      <c r="E774" s="23"/>
      <c r="F774" s="23"/>
      <c r="G774" s="23"/>
      <c r="H774" s="23"/>
      <c r="I774" s="23"/>
      <c r="J774" s="23"/>
      <c r="K774" s="10" t="str">
        <f t="shared" si="1"/>
        <v/>
      </c>
      <c r="L774" s="27"/>
      <c r="M774" s="27"/>
      <c r="N774" s="10" t="str">
        <f t="shared" ref="N774:N775" si="260">IF(COUNTIF($A$2:A773,A774)&gt;0,INDEX($C$2:C773,MATCH(A774,$A$2:A773,0)),"")</f>
        <v/>
      </c>
      <c r="O774" s="17"/>
      <c r="P774" s="29"/>
    </row>
    <row r="775" ht="15.75" customHeight="1">
      <c r="A775" s="9" t="str">
        <f>IFERROR(__xludf.DUMMYFUNCTION("IF(B775="""","""",RIGHT(regexreplace(B775&amp;"""",""[^0-9]"",""""),9))"),"")</f>
        <v/>
      </c>
      <c r="B775" s="5"/>
      <c r="C775" s="5"/>
      <c r="D775" s="5"/>
      <c r="E775" s="23"/>
      <c r="F775" s="23"/>
      <c r="G775" s="23"/>
      <c r="H775" s="23"/>
      <c r="I775" s="23"/>
      <c r="J775" s="23"/>
      <c r="K775" s="10" t="str">
        <f t="shared" si="1"/>
        <v/>
      </c>
      <c r="L775" s="27"/>
      <c r="M775" s="27"/>
      <c r="N775" s="10" t="str">
        <f t="shared" si="260"/>
        <v/>
      </c>
      <c r="O775" s="17"/>
      <c r="P775" s="29"/>
    </row>
    <row r="776" ht="15.75" customHeight="1">
      <c r="A776" s="9" t="str">
        <f>IFERROR(__xludf.DUMMYFUNCTION("IF(B776="""","""",RIGHT(regexreplace(B776&amp;"""",""[^0-9]"",""""),9))"),"")</f>
        <v/>
      </c>
      <c r="B776" s="5"/>
      <c r="C776" s="5"/>
      <c r="D776" s="5"/>
      <c r="E776" s="23"/>
      <c r="F776" s="23"/>
      <c r="G776" s="23"/>
      <c r="H776" s="23"/>
      <c r="I776" s="23"/>
      <c r="J776" s="23"/>
      <c r="K776" s="10" t="str">
        <f t="shared" si="1"/>
        <v/>
      </c>
      <c r="L776" s="27"/>
      <c r="M776" s="27"/>
      <c r="N776" s="10" t="str">
        <f t="array" ref="N776">IF(COUNTIF($A$2:A775,A)&gt;0,INDEX($C$2:C775,MATCH(A776,$A$2:A775,0)),"")</f>
        <v/>
      </c>
      <c r="O776" s="17"/>
      <c r="P776" s="29"/>
    </row>
    <row r="777" ht="15.75" customHeight="1">
      <c r="A777" s="9" t="str">
        <f>IFERROR(__xludf.DUMMYFUNCTION("IF(B777="""","""",RIGHT(regexreplace(B777&amp;"""",""[^0-9]"",""""),9))"),"")</f>
        <v/>
      </c>
      <c r="B777" s="5"/>
      <c r="C777" s="5"/>
      <c r="D777" s="5"/>
      <c r="E777" s="23"/>
      <c r="F777" s="23"/>
      <c r="G777" s="23"/>
      <c r="H777" s="23"/>
      <c r="I777" s="23"/>
      <c r="J777" s="23"/>
      <c r="K777" s="10" t="str">
        <f t="shared" si="1"/>
        <v/>
      </c>
      <c r="L777" s="27"/>
      <c r="M777" s="27"/>
      <c r="N777" s="10" t="str">
        <f t="shared" ref="N777:N778" si="261">IF(COUNTIF($A$2:A776,A777)&gt;0,INDEX($C$2:C776,MATCH(A777,$A$2:A776,0)),"")</f>
        <v/>
      </c>
      <c r="O777" s="17"/>
      <c r="P777" s="29"/>
    </row>
    <row r="778" ht="15.75" customHeight="1">
      <c r="A778" s="9" t="str">
        <f>IFERROR(__xludf.DUMMYFUNCTION("IF(B778="""","""",RIGHT(regexreplace(B778&amp;"""",""[^0-9]"",""""),9))"),"")</f>
        <v/>
      </c>
      <c r="B778" s="5"/>
      <c r="C778" s="5"/>
      <c r="D778" s="5"/>
      <c r="E778" s="23"/>
      <c r="F778" s="23"/>
      <c r="G778" s="23"/>
      <c r="H778" s="23"/>
      <c r="I778" s="23"/>
      <c r="J778" s="23"/>
      <c r="K778" s="10" t="str">
        <f t="shared" si="1"/>
        <v/>
      </c>
      <c r="L778" s="27"/>
      <c r="M778" s="27"/>
      <c r="N778" s="10" t="str">
        <f t="shared" si="261"/>
        <v/>
      </c>
      <c r="O778" s="17"/>
      <c r="P778" s="29"/>
    </row>
    <row r="779" ht="15.75" customHeight="1">
      <c r="A779" s="9" t="str">
        <f>IFERROR(__xludf.DUMMYFUNCTION("IF(B779="""","""",RIGHT(regexreplace(B779&amp;"""",""[^0-9]"",""""),9))"),"")</f>
        <v/>
      </c>
      <c r="B779" s="5"/>
      <c r="C779" s="5"/>
      <c r="D779" s="5"/>
      <c r="E779" s="23"/>
      <c r="F779" s="23"/>
      <c r="G779" s="23"/>
      <c r="H779" s="23"/>
      <c r="I779" s="23"/>
      <c r="J779" s="23"/>
      <c r="K779" s="10" t="str">
        <f t="shared" si="1"/>
        <v/>
      </c>
      <c r="L779" s="27"/>
      <c r="M779" s="27"/>
      <c r="N779" s="10" t="str">
        <f t="array" ref="N779">IF(COUNTIF($A$2:A778,A)&gt;0,INDEX($C$2:C778,MATCH(A779,$A$2:A778,0)),"")</f>
        <v/>
      </c>
      <c r="O779" s="17"/>
      <c r="P779" s="29"/>
    </row>
    <row r="780" ht="15.75" customHeight="1">
      <c r="A780" s="9" t="str">
        <f>IFERROR(__xludf.DUMMYFUNCTION("IF(B780="""","""",RIGHT(regexreplace(B780&amp;"""",""[^0-9]"",""""),9))"),"")</f>
        <v/>
      </c>
      <c r="B780" s="5"/>
      <c r="C780" s="5"/>
      <c r="D780" s="5"/>
      <c r="E780" s="23"/>
      <c r="F780" s="23"/>
      <c r="G780" s="23"/>
      <c r="H780" s="23"/>
      <c r="I780" s="23"/>
      <c r="J780" s="23"/>
      <c r="K780" s="10" t="str">
        <f t="shared" si="1"/>
        <v/>
      </c>
      <c r="L780" s="27"/>
      <c r="M780" s="27"/>
      <c r="N780" s="10" t="str">
        <f t="shared" ref="N780:N781" si="262">IF(COUNTIF($A$2:A779,A780)&gt;0,INDEX($C$2:C779,MATCH(A780,$A$2:A779,0)),"")</f>
        <v/>
      </c>
      <c r="O780" s="17"/>
      <c r="P780" s="29"/>
    </row>
    <row r="781" ht="15.75" customHeight="1">
      <c r="A781" s="9" t="str">
        <f>IFERROR(__xludf.DUMMYFUNCTION("IF(B781="""","""",RIGHT(regexreplace(B781&amp;"""",""[^0-9]"",""""),9))"),"")</f>
        <v/>
      </c>
      <c r="B781" s="5"/>
      <c r="C781" s="5"/>
      <c r="D781" s="5"/>
      <c r="E781" s="23"/>
      <c r="F781" s="23"/>
      <c r="G781" s="23"/>
      <c r="H781" s="23"/>
      <c r="I781" s="23"/>
      <c r="J781" s="23"/>
      <c r="K781" s="10" t="str">
        <f t="shared" si="1"/>
        <v/>
      </c>
      <c r="L781" s="27"/>
      <c r="M781" s="27"/>
      <c r="N781" s="10" t="str">
        <f t="shared" si="262"/>
        <v/>
      </c>
      <c r="O781" s="17"/>
      <c r="P781" s="29"/>
    </row>
    <row r="782" ht="15.75" customHeight="1">
      <c r="A782" s="9" t="str">
        <f>IFERROR(__xludf.DUMMYFUNCTION("IF(B782="""","""",RIGHT(regexreplace(B782&amp;"""",""[^0-9]"",""""),9))"),"")</f>
        <v/>
      </c>
      <c r="B782" s="5"/>
      <c r="C782" s="5"/>
      <c r="D782" s="5"/>
      <c r="E782" s="23"/>
      <c r="F782" s="23"/>
      <c r="G782" s="23"/>
      <c r="H782" s="23"/>
      <c r="I782" s="23"/>
      <c r="J782" s="23"/>
      <c r="K782" s="10" t="str">
        <f t="shared" si="1"/>
        <v/>
      </c>
      <c r="L782" s="27"/>
      <c r="M782" s="27"/>
      <c r="N782" s="10" t="str">
        <f t="array" ref="N782">IF(COUNTIF($A$2:A781,A)&gt;0,INDEX($C$2:C781,MATCH(A782,$A$2:A781,0)),"")</f>
        <v/>
      </c>
      <c r="O782" s="17"/>
      <c r="P782" s="29"/>
    </row>
    <row r="783" ht="15.75" customHeight="1">
      <c r="A783" s="9" t="str">
        <f>IFERROR(__xludf.DUMMYFUNCTION("IF(B783="""","""",RIGHT(regexreplace(B783&amp;"""",""[^0-9]"",""""),9))"),"")</f>
        <v/>
      </c>
      <c r="B783" s="5"/>
      <c r="C783" s="5"/>
      <c r="D783" s="5"/>
      <c r="E783" s="23"/>
      <c r="F783" s="23"/>
      <c r="G783" s="23"/>
      <c r="H783" s="23"/>
      <c r="I783" s="23"/>
      <c r="J783" s="23"/>
      <c r="K783" s="10" t="str">
        <f t="shared" si="1"/>
        <v/>
      </c>
      <c r="L783" s="27"/>
      <c r="M783" s="27"/>
      <c r="N783" s="10" t="str">
        <f t="shared" ref="N783:N784" si="263">IF(COUNTIF($A$2:A782,A783)&gt;0,INDEX($C$2:C782,MATCH(A783,$A$2:A782,0)),"")</f>
        <v/>
      </c>
      <c r="O783" s="17"/>
      <c r="P783" s="29"/>
    </row>
    <row r="784" ht="15.75" customHeight="1">
      <c r="A784" s="9" t="str">
        <f>IFERROR(__xludf.DUMMYFUNCTION("IF(B784="""","""",RIGHT(regexreplace(B784&amp;"""",""[^0-9]"",""""),9))"),"")</f>
        <v/>
      </c>
      <c r="B784" s="5"/>
      <c r="C784" s="5"/>
      <c r="D784" s="5"/>
      <c r="E784" s="23"/>
      <c r="F784" s="23"/>
      <c r="G784" s="23"/>
      <c r="H784" s="23"/>
      <c r="I784" s="23"/>
      <c r="J784" s="23"/>
      <c r="K784" s="10" t="str">
        <f t="shared" si="1"/>
        <v/>
      </c>
      <c r="L784" s="27"/>
      <c r="M784" s="27"/>
      <c r="N784" s="10" t="str">
        <f t="shared" si="263"/>
        <v/>
      </c>
      <c r="O784" s="17"/>
      <c r="P784" s="29"/>
    </row>
    <row r="785" ht="15.75" customHeight="1">
      <c r="A785" s="9" t="str">
        <f>IFERROR(__xludf.DUMMYFUNCTION("IF(B785="""","""",RIGHT(regexreplace(B785&amp;"""",""[^0-9]"",""""),9))"),"")</f>
        <v/>
      </c>
      <c r="B785" s="5"/>
      <c r="C785" s="5"/>
      <c r="D785" s="5"/>
      <c r="E785" s="23"/>
      <c r="F785" s="23"/>
      <c r="G785" s="23"/>
      <c r="H785" s="23"/>
      <c r="I785" s="23"/>
      <c r="J785" s="23"/>
      <c r="K785" s="10" t="str">
        <f t="shared" si="1"/>
        <v/>
      </c>
      <c r="L785" s="27"/>
      <c r="M785" s="27"/>
      <c r="N785" s="10" t="str">
        <f t="array" ref="N785">IF(COUNTIF($A$2:A784,A)&gt;0,INDEX($C$2:C784,MATCH(A785,$A$2:A784,0)),"")</f>
        <v/>
      </c>
      <c r="O785" s="17"/>
      <c r="P785" s="29"/>
    </row>
    <row r="786" ht="15.75" customHeight="1">
      <c r="A786" s="9" t="str">
        <f>IFERROR(__xludf.DUMMYFUNCTION("IF(B786="""","""",RIGHT(regexreplace(B786&amp;"""",""[^0-9]"",""""),9))"),"")</f>
        <v/>
      </c>
      <c r="B786" s="5"/>
      <c r="C786" s="5"/>
      <c r="D786" s="5"/>
      <c r="E786" s="23"/>
      <c r="F786" s="23"/>
      <c r="G786" s="23"/>
      <c r="H786" s="23"/>
      <c r="I786" s="23"/>
      <c r="J786" s="23"/>
      <c r="K786" s="10" t="str">
        <f t="shared" si="1"/>
        <v/>
      </c>
      <c r="L786" s="27"/>
      <c r="M786" s="27"/>
      <c r="N786" s="10" t="str">
        <f t="shared" ref="N786:N787" si="264">IF(COUNTIF($A$2:A785,A786)&gt;0,INDEX($C$2:C785,MATCH(A786,$A$2:A785,0)),"")</f>
        <v/>
      </c>
      <c r="O786" s="17"/>
      <c r="P786" s="29"/>
    </row>
    <row r="787" ht="15.75" customHeight="1">
      <c r="A787" s="9" t="str">
        <f>IFERROR(__xludf.DUMMYFUNCTION("IF(B787="""","""",RIGHT(regexreplace(B787&amp;"""",""[^0-9]"",""""),9))"),"")</f>
        <v/>
      </c>
      <c r="B787" s="5"/>
      <c r="C787" s="5"/>
      <c r="D787" s="5"/>
      <c r="E787" s="23"/>
      <c r="F787" s="23"/>
      <c r="G787" s="23"/>
      <c r="H787" s="23"/>
      <c r="I787" s="23"/>
      <c r="J787" s="23"/>
      <c r="K787" s="10" t="str">
        <f t="shared" si="1"/>
        <v/>
      </c>
      <c r="L787" s="27"/>
      <c r="M787" s="27"/>
      <c r="N787" s="10" t="str">
        <f t="shared" si="264"/>
        <v/>
      </c>
      <c r="O787" s="17"/>
      <c r="P787" s="29"/>
    </row>
    <row r="788" ht="15.75" customHeight="1">
      <c r="A788" s="9" t="str">
        <f>IFERROR(__xludf.DUMMYFUNCTION("IF(B788="""","""",RIGHT(regexreplace(B788&amp;"""",""[^0-9]"",""""),9))"),"")</f>
        <v/>
      </c>
      <c r="B788" s="5"/>
      <c r="C788" s="5"/>
      <c r="D788" s="5"/>
      <c r="E788" s="23"/>
      <c r="F788" s="23"/>
      <c r="G788" s="23"/>
      <c r="H788" s="23"/>
      <c r="I788" s="23"/>
      <c r="J788" s="23"/>
      <c r="K788" s="10" t="str">
        <f t="shared" si="1"/>
        <v/>
      </c>
      <c r="L788" s="27"/>
      <c r="M788" s="27"/>
      <c r="N788" s="10" t="str">
        <f t="array" ref="N788">IF(COUNTIF($A$2:A787,A)&gt;0,INDEX($C$2:C787,MATCH(A788,$A$2:A787,0)),"")</f>
        <v/>
      </c>
      <c r="O788" s="17"/>
      <c r="P788" s="29"/>
    </row>
    <row r="789" ht="15.75" customHeight="1">
      <c r="A789" s="9" t="str">
        <f>IFERROR(__xludf.DUMMYFUNCTION("IF(B789="""","""",RIGHT(regexreplace(B789&amp;"""",""[^0-9]"",""""),9))"),"")</f>
        <v/>
      </c>
      <c r="B789" s="5"/>
      <c r="C789" s="5"/>
      <c r="D789" s="5"/>
      <c r="E789" s="23"/>
      <c r="F789" s="23"/>
      <c r="G789" s="23"/>
      <c r="H789" s="23"/>
      <c r="I789" s="23"/>
      <c r="J789" s="23"/>
      <c r="K789" s="10" t="str">
        <f t="shared" si="1"/>
        <v/>
      </c>
      <c r="L789" s="27"/>
      <c r="M789" s="27"/>
      <c r="N789" s="10" t="str">
        <f t="shared" ref="N789:N790" si="265">IF(COUNTIF($A$2:A788,A789)&gt;0,INDEX($C$2:C788,MATCH(A789,$A$2:A788,0)),"")</f>
        <v/>
      </c>
      <c r="O789" s="17"/>
      <c r="P789" s="29"/>
    </row>
    <row r="790" ht="15.75" customHeight="1">
      <c r="A790" s="9" t="str">
        <f>IFERROR(__xludf.DUMMYFUNCTION("IF(B790="""","""",RIGHT(regexreplace(B790&amp;"""",""[^0-9]"",""""),9))"),"")</f>
        <v/>
      </c>
      <c r="B790" s="5"/>
      <c r="C790" s="5"/>
      <c r="D790" s="5"/>
      <c r="E790" s="23"/>
      <c r="F790" s="23"/>
      <c r="G790" s="23"/>
      <c r="H790" s="23"/>
      <c r="I790" s="23"/>
      <c r="J790" s="23"/>
      <c r="K790" s="10" t="str">
        <f t="shared" si="1"/>
        <v/>
      </c>
      <c r="L790" s="27"/>
      <c r="M790" s="27"/>
      <c r="N790" s="10" t="str">
        <f t="shared" si="265"/>
        <v/>
      </c>
      <c r="O790" s="17"/>
      <c r="P790" s="29"/>
    </row>
    <row r="791" ht="15.75" customHeight="1">
      <c r="A791" s="9" t="str">
        <f>IFERROR(__xludf.DUMMYFUNCTION("IF(B791="""","""",RIGHT(regexreplace(B791&amp;"""",""[^0-9]"",""""),9))"),"")</f>
        <v/>
      </c>
      <c r="B791" s="5"/>
      <c r="C791" s="5"/>
      <c r="D791" s="5"/>
      <c r="E791" s="23"/>
      <c r="F791" s="23"/>
      <c r="G791" s="23"/>
      <c r="H791" s="23"/>
      <c r="I791" s="23"/>
      <c r="J791" s="23"/>
      <c r="K791" s="10" t="str">
        <f t="shared" si="1"/>
        <v/>
      </c>
      <c r="L791" s="27"/>
      <c r="M791" s="27"/>
      <c r="N791" s="10" t="str">
        <f t="array" ref="N791">IF(COUNTIF($A$2:A790,A)&gt;0,INDEX($C$2:C790,MATCH(A791,$A$2:A790,0)),"")</f>
        <v/>
      </c>
      <c r="O791" s="17"/>
      <c r="P791" s="29"/>
    </row>
    <row r="792" ht="15.75" customHeight="1">
      <c r="A792" s="9" t="str">
        <f>IFERROR(__xludf.DUMMYFUNCTION("IF(B792="""","""",RIGHT(regexreplace(B792&amp;"""",""[^0-9]"",""""),9))"),"")</f>
        <v/>
      </c>
      <c r="B792" s="5"/>
      <c r="C792" s="5"/>
      <c r="D792" s="5"/>
      <c r="E792" s="23"/>
      <c r="F792" s="23"/>
      <c r="G792" s="23"/>
      <c r="H792" s="23"/>
      <c r="I792" s="23"/>
      <c r="J792" s="23"/>
      <c r="K792" s="10" t="str">
        <f t="shared" si="1"/>
        <v/>
      </c>
      <c r="L792" s="27"/>
      <c r="M792" s="27"/>
      <c r="N792" s="10" t="str">
        <f t="shared" ref="N792:N793" si="266">IF(COUNTIF($A$2:A791,A792)&gt;0,INDEX($C$2:C791,MATCH(A792,$A$2:A791,0)),"")</f>
        <v/>
      </c>
      <c r="O792" s="17"/>
      <c r="P792" s="29"/>
    </row>
    <row r="793" ht="15.75" customHeight="1">
      <c r="A793" s="9" t="str">
        <f>IFERROR(__xludf.DUMMYFUNCTION("IF(B793="""","""",RIGHT(regexreplace(B793&amp;"""",""[^0-9]"",""""),9))"),"")</f>
        <v/>
      </c>
      <c r="B793" s="5"/>
      <c r="C793" s="5"/>
      <c r="D793" s="5"/>
      <c r="E793" s="23"/>
      <c r="F793" s="23"/>
      <c r="G793" s="23"/>
      <c r="H793" s="23"/>
      <c r="I793" s="23"/>
      <c r="J793" s="23"/>
      <c r="K793" s="10" t="str">
        <f t="shared" si="1"/>
        <v/>
      </c>
      <c r="L793" s="27"/>
      <c r="M793" s="27"/>
      <c r="N793" s="10" t="str">
        <f t="shared" si="266"/>
        <v/>
      </c>
      <c r="O793" s="17"/>
      <c r="P793" s="29"/>
    </row>
    <row r="794" ht="15.75" customHeight="1">
      <c r="A794" s="9" t="str">
        <f>IFERROR(__xludf.DUMMYFUNCTION("IF(B794="""","""",RIGHT(regexreplace(B794&amp;"""",""[^0-9]"",""""),9))"),"")</f>
        <v/>
      </c>
      <c r="B794" s="5"/>
      <c r="C794" s="5"/>
      <c r="D794" s="5"/>
      <c r="E794" s="23"/>
      <c r="F794" s="23"/>
      <c r="G794" s="23"/>
      <c r="H794" s="23"/>
      <c r="I794" s="23"/>
      <c r="J794" s="23"/>
      <c r="K794" s="10" t="str">
        <f t="shared" si="1"/>
        <v/>
      </c>
      <c r="L794" s="27"/>
      <c r="M794" s="27"/>
      <c r="N794" s="10" t="str">
        <f t="array" ref="N794">IF(COUNTIF($A$2:A793,A)&gt;0,INDEX($C$2:C793,MATCH(A794,$A$2:A793,0)),"")</f>
        <v/>
      </c>
      <c r="O794" s="17"/>
      <c r="P794" s="29"/>
    </row>
    <row r="795" ht="15.75" customHeight="1">
      <c r="A795" s="9" t="str">
        <f>IFERROR(__xludf.DUMMYFUNCTION("IF(B795="""","""",RIGHT(regexreplace(B795&amp;"""",""[^0-9]"",""""),9))"),"")</f>
        <v/>
      </c>
      <c r="B795" s="5"/>
      <c r="C795" s="5"/>
      <c r="D795" s="5"/>
      <c r="E795" s="23"/>
      <c r="F795" s="23"/>
      <c r="G795" s="23"/>
      <c r="H795" s="23"/>
      <c r="I795" s="23"/>
      <c r="J795" s="23"/>
      <c r="K795" s="10" t="str">
        <f t="shared" si="1"/>
        <v/>
      </c>
      <c r="L795" s="27"/>
      <c r="M795" s="27"/>
      <c r="N795" s="10" t="str">
        <f t="shared" ref="N795:N796" si="267">IF(COUNTIF($A$2:A794,A795)&gt;0,INDEX($C$2:C794,MATCH(A795,$A$2:A794,0)),"")</f>
        <v/>
      </c>
      <c r="O795" s="17"/>
      <c r="P795" s="29"/>
    </row>
    <row r="796" ht="15.75" customHeight="1">
      <c r="A796" s="9" t="str">
        <f>IFERROR(__xludf.DUMMYFUNCTION("IF(B796="""","""",RIGHT(regexreplace(B796&amp;"""",""[^0-9]"",""""),9))"),"")</f>
        <v/>
      </c>
      <c r="B796" s="5"/>
      <c r="C796" s="5"/>
      <c r="D796" s="5"/>
      <c r="E796" s="23"/>
      <c r="F796" s="23"/>
      <c r="G796" s="23"/>
      <c r="H796" s="23"/>
      <c r="I796" s="23"/>
      <c r="J796" s="23"/>
      <c r="K796" s="10" t="str">
        <f t="shared" si="1"/>
        <v/>
      </c>
      <c r="L796" s="27"/>
      <c r="M796" s="27"/>
      <c r="N796" s="10" t="str">
        <f t="shared" si="267"/>
        <v/>
      </c>
      <c r="O796" s="17"/>
      <c r="P796" s="29"/>
    </row>
    <row r="797" ht="15.75" customHeight="1">
      <c r="A797" s="9" t="str">
        <f>IFERROR(__xludf.DUMMYFUNCTION("IF(B797="""","""",RIGHT(regexreplace(B797&amp;"""",""[^0-9]"",""""),9))"),"")</f>
        <v/>
      </c>
      <c r="B797" s="5"/>
      <c r="C797" s="5"/>
      <c r="D797" s="5"/>
      <c r="E797" s="23"/>
      <c r="F797" s="23"/>
      <c r="G797" s="23"/>
      <c r="H797" s="23"/>
      <c r="I797" s="23"/>
      <c r="J797" s="23"/>
      <c r="K797" s="10" t="str">
        <f t="shared" si="1"/>
        <v/>
      </c>
      <c r="L797" s="27"/>
      <c r="M797" s="27"/>
      <c r="N797" s="10" t="str">
        <f t="array" ref="N797">IF(COUNTIF($A$2:A796,A)&gt;0,INDEX($C$2:C796,MATCH(A797,$A$2:A796,0)),"")</f>
        <v/>
      </c>
      <c r="O797" s="17"/>
      <c r="P797" s="29"/>
    </row>
    <row r="798" ht="15.75" customHeight="1">
      <c r="A798" s="9" t="str">
        <f>IFERROR(__xludf.DUMMYFUNCTION("IF(B798="""","""",RIGHT(regexreplace(B798&amp;"""",""[^0-9]"",""""),9))"),"")</f>
        <v/>
      </c>
      <c r="B798" s="5"/>
      <c r="C798" s="5"/>
      <c r="D798" s="5"/>
      <c r="E798" s="23"/>
      <c r="F798" s="23"/>
      <c r="G798" s="23"/>
      <c r="H798" s="23"/>
      <c r="I798" s="23"/>
      <c r="J798" s="23"/>
      <c r="K798" s="10" t="str">
        <f t="shared" si="1"/>
        <v/>
      </c>
      <c r="L798" s="27"/>
      <c r="M798" s="27"/>
      <c r="N798" s="10" t="str">
        <f t="shared" ref="N798:N799" si="268">IF(COUNTIF($A$2:A797,A798)&gt;0,INDEX($C$2:C797,MATCH(A798,$A$2:A797,0)),"")</f>
        <v/>
      </c>
      <c r="O798" s="17"/>
      <c r="P798" s="29"/>
    </row>
    <row r="799" ht="15.75" customHeight="1">
      <c r="A799" s="9" t="str">
        <f>IFERROR(__xludf.DUMMYFUNCTION("IF(B799="""","""",RIGHT(regexreplace(B799&amp;"""",""[^0-9]"",""""),9))"),"")</f>
        <v/>
      </c>
      <c r="B799" s="5"/>
      <c r="C799" s="5"/>
      <c r="D799" s="5"/>
      <c r="E799" s="23"/>
      <c r="F799" s="23"/>
      <c r="G799" s="23"/>
      <c r="H799" s="23"/>
      <c r="I799" s="23"/>
      <c r="J799" s="23"/>
      <c r="K799" s="10" t="str">
        <f t="shared" si="1"/>
        <v/>
      </c>
      <c r="L799" s="27"/>
      <c r="M799" s="27"/>
      <c r="N799" s="10" t="str">
        <f t="shared" si="268"/>
        <v/>
      </c>
      <c r="O799" s="17"/>
      <c r="P799" s="29"/>
    </row>
    <row r="800" ht="15.75" customHeight="1">
      <c r="A800" s="9" t="str">
        <f>IFERROR(__xludf.DUMMYFUNCTION("IF(B800="""","""",RIGHT(regexreplace(B800&amp;"""",""[^0-9]"",""""),9))"),"")</f>
        <v/>
      </c>
      <c r="B800" s="5"/>
      <c r="C800" s="5"/>
      <c r="D800" s="5"/>
      <c r="E800" s="23"/>
      <c r="F800" s="23"/>
      <c r="G800" s="23"/>
      <c r="H800" s="23"/>
      <c r="I800" s="23"/>
      <c r="J800" s="23"/>
      <c r="K800" s="10" t="str">
        <f t="shared" si="1"/>
        <v/>
      </c>
      <c r="L800" s="27"/>
      <c r="M800" s="27"/>
      <c r="N800" s="10" t="str">
        <f t="array" ref="N800">IF(COUNTIF($A$2:A799,A)&gt;0,INDEX($C$2:C799,MATCH(A800,$A$2:A799,0)),"")</f>
        <v/>
      </c>
      <c r="O800" s="17"/>
      <c r="P800" s="29"/>
    </row>
    <row r="801" ht="15.75" customHeight="1">
      <c r="A801" s="9" t="str">
        <f>IFERROR(__xludf.DUMMYFUNCTION("IF(B801="""","""",RIGHT(regexreplace(B801&amp;"""",""[^0-9]"",""""),9))"),"")</f>
        <v/>
      </c>
      <c r="B801" s="5"/>
      <c r="C801" s="5"/>
      <c r="D801" s="5"/>
      <c r="E801" s="23"/>
      <c r="F801" s="23"/>
      <c r="G801" s="23"/>
      <c r="H801" s="23"/>
      <c r="I801" s="23"/>
      <c r="J801" s="23"/>
      <c r="K801" s="10" t="str">
        <f t="shared" si="1"/>
        <v/>
      </c>
      <c r="L801" s="27"/>
      <c r="M801" s="27"/>
      <c r="N801" s="10" t="str">
        <f t="shared" ref="N801:N802" si="269">IF(COUNTIF($A$2:A800,A801)&gt;0,INDEX($C$2:C800,MATCH(A801,$A$2:A800,0)),"")</f>
        <v/>
      </c>
      <c r="O801" s="17"/>
      <c r="P801" s="29"/>
    </row>
    <row r="802" ht="15.75" customHeight="1">
      <c r="A802" s="9" t="str">
        <f>IFERROR(__xludf.DUMMYFUNCTION("IF(B802="""","""",RIGHT(regexreplace(B802&amp;"""",""[^0-9]"",""""),9))"),"")</f>
        <v/>
      </c>
      <c r="B802" s="5"/>
      <c r="C802" s="5"/>
      <c r="D802" s="5"/>
      <c r="E802" s="23"/>
      <c r="F802" s="23"/>
      <c r="G802" s="23"/>
      <c r="H802" s="23"/>
      <c r="I802" s="23"/>
      <c r="J802" s="23"/>
      <c r="K802" s="10" t="str">
        <f t="shared" si="1"/>
        <v/>
      </c>
      <c r="L802" s="27"/>
      <c r="M802" s="27"/>
      <c r="N802" s="10" t="str">
        <f t="shared" si="269"/>
        <v/>
      </c>
      <c r="O802" s="17"/>
      <c r="P802" s="29"/>
    </row>
    <row r="803" ht="15.75" customHeight="1">
      <c r="A803" s="9" t="str">
        <f>IFERROR(__xludf.DUMMYFUNCTION("IF(B803="""","""",RIGHT(regexreplace(B803&amp;"""",""[^0-9]"",""""),9))"),"")</f>
        <v/>
      </c>
      <c r="B803" s="5"/>
      <c r="C803" s="5"/>
      <c r="D803" s="5"/>
      <c r="E803" s="23"/>
      <c r="F803" s="23"/>
      <c r="G803" s="23"/>
      <c r="H803" s="23"/>
      <c r="I803" s="23"/>
      <c r="J803" s="23"/>
      <c r="K803" s="10" t="str">
        <f t="shared" si="1"/>
        <v/>
      </c>
      <c r="L803" s="27"/>
      <c r="M803" s="27"/>
      <c r="N803" s="10" t="str">
        <f t="array" ref="N803">IF(COUNTIF($A$2:A802,A)&gt;0,INDEX($C$2:C802,MATCH(A803,$A$2:A802,0)),"")</f>
        <v/>
      </c>
      <c r="O803" s="17"/>
      <c r="P803" s="29"/>
    </row>
    <row r="804" ht="15.75" customHeight="1">
      <c r="A804" s="9" t="str">
        <f>IFERROR(__xludf.DUMMYFUNCTION("IF(B804="""","""",RIGHT(regexreplace(B804&amp;"""",""[^0-9]"",""""),9))"),"")</f>
        <v/>
      </c>
      <c r="B804" s="5"/>
      <c r="C804" s="5"/>
      <c r="D804" s="5"/>
      <c r="E804" s="23"/>
      <c r="F804" s="23"/>
      <c r="G804" s="23"/>
      <c r="H804" s="23"/>
      <c r="I804" s="23"/>
      <c r="J804" s="23"/>
      <c r="K804" s="10" t="str">
        <f t="shared" si="1"/>
        <v/>
      </c>
      <c r="L804" s="27"/>
      <c r="M804" s="27"/>
      <c r="N804" s="10" t="str">
        <f t="shared" ref="N804:N805" si="270">IF(COUNTIF($A$2:A803,A804)&gt;0,INDEX($C$2:C803,MATCH(A804,$A$2:A803,0)),"")</f>
        <v/>
      </c>
      <c r="O804" s="17"/>
      <c r="P804" s="29"/>
    </row>
    <row r="805" ht="15.75" customHeight="1">
      <c r="A805" s="9" t="str">
        <f>IFERROR(__xludf.DUMMYFUNCTION("IF(B805="""","""",RIGHT(regexreplace(B805&amp;"""",""[^0-9]"",""""),9))"),"")</f>
        <v/>
      </c>
      <c r="B805" s="5"/>
      <c r="C805" s="5"/>
      <c r="D805" s="5"/>
      <c r="E805" s="23"/>
      <c r="F805" s="23"/>
      <c r="G805" s="23"/>
      <c r="H805" s="23"/>
      <c r="I805" s="23"/>
      <c r="J805" s="23"/>
      <c r="K805" s="10" t="str">
        <f t="shared" si="1"/>
        <v/>
      </c>
      <c r="L805" s="27"/>
      <c r="M805" s="27"/>
      <c r="N805" s="10" t="str">
        <f t="shared" si="270"/>
        <v/>
      </c>
      <c r="O805" s="17"/>
      <c r="P805" s="29"/>
    </row>
    <row r="806" ht="15.75" customHeight="1">
      <c r="A806" s="9" t="str">
        <f>IFERROR(__xludf.DUMMYFUNCTION("IF(B806="""","""",RIGHT(regexreplace(B806&amp;"""",""[^0-9]"",""""),9))"),"")</f>
        <v/>
      </c>
      <c r="B806" s="5"/>
      <c r="C806" s="5"/>
      <c r="D806" s="5"/>
      <c r="E806" s="23"/>
      <c r="F806" s="23"/>
      <c r="G806" s="23"/>
      <c r="H806" s="23"/>
      <c r="I806" s="23"/>
      <c r="J806" s="23"/>
      <c r="K806" s="10" t="str">
        <f t="shared" si="1"/>
        <v/>
      </c>
      <c r="L806" s="27"/>
      <c r="M806" s="27"/>
      <c r="N806" s="10" t="str">
        <f t="array" ref="N806">IF(COUNTIF($A$2:A805,A)&gt;0,INDEX($C$2:C805,MATCH(A806,$A$2:A805,0)),"")</f>
        <v/>
      </c>
      <c r="O806" s="17"/>
      <c r="P806" s="29"/>
    </row>
    <row r="807" ht="15.75" customHeight="1">
      <c r="A807" s="9" t="str">
        <f>IFERROR(__xludf.DUMMYFUNCTION("IF(B807="""","""",RIGHT(regexreplace(B807&amp;"""",""[^0-9]"",""""),9))"),"")</f>
        <v/>
      </c>
      <c r="B807" s="5"/>
      <c r="C807" s="5"/>
      <c r="D807" s="5"/>
      <c r="E807" s="23"/>
      <c r="F807" s="23"/>
      <c r="G807" s="23"/>
      <c r="H807" s="23"/>
      <c r="I807" s="23"/>
      <c r="J807" s="23"/>
      <c r="K807" s="10" t="str">
        <f t="shared" si="1"/>
        <v/>
      </c>
      <c r="L807" s="27"/>
      <c r="M807" s="27"/>
      <c r="N807" s="10" t="str">
        <f t="shared" ref="N807:N808" si="271">IF(COUNTIF($A$2:A806,A807)&gt;0,INDEX($C$2:C806,MATCH(A807,$A$2:A806,0)),"")</f>
        <v/>
      </c>
      <c r="O807" s="17"/>
      <c r="P807" s="29"/>
    </row>
    <row r="808" ht="15.75" customHeight="1">
      <c r="A808" s="9" t="str">
        <f>IFERROR(__xludf.DUMMYFUNCTION("IF(B808="""","""",RIGHT(regexreplace(B808&amp;"""",""[^0-9]"",""""),9))"),"")</f>
        <v/>
      </c>
      <c r="B808" s="5"/>
      <c r="C808" s="5"/>
      <c r="D808" s="5"/>
      <c r="E808" s="23"/>
      <c r="F808" s="23"/>
      <c r="G808" s="23"/>
      <c r="H808" s="23"/>
      <c r="I808" s="23"/>
      <c r="J808" s="23"/>
      <c r="K808" s="10" t="str">
        <f t="shared" si="1"/>
        <v/>
      </c>
      <c r="L808" s="27"/>
      <c r="M808" s="27"/>
      <c r="N808" s="10" t="str">
        <f t="shared" si="271"/>
        <v/>
      </c>
      <c r="O808" s="17"/>
      <c r="P808" s="29"/>
    </row>
    <row r="809" ht="15.75" customHeight="1">
      <c r="A809" s="9" t="str">
        <f>IFERROR(__xludf.DUMMYFUNCTION("IF(B809="""","""",RIGHT(regexreplace(B809&amp;"""",""[^0-9]"",""""),9))"),"")</f>
        <v/>
      </c>
      <c r="B809" s="5"/>
      <c r="C809" s="5"/>
      <c r="D809" s="5"/>
      <c r="E809" s="23"/>
      <c r="F809" s="23"/>
      <c r="G809" s="23"/>
      <c r="H809" s="23"/>
      <c r="I809" s="23"/>
      <c r="J809" s="23"/>
      <c r="K809" s="10" t="str">
        <f t="shared" si="1"/>
        <v/>
      </c>
      <c r="L809" s="27"/>
      <c r="M809" s="27"/>
      <c r="N809" s="10" t="str">
        <f t="array" ref="N809">IF(COUNTIF($A$2:A808,A)&gt;0,INDEX($C$2:C808,MATCH(A809,$A$2:A808,0)),"")</f>
        <v/>
      </c>
      <c r="O809" s="17"/>
      <c r="P809" s="29"/>
    </row>
    <row r="810" ht="15.75" customHeight="1">
      <c r="A810" s="9" t="str">
        <f>IFERROR(__xludf.DUMMYFUNCTION("IF(B810="""","""",RIGHT(regexreplace(B810&amp;"""",""[^0-9]"",""""),9))"),"")</f>
        <v/>
      </c>
      <c r="B810" s="5"/>
      <c r="C810" s="5"/>
      <c r="D810" s="5"/>
      <c r="E810" s="23"/>
      <c r="F810" s="23"/>
      <c r="G810" s="23"/>
      <c r="H810" s="23"/>
      <c r="I810" s="23"/>
      <c r="J810" s="23"/>
      <c r="K810" s="10" t="str">
        <f t="shared" si="1"/>
        <v/>
      </c>
      <c r="L810" s="27"/>
      <c r="M810" s="27"/>
      <c r="N810" s="10" t="str">
        <f t="shared" ref="N810:N811" si="272">IF(COUNTIF($A$2:A809,A810)&gt;0,INDEX($C$2:C809,MATCH(A810,$A$2:A809,0)),"")</f>
        <v/>
      </c>
      <c r="O810" s="17"/>
      <c r="P810" s="29"/>
    </row>
    <row r="811" ht="15.75" customHeight="1">
      <c r="A811" s="9" t="str">
        <f>IFERROR(__xludf.DUMMYFUNCTION("IF(B811="""","""",RIGHT(regexreplace(B811&amp;"""",""[^0-9]"",""""),9))"),"")</f>
        <v/>
      </c>
      <c r="B811" s="5"/>
      <c r="C811" s="5"/>
      <c r="D811" s="5"/>
      <c r="E811" s="23"/>
      <c r="F811" s="23"/>
      <c r="G811" s="23"/>
      <c r="H811" s="23"/>
      <c r="I811" s="23"/>
      <c r="J811" s="23"/>
      <c r="K811" s="10" t="str">
        <f t="shared" si="1"/>
        <v/>
      </c>
      <c r="L811" s="27"/>
      <c r="M811" s="27"/>
      <c r="N811" s="10" t="str">
        <f t="shared" si="272"/>
        <v/>
      </c>
      <c r="O811" s="17"/>
      <c r="P811" s="29"/>
    </row>
    <row r="812" ht="15.75" customHeight="1">
      <c r="A812" s="9" t="str">
        <f>IFERROR(__xludf.DUMMYFUNCTION("IF(B812="""","""",RIGHT(regexreplace(B812&amp;"""",""[^0-9]"",""""),9))"),"")</f>
        <v/>
      </c>
      <c r="B812" s="5"/>
      <c r="C812" s="5"/>
      <c r="D812" s="5"/>
      <c r="E812" s="23"/>
      <c r="F812" s="23"/>
      <c r="G812" s="23"/>
      <c r="H812" s="23"/>
      <c r="I812" s="23"/>
      <c r="J812" s="23"/>
      <c r="K812" s="10" t="str">
        <f t="shared" si="1"/>
        <v/>
      </c>
      <c r="L812" s="27"/>
      <c r="M812" s="27"/>
      <c r="N812" s="10" t="str">
        <f t="array" ref="N812">IF(COUNTIF($A$2:A811,A)&gt;0,INDEX($C$2:C811,MATCH(A812,$A$2:A811,0)),"")</f>
        <v/>
      </c>
      <c r="O812" s="17"/>
      <c r="P812" s="29"/>
    </row>
    <row r="813" ht="15.75" customHeight="1">
      <c r="A813" s="9" t="str">
        <f>IFERROR(__xludf.DUMMYFUNCTION("IF(B813="""","""",RIGHT(regexreplace(B813&amp;"""",""[^0-9]"",""""),9))"),"")</f>
        <v/>
      </c>
      <c r="B813" s="5"/>
      <c r="C813" s="5"/>
      <c r="D813" s="5"/>
      <c r="E813" s="23"/>
      <c r="F813" s="23"/>
      <c r="G813" s="23"/>
      <c r="H813" s="23"/>
      <c r="I813" s="23"/>
      <c r="J813" s="23"/>
      <c r="K813" s="10" t="str">
        <f t="shared" si="1"/>
        <v/>
      </c>
      <c r="L813" s="27"/>
      <c r="M813" s="27"/>
      <c r="N813" s="10" t="str">
        <f t="shared" ref="N813:N814" si="273">IF(COUNTIF($A$2:A812,A813)&gt;0,INDEX($C$2:C812,MATCH(A813,$A$2:A812,0)),"")</f>
        <v/>
      </c>
      <c r="O813" s="17"/>
      <c r="P813" s="29"/>
    </row>
    <row r="814" ht="15.75" customHeight="1">
      <c r="A814" s="9" t="str">
        <f>IFERROR(__xludf.DUMMYFUNCTION("IF(B814="""","""",RIGHT(regexreplace(B814&amp;"""",""[^0-9]"",""""),9))"),"")</f>
        <v/>
      </c>
      <c r="B814" s="5"/>
      <c r="C814" s="5"/>
      <c r="D814" s="5"/>
      <c r="E814" s="23"/>
      <c r="F814" s="23"/>
      <c r="G814" s="23"/>
      <c r="H814" s="23"/>
      <c r="I814" s="23"/>
      <c r="J814" s="23"/>
      <c r="K814" s="10" t="str">
        <f t="shared" si="1"/>
        <v/>
      </c>
      <c r="L814" s="27"/>
      <c r="M814" s="27"/>
      <c r="N814" s="10" t="str">
        <f t="shared" si="273"/>
        <v/>
      </c>
      <c r="O814" s="17"/>
      <c r="P814" s="29"/>
    </row>
    <row r="815" ht="15.75" customHeight="1">
      <c r="A815" s="9" t="str">
        <f>IFERROR(__xludf.DUMMYFUNCTION("IF(B815="""","""",RIGHT(regexreplace(B815&amp;"""",""[^0-9]"",""""),9))"),"")</f>
        <v/>
      </c>
      <c r="B815" s="5"/>
      <c r="C815" s="5"/>
      <c r="D815" s="5"/>
      <c r="E815" s="23"/>
      <c r="F815" s="23"/>
      <c r="G815" s="23"/>
      <c r="H815" s="23"/>
      <c r="I815" s="23"/>
      <c r="J815" s="23"/>
      <c r="K815" s="10" t="str">
        <f t="shared" si="1"/>
        <v/>
      </c>
      <c r="L815" s="27"/>
      <c r="M815" s="27"/>
      <c r="N815" s="10" t="str">
        <f t="array" ref="N815">IF(COUNTIF($A$2:A814,A)&gt;0,INDEX($C$2:C814,MATCH(A815,$A$2:A814,0)),"")</f>
        <v/>
      </c>
      <c r="O815" s="17"/>
      <c r="P815" s="29"/>
    </row>
    <row r="816" ht="15.75" customHeight="1">
      <c r="A816" s="9" t="str">
        <f>IFERROR(__xludf.DUMMYFUNCTION("IF(B816="""","""",RIGHT(regexreplace(B816&amp;"""",""[^0-9]"",""""),9))"),"")</f>
        <v/>
      </c>
      <c r="B816" s="5"/>
      <c r="C816" s="5"/>
      <c r="D816" s="5"/>
      <c r="E816" s="23"/>
      <c r="F816" s="23"/>
      <c r="G816" s="23"/>
      <c r="H816" s="23"/>
      <c r="I816" s="23"/>
      <c r="J816" s="23"/>
      <c r="K816" s="10" t="str">
        <f t="shared" si="1"/>
        <v/>
      </c>
      <c r="L816" s="27"/>
      <c r="M816" s="27"/>
      <c r="N816" s="10" t="str">
        <f t="shared" ref="N816:N817" si="274">IF(COUNTIF($A$2:A815,A816)&gt;0,INDEX($C$2:C815,MATCH(A816,$A$2:A815,0)),"")</f>
        <v/>
      </c>
      <c r="O816" s="17"/>
      <c r="P816" s="29"/>
    </row>
    <row r="817" ht="15.75" customHeight="1">
      <c r="A817" s="9" t="str">
        <f>IFERROR(__xludf.DUMMYFUNCTION("IF(B817="""","""",RIGHT(regexreplace(B817&amp;"""",""[^0-9]"",""""),9))"),"")</f>
        <v/>
      </c>
      <c r="B817" s="5"/>
      <c r="C817" s="5"/>
      <c r="D817" s="5"/>
      <c r="E817" s="23"/>
      <c r="F817" s="23"/>
      <c r="G817" s="23"/>
      <c r="H817" s="23"/>
      <c r="I817" s="23"/>
      <c r="J817" s="23"/>
      <c r="K817" s="10" t="str">
        <f t="shared" si="1"/>
        <v/>
      </c>
      <c r="L817" s="27"/>
      <c r="M817" s="27"/>
      <c r="N817" s="10" t="str">
        <f t="shared" si="274"/>
        <v/>
      </c>
      <c r="O817" s="17"/>
      <c r="P817" s="29"/>
    </row>
    <row r="818" ht="15.75" customHeight="1">
      <c r="A818" s="9" t="str">
        <f>IFERROR(__xludf.DUMMYFUNCTION("IF(B818="""","""",RIGHT(regexreplace(B818&amp;"""",""[^0-9]"",""""),9))"),"")</f>
        <v/>
      </c>
      <c r="B818" s="5"/>
      <c r="C818" s="5"/>
      <c r="D818" s="5"/>
      <c r="E818" s="23"/>
      <c r="F818" s="23"/>
      <c r="G818" s="23"/>
      <c r="H818" s="23"/>
      <c r="I818" s="23"/>
      <c r="J818" s="23"/>
      <c r="K818" s="10" t="str">
        <f t="shared" si="1"/>
        <v/>
      </c>
      <c r="L818" s="27"/>
      <c r="M818" s="27"/>
      <c r="N818" s="10" t="str">
        <f t="array" ref="N818">IF(COUNTIF($A$2:A817,A)&gt;0,INDEX($C$2:C817,MATCH(A818,$A$2:A817,0)),"")</f>
        <v/>
      </c>
      <c r="O818" s="17"/>
      <c r="P818" s="29"/>
    </row>
    <row r="819" ht="15.75" customHeight="1">
      <c r="A819" s="9" t="str">
        <f>IFERROR(__xludf.DUMMYFUNCTION("IF(B819="""","""",RIGHT(regexreplace(B819&amp;"""",""[^0-9]"",""""),9))"),"")</f>
        <v/>
      </c>
      <c r="B819" s="5"/>
      <c r="C819" s="5"/>
      <c r="D819" s="5"/>
      <c r="E819" s="23"/>
      <c r="F819" s="23"/>
      <c r="G819" s="23"/>
      <c r="H819" s="23"/>
      <c r="I819" s="23"/>
      <c r="J819" s="23"/>
      <c r="K819" s="10" t="str">
        <f t="shared" si="1"/>
        <v/>
      </c>
      <c r="L819" s="27"/>
      <c r="M819" s="27"/>
      <c r="N819" s="10" t="str">
        <f t="shared" ref="N819:N820" si="275">IF(COUNTIF($A$2:A818,A819)&gt;0,INDEX($C$2:C818,MATCH(A819,$A$2:A818,0)),"")</f>
        <v/>
      </c>
      <c r="O819" s="17"/>
      <c r="P819" s="29"/>
    </row>
    <row r="820" ht="15.75" customHeight="1">
      <c r="A820" s="9" t="str">
        <f>IFERROR(__xludf.DUMMYFUNCTION("IF(B820="""","""",RIGHT(regexreplace(B820&amp;"""",""[^0-9]"",""""),9))"),"")</f>
        <v/>
      </c>
      <c r="B820" s="5"/>
      <c r="C820" s="5"/>
      <c r="D820" s="5"/>
      <c r="E820" s="23"/>
      <c r="F820" s="23"/>
      <c r="G820" s="23"/>
      <c r="H820" s="23"/>
      <c r="I820" s="23"/>
      <c r="J820" s="23"/>
      <c r="K820" s="10" t="str">
        <f t="shared" si="1"/>
        <v/>
      </c>
      <c r="L820" s="27"/>
      <c r="M820" s="27"/>
      <c r="N820" s="10" t="str">
        <f t="shared" si="275"/>
        <v/>
      </c>
      <c r="O820" s="17"/>
      <c r="P820" s="29"/>
    </row>
    <row r="821" ht="15.75" customHeight="1">
      <c r="A821" s="9" t="str">
        <f>IFERROR(__xludf.DUMMYFUNCTION("IF(B821="""","""",RIGHT(regexreplace(B821&amp;"""",""[^0-9]"",""""),9))"),"")</f>
        <v/>
      </c>
      <c r="B821" s="5"/>
      <c r="C821" s="5"/>
      <c r="D821" s="5"/>
      <c r="E821" s="23"/>
      <c r="F821" s="23"/>
      <c r="G821" s="23"/>
      <c r="H821" s="23"/>
      <c r="I821" s="23"/>
      <c r="J821" s="23"/>
      <c r="K821" s="10" t="str">
        <f t="shared" si="1"/>
        <v/>
      </c>
      <c r="L821" s="27"/>
      <c r="M821" s="27"/>
      <c r="N821" s="10" t="str">
        <f t="array" ref="N821">IF(COUNTIF($A$2:A820,A)&gt;0,INDEX($C$2:C820,MATCH(A821,$A$2:A820,0)),"")</f>
        <v/>
      </c>
      <c r="O821" s="17"/>
      <c r="P821" s="29"/>
    </row>
    <row r="822" ht="15.75" customHeight="1">
      <c r="A822" s="9" t="str">
        <f>IFERROR(__xludf.DUMMYFUNCTION("IF(B822="""","""",RIGHT(regexreplace(B822&amp;"""",""[^0-9]"",""""),9))"),"")</f>
        <v/>
      </c>
      <c r="B822" s="5"/>
      <c r="C822" s="5"/>
      <c r="D822" s="5"/>
      <c r="E822" s="23"/>
      <c r="F822" s="23"/>
      <c r="G822" s="23"/>
      <c r="H822" s="23"/>
      <c r="I822" s="23"/>
      <c r="J822" s="23"/>
      <c r="K822" s="10" t="str">
        <f t="shared" si="1"/>
        <v/>
      </c>
      <c r="L822" s="27"/>
      <c r="M822" s="27"/>
      <c r="N822" s="10" t="str">
        <f t="shared" ref="N822:N823" si="276">IF(COUNTIF($A$2:A821,A822)&gt;0,INDEX($C$2:C821,MATCH(A822,$A$2:A821,0)),"")</f>
        <v/>
      </c>
      <c r="O822" s="17"/>
      <c r="P822" s="29"/>
    </row>
    <row r="823" ht="15.75" customHeight="1">
      <c r="A823" s="9" t="str">
        <f>IFERROR(__xludf.DUMMYFUNCTION("IF(B823="""","""",RIGHT(regexreplace(B823&amp;"""",""[^0-9]"",""""),9))"),"")</f>
        <v/>
      </c>
      <c r="B823" s="5"/>
      <c r="C823" s="5"/>
      <c r="D823" s="5"/>
      <c r="E823" s="23"/>
      <c r="F823" s="23"/>
      <c r="G823" s="23"/>
      <c r="H823" s="23"/>
      <c r="I823" s="23"/>
      <c r="J823" s="23"/>
      <c r="K823" s="10" t="str">
        <f t="shared" si="1"/>
        <v/>
      </c>
      <c r="L823" s="27"/>
      <c r="M823" s="27"/>
      <c r="N823" s="10" t="str">
        <f t="shared" si="276"/>
        <v/>
      </c>
      <c r="O823" s="17"/>
      <c r="P823" s="29"/>
    </row>
    <row r="824" ht="15.75" customHeight="1">
      <c r="A824" s="9" t="str">
        <f>IFERROR(__xludf.DUMMYFUNCTION("IF(B824="""","""",RIGHT(regexreplace(B824&amp;"""",""[^0-9]"",""""),9))"),"")</f>
        <v/>
      </c>
      <c r="B824" s="5"/>
      <c r="C824" s="5"/>
      <c r="D824" s="5"/>
      <c r="E824" s="23"/>
      <c r="F824" s="23"/>
      <c r="G824" s="23"/>
      <c r="H824" s="23"/>
      <c r="I824" s="23"/>
      <c r="J824" s="23"/>
      <c r="K824" s="10" t="str">
        <f t="shared" si="1"/>
        <v/>
      </c>
      <c r="L824" s="27"/>
      <c r="M824" s="27"/>
      <c r="N824" s="10" t="str">
        <f t="array" ref="N824">IF(COUNTIF($A$2:A823,A)&gt;0,INDEX($C$2:C823,MATCH(A824,$A$2:A823,0)),"")</f>
        <v/>
      </c>
      <c r="O824" s="17"/>
      <c r="P824" s="29"/>
    </row>
    <row r="825" ht="15.75" customHeight="1">
      <c r="A825" s="9" t="str">
        <f>IFERROR(__xludf.DUMMYFUNCTION("IF(B825="""","""",RIGHT(regexreplace(B825&amp;"""",""[^0-9]"",""""),9))"),"")</f>
        <v/>
      </c>
      <c r="B825" s="5"/>
      <c r="C825" s="5"/>
      <c r="D825" s="5"/>
      <c r="E825" s="23"/>
      <c r="F825" s="23"/>
      <c r="G825" s="23"/>
      <c r="H825" s="23"/>
      <c r="I825" s="23"/>
      <c r="J825" s="23"/>
      <c r="K825" s="10" t="str">
        <f t="shared" si="1"/>
        <v/>
      </c>
      <c r="L825" s="27"/>
      <c r="M825" s="27"/>
      <c r="N825" s="10" t="str">
        <f t="shared" ref="N825:N826" si="277">IF(COUNTIF($A$2:A824,A825)&gt;0,INDEX($C$2:C824,MATCH(A825,$A$2:A824,0)),"")</f>
        <v/>
      </c>
      <c r="O825" s="17"/>
      <c r="P825" s="29"/>
    </row>
    <row r="826" ht="15.75" customHeight="1">
      <c r="A826" s="9" t="str">
        <f>IFERROR(__xludf.DUMMYFUNCTION("IF(B826="""","""",RIGHT(regexreplace(B826&amp;"""",""[^0-9]"",""""),9))"),"")</f>
        <v/>
      </c>
      <c r="B826" s="5"/>
      <c r="C826" s="5"/>
      <c r="D826" s="5"/>
      <c r="E826" s="23"/>
      <c r="F826" s="23"/>
      <c r="G826" s="23"/>
      <c r="H826" s="23"/>
      <c r="I826" s="23"/>
      <c r="J826" s="23"/>
      <c r="K826" s="10" t="str">
        <f t="shared" si="1"/>
        <v/>
      </c>
      <c r="L826" s="27"/>
      <c r="M826" s="27"/>
      <c r="N826" s="10" t="str">
        <f t="shared" si="277"/>
        <v/>
      </c>
      <c r="O826" s="17"/>
      <c r="P826" s="29"/>
    </row>
    <row r="827" ht="15.75" customHeight="1">
      <c r="A827" s="9" t="str">
        <f>IFERROR(__xludf.DUMMYFUNCTION("IF(B827="""","""",RIGHT(regexreplace(B827&amp;"""",""[^0-9]"",""""),9))"),"")</f>
        <v/>
      </c>
      <c r="B827" s="5"/>
      <c r="C827" s="5"/>
      <c r="D827" s="5"/>
      <c r="E827" s="23"/>
      <c r="F827" s="23"/>
      <c r="G827" s="23"/>
      <c r="H827" s="23"/>
      <c r="I827" s="23"/>
      <c r="J827" s="23"/>
      <c r="K827" s="10" t="str">
        <f t="shared" si="1"/>
        <v/>
      </c>
      <c r="L827" s="27"/>
      <c r="M827" s="27"/>
      <c r="N827" s="10" t="str">
        <f t="array" ref="N827">IF(COUNTIF($A$2:A826,A)&gt;0,INDEX($C$2:C826,MATCH(A827,$A$2:A826,0)),"")</f>
        <v/>
      </c>
      <c r="O827" s="17"/>
      <c r="P827" s="29"/>
    </row>
    <row r="828" ht="15.75" customHeight="1">
      <c r="A828" s="9" t="str">
        <f>IFERROR(__xludf.DUMMYFUNCTION("IF(B828="""","""",RIGHT(regexreplace(B828&amp;"""",""[^0-9]"",""""),9))"),"")</f>
        <v/>
      </c>
      <c r="B828" s="5"/>
      <c r="C828" s="5"/>
      <c r="D828" s="5"/>
      <c r="E828" s="23"/>
      <c r="F828" s="23"/>
      <c r="G828" s="23"/>
      <c r="H828" s="23"/>
      <c r="I828" s="23"/>
      <c r="J828" s="23"/>
      <c r="K828" s="10" t="str">
        <f t="shared" si="1"/>
        <v/>
      </c>
      <c r="L828" s="27"/>
      <c r="M828" s="27"/>
      <c r="N828" s="10" t="str">
        <f t="shared" ref="N828:N829" si="278">IF(COUNTIF($A$2:A827,A828)&gt;0,INDEX($C$2:C827,MATCH(A828,$A$2:A827,0)),"")</f>
        <v/>
      </c>
      <c r="O828" s="17"/>
      <c r="P828" s="29"/>
    </row>
    <row r="829" ht="15.75" customHeight="1">
      <c r="A829" s="9" t="str">
        <f>IFERROR(__xludf.DUMMYFUNCTION("IF(B829="""","""",RIGHT(regexreplace(B829&amp;"""",""[^0-9]"",""""),9))"),"")</f>
        <v/>
      </c>
      <c r="B829" s="5"/>
      <c r="C829" s="5"/>
      <c r="D829" s="5"/>
      <c r="E829" s="23"/>
      <c r="F829" s="23"/>
      <c r="G829" s="23"/>
      <c r="H829" s="23"/>
      <c r="I829" s="23"/>
      <c r="J829" s="23"/>
      <c r="K829" s="10" t="str">
        <f t="shared" si="1"/>
        <v/>
      </c>
      <c r="L829" s="27"/>
      <c r="M829" s="27"/>
      <c r="N829" s="10" t="str">
        <f t="shared" si="278"/>
        <v/>
      </c>
      <c r="O829" s="17"/>
      <c r="P829" s="29"/>
    </row>
    <row r="830" ht="15.75" customHeight="1">
      <c r="A830" s="9" t="str">
        <f>IFERROR(__xludf.DUMMYFUNCTION("IF(B830="""","""",RIGHT(regexreplace(B830&amp;"""",""[^0-9]"",""""),9))"),"")</f>
        <v/>
      </c>
      <c r="B830" s="5"/>
      <c r="C830" s="5"/>
      <c r="D830" s="5"/>
      <c r="E830" s="23"/>
      <c r="F830" s="23"/>
      <c r="G830" s="23"/>
      <c r="H830" s="23"/>
      <c r="I830" s="23"/>
      <c r="J830" s="23"/>
      <c r="K830" s="10" t="str">
        <f t="shared" si="1"/>
        <v/>
      </c>
      <c r="L830" s="27"/>
      <c r="M830" s="27"/>
      <c r="N830" s="10" t="str">
        <f t="array" ref="N830">IF(COUNTIF($A$2:A829,A)&gt;0,INDEX($C$2:C829,MATCH(A830,$A$2:A829,0)),"")</f>
        <v/>
      </c>
      <c r="O830" s="17"/>
      <c r="P830" s="29"/>
    </row>
    <row r="831" ht="15.75" customHeight="1">
      <c r="A831" s="9" t="str">
        <f>IFERROR(__xludf.DUMMYFUNCTION("IF(B831="""","""",RIGHT(regexreplace(B831&amp;"""",""[^0-9]"",""""),9))"),"")</f>
        <v/>
      </c>
      <c r="B831" s="5"/>
      <c r="C831" s="5"/>
      <c r="D831" s="5"/>
      <c r="E831" s="23"/>
      <c r="F831" s="23"/>
      <c r="G831" s="23"/>
      <c r="H831" s="23"/>
      <c r="I831" s="23"/>
      <c r="J831" s="23"/>
      <c r="K831" s="10" t="str">
        <f t="shared" si="1"/>
        <v/>
      </c>
      <c r="L831" s="27"/>
      <c r="M831" s="27"/>
      <c r="N831" s="10" t="str">
        <f t="shared" ref="N831:N832" si="279">IF(COUNTIF($A$2:A830,A831)&gt;0,INDEX($C$2:C830,MATCH(A831,$A$2:A830,0)),"")</f>
        <v/>
      </c>
      <c r="O831" s="17"/>
      <c r="P831" s="29"/>
    </row>
    <row r="832" ht="15.75" customHeight="1">
      <c r="A832" s="9" t="str">
        <f>IFERROR(__xludf.DUMMYFUNCTION("IF(B832="""","""",RIGHT(regexreplace(B832&amp;"""",""[^0-9]"",""""),9))"),"")</f>
        <v/>
      </c>
      <c r="B832" s="5"/>
      <c r="C832" s="5"/>
      <c r="D832" s="5"/>
      <c r="E832" s="23"/>
      <c r="F832" s="23"/>
      <c r="G832" s="23"/>
      <c r="H832" s="23"/>
      <c r="I832" s="23"/>
      <c r="J832" s="23"/>
      <c r="K832" s="10" t="str">
        <f t="shared" si="1"/>
        <v/>
      </c>
      <c r="L832" s="27"/>
      <c r="M832" s="27"/>
      <c r="N832" s="10" t="str">
        <f t="shared" si="279"/>
        <v/>
      </c>
      <c r="O832" s="17"/>
      <c r="P832" s="29"/>
    </row>
    <row r="833" ht="15.75" customHeight="1">
      <c r="A833" s="9" t="str">
        <f>IFERROR(__xludf.DUMMYFUNCTION("IF(B833="""","""",RIGHT(regexreplace(B833&amp;"""",""[^0-9]"",""""),9))"),"")</f>
        <v/>
      </c>
      <c r="B833" s="5"/>
      <c r="C833" s="5"/>
      <c r="D833" s="5"/>
      <c r="E833" s="23"/>
      <c r="F833" s="23"/>
      <c r="G833" s="23"/>
      <c r="H833" s="23"/>
      <c r="I833" s="23"/>
      <c r="J833" s="23"/>
      <c r="K833" s="10" t="str">
        <f t="shared" si="1"/>
        <v/>
      </c>
      <c r="L833" s="27"/>
      <c r="M833" s="27"/>
      <c r="N833" s="10" t="str">
        <f t="array" ref="N833">IF(COUNTIF($A$2:A832,A)&gt;0,INDEX($C$2:C832,MATCH(A833,$A$2:A832,0)),"")</f>
        <v/>
      </c>
      <c r="O833" s="17"/>
      <c r="P833" s="29"/>
    </row>
    <row r="834" ht="15.75" customHeight="1">
      <c r="A834" s="9" t="str">
        <f>IFERROR(__xludf.DUMMYFUNCTION("IF(B834="""","""",RIGHT(regexreplace(B834&amp;"""",""[^0-9]"",""""),9))"),"")</f>
        <v/>
      </c>
      <c r="B834" s="5"/>
      <c r="C834" s="5"/>
      <c r="D834" s="5"/>
      <c r="E834" s="23"/>
      <c r="F834" s="23"/>
      <c r="G834" s="23"/>
      <c r="H834" s="23"/>
      <c r="I834" s="23"/>
      <c r="J834" s="23"/>
      <c r="K834" s="10" t="str">
        <f t="shared" si="1"/>
        <v/>
      </c>
      <c r="L834" s="27"/>
      <c r="M834" s="27"/>
      <c r="N834" s="10" t="str">
        <f t="shared" ref="N834:N835" si="280">IF(COUNTIF($A$2:A833,A834)&gt;0,INDEX($C$2:C833,MATCH(A834,$A$2:A833,0)),"")</f>
        <v/>
      </c>
      <c r="O834" s="17"/>
      <c r="P834" s="29"/>
    </row>
    <row r="835" ht="15.75" customHeight="1">
      <c r="A835" s="9" t="str">
        <f>IFERROR(__xludf.DUMMYFUNCTION("IF(B835="""","""",RIGHT(regexreplace(B835&amp;"""",""[^0-9]"",""""),9))"),"")</f>
        <v/>
      </c>
      <c r="B835" s="5"/>
      <c r="C835" s="5"/>
      <c r="D835" s="5"/>
      <c r="E835" s="23"/>
      <c r="F835" s="23"/>
      <c r="G835" s="23"/>
      <c r="H835" s="23"/>
      <c r="I835" s="23"/>
      <c r="J835" s="23"/>
      <c r="K835" s="10" t="str">
        <f t="shared" si="1"/>
        <v/>
      </c>
      <c r="L835" s="27"/>
      <c r="M835" s="27"/>
      <c r="N835" s="10" t="str">
        <f t="shared" si="280"/>
        <v/>
      </c>
      <c r="O835" s="17"/>
      <c r="P835" s="29"/>
    </row>
    <row r="836" ht="15.75" customHeight="1">
      <c r="A836" s="9" t="str">
        <f>IFERROR(__xludf.DUMMYFUNCTION("IF(B836="""","""",RIGHT(regexreplace(B836&amp;"""",""[^0-9]"",""""),9))"),"")</f>
        <v/>
      </c>
      <c r="B836" s="5"/>
      <c r="C836" s="5"/>
      <c r="D836" s="5"/>
      <c r="E836" s="23"/>
      <c r="F836" s="23"/>
      <c r="G836" s="23"/>
      <c r="H836" s="23"/>
      <c r="I836" s="23"/>
      <c r="J836" s="23"/>
      <c r="K836" s="10" t="str">
        <f t="shared" si="1"/>
        <v/>
      </c>
      <c r="L836" s="27"/>
      <c r="M836" s="27"/>
      <c r="N836" s="10" t="str">
        <f t="array" ref="N836">IF(COUNTIF($A$2:A835,A)&gt;0,INDEX($C$2:C835,MATCH(A836,$A$2:A835,0)),"")</f>
        <v/>
      </c>
      <c r="O836" s="17"/>
      <c r="P836" s="29"/>
    </row>
    <row r="837" ht="15.75" customHeight="1">
      <c r="A837" s="9" t="str">
        <f>IFERROR(__xludf.DUMMYFUNCTION("IF(B837="""","""",RIGHT(regexreplace(B837&amp;"""",""[^0-9]"",""""),9))"),"")</f>
        <v/>
      </c>
      <c r="B837" s="5"/>
      <c r="C837" s="5"/>
      <c r="D837" s="5"/>
      <c r="E837" s="23"/>
      <c r="F837" s="23"/>
      <c r="G837" s="23"/>
      <c r="H837" s="23"/>
      <c r="I837" s="23"/>
      <c r="J837" s="23"/>
      <c r="K837" s="10" t="str">
        <f t="shared" si="1"/>
        <v/>
      </c>
      <c r="L837" s="27"/>
      <c r="M837" s="27"/>
      <c r="N837" s="10" t="str">
        <f t="shared" ref="N837:N838" si="281">IF(COUNTIF($A$2:A836,A837)&gt;0,INDEX($C$2:C836,MATCH(A837,$A$2:A836,0)),"")</f>
        <v/>
      </c>
      <c r="O837" s="17"/>
      <c r="P837" s="29"/>
    </row>
    <row r="838" ht="15.75" customHeight="1">
      <c r="A838" s="9" t="str">
        <f>IFERROR(__xludf.DUMMYFUNCTION("IF(B838="""","""",RIGHT(regexreplace(B838&amp;"""",""[^0-9]"",""""),9))"),"")</f>
        <v/>
      </c>
      <c r="B838" s="5"/>
      <c r="C838" s="5"/>
      <c r="D838" s="5"/>
      <c r="E838" s="23"/>
      <c r="F838" s="23"/>
      <c r="G838" s="23"/>
      <c r="H838" s="23"/>
      <c r="I838" s="23"/>
      <c r="J838" s="23"/>
      <c r="K838" s="10" t="str">
        <f t="shared" si="1"/>
        <v/>
      </c>
      <c r="L838" s="27"/>
      <c r="M838" s="27"/>
      <c r="N838" s="10" t="str">
        <f t="shared" si="281"/>
        <v/>
      </c>
      <c r="O838" s="17"/>
      <c r="P838" s="29"/>
    </row>
    <row r="839" ht="15.75" customHeight="1">
      <c r="A839" s="9" t="str">
        <f>IFERROR(__xludf.DUMMYFUNCTION("IF(B839="""","""",RIGHT(regexreplace(B839&amp;"""",""[^0-9]"",""""),9))"),"")</f>
        <v/>
      </c>
      <c r="B839" s="5"/>
      <c r="C839" s="5"/>
      <c r="D839" s="5"/>
      <c r="E839" s="23"/>
      <c r="F839" s="23"/>
      <c r="G839" s="23"/>
      <c r="H839" s="23"/>
      <c r="I839" s="23"/>
      <c r="J839" s="23"/>
      <c r="K839" s="10" t="str">
        <f t="shared" si="1"/>
        <v/>
      </c>
      <c r="L839" s="27"/>
      <c r="M839" s="27"/>
      <c r="N839" s="10" t="str">
        <f t="array" ref="N839">IF(COUNTIF($A$2:A838,A)&gt;0,INDEX($C$2:C838,MATCH(A839,$A$2:A838,0)),"")</f>
        <v/>
      </c>
      <c r="O839" s="17"/>
      <c r="P839" s="29"/>
    </row>
    <row r="840" ht="15.75" customHeight="1">
      <c r="A840" s="9" t="str">
        <f>IFERROR(__xludf.DUMMYFUNCTION("IF(B840="""","""",RIGHT(regexreplace(B840&amp;"""",""[^0-9]"",""""),9))"),"")</f>
        <v/>
      </c>
      <c r="B840" s="5"/>
      <c r="C840" s="5"/>
      <c r="D840" s="5"/>
      <c r="E840" s="23"/>
      <c r="F840" s="23"/>
      <c r="G840" s="23"/>
      <c r="H840" s="23"/>
      <c r="I840" s="23"/>
      <c r="J840" s="23"/>
      <c r="K840" s="10" t="str">
        <f t="shared" si="1"/>
        <v/>
      </c>
      <c r="L840" s="27"/>
      <c r="M840" s="27"/>
      <c r="N840" s="10" t="str">
        <f t="shared" ref="N840:N841" si="282">IF(COUNTIF($A$2:A839,A840)&gt;0,INDEX($C$2:C839,MATCH(A840,$A$2:A839,0)),"")</f>
        <v/>
      </c>
      <c r="O840" s="17"/>
      <c r="P840" s="29"/>
    </row>
    <row r="841" ht="15.75" customHeight="1">
      <c r="A841" s="9" t="str">
        <f>IFERROR(__xludf.DUMMYFUNCTION("IF(B841="""","""",RIGHT(regexreplace(B841&amp;"""",""[^0-9]"",""""),9))"),"")</f>
        <v/>
      </c>
      <c r="B841" s="5"/>
      <c r="C841" s="5"/>
      <c r="D841" s="5"/>
      <c r="E841" s="23"/>
      <c r="F841" s="23"/>
      <c r="G841" s="23"/>
      <c r="H841" s="23"/>
      <c r="I841" s="23"/>
      <c r="J841" s="23"/>
      <c r="K841" s="10" t="str">
        <f t="shared" si="1"/>
        <v/>
      </c>
      <c r="L841" s="27"/>
      <c r="M841" s="27"/>
      <c r="N841" s="10" t="str">
        <f t="shared" si="282"/>
        <v/>
      </c>
      <c r="O841" s="17"/>
      <c r="P841" s="29"/>
    </row>
    <row r="842" ht="15.75" customHeight="1">
      <c r="A842" s="9" t="str">
        <f>IFERROR(__xludf.DUMMYFUNCTION("IF(B842="""","""",RIGHT(regexreplace(B842&amp;"""",""[^0-9]"",""""),9))"),"")</f>
        <v/>
      </c>
      <c r="B842" s="5"/>
      <c r="C842" s="5"/>
      <c r="D842" s="5"/>
      <c r="E842" s="23"/>
      <c r="F842" s="23"/>
      <c r="G842" s="23"/>
      <c r="H842" s="23"/>
      <c r="I842" s="23"/>
      <c r="J842" s="23"/>
      <c r="K842" s="10" t="str">
        <f t="shared" si="1"/>
        <v/>
      </c>
      <c r="L842" s="27"/>
      <c r="M842" s="27"/>
      <c r="N842" s="10" t="str">
        <f t="array" ref="N842">IF(COUNTIF($A$2:A841,A)&gt;0,INDEX($C$2:C841,MATCH(A842,$A$2:A841,0)),"")</f>
        <v/>
      </c>
      <c r="O842" s="17"/>
      <c r="P842" s="29"/>
    </row>
    <row r="843" ht="15.75" customHeight="1">
      <c r="A843" s="9" t="str">
        <f>IFERROR(__xludf.DUMMYFUNCTION("IF(B843="""","""",RIGHT(regexreplace(B843&amp;"""",""[^0-9]"",""""),9))"),"")</f>
        <v/>
      </c>
      <c r="B843" s="5"/>
      <c r="C843" s="5"/>
      <c r="D843" s="5"/>
      <c r="E843" s="23"/>
      <c r="F843" s="23"/>
      <c r="G843" s="23"/>
      <c r="H843" s="23"/>
      <c r="I843" s="23"/>
      <c r="J843" s="23"/>
      <c r="K843" s="10" t="str">
        <f t="shared" si="1"/>
        <v/>
      </c>
      <c r="L843" s="27"/>
      <c r="M843" s="27"/>
      <c r="N843" s="10" t="str">
        <f t="shared" ref="N843:N844" si="283">IF(COUNTIF($A$2:A842,A843)&gt;0,INDEX($C$2:C842,MATCH(A843,$A$2:A842,0)),"")</f>
        <v/>
      </c>
      <c r="O843" s="17"/>
      <c r="P843" s="29"/>
    </row>
    <row r="844" ht="15.75" customHeight="1">
      <c r="A844" s="9" t="str">
        <f>IFERROR(__xludf.DUMMYFUNCTION("IF(B844="""","""",RIGHT(regexreplace(B844&amp;"""",""[^0-9]"",""""),9))"),"")</f>
        <v/>
      </c>
      <c r="B844" s="5"/>
      <c r="C844" s="5"/>
      <c r="D844" s="5"/>
      <c r="E844" s="23"/>
      <c r="F844" s="23"/>
      <c r="G844" s="23"/>
      <c r="H844" s="23"/>
      <c r="I844" s="23"/>
      <c r="J844" s="23"/>
      <c r="K844" s="10" t="str">
        <f t="shared" si="1"/>
        <v/>
      </c>
      <c r="L844" s="27"/>
      <c r="M844" s="27"/>
      <c r="N844" s="10" t="str">
        <f t="shared" si="283"/>
        <v/>
      </c>
      <c r="O844" s="17"/>
      <c r="P844" s="29"/>
    </row>
    <row r="845" ht="15.75" customHeight="1">
      <c r="A845" s="9" t="str">
        <f>IFERROR(__xludf.DUMMYFUNCTION("IF(B845="""","""",RIGHT(regexreplace(B845&amp;"""",""[^0-9]"",""""),9))"),"")</f>
        <v/>
      </c>
      <c r="B845" s="5"/>
      <c r="C845" s="5"/>
      <c r="D845" s="5"/>
      <c r="E845" s="23"/>
      <c r="F845" s="23"/>
      <c r="G845" s="23"/>
      <c r="H845" s="23"/>
      <c r="I845" s="23"/>
      <c r="J845" s="23"/>
      <c r="K845" s="10" t="str">
        <f t="shared" si="1"/>
        <v/>
      </c>
      <c r="L845" s="27"/>
      <c r="M845" s="27"/>
      <c r="N845" s="10" t="str">
        <f t="array" ref="N845">IF(COUNTIF($A$2:A844,A)&gt;0,INDEX($C$2:C844,MATCH(A845,$A$2:A844,0)),"")</f>
        <v/>
      </c>
      <c r="O845" s="17"/>
      <c r="P845" s="29"/>
    </row>
    <row r="846" ht="15.75" customHeight="1">
      <c r="A846" s="9" t="str">
        <f>IFERROR(__xludf.DUMMYFUNCTION("IF(B846="""","""",RIGHT(regexreplace(B846&amp;"""",""[^0-9]"",""""),9))"),"")</f>
        <v/>
      </c>
      <c r="B846" s="5"/>
      <c r="C846" s="5"/>
      <c r="D846" s="5"/>
      <c r="E846" s="23"/>
      <c r="F846" s="23"/>
      <c r="G846" s="23"/>
      <c r="H846" s="23"/>
      <c r="I846" s="23"/>
      <c r="J846" s="23"/>
      <c r="K846" s="10" t="str">
        <f t="shared" si="1"/>
        <v/>
      </c>
      <c r="L846" s="27"/>
      <c r="M846" s="27"/>
      <c r="N846" s="10" t="str">
        <f t="shared" ref="N846:N847" si="284">IF(COUNTIF($A$2:A845,A846)&gt;0,INDEX($C$2:C845,MATCH(A846,$A$2:A845,0)),"")</f>
        <v/>
      </c>
      <c r="O846" s="17"/>
      <c r="P846" s="29"/>
    </row>
    <row r="847" ht="15.75" customHeight="1">
      <c r="A847" s="9" t="str">
        <f>IFERROR(__xludf.DUMMYFUNCTION("IF(B847="""","""",RIGHT(regexreplace(B847&amp;"""",""[^0-9]"",""""),9))"),"")</f>
        <v/>
      </c>
      <c r="B847" s="5"/>
      <c r="C847" s="5"/>
      <c r="D847" s="5"/>
      <c r="E847" s="23"/>
      <c r="F847" s="23"/>
      <c r="G847" s="23"/>
      <c r="H847" s="23"/>
      <c r="I847" s="23"/>
      <c r="J847" s="23"/>
      <c r="K847" s="10" t="str">
        <f t="shared" si="1"/>
        <v/>
      </c>
      <c r="L847" s="27"/>
      <c r="M847" s="27"/>
      <c r="N847" s="10" t="str">
        <f t="shared" si="284"/>
        <v/>
      </c>
      <c r="O847" s="17"/>
      <c r="P847" s="29"/>
    </row>
    <row r="848" ht="15.75" customHeight="1">
      <c r="A848" s="9" t="str">
        <f>IFERROR(__xludf.DUMMYFUNCTION("IF(B848="""","""",RIGHT(regexreplace(B848&amp;"""",""[^0-9]"",""""),9))"),"")</f>
        <v/>
      </c>
      <c r="B848" s="5"/>
      <c r="C848" s="5"/>
      <c r="D848" s="5"/>
      <c r="E848" s="23"/>
      <c r="F848" s="23"/>
      <c r="G848" s="23"/>
      <c r="H848" s="23"/>
      <c r="I848" s="23"/>
      <c r="J848" s="23"/>
      <c r="K848" s="10" t="str">
        <f t="shared" si="1"/>
        <v/>
      </c>
      <c r="L848" s="27"/>
      <c r="M848" s="27"/>
      <c r="N848" s="10" t="str">
        <f t="array" ref="N848">IF(COUNTIF($A$2:A847,A)&gt;0,INDEX($C$2:C847,MATCH(A848,$A$2:A847,0)),"")</f>
        <v/>
      </c>
      <c r="O848" s="17"/>
      <c r="P848" s="29"/>
    </row>
    <row r="849" ht="15.75" customHeight="1">
      <c r="A849" s="9" t="str">
        <f>IFERROR(__xludf.DUMMYFUNCTION("IF(B849="""","""",RIGHT(regexreplace(B849&amp;"""",""[^0-9]"",""""),9))"),"")</f>
        <v/>
      </c>
      <c r="B849" s="5"/>
      <c r="C849" s="5"/>
      <c r="D849" s="5"/>
      <c r="E849" s="23"/>
      <c r="F849" s="23"/>
      <c r="G849" s="23"/>
      <c r="H849" s="23"/>
      <c r="I849" s="23"/>
      <c r="J849" s="23"/>
      <c r="K849" s="10" t="str">
        <f t="shared" si="1"/>
        <v/>
      </c>
      <c r="L849" s="27"/>
      <c r="M849" s="27"/>
      <c r="N849" s="10" t="str">
        <f t="shared" ref="N849:N850" si="285">IF(COUNTIF($A$2:A848,A849)&gt;0,INDEX($C$2:C848,MATCH(A849,$A$2:A848,0)),"")</f>
        <v/>
      </c>
      <c r="O849" s="17"/>
      <c r="P849" s="29"/>
    </row>
    <row r="850" ht="15.75" customHeight="1">
      <c r="A850" s="9" t="str">
        <f>IFERROR(__xludf.DUMMYFUNCTION("IF(B850="""","""",RIGHT(regexreplace(B850&amp;"""",""[^0-9]"",""""),9))"),"")</f>
        <v/>
      </c>
      <c r="B850" s="5"/>
      <c r="C850" s="5"/>
      <c r="D850" s="5"/>
      <c r="E850" s="23"/>
      <c r="F850" s="23"/>
      <c r="G850" s="23"/>
      <c r="H850" s="23"/>
      <c r="I850" s="23"/>
      <c r="J850" s="23"/>
      <c r="K850" s="10" t="str">
        <f t="shared" si="1"/>
        <v/>
      </c>
      <c r="L850" s="27"/>
      <c r="M850" s="27"/>
      <c r="N850" s="10" t="str">
        <f t="shared" si="285"/>
        <v/>
      </c>
      <c r="O850" s="17"/>
      <c r="P850" s="29"/>
    </row>
    <row r="851" ht="15.75" customHeight="1">
      <c r="A851" s="9" t="str">
        <f>IFERROR(__xludf.DUMMYFUNCTION("IF(B851="""","""",RIGHT(regexreplace(B851&amp;"""",""[^0-9]"",""""),9))"),"")</f>
        <v/>
      </c>
      <c r="B851" s="5"/>
      <c r="C851" s="5"/>
      <c r="D851" s="5"/>
      <c r="E851" s="23"/>
      <c r="F851" s="23"/>
      <c r="G851" s="23"/>
      <c r="H851" s="23"/>
      <c r="I851" s="23"/>
      <c r="J851" s="23"/>
      <c r="K851" s="10" t="str">
        <f t="shared" si="1"/>
        <v/>
      </c>
      <c r="L851" s="27"/>
      <c r="M851" s="27"/>
      <c r="N851" s="10" t="str">
        <f t="array" ref="N851">IF(COUNTIF($A$2:A850,A)&gt;0,INDEX($C$2:C850,MATCH(A851,$A$2:A850,0)),"")</f>
        <v/>
      </c>
      <c r="O851" s="17"/>
      <c r="P851" s="29"/>
    </row>
    <row r="852" ht="15.75" customHeight="1">
      <c r="A852" s="9" t="str">
        <f>IFERROR(__xludf.DUMMYFUNCTION("IF(B852="""","""",RIGHT(regexreplace(B852&amp;"""",""[^0-9]"",""""),9))"),"")</f>
        <v/>
      </c>
      <c r="B852" s="5"/>
      <c r="C852" s="5"/>
      <c r="D852" s="5"/>
      <c r="E852" s="23"/>
      <c r="F852" s="23"/>
      <c r="G852" s="23"/>
      <c r="H852" s="23"/>
      <c r="I852" s="23"/>
      <c r="J852" s="23"/>
      <c r="K852" s="10" t="str">
        <f t="shared" si="1"/>
        <v/>
      </c>
      <c r="L852" s="27"/>
      <c r="M852" s="27"/>
      <c r="N852" s="10" t="str">
        <f t="shared" ref="N852:N853" si="286">IF(COUNTIF($A$2:A851,A852)&gt;0,INDEX($C$2:C851,MATCH(A852,$A$2:A851,0)),"")</f>
        <v/>
      </c>
      <c r="O852" s="17"/>
      <c r="P852" s="29"/>
    </row>
    <row r="853" ht="15.75" customHeight="1">
      <c r="A853" s="9" t="str">
        <f>IFERROR(__xludf.DUMMYFUNCTION("IF(B853="""","""",RIGHT(regexreplace(B853&amp;"""",""[^0-9]"",""""),9))"),"")</f>
        <v/>
      </c>
      <c r="B853" s="5"/>
      <c r="C853" s="5"/>
      <c r="D853" s="5"/>
      <c r="E853" s="23"/>
      <c r="F853" s="23"/>
      <c r="G853" s="23"/>
      <c r="H853" s="23"/>
      <c r="I853" s="23"/>
      <c r="J853" s="23"/>
      <c r="K853" s="10" t="str">
        <f t="shared" si="1"/>
        <v/>
      </c>
      <c r="L853" s="27"/>
      <c r="M853" s="27"/>
      <c r="N853" s="10" t="str">
        <f t="shared" si="286"/>
        <v/>
      </c>
      <c r="O853" s="17"/>
      <c r="P853" s="29"/>
    </row>
    <row r="854" ht="15.75" customHeight="1">
      <c r="A854" s="9" t="str">
        <f>IFERROR(__xludf.DUMMYFUNCTION("IF(B854="""","""",RIGHT(regexreplace(B854&amp;"""",""[^0-9]"",""""),9))"),"")</f>
        <v/>
      </c>
      <c r="B854" s="5"/>
      <c r="C854" s="5"/>
      <c r="D854" s="5"/>
      <c r="E854" s="23"/>
      <c r="F854" s="23"/>
      <c r="G854" s="23"/>
      <c r="H854" s="23"/>
      <c r="I854" s="23"/>
      <c r="J854" s="23"/>
      <c r="K854" s="10" t="str">
        <f t="shared" si="1"/>
        <v/>
      </c>
      <c r="L854" s="27"/>
      <c r="M854" s="27"/>
      <c r="N854" s="10" t="str">
        <f t="array" ref="N854">IF(COUNTIF($A$2:A853,A)&gt;0,INDEX($C$2:C853,MATCH(A854,$A$2:A853,0)),"")</f>
        <v/>
      </c>
      <c r="O854" s="17"/>
      <c r="P854" s="29"/>
    </row>
    <row r="855" ht="15.75" customHeight="1">
      <c r="A855" s="9" t="str">
        <f>IFERROR(__xludf.DUMMYFUNCTION("IF(B855="""","""",RIGHT(regexreplace(B855&amp;"""",""[^0-9]"",""""),9))"),"")</f>
        <v/>
      </c>
      <c r="B855" s="5"/>
      <c r="C855" s="5"/>
      <c r="D855" s="5"/>
      <c r="E855" s="23"/>
      <c r="F855" s="23"/>
      <c r="G855" s="23"/>
      <c r="H855" s="23"/>
      <c r="I855" s="23"/>
      <c r="J855" s="23"/>
      <c r="K855" s="10" t="str">
        <f t="shared" si="1"/>
        <v/>
      </c>
      <c r="L855" s="27"/>
      <c r="M855" s="27"/>
      <c r="N855" s="10" t="str">
        <f t="shared" ref="N855:N856" si="287">IF(COUNTIF($A$2:A854,A855)&gt;0,INDEX($C$2:C854,MATCH(A855,$A$2:A854,0)),"")</f>
        <v/>
      </c>
      <c r="O855" s="17"/>
      <c r="P855" s="29"/>
    </row>
    <row r="856" ht="15.75" customHeight="1">
      <c r="A856" s="9" t="str">
        <f>IFERROR(__xludf.DUMMYFUNCTION("IF(B856="""","""",RIGHT(regexreplace(B856&amp;"""",""[^0-9]"",""""),9))"),"")</f>
        <v/>
      </c>
      <c r="B856" s="5"/>
      <c r="C856" s="5"/>
      <c r="D856" s="5"/>
      <c r="E856" s="23"/>
      <c r="F856" s="23"/>
      <c r="G856" s="23"/>
      <c r="H856" s="23"/>
      <c r="I856" s="23"/>
      <c r="J856" s="23"/>
      <c r="K856" s="10" t="str">
        <f t="shared" si="1"/>
        <v/>
      </c>
      <c r="L856" s="27"/>
      <c r="M856" s="27"/>
      <c r="N856" s="10" t="str">
        <f t="shared" si="287"/>
        <v/>
      </c>
      <c r="O856" s="17"/>
      <c r="P856" s="29"/>
    </row>
    <row r="857" ht="15.75" customHeight="1">
      <c r="A857" s="9" t="str">
        <f>IFERROR(__xludf.DUMMYFUNCTION("IF(B857="""","""",RIGHT(regexreplace(B857&amp;"""",""[^0-9]"",""""),9))"),"")</f>
        <v/>
      </c>
      <c r="B857" s="5"/>
      <c r="C857" s="5"/>
      <c r="D857" s="5"/>
      <c r="E857" s="23"/>
      <c r="F857" s="23"/>
      <c r="G857" s="23"/>
      <c r="H857" s="23"/>
      <c r="I857" s="23"/>
      <c r="J857" s="23"/>
      <c r="K857" s="10" t="str">
        <f t="shared" si="1"/>
        <v/>
      </c>
      <c r="L857" s="27"/>
      <c r="M857" s="27"/>
      <c r="N857" s="10" t="str">
        <f t="array" ref="N857">IF(COUNTIF($A$2:A856,A)&gt;0,INDEX($C$2:C856,MATCH(A857,$A$2:A856,0)),"")</f>
        <v/>
      </c>
      <c r="O857" s="17"/>
      <c r="P857" s="29"/>
    </row>
    <row r="858" ht="15.75" customHeight="1">
      <c r="A858" s="9" t="str">
        <f>IFERROR(__xludf.DUMMYFUNCTION("IF(B858="""","""",RIGHT(regexreplace(B858&amp;"""",""[^0-9]"",""""),9))"),"")</f>
        <v/>
      </c>
      <c r="B858" s="5"/>
      <c r="C858" s="5"/>
      <c r="D858" s="5"/>
      <c r="E858" s="23"/>
      <c r="F858" s="23"/>
      <c r="G858" s="23"/>
      <c r="H858" s="23"/>
      <c r="I858" s="23"/>
      <c r="J858" s="23"/>
      <c r="K858" s="10" t="str">
        <f t="shared" si="1"/>
        <v/>
      </c>
      <c r="L858" s="27"/>
      <c r="M858" s="27"/>
      <c r="N858" s="10" t="str">
        <f t="shared" ref="N858:N859" si="288">IF(COUNTIF($A$2:A857,A858)&gt;0,INDEX($C$2:C857,MATCH(A858,$A$2:A857,0)),"")</f>
        <v/>
      </c>
      <c r="O858" s="17"/>
      <c r="P858" s="29"/>
    </row>
    <row r="859" ht="15.75" customHeight="1">
      <c r="A859" s="9" t="str">
        <f>IFERROR(__xludf.DUMMYFUNCTION("IF(B859="""","""",RIGHT(regexreplace(B859&amp;"""",""[^0-9]"",""""),9))"),"")</f>
        <v/>
      </c>
      <c r="B859" s="5"/>
      <c r="C859" s="5"/>
      <c r="D859" s="5"/>
      <c r="E859" s="23"/>
      <c r="F859" s="23"/>
      <c r="G859" s="23"/>
      <c r="H859" s="23"/>
      <c r="I859" s="23"/>
      <c r="J859" s="23"/>
      <c r="K859" s="10" t="str">
        <f t="shared" si="1"/>
        <v/>
      </c>
      <c r="L859" s="27"/>
      <c r="M859" s="27"/>
      <c r="N859" s="10" t="str">
        <f t="shared" si="288"/>
        <v/>
      </c>
      <c r="O859" s="17"/>
      <c r="P859" s="29"/>
    </row>
    <row r="860" ht="15.75" customHeight="1">
      <c r="A860" s="9" t="str">
        <f>IFERROR(__xludf.DUMMYFUNCTION("IF(B860="""","""",RIGHT(regexreplace(B860&amp;"""",""[^0-9]"",""""),9))"),"")</f>
        <v/>
      </c>
      <c r="B860" s="5"/>
      <c r="C860" s="5"/>
      <c r="D860" s="5"/>
      <c r="E860" s="23"/>
      <c r="F860" s="23"/>
      <c r="G860" s="23"/>
      <c r="H860" s="23"/>
      <c r="I860" s="23"/>
      <c r="J860" s="23"/>
      <c r="K860" s="10" t="str">
        <f t="shared" si="1"/>
        <v/>
      </c>
      <c r="L860" s="27"/>
      <c r="M860" s="27"/>
      <c r="N860" s="10" t="str">
        <f t="array" ref="N860">IF(COUNTIF($A$2:A859,A)&gt;0,INDEX($C$2:C859,MATCH(A860,$A$2:A859,0)),"")</f>
        <v/>
      </c>
      <c r="O860" s="17"/>
      <c r="P860" s="29"/>
    </row>
    <row r="861" ht="15.75" customHeight="1">
      <c r="A861" s="9" t="str">
        <f>IFERROR(__xludf.DUMMYFUNCTION("IF(B861="""","""",RIGHT(regexreplace(B861&amp;"""",""[^0-9]"",""""),9))"),"")</f>
        <v/>
      </c>
      <c r="B861" s="5"/>
      <c r="C861" s="5"/>
      <c r="D861" s="5"/>
      <c r="E861" s="23"/>
      <c r="F861" s="23"/>
      <c r="G861" s="23"/>
      <c r="H861" s="23"/>
      <c r="I861" s="23"/>
      <c r="J861" s="23"/>
      <c r="K861" s="10" t="str">
        <f t="shared" si="1"/>
        <v/>
      </c>
      <c r="L861" s="27"/>
      <c r="M861" s="27"/>
      <c r="N861" s="10" t="str">
        <f t="shared" ref="N861:N862" si="289">IF(COUNTIF($A$2:A860,A861)&gt;0,INDEX($C$2:C860,MATCH(A861,$A$2:A860,0)),"")</f>
        <v/>
      </c>
      <c r="O861" s="17"/>
      <c r="P861" s="29"/>
    </row>
    <row r="862" ht="15.75" customHeight="1">
      <c r="A862" s="9" t="str">
        <f>IFERROR(__xludf.DUMMYFUNCTION("IF(B862="""","""",RIGHT(regexreplace(B862&amp;"""",""[^0-9]"",""""),9))"),"")</f>
        <v/>
      </c>
      <c r="B862" s="5"/>
      <c r="C862" s="5"/>
      <c r="D862" s="5"/>
      <c r="E862" s="23"/>
      <c r="F862" s="23"/>
      <c r="G862" s="23"/>
      <c r="H862" s="23"/>
      <c r="I862" s="23"/>
      <c r="J862" s="23"/>
      <c r="K862" s="10" t="str">
        <f t="shared" si="1"/>
        <v/>
      </c>
      <c r="L862" s="27"/>
      <c r="M862" s="27"/>
      <c r="N862" s="10" t="str">
        <f t="shared" si="289"/>
        <v/>
      </c>
      <c r="O862" s="17"/>
      <c r="P862" s="29"/>
    </row>
    <row r="863" ht="15.75" customHeight="1">
      <c r="A863" s="9" t="str">
        <f>IFERROR(__xludf.DUMMYFUNCTION("IF(B863="""","""",RIGHT(regexreplace(B863&amp;"""",""[^0-9]"",""""),9))"),"")</f>
        <v/>
      </c>
      <c r="B863" s="5"/>
      <c r="C863" s="5"/>
      <c r="D863" s="5"/>
      <c r="E863" s="23"/>
      <c r="F863" s="23"/>
      <c r="G863" s="23"/>
      <c r="H863" s="23"/>
      <c r="I863" s="23"/>
      <c r="J863" s="23"/>
      <c r="K863" s="10" t="str">
        <f t="shared" si="1"/>
        <v/>
      </c>
      <c r="L863" s="27"/>
      <c r="M863" s="27"/>
      <c r="N863" s="10" t="str">
        <f t="array" ref="N863">IF(COUNTIF($A$2:A862,A)&gt;0,INDEX($C$2:C862,MATCH(A863,$A$2:A862,0)),"")</f>
        <v/>
      </c>
      <c r="O863" s="17"/>
      <c r="P863" s="29"/>
    </row>
    <row r="864" ht="15.75" customHeight="1">
      <c r="A864" s="9" t="str">
        <f>IFERROR(__xludf.DUMMYFUNCTION("IF(B864="""","""",RIGHT(regexreplace(B864&amp;"""",""[^0-9]"",""""),9))"),"")</f>
        <v/>
      </c>
      <c r="B864" s="5"/>
      <c r="C864" s="5"/>
      <c r="D864" s="5"/>
      <c r="E864" s="23"/>
      <c r="F864" s="23"/>
      <c r="G864" s="23"/>
      <c r="H864" s="23"/>
      <c r="I864" s="23"/>
      <c r="J864" s="23"/>
      <c r="K864" s="10" t="str">
        <f t="shared" si="1"/>
        <v/>
      </c>
      <c r="L864" s="27"/>
      <c r="M864" s="27"/>
      <c r="N864" s="10" t="str">
        <f t="shared" ref="N864:N865" si="290">IF(COUNTIF($A$2:A863,A864)&gt;0,INDEX($C$2:C863,MATCH(A864,$A$2:A863,0)),"")</f>
        <v/>
      </c>
      <c r="O864" s="17"/>
      <c r="P864" s="29"/>
    </row>
    <row r="865" ht="15.75" customHeight="1">
      <c r="A865" s="9" t="str">
        <f>IFERROR(__xludf.DUMMYFUNCTION("IF(B865="""","""",RIGHT(regexreplace(B865&amp;"""",""[^0-9]"",""""),9))"),"")</f>
        <v/>
      </c>
      <c r="B865" s="5"/>
      <c r="C865" s="5"/>
      <c r="D865" s="5"/>
      <c r="E865" s="23"/>
      <c r="F865" s="23"/>
      <c r="G865" s="23"/>
      <c r="H865" s="23"/>
      <c r="I865" s="23"/>
      <c r="J865" s="23"/>
      <c r="K865" s="10" t="str">
        <f t="shared" si="1"/>
        <v/>
      </c>
      <c r="L865" s="27"/>
      <c r="M865" s="27"/>
      <c r="N865" s="10" t="str">
        <f t="shared" si="290"/>
        <v/>
      </c>
      <c r="O865" s="17"/>
      <c r="P865" s="29"/>
    </row>
    <row r="866" ht="15.75" customHeight="1">
      <c r="A866" s="9" t="str">
        <f>IFERROR(__xludf.DUMMYFUNCTION("IF(B866="""","""",RIGHT(regexreplace(B866&amp;"""",""[^0-9]"",""""),9))"),"")</f>
        <v/>
      </c>
      <c r="B866" s="5"/>
      <c r="C866" s="5"/>
      <c r="D866" s="5"/>
      <c r="E866" s="23"/>
      <c r="F866" s="23"/>
      <c r="G866" s="23"/>
      <c r="H866" s="23"/>
      <c r="I866" s="23"/>
      <c r="J866" s="23"/>
      <c r="K866" s="10" t="str">
        <f t="shared" si="1"/>
        <v/>
      </c>
      <c r="L866" s="27"/>
      <c r="M866" s="27"/>
      <c r="N866" s="10" t="str">
        <f t="array" ref="N866">IF(COUNTIF($A$2:A865,A)&gt;0,INDEX($C$2:C865,MATCH(A866,$A$2:A865,0)),"")</f>
        <v/>
      </c>
      <c r="O866" s="17"/>
      <c r="P866" s="29"/>
    </row>
    <row r="867" ht="15.75" customHeight="1">
      <c r="A867" s="9" t="str">
        <f>IFERROR(__xludf.DUMMYFUNCTION("IF(B867="""","""",RIGHT(regexreplace(B867&amp;"""",""[^0-9]"",""""),9))"),"")</f>
        <v/>
      </c>
      <c r="B867" s="5"/>
      <c r="C867" s="5"/>
      <c r="D867" s="5"/>
      <c r="E867" s="23"/>
      <c r="F867" s="23"/>
      <c r="G867" s="23"/>
      <c r="H867" s="23"/>
      <c r="I867" s="23"/>
      <c r="J867" s="23"/>
      <c r="K867" s="10" t="str">
        <f t="shared" si="1"/>
        <v/>
      </c>
      <c r="L867" s="27"/>
      <c r="M867" s="27"/>
      <c r="N867" s="10" t="str">
        <f t="shared" ref="N867:N868" si="291">IF(COUNTIF($A$2:A866,A867)&gt;0,INDEX($C$2:C866,MATCH(A867,$A$2:A866,0)),"")</f>
        <v/>
      </c>
      <c r="O867" s="17"/>
      <c r="P867" s="29"/>
    </row>
    <row r="868" ht="15.75" customHeight="1">
      <c r="A868" s="9" t="str">
        <f>IFERROR(__xludf.DUMMYFUNCTION("IF(B868="""","""",RIGHT(regexreplace(B868&amp;"""",""[^0-9]"",""""),9))"),"")</f>
        <v/>
      </c>
      <c r="B868" s="5"/>
      <c r="C868" s="5"/>
      <c r="D868" s="5"/>
      <c r="E868" s="23"/>
      <c r="F868" s="23"/>
      <c r="G868" s="23"/>
      <c r="H868" s="23"/>
      <c r="I868" s="23"/>
      <c r="J868" s="23"/>
      <c r="K868" s="10" t="str">
        <f t="shared" si="1"/>
        <v/>
      </c>
      <c r="L868" s="27"/>
      <c r="M868" s="27"/>
      <c r="N868" s="10" t="str">
        <f t="shared" si="291"/>
        <v/>
      </c>
      <c r="O868" s="17"/>
      <c r="P868" s="29"/>
    </row>
    <row r="869" ht="15.75" customHeight="1">
      <c r="A869" s="9" t="str">
        <f>IFERROR(__xludf.DUMMYFUNCTION("IF(B869="""","""",RIGHT(regexreplace(B869&amp;"""",""[^0-9]"",""""),9))"),"")</f>
        <v/>
      </c>
      <c r="B869" s="5"/>
      <c r="C869" s="5"/>
      <c r="D869" s="5"/>
      <c r="E869" s="23"/>
      <c r="F869" s="23"/>
      <c r="G869" s="23"/>
      <c r="H869" s="23"/>
      <c r="I869" s="23"/>
      <c r="J869" s="23"/>
      <c r="K869" s="10" t="str">
        <f t="shared" si="1"/>
        <v/>
      </c>
      <c r="L869" s="27"/>
      <c r="M869" s="27"/>
      <c r="N869" s="10" t="str">
        <f t="array" ref="N869">IF(COUNTIF($A$2:A868,A)&gt;0,INDEX($C$2:C868,MATCH(A869,$A$2:A868,0)),"")</f>
        <v/>
      </c>
      <c r="O869" s="17"/>
      <c r="P869" s="29"/>
    </row>
    <row r="870" ht="15.75" customHeight="1">
      <c r="A870" s="9" t="str">
        <f>IFERROR(__xludf.DUMMYFUNCTION("IF(B870="""","""",RIGHT(regexreplace(B870&amp;"""",""[^0-9]"",""""),9))"),"")</f>
        <v/>
      </c>
      <c r="B870" s="5"/>
      <c r="C870" s="5"/>
      <c r="D870" s="5"/>
      <c r="E870" s="23"/>
      <c r="F870" s="23"/>
      <c r="G870" s="23"/>
      <c r="H870" s="23"/>
      <c r="I870" s="23"/>
      <c r="J870" s="23"/>
      <c r="K870" s="10" t="str">
        <f t="shared" si="1"/>
        <v/>
      </c>
      <c r="L870" s="27"/>
      <c r="M870" s="27"/>
      <c r="N870" s="10" t="str">
        <f t="shared" ref="N870:N871" si="292">IF(COUNTIF($A$2:A869,A870)&gt;0,INDEX($C$2:C869,MATCH(A870,$A$2:A869,0)),"")</f>
        <v/>
      </c>
      <c r="O870" s="17"/>
      <c r="P870" s="29"/>
    </row>
    <row r="871" ht="15.75" customHeight="1">
      <c r="A871" s="9" t="str">
        <f>IFERROR(__xludf.DUMMYFUNCTION("IF(B871="""","""",RIGHT(regexreplace(B871&amp;"""",""[^0-9]"",""""),9))"),"")</f>
        <v/>
      </c>
      <c r="B871" s="5"/>
      <c r="C871" s="5"/>
      <c r="D871" s="5"/>
      <c r="E871" s="23"/>
      <c r="F871" s="23"/>
      <c r="G871" s="23"/>
      <c r="H871" s="23"/>
      <c r="I871" s="23"/>
      <c r="J871" s="23"/>
      <c r="K871" s="10" t="str">
        <f t="shared" si="1"/>
        <v/>
      </c>
      <c r="L871" s="27"/>
      <c r="M871" s="27"/>
      <c r="N871" s="10" t="str">
        <f t="shared" si="292"/>
        <v/>
      </c>
      <c r="O871" s="17"/>
      <c r="P871" s="29"/>
    </row>
    <row r="872" ht="15.75" customHeight="1">
      <c r="A872" s="9" t="str">
        <f>IFERROR(__xludf.DUMMYFUNCTION("IF(B872="""","""",RIGHT(regexreplace(B872&amp;"""",""[^0-9]"",""""),9))"),"")</f>
        <v/>
      </c>
      <c r="B872" s="5"/>
      <c r="C872" s="5"/>
      <c r="D872" s="5"/>
      <c r="E872" s="23"/>
      <c r="F872" s="23"/>
      <c r="G872" s="23"/>
      <c r="H872" s="23"/>
      <c r="I872" s="23"/>
      <c r="J872" s="23"/>
      <c r="K872" s="10" t="str">
        <f t="shared" si="1"/>
        <v/>
      </c>
      <c r="L872" s="27"/>
      <c r="M872" s="27"/>
      <c r="N872" s="10" t="str">
        <f t="array" ref="N872">IF(COUNTIF($A$2:A871,A)&gt;0,INDEX($C$2:C871,MATCH(A872,$A$2:A871,0)),"")</f>
        <v/>
      </c>
      <c r="O872" s="17"/>
      <c r="P872" s="29"/>
    </row>
    <row r="873" ht="15.75" customHeight="1">
      <c r="A873" s="9" t="str">
        <f>IFERROR(__xludf.DUMMYFUNCTION("IF(B873="""","""",RIGHT(regexreplace(B873&amp;"""",""[^0-9]"",""""),9))"),"")</f>
        <v/>
      </c>
      <c r="B873" s="5"/>
      <c r="C873" s="5"/>
      <c r="D873" s="5"/>
      <c r="E873" s="23"/>
      <c r="F873" s="23"/>
      <c r="G873" s="23"/>
      <c r="H873" s="23"/>
      <c r="I873" s="23"/>
      <c r="J873" s="23"/>
      <c r="K873" s="10" t="str">
        <f t="shared" si="1"/>
        <v/>
      </c>
      <c r="L873" s="27"/>
      <c r="M873" s="27"/>
      <c r="N873" s="10" t="str">
        <f t="shared" ref="N873:N874" si="293">IF(COUNTIF($A$2:A872,A873)&gt;0,INDEX($C$2:C872,MATCH(A873,$A$2:A872,0)),"")</f>
        <v/>
      </c>
      <c r="O873" s="17"/>
      <c r="P873" s="29"/>
    </row>
    <row r="874" ht="15.75" customHeight="1">
      <c r="A874" s="9" t="str">
        <f>IFERROR(__xludf.DUMMYFUNCTION("IF(B874="""","""",RIGHT(regexreplace(B874&amp;"""",""[^0-9]"",""""),9))"),"")</f>
        <v/>
      </c>
      <c r="B874" s="5"/>
      <c r="C874" s="5"/>
      <c r="D874" s="5"/>
      <c r="E874" s="23"/>
      <c r="F874" s="23"/>
      <c r="G874" s="23"/>
      <c r="H874" s="23"/>
      <c r="I874" s="23"/>
      <c r="J874" s="23"/>
      <c r="K874" s="10" t="str">
        <f t="shared" si="1"/>
        <v/>
      </c>
      <c r="L874" s="27"/>
      <c r="M874" s="27"/>
      <c r="N874" s="10" t="str">
        <f t="shared" si="293"/>
        <v/>
      </c>
      <c r="O874" s="17"/>
      <c r="P874" s="29"/>
    </row>
    <row r="875" ht="15.75" customHeight="1">
      <c r="A875" s="9" t="str">
        <f>IFERROR(__xludf.DUMMYFUNCTION("IF(B875="""","""",RIGHT(regexreplace(B875&amp;"""",""[^0-9]"",""""),9))"),"")</f>
        <v/>
      </c>
      <c r="B875" s="5"/>
      <c r="C875" s="5"/>
      <c r="D875" s="5"/>
      <c r="E875" s="23"/>
      <c r="F875" s="23"/>
      <c r="G875" s="23"/>
      <c r="H875" s="23"/>
      <c r="I875" s="23"/>
      <c r="J875" s="23"/>
      <c r="K875" s="10" t="str">
        <f t="shared" si="1"/>
        <v/>
      </c>
      <c r="L875" s="27"/>
      <c r="M875" s="27"/>
      <c r="N875" s="10" t="str">
        <f t="array" ref="N875">IF(COUNTIF($A$2:A874,A)&gt;0,INDEX($C$2:C874,MATCH(A875,$A$2:A874,0)),"")</f>
        <v/>
      </c>
      <c r="O875" s="17"/>
      <c r="P875" s="29"/>
    </row>
    <row r="876" ht="15.75" customHeight="1">
      <c r="A876" s="9" t="str">
        <f>IFERROR(__xludf.DUMMYFUNCTION("IF(B876="""","""",RIGHT(regexreplace(B876&amp;"""",""[^0-9]"",""""),9))"),"")</f>
        <v/>
      </c>
      <c r="B876" s="5"/>
      <c r="C876" s="5"/>
      <c r="D876" s="5"/>
      <c r="E876" s="23"/>
      <c r="F876" s="23"/>
      <c r="G876" s="23"/>
      <c r="H876" s="23"/>
      <c r="I876" s="23"/>
      <c r="J876" s="23"/>
      <c r="K876" s="10" t="str">
        <f t="shared" si="1"/>
        <v/>
      </c>
      <c r="L876" s="27"/>
      <c r="M876" s="27"/>
      <c r="N876" s="10" t="str">
        <f t="shared" ref="N876:N877" si="294">IF(COUNTIF($A$2:A875,A876)&gt;0,INDEX($C$2:C875,MATCH(A876,$A$2:A875,0)),"")</f>
        <v/>
      </c>
      <c r="O876" s="17"/>
      <c r="P876" s="29"/>
    </row>
    <row r="877" ht="15.75" customHeight="1">
      <c r="A877" s="9" t="str">
        <f>IFERROR(__xludf.DUMMYFUNCTION("IF(B877="""","""",RIGHT(regexreplace(B877&amp;"""",""[^0-9]"",""""),9))"),"")</f>
        <v/>
      </c>
      <c r="B877" s="5"/>
      <c r="C877" s="5"/>
      <c r="D877" s="5"/>
      <c r="E877" s="23"/>
      <c r="F877" s="23"/>
      <c r="G877" s="23"/>
      <c r="H877" s="23"/>
      <c r="I877" s="23"/>
      <c r="J877" s="23"/>
      <c r="K877" s="10" t="str">
        <f t="shared" si="1"/>
        <v/>
      </c>
      <c r="L877" s="27"/>
      <c r="M877" s="27"/>
      <c r="N877" s="10" t="str">
        <f t="shared" si="294"/>
        <v/>
      </c>
      <c r="O877" s="17"/>
      <c r="P877" s="29"/>
    </row>
    <row r="878" ht="15.75" customHeight="1">
      <c r="A878" s="9" t="str">
        <f>IFERROR(__xludf.DUMMYFUNCTION("IF(B878="""","""",RIGHT(regexreplace(B878&amp;"""",""[^0-9]"",""""),9))"),"")</f>
        <v/>
      </c>
      <c r="B878" s="5"/>
      <c r="C878" s="5"/>
      <c r="D878" s="5"/>
      <c r="E878" s="23"/>
      <c r="F878" s="23"/>
      <c r="G878" s="23"/>
      <c r="H878" s="23"/>
      <c r="I878" s="23"/>
      <c r="J878" s="23"/>
      <c r="K878" s="10" t="str">
        <f t="shared" si="1"/>
        <v/>
      </c>
      <c r="L878" s="27"/>
      <c r="M878" s="27"/>
      <c r="N878" s="10" t="str">
        <f t="array" ref="N878">IF(COUNTIF($A$2:A877,A)&gt;0,INDEX($C$2:C877,MATCH(A878,$A$2:A877,0)),"")</f>
        <v/>
      </c>
      <c r="O878" s="17"/>
      <c r="P878" s="29"/>
    </row>
    <row r="879" ht="15.75" customHeight="1">
      <c r="A879" s="9" t="str">
        <f>IFERROR(__xludf.DUMMYFUNCTION("IF(B879="""","""",RIGHT(regexreplace(B879&amp;"""",""[^0-9]"",""""),9))"),"")</f>
        <v/>
      </c>
      <c r="B879" s="5"/>
      <c r="C879" s="5"/>
      <c r="D879" s="5"/>
      <c r="E879" s="23"/>
      <c r="F879" s="23"/>
      <c r="G879" s="23"/>
      <c r="H879" s="23"/>
      <c r="I879" s="23"/>
      <c r="J879" s="23"/>
      <c r="K879" s="10" t="str">
        <f t="shared" si="1"/>
        <v/>
      </c>
      <c r="L879" s="27"/>
      <c r="M879" s="27"/>
      <c r="N879" s="10" t="str">
        <f t="shared" ref="N879:N880" si="295">IF(COUNTIF($A$2:A878,A879)&gt;0,INDEX($C$2:C878,MATCH(A879,$A$2:A878,0)),"")</f>
        <v/>
      </c>
      <c r="O879" s="17"/>
      <c r="P879" s="29"/>
    </row>
    <row r="880" ht="15.75" customHeight="1">
      <c r="A880" s="9" t="str">
        <f>IFERROR(__xludf.DUMMYFUNCTION("IF(B880="""","""",RIGHT(regexreplace(B880&amp;"""",""[^0-9]"",""""),9))"),"")</f>
        <v/>
      </c>
      <c r="B880" s="5"/>
      <c r="C880" s="5"/>
      <c r="D880" s="5"/>
      <c r="E880" s="23"/>
      <c r="F880" s="23"/>
      <c r="G880" s="23"/>
      <c r="H880" s="23"/>
      <c r="I880" s="23"/>
      <c r="J880" s="23"/>
      <c r="K880" s="10" t="str">
        <f t="shared" si="1"/>
        <v/>
      </c>
      <c r="L880" s="27"/>
      <c r="M880" s="27"/>
      <c r="N880" s="10" t="str">
        <f t="shared" si="295"/>
        <v/>
      </c>
      <c r="O880" s="17"/>
      <c r="P880" s="29"/>
    </row>
    <row r="881" ht="15.75" customHeight="1">
      <c r="A881" s="9" t="str">
        <f>IFERROR(__xludf.DUMMYFUNCTION("IF(B881="""","""",RIGHT(regexreplace(B881&amp;"""",""[^0-9]"",""""),9))"),"")</f>
        <v/>
      </c>
      <c r="B881" s="5"/>
      <c r="C881" s="5"/>
      <c r="D881" s="5"/>
      <c r="E881" s="23"/>
      <c r="F881" s="23"/>
      <c r="G881" s="23"/>
      <c r="H881" s="23"/>
      <c r="I881" s="23"/>
      <c r="J881" s="23"/>
      <c r="K881" s="10" t="str">
        <f t="shared" si="1"/>
        <v/>
      </c>
      <c r="L881" s="27"/>
      <c r="M881" s="27"/>
      <c r="N881" s="10" t="str">
        <f t="array" ref="N881">IF(COUNTIF($A$2:A880,A)&gt;0,INDEX($C$2:C880,MATCH(A881,$A$2:A880,0)),"")</f>
        <v/>
      </c>
      <c r="O881" s="17"/>
      <c r="P881" s="29"/>
    </row>
    <row r="882" ht="15.75" customHeight="1">
      <c r="A882" s="9" t="str">
        <f>IFERROR(__xludf.DUMMYFUNCTION("IF(B882="""","""",RIGHT(regexreplace(B882&amp;"""",""[^0-9]"",""""),9))"),"")</f>
        <v/>
      </c>
      <c r="B882" s="5"/>
      <c r="C882" s="5"/>
      <c r="D882" s="5"/>
      <c r="E882" s="23"/>
      <c r="F882" s="23"/>
      <c r="G882" s="23"/>
      <c r="H882" s="23"/>
      <c r="I882" s="23"/>
      <c r="J882" s="23"/>
      <c r="K882" s="10" t="str">
        <f t="shared" si="1"/>
        <v/>
      </c>
      <c r="L882" s="27"/>
      <c r="M882" s="27"/>
      <c r="N882" s="10" t="str">
        <f t="shared" ref="N882:N883" si="296">IF(COUNTIF($A$2:A881,A882)&gt;0,INDEX($C$2:C881,MATCH(A882,$A$2:A881,0)),"")</f>
        <v/>
      </c>
      <c r="O882" s="17"/>
      <c r="P882" s="29"/>
    </row>
    <row r="883" ht="15.75" customHeight="1">
      <c r="A883" s="9" t="str">
        <f>IFERROR(__xludf.DUMMYFUNCTION("IF(B883="""","""",RIGHT(regexreplace(B883&amp;"""",""[^0-9]"",""""),9))"),"")</f>
        <v/>
      </c>
      <c r="B883" s="5"/>
      <c r="C883" s="5"/>
      <c r="D883" s="5"/>
      <c r="E883" s="23"/>
      <c r="F883" s="23"/>
      <c r="G883" s="23"/>
      <c r="H883" s="23"/>
      <c r="I883" s="23"/>
      <c r="J883" s="23"/>
      <c r="K883" s="10" t="str">
        <f t="shared" si="1"/>
        <v/>
      </c>
      <c r="L883" s="27"/>
      <c r="M883" s="27"/>
      <c r="N883" s="10" t="str">
        <f t="shared" si="296"/>
        <v/>
      </c>
      <c r="O883" s="17"/>
      <c r="P883" s="29"/>
    </row>
    <row r="884" ht="15.75" customHeight="1">
      <c r="A884" s="9" t="str">
        <f>IFERROR(__xludf.DUMMYFUNCTION("IF(B884="""","""",RIGHT(regexreplace(B884&amp;"""",""[^0-9]"",""""),9))"),"")</f>
        <v/>
      </c>
      <c r="B884" s="5"/>
      <c r="C884" s="5"/>
      <c r="D884" s="5"/>
      <c r="E884" s="23"/>
      <c r="F884" s="23"/>
      <c r="G884" s="23"/>
      <c r="H884" s="23"/>
      <c r="I884" s="23"/>
      <c r="J884" s="23"/>
      <c r="K884" s="10" t="str">
        <f t="shared" si="1"/>
        <v/>
      </c>
      <c r="L884" s="27"/>
      <c r="M884" s="27"/>
      <c r="N884" s="10" t="str">
        <f t="array" ref="N884">IF(COUNTIF($A$2:A883,A)&gt;0,INDEX($C$2:C883,MATCH(A884,$A$2:A883,0)),"")</f>
        <v/>
      </c>
      <c r="O884" s="17"/>
      <c r="P884" s="29"/>
    </row>
    <row r="885" ht="15.75" customHeight="1">
      <c r="A885" s="9" t="str">
        <f>IFERROR(__xludf.DUMMYFUNCTION("IF(B885="""","""",RIGHT(regexreplace(B885&amp;"""",""[^0-9]"",""""),9))"),"")</f>
        <v/>
      </c>
      <c r="B885" s="5"/>
      <c r="C885" s="5"/>
      <c r="D885" s="5"/>
      <c r="E885" s="23"/>
      <c r="F885" s="23"/>
      <c r="G885" s="23"/>
      <c r="H885" s="23"/>
      <c r="I885" s="23"/>
      <c r="J885" s="23"/>
      <c r="K885" s="10" t="str">
        <f t="shared" si="1"/>
        <v/>
      </c>
      <c r="L885" s="27"/>
      <c r="M885" s="27"/>
      <c r="N885" s="10" t="str">
        <f t="shared" ref="N885:N886" si="297">IF(COUNTIF($A$2:A884,A885)&gt;0,INDEX($C$2:C884,MATCH(A885,$A$2:A884,0)),"")</f>
        <v/>
      </c>
      <c r="O885" s="17"/>
      <c r="P885" s="29"/>
    </row>
    <row r="886" ht="15.75" customHeight="1">
      <c r="A886" s="9" t="str">
        <f>IFERROR(__xludf.DUMMYFUNCTION("IF(B886="""","""",RIGHT(regexreplace(B886&amp;"""",""[^0-9]"",""""),9))"),"")</f>
        <v/>
      </c>
      <c r="B886" s="5"/>
      <c r="C886" s="5"/>
      <c r="D886" s="5"/>
      <c r="E886" s="23"/>
      <c r="F886" s="23"/>
      <c r="G886" s="23"/>
      <c r="H886" s="23"/>
      <c r="I886" s="23"/>
      <c r="J886" s="23"/>
      <c r="K886" s="10" t="str">
        <f t="shared" si="1"/>
        <v/>
      </c>
      <c r="L886" s="27"/>
      <c r="M886" s="27"/>
      <c r="N886" s="10" t="str">
        <f t="shared" si="297"/>
        <v/>
      </c>
      <c r="O886" s="17"/>
      <c r="P886" s="29"/>
    </row>
    <row r="887" ht="15.75" customHeight="1">
      <c r="A887" s="9" t="str">
        <f>IFERROR(__xludf.DUMMYFUNCTION("IF(B887="""","""",RIGHT(regexreplace(B887&amp;"""",""[^0-9]"",""""),9))"),"")</f>
        <v/>
      </c>
      <c r="B887" s="5"/>
      <c r="C887" s="5"/>
      <c r="D887" s="5"/>
      <c r="E887" s="23"/>
      <c r="F887" s="23"/>
      <c r="G887" s="23"/>
      <c r="H887" s="23"/>
      <c r="I887" s="23"/>
      <c r="J887" s="23"/>
      <c r="K887" s="10" t="str">
        <f t="shared" si="1"/>
        <v/>
      </c>
      <c r="L887" s="27"/>
      <c r="M887" s="27"/>
      <c r="N887" s="10" t="str">
        <f t="array" ref="N887">IF(COUNTIF($A$2:A886,A)&gt;0,INDEX($C$2:C886,MATCH(A887,$A$2:A886,0)),"")</f>
        <v/>
      </c>
      <c r="O887" s="17"/>
      <c r="P887" s="29"/>
    </row>
    <row r="888" ht="15.75" customHeight="1">
      <c r="A888" s="9" t="str">
        <f>IFERROR(__xludf.DUMMYFUNCTION("IF(B888="""","""",RIGHT(regexreplace(B888&amp;"""",""[^0-9]"",""""),9))"),"")</f>
        <v/>
      </c>
      <c r="B888" s="5"/>
      <c r="C888" s="5"/>
      <c r="D888" s="5"/>
      <c r="E888" s="23"/>
      <c r="F888" s="23"/>
      <c r="G888" s="23"/>
      <c r="H888" s="23"/>
      <c r="I888" s="23"/>
      <c r="J888" s="23"/>
      <c r="K888" s="10" t="str">
        <f t="shared" si="1"/>
        <v/>
      </c>
      <c r="L888" s="27"/>
      <c r="M888" s="27"/>
      <c r="N888" s="10" t="str">
        <f t="shared" ref="N888:N889" si="298">IF(COUNTIF($A$2:A887,A888)&gt;0,INDEX($C$2:C887,MATCH(A888,$A$2:A887,0)),"")</f>
        <v/>
      </c>
      <c r="O888" s="17"/>
      <c r="P888" s="29"/>
    </row>
    <row r="889" ht="15.75" customHeight="1">
      <c r="A889" s="9" t="str">
        <f>IFERROR(__xludf.DUMMYFUNCTION("IF(B889="""","""",RIGHT(regexreplace(B889&amp;"""",""[^0-9]"",""""),9))"),"")</f>
        <v/>
      </c>
      <c r="B889" s="5"/>
      <c r="C889" s="5"/>
      <c r="D889" s="5"/>
      <c r="E889" s="23"/>
      <c r="F889" s="23"/>
      <c r="G889" s="23"/>
      <c r="H889" s="23"/>
      <c r="I889" s="23"/>
      <c r="J889" s="23"/>
      <c r="K889" s="10" t="str">
        <f t="shared" si="1"/>
        <v/>
      </c>
      <c r="L889" s="27"/>
      <c r="M889" s="27"/>
      <c r="N889" s="10" t="str">
        <f t="shared" si="298"/>
        <v/>
      </c>
      <c r="O889" s="17"/>
      <c r="P889" s="29"/>
    </row>
    <row r="890" ht="15.75" customHeight="1">
      <c r="A890" s="9" t="str">
        <f>IFERROR(__xludf.DUMMYFUNCTION("IF(B890="""","""",RIGHT(regexreplace(B890&amp;"""",""[^0-9]"",""""),9))"),"")</f>
        <v/>
      </c>
      <c r="B890" s="5"/>
      <c r="C890" s="5"/>
      <c r="D890" s="5"/>
      <c r="E890" s="23"/>
      <c r="F890" s="23"/>
      <c r="G890" s="23"/>
      <c r="H890" s="23"/>
      <c r="I890" s="23"/>
      <c r="J890" s="23"/>
      <c r="K890" s="10" t="str">
        <f t="shared" si="1"/>
        <v/>
      </c>
      <c r="L890" s="27"/>
      <c r="M890" s="27"/>
      <c r="N890" s="10" t="str">
        <f t="array" ref="N890">IF(COUNTIF($A$2:A889,A)&gt;0,INDEX($C$2:C889,MATCH(A890,$A$2:A889,0)),"")</f>
        <v/>
      </c>
      <c r="O890" s="17"/>
      <c r="P890" s="29"/>
    </row>
    <row r="891" ht="15.75" customHeight="1">
      <c r="A891" s="9" t="str">
        <f>IFERROR(__xludf.DUMMYFUNCTION("IF(B891="""","""",RIGHT(regexreplace(B891&amp;"""",""[^0-9]"",""""),9))"),"")</f>
        <v/>
      </c>
      <c r="B891" s="5"/>
      <c r="C891" s="5"/>
      <c r="D891" s="5"/>
      <c r="E891" s="23"/>
      <c r="F891" s="23"/>
      <c r="G891" s="23"/>
      <c r="H891" s="23"/>
      <c r="I891" s="23"/>
      <c r="J891" s="23"/>
      <c r="K891" s="10" t="str">
        <f t="shared" si="1"/>
        <v/>
      </c>
      <c r="L891" s="27"/>
      <c r="M891" s="27"/>
      <c r="N891" s="10" t="str">
        <f t="shared" ref="N891:N892" si="299">IF(COUNTIF($A$2:A890,A891)&gt;0,INDEX($C$2:C890,MATCH(A891,$A$2:A890,0)),"")</f>
        <v/>
      </c>
      <c r="O891" s="17"/>
      <c r="P891" s="29"/>
    </row>
    <row r="892" ht="15.75" customHeight="1">
      <c r="A892" s="9" t="str">
        <f>IFERROR(__xludf.DUMMYFUNCTION("IF(B892="""","""",RIGHT(regexreplace(B892&amp;"""",""[^0-9]"",""""),9))"),"")</f>
        <v/>
      </c>
      <c r="B892" s="5"/>
      <c r="C892" s="5"/>
      <c r="D892" s="5"/>
      <c r="E892" s="23"/>
      <c r="F892" s="23"/>
      <c r="G892" s="23"/>
      <c r="H892" s="23"/>
      <c r="I892" s="23"/>
      <c r="J892" s="23"/>
      <c r="K892" s="10" t="str">
        <f t="shared" si="1"/>
        <v/>
      </c>
      <c r="L892" s="27"/>
      <c r="M892" s="27"/>
      <c r="N892" s="10" t="str">
        <f t="shared" si="299"/>
        <v/>
      </c>
      <c r="O892" s="17"/>
      <c r="P892" s="29"/>
    </row>
    <row r="893" ht="15.75" customHeight="1">
      <c r="A893" s="9" t="str">
        <f>IFERROR(__xludf.DUMMYFUNCTION("IF(B893="""","""",RIGHT(regexreplace(B893&amp;"""",""[^0-9]"",""""),9))"),"")</f>
        <v/>
      </c>
      <c r="B893" s="5"/>
      <c r="C893" s="5"/>
      <c r="D893" s="5"/>
      <c r="E893" s="23"/>
      <c r="F893" s="23"/>
      <c r="G893" s="23"/>
      <c r="H893" s="23"/>
      <c r="I893" s="23"/>
      <c r="J893" s="23"/>
      <c r="K893" s="10" t="str">
        <f t="shared" si="1"/>
        <v/>
      </c>
      <c r="L893" s="27"/>
      <c r="M893" s="27"/>
      <c r="N893" s="10" t="str">
        <f t="array" ref="N893">IF(COUNTIF($A$2:A892,A)&gt;0,INDEX($C$2:C892,MATCH(A893,$A$2:A892,0)),"")</f>
        <v/>
      </c>
      <c r="O893" s="17"/>
      <c r="P893" s="29"/>
    </row>
    <row r="894" ht="15.75" customHeight="1">
      <c r="A894" s="9" t="str">
        <f>IFERROR(__xludf.DUMMYFUNCTION("IF(B894="""","""",RIGHT(regexreplace(B894&amp;"""",""[^0-9]"",""""),9))"),"")</f>
        <v/>
      </c>
      <c r="B894" s="5"/>
      <c r="C894" s="5"/>
      <c r="D894" s="5"/>
      <c r="E894" s="23"/>
      <c r="F894" s="23"/>
      <c r="G894" s="23"/>
      <c r="H894" s="23"/>
      <c r="I894" s="23"/>
      <c r="J894" s="23"/>
      <c r="K894" s="10" t="str">
        <f t="shared" si="1"/>
        <v/>
      </c>
      <c r="L894" s="27"/>
      <c r="M894" s="27"/>
      <c r="N894" s="10" t="str">
        <f t="shared" ref="N894:N895" si="300">IF(COUNTIF($A$2:A893,A894)&gt;0,INDEX($C$2:C893,MATCH(A894,$A$2:A893,0)),"")</f>
        <v/>
      </c>
      <c r="O894" s="17"/>
      <c r="P894" s="29"/>
    </row>
    <row r="895" ht="15.75" customHeight="1">
      <c r="A895" s="9" t="str">
        <f>IFERROR(__xludf.DUMMYFUNCTION("IF(B895="""","""",RIGHT(regexreplace(B895&amp;"""",""[^0-9]"",""""),9))"),"")</f>
        <v/>
      </c>
      <c r="B895" s="5"/>
      <c r="C895" s="5"/>
      <c r="D895" s="5"/>
      <c r="E895" s="23"/>
      <c r="F895" s="23"/>
      <c r="G895" s="23"/>
      <c r="H895" s="23"/>
      <c r="I895" s="23"/>
      <c r="J895" s="23"/>
      <c r="K895" s="10" t="str">
        <f t="shared" si="1"/>
        <v/>
      </c>
      <c r="L895" s="27"/>
      <c r="M895" s="27"/>
      <c r="N895" s="10" t="str">
        <f t="shared" si="300"/>
        <v/>
      </c>
      <c r="O895" s="17"/>
      <c r="P895" s="29"/>
    </row>
    <row r="896" ht="15.75" customHeight="1">
      <c r="A896" s="9" t="str">
        <f>IFERROR(__xludf.DUMMYFUNCTION("IF(B896="""","""",RIGHT(regexreplace(B896&amp;"""",""[^0-9]"",""""),9))"),"")</f>
        <v/>
      </c>
      <c r="B896" s="5"/>
      <c r="C896" s="5"/>
      <c r="D896" s="5"/>
      <c r="E896" s="23"/>
      <c r="F896" s="23"/>
      <c r="G896" s="23"/>
      <c r="H896" s="23"/>
      <c r="I896" s="23"/>
      <c r="J896" s="23"/>
      <c r="K896" s="10" t="str">
        <f t="shared" si="1"/>
        <v/>
      </c>
      <c r="L896" s="27"/>
      <c r="M896" s="27"/>
      <c r="N896" s="10" t="str">
        <f t="array" ref="N896">IF(COUNTIF($A$2:A895,A)&gt;0,INDEX($C$2:C895,MATCH(A896,$A$2:A895,0)),"")</f>
        <v/>
      </c>
      <c r="O896" s="17"/>
      <c r="P896" s="29"/>
    </row>
    <row r="897" ht="15.75" customHeight="1">
      <c r="A897" s="9" t="str">
        <f>IFERROR(__xludf.DUMMYFUNCTION("IF(B897="""","""",RIGHT(regexreplace(B897&amp;"""",""[^0-9]"",""""),9))"),"")</f>
        <v/>
      </c>
      <c r="B897" s="5"/>
      <c r="C897" s="5"/>
      <c r="D897" s="5"/>
      <c r="E897" s="23"/>
      <c r="F897" s="23"/>
      <c r="G897" s="23"/>
      <c r="H897" s="23"/>
      <c r="I897" s="23"/>
      <c r="J897" s="23"/>
      <c r="K897" s="10" t="str">
        <f t="shared" si="1"/>
        <v/>
      </c>
      <c r="L897" s="27"/>
      <c r="M897" s="27"/>
      <c r="N897" s="10" t="str">
        <f t="shared" ref="N897:N898" si="301">IF(COUNTIF($A$2:A896,A897)&gt;0,INDEX($C$2:C896,MATCH(A897,$A$2:A896,0)),"")</f>
        <v/>
      </c>
      <c r="O897" s="17"/>
      <c r="P897" s="29"/>
    </row>
    <row r="898" ht="15.75" customHeight="1">
      <c r="A898" s="9" t="str">
        <f>IFERROR(__xludf.DUMMYFUNCTION("IF(B898="""","""",RIGHT(regexreplace(B898&amp;"""",""[^0-9]"",""""),9))"),"")</f>
        <v/>
      </c>
      <c r="B898" s="5"/>
      <c r="C898" s="5"/>
      <c r="D898" s="5"/>
      <c r="E898" s="23"/>
      <c r="F898" s="23"/>
      <c r="G898" s="23"/>
      <c r="H898" s="23"/>
      <c r="I898" s="23"/>
      <c r="J898" s="23"/>
      <c r="K898" s="10" t="str">
        <f t="shared" si="1"/>
        <v/>
      </c>
      <c r="L898" s="27"/>
      <c r="M898" s="27"/>
      <c r="N898" s="10" t="str">
        <f t="shared" si="301"/>
        <v/>
      </c>
      <c r="O898" s="17"/>
      <c r="P898" s="29"/>
    </row>
    <row r="899" ht="15.75" customHeight="1">
      <c r="A899" s="9" t="str">
        <f>IFERROR(__xludf.DUMMYFUNCTION("IF(B899="""","""",RIGHT(regexreplace(B899&amp;"""",""[^0-9]"",""""),9))"),"")</f>
        <v/>
      </c>
      <c r="B899" s="5"/>
      <c r="C899" s="5"/>
      <c r="D899" s="5"/>
      <c r="E899" s="23"/>
      <c r="F899" s="23"/>
      <c r="G899" s="23"/>
      <c r="H899" s="23"/>
      <c r="I899" s="23"/>
      <c r="J899" s="23"/>
      <c r="K899" s="10" t="str">
        <f t="shared" si="1"/>
        <v/>
      </c>
      <c r="L899" s="27"/>
      <c r="M899" s="27"/>
      <c r="N899" s="10" t="str">
        <f t="array" ref="N899">IF(COUNTIF($A$2:A898,A)&gt;0,INDEX($C$2:C898,MATCH(A899,$A$2:A898,0)),"")</f>
        <v/>
      </c>
      <c r="O899" s="17"/>
      <c r="P899" s="29"/>
    </row>
    <row r="900" ht="15.75" customHeight="1">
      <c r="A900" s="9" t="str">
        <f>IFERROR(__xludf.DUMMYFUNCTION("IF(B900="""","""",RIGHT(regexreplace(B900&amp;"""",""[^0-9]"",""""),9))"),"")</f>
        <v/>
      </c>
      <c r="B900" s="5"/>
      <c r="C900" s="5"/>
      <c r="D900" s="5"/>
      <c r="E900" s="23"/>
      <c r="F900" s="23"/>
      <c r="G900" s="23"/>
      <c r="H900" s="23"/>
      <c r="I900" s="23"/>
      <c r="J900" s="23"/>
      <c r="K900" s="10" t="str">
        <f t="shared" si="1"/>
        <v/>
      </c>
      <c r="L900" s="27"/>
      <c r="M900" s="27"/>
      <c r="N900" s="10" t="str">
        <f t="shared" ref="N900:N901" si="302">IF(COUNTIF($A$2:A899,A900)&gt;0,INDEX($C$2:C899,MATCH(A900,$A$2:A899,0)),"")</f>
        <v/>
      </c>
      <c r="O900" s="17"/>
      <c r="P900" s="29"/>
    </row>
    <row r="901" ht="15.75" customHeight="1">
      <c r="A901" s="9" t="str">
        <f>IFERROR(__xludf.DUMMYFUNCTION("IF(B901="""","""",RIGHT(regexreplace(B901&amp;"""",""[^0-9]"",""""),9))"),"")</f>
        <v/>
      </c>
      <c r="B901" s="5"/>
      <c r="C901" s="5"/>
      <c r="D901" s="5"/>
      <c r="E901" s="23"/>
      <c r="F901" s="23"/>
      <c r="G901" s="23"/>
      <c r="H901" s="23"/>
      <c r="I901" s="23"/>
      <c r="J901" s="23"/>
      <c r="K901" s="10" t="str">
        <f t="shared" si="1"/>
        <v/>
      </c>
      <c r="L901" s="27"/>
      <c r="M901" s="27"/>
      <c r="N901" s="10" t="str">
        <f t="shared" si="302"/>
        <v/>
      </c>
      <c r="O901" s="17"/>
      <c r="P901" s="29"/>
    </row>
    <row r="902" ht="15.75" customHeight="1">
      <c r="A902" s="9" t="str">
        <f>IFERROR(__xludf.DUMMYFUNCTION("IF(B902="""","""",RIGHT(regexreplace(B902&amp;"""",""[^0-9]"",""""),9))"),"")</f>
        <v/>
      </c>
      <c r="B902" s="5"/>
      <c r="C902" s="5"/>
      <c r="D902" s="5"/>
      <c r="E902" s="23"/>
      <c r="F902" s="23"/>
      <c r="G902" s="23"/>
      <c r="H902" s="23"/>
      <c r="I902" s="23"/>
      <c r="J902" s="23"/>
      <c r="K902" s="10" t="str">
        <f t="shared" si="1"/>
        <v/>
      </c>
      <c r="L902" s="27"/>
      <c r="M902" s="27"/>
      <c r="N902" s="10" t="str">
        <f t="array" ref="N902">IF(COUNTIF($A$2:A901,A)&gt;0,INDEX($C$2:C901,MATCH(A902,$A$2:A901,0)),"")</f>
        <v/>
      </c>
      <c r="O902" s="17"/>
      <c r="P902" s="29"/>
    </row>
    <row r="903" ht="15.75" customHeight="1">
      <c r="A903" s="9" t="str">
        <f>IFERROR(__xludf.DUMMYFUNCTION("IF(B903="""","""",RIGHT(regexreplace(B903&amp;"""",""[^0-9]"",""""),9))"),"")</f>
        <v/>
      </c>
      <c r="B903" s="5"/>
      <c r="C903" s="5"/>
      <c r="D903" s="5"/>
      <c r="E903" s="23"/>
      <c r="F903" s="23"/>
      <c r="G903" s="23"/>
      <c r="H903" s="23"/>
      <c r="I903" s="23"/>
      <c r="J903" s="23"/>
      <c r="K903" s="10" t="str">
        <f t="shared" si="1"/>
        <v/>
      </c>
      <c r="L903" s="27"/>
      <c r="M903" s="27"/>
      <c r="N903" s="10" t="str">
        <f t="shared" ref="N903:N904" si="303">IF(COUNTIF($A$2:A902,A903)&gt;0,INDEX($C$2:C902,MATCH(A903,$A$2:A902,0)),"")</f>
        <v/>
      </c>
      <c r="O903" s="17"/>
      <c r="P903" s="29"/>
    </row>
    <row r="904" ht="15.75" customHeight="1">
      <c r="A904" s="9" t="str">
        <f>IFERROR(__xludf.DUMMYFUNCTION("IF(B904="""","""",RIGHT(regexreplace(B904&amp;"""",""[^0-9]"",""""),9))"),"")</f>
        <v/>
      </c>
      <c r="B904" s="5"/>
      <c r="C904" s="5"/>
      <c r="D904" s="5"/>
      <c r="E904" s="23"/>
      <c r="F904" s="23"/>
      <c r="G904" s="23"/>
      <c r="H904" s="23"/>
      <c r="I904" s="23"/>
      <c r="J904" s="23"/>
      <c r="K904" s="10" t="str">
        <f t="shared" si="1"/>
        <v/>
      </c>
      <c r="L904" s="27"/>
      <c r="M904" s="27"/>
      <c r="N904" s="10" t="str">
        <f t="shared" si="303"/>
        <v/>
      </c>
      <c r="O904" s="17"/>
      <c r="P904" s="29"/>
    </row>
    <row r="905" ht="15.75" customHeight="1">
      <c r="A905" s="9" t="str">
        <f>IFERROR(__xludf.DUMMYFUNCTION("IF(B905="""","""",RIGHT(regexreplace(B905&amp;"""",""[^0-9]"",""""),9))"),"")</f>
        <v/>
      </c>
      <c r="B905" s="5"/>
      <c r="C905" s="5"/>
      <c r="D905" s="5"/>
      <c r="E905" s="23"/>
      <c r="F905" s="23"/>
      <c r="G905" s="23"/>
      <c r="H905" s="23"/>
      <c r="I905" s="23"/>
      <c r="J905" s="23"/>
      <c r="K905" s="10" t="str">
        <f t="shared" si="1"/>
        <v/>
      </c>
      <c r="L905" s="27"/>
      <c r="M905" s="27"/>
      <c r="N905" s="10" t="str">
        <f t="array" ref="N905">IF(COUNTIF($A$2:A904,A)&gt;0,INDEX($C$2:C904,MATCH(A905,$A$2:A904,0)),"")</f>
        <v/>
      </c>
      <c r="O905" s="17"/>
      <c r="P905" s="29"/>
    </row>
    <row r="906" ht="15.75" customHeight="1">
      <c r="A906" s="9" t="str">
        <f>IFERROR(__xludf.DUMMYFUNCTION("IF(B906="""","""",RIGHT(regexreplace(B906&amp;"""",""[^0-9]"",""""),9))"),"")</f>
        <v/>
      </c>
      <c r="B906" s="5"/>
      <c r="C906" s="5"/>
      <c r="D906" s="5"/>
      <c r="E906" s="23"/>
      <c r="F906" s="23"/>
      <c r="G906" s="23"/>
      <c r="H906" s="23"/>
      <c r="I906" s="23"/>
      <c r="J906" s="23"/>
      <c r="K906" s="10" t="str">
        <f t="shared" si="1"/>
        <v/>
      </c>
      <c r="L906" s="27"/>
      <c r="M906" s="27"/>
      <c r="N906" s="10" t="str">
        <f t="shared" ref="N906:N907" si="304">IF(COUNTIF($A$2:A905,A906)&gt;0,INDEX($C$2:C905,MATCH(A906,$A$2:A905,0)),"")</f>
        <v/>
      </c>
      <c r="O906" s="17"/>
      <c r="P906" s="29"/>
    </row>
    <row r="907" ht="15.75" customHeight="1">
      <c r="A907" s="9" t="str">
        <f>IFERROR(__xludf.DUMMYFUNCTION("IF(B907="""","""",RIGHT(regexreplace(B907&amp;"""",""[^0-9]"",""""),9))"),"")</f>
        <v/>
      </c>
      <c r="B907" s="5"/>
      <c r="C907" s="5"/>
      <c r="D907" s="5"/>
      <c r="E907" s="23"/>
      <c r="F907" s="23"/>
      <c r="G907" s="23"/>
      <c r="H907" s="23"/>
      <c r="I907" s="23"/>
      <c r="J907" s="23"/>
      <c r="K907" s="10" t="str">
        <f t="shared" si="1"/>
        <v/>
      </c>
      <c r="L907" s="27"/>
      <c r="M907" s="27"/>
      <c r="N907" s="10" t="str">
        <f t="shared" si="304"/>
        <v/>
      </c>
      <c r="O907" s="17"/>
      <c r="P907" s="29"/>
    </row>
    <row r="908" ht="15.75" customHeight="1">
      <c r="A908" s="9" t="str">
        <f>IFERROR(__xludf.DUMMYFUNCTION("IF(B908="""","""",RIGHT(regexreplace(B908&amp;"""",""[^0-9]"",""""),9))"),"")</f>
        <v/>
      </c>
      <c r="B908" s="5"/>
      <c r="C908" s="5"/>
      <c r="D908" s="5"/>
      <c r="E908" s="23"/>
      <c r="F908" s="23"/>
      <c r="G908" s="23"/>
      <c r="H908" s="23"/>
      <c r="I908" s="23"/>
      <c r="J908" s="23"/>
      <c r="K908" s="10" t="str">
        <f t="shared" si="1"/>
        <v/>
      </c>
      <c r="L908" s="27"/>
      <c r="M908" s="27"/>
      <c r="N908" s="10" t="str">
        <f t="array" ref="N908">IF(COUNTIF($A$2:A907,A)&gt;0,INDEX($C$2:C907,MATCH(A908,$A$2:A907,0)),"")</f>
        <v/>
      </c>
      <c r="O908" s="17"/>
      <c r="P908" s="29"/>
    </row>
    <row r="909" ht="15.75" customHeight="1">
      <c r="A909" s="9" t="str">
        <f>IFERROR(__xludf.DUMMYFUNCTION("IF(B909="""","""",RIGHT(regexreplace(B909&amp;"""",""[^0-9]"",""""),9))"),"")</f>
        <v/>
      </c>
      <c r="B909" s="5"/>
      <c r="C909" s="5"/>
      <c r="D909" s="5"/>
      <c r="E909" s="23"/>
      <c r="F909" s="23"/>
      <c r="G909" s="23"/>
      <c r="H909" s="23"/>
      <c r="I909" s="23"/>
      <c r="J909" s="23"/>
      <c r="K909" s="10" t="str">
        <f t="shared" si="1"/>
        <v/>
      </c>
      <c r="L909" s="27"/>
      <c r="M909" s="27"/>
      <c r="N909" s="10" t="str">
        <f t="shared" ref="N909:N910" si="305">IF(COUNTIF($A$2:A908,A909)&gt;0,INDEX($C$2:C908,MATCH(A909,$A$2:A908,0)),"")</f>
        <v/>
      </c>
      <c r="O909" s="17"/>
      <c r="P909" s="29"/>
    </row>
    <row r="910" ht="15.75" customHeight="1">
      <c r="A910" s="9" t="str">
        <f>IFERROR(__xludf.DUMMYFUNCTION("IF(B910="""","""",RIGHT(regexreplace(B910&amp;"""",""[^0-9]"",""""),9))"),"")</f>
        <v/>
      </c>
      <c r="B910" s="5"/>
      <c r="C910" s="5"/>
      <c r="D910" s="5"/>
      <c r="E910" s="23"/>
      <c r="F910" s="23"/>
      <c r="G910" s="23"/>
      <c r="H910" s="23"/>
      <c r="I910" s="23"/>
      <c r="J910" s="23"/>
      <c r="K910" s="10" t="str">
        <f t="shared" si="1"/>
        <v/>
      </c>
      <c r="L910" s="27"/>
      <c r="M910" s="27"/>
      <c r="N910" s="10" t="str">
        <f t="shared" si="305"/>
        <v/>
      </c>
      <c r="O910" s="17"/>
      <c r="P910" s="29"/>
    </row>
    <row r="911" ht="15.75" customHeight="1">
      <c r="A911" s="9" t="str">
        <f>IFERROR(__xludf.DUMMYFUNCTION("IF(B911="""","""",RIGHT(regexreplace(B911&amp;"""",""[^0-9]"",""""),9))"),"")</f>
        <v/>
      </c>
      <c r="B911" s="5"/>
      <c r="C911" s="5"/>
      <c r="D911" s="5"/>
      <c r="E911" s="23"/>
      <c r="F911" s="23"/>
      <c r="G911" s="23"/>
      <c r="H911" s="23"/>
      <c r="I911" s="23"/>
      <c r="J911" s="23"/>
      <c r="K911" s="10" t="str">
        <f t="shared" si="1"/>
        <v/>
      </c>
      <c r="L911" s="27"/>
      <c r="M911" s="27"/>
      <c r="N911" s="10" t="str">
        <f t="array" ref="N911">IF(COUNTIF($A$2:A910,A)&gt;0,INDEX($C$2:C910,MATCH(A911,$A$2:A910,0)),"")</f>
        <v/>
      </c>
      <c r="O911" s="17"/>
      <c r="P911" s="29"/>
    </row>
    <row r="912" ht="15.75" customHeight="1">
      <c r="A912" s="9" t="str">
        <f>IFERROR(__xludf.DUMMYFUNCTION("IF(B912="""","""",RIGHT(regexreplace(B912&amp;"""",""[^0-9]"",""""),9))"),"")</f>
        <v/>
      </c>
      <c r="B912" s="5"/>
      <c r="C912" s="5"/>
      <c r="D912" s="5"/>
      <c r="E912" s="23"/>
      <c r="F912" s="23"/>
      <c r="G912" s="23"/>
      <c r="H912" s="23"/>
      <c r="I912" s="23"/>
      <c r="J912" s="23"/>
      <c r="K912" s="10" t="str">
        <f t="shared" si="1"/>
        <v/>
      </c>
      <c r="L912" s="27"/>
      <c r="M912" s="27"/>
      <c r="N912" s="10" t="str">
        <f t="shared" ref="N912:N913" si="306">IF(COUNTIF($A$2:A911,A912)&gt;0,INDEX($C$2:C911,MATCH(A912,$A$2:A911,0)),"")</f>
        <v/>
      </c>
      <c r="O912" s="17"/>
      <c r="P912" s="29"/>
    </row>
    <row r="913" ht="15.75" customHeight="1">
      <c r="A913" s="9" t="str">
        <f>IFERROR(__xludf.DUMMYFUNCTION("IF(B913="""","""",RIGHT(regexreplace(B913&amp;"""",""[^0-9]"",""""),9))"),"")</f>
        <v/>
      </c>
      <c r="B913" s="5"/>
      <c r="C913" s="5"/>
      <c r="D913" s="5"/>
      <c r="E913" s="23"/>
      <c r="F913" s="23"/>
      <c r="G913" s="23"/>
      <c r="H913" s="23"/>
      <c r="I913" s="23"/>
      <c r="J913" s="23"/>
      <c r="K913" s="10" t="str">
        <f t="shared" si="1"/>
        <v/>
      </c>
      <c r="L913" s="27"/>
      <c r="M913" s="27"/>
      <c r="N913" s="10" t="str">
        <f t="shared" si="306"/>
        <v/>
      </c>
      <c r="O913" s="17"/>
      <c r="P913" s="29"/>
    </row>
    <row r="914" ht="15.75" customHeight="1">
      <c r="A914" s="9" t="str">
        <f>IFERROR(__xludf.DUMMYFUNCTION("IF(B914="""","""",RIGHT(regexreplace(B914&amp;"""",""[^0-9]"",""""),9))"),"")</f>
        <v/>
      </c>
      <c r="B914" s="5"/>
      <c r="C914" s="5"/>
      <c r="D914" s="5"/>
      <c r="E914" s="23"/>
      <c r="F914" s="23"/>
      <c r="G914" s="23"/>
      <c r="H914" s="23"/>
      <c r="I914" s="23"/>
      <c r="J914" s="23"/>
      <c r="K914" s="10" t="str">
        <f t="shared" si="1"/>
        <v/>
      </c>
      <c r="L914" s="27"/>
      <c r="M914" s="27"/>
      <c r="N914" s="10" t="str">
        <f t="array" ref="N914">IF(COUNTIF($A$2:A913,A)&gt;0,INDEX($C$2:C913,MATCH(A914,$A$2:A913,0)),"")</f>
        <v/>
      </c>
      <c r="O914" s="17"/>
      <c r="P914" s="29"/>
    </row>
    <row r="915" ht="15.75" customHeight="1">
      <c r="A915" s="9" t="str">
        <f>IFERROR(__xludf.DUMMYFUNCTION("IF(B915="""","""",RIGHT(regexreplace(B915&amp;"""",""[^0-9]"",""""),9))"),"")</f>
        <v/>
      </c>
      <c r="B915" s="5"/>
      <c r="C915" s="5"/>
      <c r="D915" s="5"/>
      <c r="E915" s="23"/>
      <c r="F915" s="23"/>
      <c r="G915" s="23"/>
      <c r="H915" s="23"/>
      <c r="I915" s="23"/>
      <c r="J915" s="23"/>
      <c r="K915" s="10" t="str">
        <f t="shared" si="1"/>
        <v/>
      </c>
      <c r="L915" s="27"/>
      <c r="M915" s="27"/>
      <c r="N915" s="10" t="str">
        <f t="shared" ref="N915:N916" si="307">IF(COUNTIF($A$2:A914,A915)&gt;0,INDEX($C$2:C914,MATCH(A915,$A$2:A914,0)),"")</f>
        <v/>
      </c>
      <c r="O915" s="17"/>
      <c r="P915" s="29"/>
    </row>
    <row r="916" ht="15.75" customHeight="1">
      <c r="A916" s="9" t="str">
        <f>IFERROR(__xludf.DUMMYFUNCTION("IF(B916="""","""",RIGHT(regexreplace(B916&amp;"""",""[^0-9]"",""""),9))"),"")</f>
        <v/>
      </c>
      <c r="B916" s="5"/>
      <c r="C916" s="5"/>
      <c r="D916" s="5"/>
      <c r="E916" s="23"/>
      <c r="F916" s="23"/>
      <c r="G916" s="23"/>
      <c r="H916" s="23"/>
      <c r="I916" s="23"/>
      <c r="J916" s="23"/>
      <c r="K916" s="10" t="str">
        <f t="shared" si="1"/>
        <v/>
      </c>
      <c r="L916" s="27"/>
      <c r="M916" s="27"/>
      <c r="N916" s="10" t="str">
        <f t="shared" si="307"/>
        <v/>
      </c>
      <c r="O916" s="17"/>
      <c r="P916" s="29"/>
    </row>
    <row r="917" ht="15.75" customHeight="1">
      <c r="A917" s="9" t="str">
        <f>IFERROR(__xludf.DUMMYFUNCTION("IF(B917="""","""",RIGHT(regexreplace(B917&amp;"""",""[^0-9]"",""""),9))"),"")</f>
        <v/>
      </c>
      <c r="B917" s="5"/>
      <c r="C917" s="5"/>
      <c r="D917" s="5"/>
      <c r="E917" s="23"/>
      <c r="F917" s="23"/>
      <c r="G917" s="23"/>
      <c r="H917" s="23"/>
      <c r="I917" s="23"/>
      <c r="J917" s="23"/>
      <c r="K917" s="10" t="str">
        <f t="shared" si="1"/>
        <v/>
      </c>
      <c r="L917" s="27"/>
      <c r="M917" s="27"/>
      <c r="N917" s="10" t="str">
        <f t="array" ref="N917">IF(COUNTIF($A$2:A916,A)&gt;0,INDEX($C$2:C916,MATCH(A917,$A$2:A916,0)),"")</f>
        <v/>
      </c>
      <c r="O917" s="17"/>
      <c r="P917" s="29"/>
    </row>
    <row r="918" ht="15.75" customHeight="1">
      <c r="A918" s="9" t="str">
        <f>IFERROR(__xludf.DUMMYFUNCTION("IF(B918="""","""",RIGHT(regexreplace(B918&amp;"""",""[^0-9]"",""""),9))"),"")</f>
        <v/>
      </c>
      <c r="B918" s="5"/>
      <c r="C918" s="5"/>
      <c r="D918" s="5"/>
      <c r="E918" s="23"/>
      <c r="F918" s="23"/>
      <c r="G918" s="23"/>
      <c r="H918" s="23"/>
      <c r="I918" s="23"/>
      <c r="J918" s="23"/>
      <c r="K918" s="10" t="str">
        <f t="shared" si="1"/>
        <v/>
      </c>
      <c r="L918" s="27"/>
      <c r="M918" s="27"/>
      <c r="N918" s="10" t="str">
        <f t="shared" ref="N918:N919" si="308">IF(COUNTIF($A$2:A917,A918)&gt;0,INDEX($C$2:C917,MATCH(A918,$A$2:A917,0)),"")</f>
        <v/>
      </c>
      <c r="O918" s="17"/>
      <c r="P918" s="29"/>
    </row>
    <row r="919" ht="15.75" customHeight="1">
      <c r="A919" s="9" t="str">
        <f>IFERROR(__xludf.DUMMYFUNCTION("IF(B919="""","""",RIGHT(regexreplace(B919&amp;"""",""[^0-9]"",""""),9))"),"")</f>
        <v/>
      </c>
      <c r="B919" s="5"/>
      <c r="C919" s="5"/>
      <c r="D919" s="5"/>
      <c r="E919" s="23"/>
      <c r="F919" s="23"/>
      <c r="G919" s="23"/>
      <c r="H919" s="23"/>
      <c r="I919" s="23"/>
      <c r="J919" s="23"/>
      <c r="K919" s="10" t="str">
        <f t="shared" si="1"/>
        <v/>
      </c>
      <c r="L919" s="27"/>
      <c r="M919" s="27"/>
      <c r="N919" s="10" t="str">
        <f t="shared" si="308"/>
        <v/>
      </c>
      <c r="O919" s="17"/>
      <c r="P919" s="29"/>
    </row>
    <row r="920" ht="15.75" customHeight="1">
      <c r="A920" s="9" t="str">
        <f>IFERROR(__xludf.DUMMYFUNCTION("IF(B920="""","""",RIGHT(regexreplace(B920&amp;"""",""[^0-9]"",""""),9))"),"")</f>
        <v/>
      </c>
      <c r="B920" s="5"/>
      <c r="C920" s="5"/>
      <c r="D920" s="5"/>
      <c r="E920" s="23"/>
      <c r="F920" s="23"/>
      <c r="G920" s="23"/>
      <c r="H920" s="23"/>
      <c r="I920" s="23"/>
      <c r="J920" s="23"/>
      <c r="K920" s="10" t="str">
        <f t="shared" si="1"/>
        <v/>
      </c>
      <c r="L920" s="27"/>
      <c r="M920" s="27"/>
      <c r="N920" s="10" t="str">
        <f t="array" ref="N920">IF(COUNTIF($A$2:A919,A)&gt;0,INDEX($C$2:C919,MATCH(A920,$A$2:A919,0)),"")</f>
        <v/>
      </c>
      <c r="O920" s="17"/>
      <c r="P920" s="29"/>
    </row>
    <row r="921" ht="15.75" customHeight="1">
      <c r="A921" s="9" t="str">
        <f>IFERROR(__xludf.DUMMYFUNCTION("IF(B921="""","""",RIGHT(regexreplace(B921&amp;"""",""[^0-9]"",""""),9))"),"")</f>
        <v/>
      </c>
      <c r="B921" s="5"/>
      <c r="C921" s="5"/>
      <c r="D921" s="5"/>
      <c r="E921" s="23"/>
      <c r="F921" s="23"/>
      <c r="G921" s="23"/>
      <c r="H921" s="23"/>
      <c r="I921" s="23"/>
      <c r="J921" s="23"/>
      <c r="K921" s="10" t="str">
        <f t="shared" si="1"/>
        <v/>
      </c>
      <c r="L921" s="27"/>
      <c r="M921" s="27"/>
      <c r="N921" s="10" t="str">
        <f t="shared" ref="N921:N922" si="309">IF(COUNTIF($A$2:A920,A921)&gt;0,INDEX($C$2:C920,MATCH(A921,$A$2:A920,0)),"")</f>
        <v/>
      </c>
      <c r="O921" s="17"/>
      <c r="P921" s="29"/>
    </row>
    <row r="922" ht="15.75" customHeight="1">
      <c r="A922" s="9" t="str">
        <f>IFERROR(__xludf.DUMMYFUNCTION("IF(B922="""","""",RIGHT(regexreplace(B922&amp;"""",""[^0-9]"",""""),9))"),"")</f>
        <v/>
      </c>
      <c r="B922" s="5"/>
      <c r="C922" s="5"/>
      <c r="D922" s="5"/>
      <c r="E922" s="23"/>
      <c r="F922" s="23"/>
      <c r="G922" s="23"/>
      <c r="H922" s="23"/>
      <c r="I922" s="23"/>
      <c r="J922" s="23"/>
      <c r="K922" s="10" t="str">
        <f t="shared" si="1"/>
        <v/>
      </c>
      <c r="L922" s="27"/>
      <c r="M922" s="27"/>
      <c r="N922" s="10" t="str">
        <f t="shared" si="309"/>
        <v/>
      </c>
      <c r="O922" s="17"/>
      <c r="P922" s="29"/>
    </row>
    <row r="923" ht="15.75" customHeight="1">
      <c r="A923" s="9" t="str">
        <f>IFERROR(__xludf.DUMMYFUNCTION("IF(B923="""","""",RIGHT(regexreplace(B923&amp;"""",""[^0-9]"",""""),9))"),"")</f>
        <v/>
      </c>
      <c r="B923" s="5"/>
      <c r="C923" s="5"/>
      <c r="D923" s="5"/>
      <c r="E923" s="23"/>
      <c r="F923" s="23"/>
      <c r="G923" s="23"/>
      <c r="H923" s="23"/>
      <c r="I923" s="23"/>
      <c r="J923" s="23"/>
      <c r="K923" s="10" t="str">
        <f t="shared" si="1"/>
        <v/>
      </c>
      <c r="L923" s="27"/>
      <c r="M923" s="27"/>
      <c r="N923" s="10" t="str">
        <f t="array" ref="N923">IF(COUNTIF($A$2:A922,A)&gt;0,INDEX($C$2:C922,MATCH(A923,$A$2:A922,0)),"")</f>
        <v/>
      </c>
      <c r="O923" s="17"/>
      <c r="P923" s="29"/>
    </row>
    <row r="924" ht="15.75" customHeight="1">
      <c r="A924" s="9" t="str">
        <f>IFERROR(__xludf.DUMMYFUNCTION("IF(B924="""","""",RIGHT(regexreplace(B924&amp;"""",""[^0-9]"",""""),9))"),"")</f>
        <v/>
      </c>
      <c r="B924" s="5"/>
      <c r="C924" s="5"/>
      <c r="D924" s="5"/>
      <c r="E924" s="23"/>
      <c r="F924" s="23"/>
      <c r="G924" s="23"/>
      <c r="H924" s="23"/>
      <c r="I924" s="23"/>
      <c r="J924" s="23"/>
      <c r="K924" s="10" t="str">
        <f t="shared" si="1"/>
        <v/>
      </c>
      <c r="L924" s="27"/>
      <c r="M924" s="27"/>
      <c r="N924" s="10" t="str">
        <f t="shared" ref="N924:N925" si="310">IF(COUNTIF($A$2:A923,A924)&gt;0,INDEX($C$2:C923,MATCH(A924,$A$2:A923,0)),"")</f>
        <v/>
      </c>
      <c r="O924" s="17"/>
      <c r="P924" s="29"/>
    </row>
    <row r="925" ht="15.75" customHeight="1">
      <c r="A925" s="9" t="str">
        <f>IFERROR(__xludf.DUMMYFUNCTION("IF(B925="""","""",RIGHT(regexreplace(B925&amp;"""",""[^0-9]"",""""),9))"),"")</f>
        <v/>
      </c>
      <c r="B925" s="5"/>
      <c r="C925" s="5"/>
      <c r="D925" s="5"/>
      <c r="E925" s="23"/>
      <c r="F925" s="23"/>
      <c r="G925" s="23"/>
      <c r="H925" s="23"/>
      <c r="I925" s="23"/>
      <c r="J925" s="23"/>
      <c r="K925" s="10" t="str">
        <f t="shared" si="1"/>
        <v/>
      </c>
      <c r="L925" s="27"/>
      <c r="M925" s="27"/>
      <c r="N925" s="10" t="str">
        <f t="shared" si="310"/>
        <v/>
      </c>
      <c r="O925" s="17"/>
      <c r="P925" s="29"/>
    </row>
    <row r="926" ht="15.75" customHeight="1">
      <c r="A926" s="9" t="str">
        <f>IFERROR(__xludf.DUMMYFUNCTION("IF(B926="""","""",RIGHT(regexreplace(B926&amp;"""",""[^0-9]"",""""),9))"),"")</f>
        <v/>
      </c>
      <c r="B926" s="5"/>
      <c r="C926" s="5"/>
      <c r="D926" s="5"/>
      <c r="E926" s="23"/>
      <c r="F926" s="23"/>
      <c r="G926" s="23"/>
      <c r="H926" s="23"/>
      <c r="I926" s="23"/>
      <c r="J926" s="23"/>
      <c r="K926" s="10" t="str">
        <f t="shared" si="1"/>
        <v/>
      </c>
      <c r="L926" s="27"/>
      <c r="M926" s="27"/>
      <c r="N926" s="10" t="str">
        <f t="array" ref="N926">IF(COUNTIF($A$2:A925,A)&gt;0,INDEX($C$2:C925,MATCH(A926,$A$2:A925,0)),"")</f>
        <v/>
      </c>
      <c r="O926" s="17"/>
      <c r="P926" s="29"/>
    </row>
    <row r="927" ht="15.75" customHeight="1">
      <c r="A927" s="9" t="str">
        <f>IFERROR(__xludf.DUMMYFUNCTION("IF(B927="""","""",RIGHT(regexreplace(B927&amp;"""",""[^0-9]"",""""),9))"),"")</f>
        <v/>
      </c>
      <c r="B927" s="5"/>
      <c r="C927" s="5"/>
      <c r="D927" s="5"/>
      <c r="E927" s="23"/>
      <c r="F927" s="23"/>
      <c r="G927" s="23"/>
      <c r="H927" s="23"/>
      <c r="I927" s="23"/>
      <c r="J927" s="23"/>
      <c r="K927" s="10" t="str">
        <f t="shared" si="1"/>
        <v/>
      </c>
      <c r="L927" s="27"/>
      <c r="M927" s="27"/>
      <c r="N927" s="10" t="str">
        <f t="shared" ref="N927:N928" si="311">IF(COUNTIF($A$2:A926,A927)&gt;0,INDEX($C$2:C926,MATCH(A927,$A$2:A926,0)),"")</f>
        <v/>
      </c>
      <c r="O927" s="17"/>
      <c r="P927" s="29"/>
    </row>
    <row r="928" ht="15.75" customHeight="1">
      <c r="A928" s="9" t="str">
        <f>IFERROR(__xludf.DUMMYFUNCTION("IF(B928="""","""",RIGHT(regexreplace(B928&amp;"""",""[^0-9]"",""""),9))"),"")</f>
        <v/>
      </c>
      <c r="B928" s="5"/>
      <c r="C928" s="5"/>
      <c r="D928" s="5"/>
      <c r="E928" s="23"/>
      <c r="F928" s="23"/>
      <c r="G928" s="23"/>
      <c r="H928" s="23"/>
      <c r="I928" s="23"/>
      <c r="J928" s="23"/>
      <c r="K928" s="10" t="str">
        <f t="shared" si="1"/>
        <v/>
      </c>
      <c r="L928" s="27"/>
      <c r="M928" s="27"/>
      <c r="N928" s="10" t="str">
        <f t="shared" si="311"/>
        <v/>
      </c>
      <c r="O928" s="17"/>
      <c r="P928" s="29"/>
    </row>
    <row r="929" ht="15.75" customHeight="1">
      <c r="A929" s="9" t="str">
        <f>IFERROR(__xludf.DUMMYFUNCTION("IF(B929="""","""",RIGHT(regexreplace(B929&amp;"""",""[^0-9]"",""""),9))"),"")</f>
        <v/>
      </c>
      <c r="B929" s="5"/>
      <c r="C929" s="5"/>
      <c r="D929" s="5"/>
      <c r="E929" s="23"/>
      <c r="F929" s="23"/>
      <c r="G929" s="23"/>
      <c r="H929" s="23"/>
      <c r="I929" s="23"/>
      <c r="J929" s="23"/>
      <c r="K929" s="10" t="str">
        <f t="shared" si="1"/>
        <v/>
      </c>
      <c r="L929" s="27"/>
      <c r="M929" s="27"/>
      <c r="N929" s="10" t="str">
        <f t="array" ref="N929">IF(COUNTIF($A$2:A928,A)&gt;0,INDEX($C$2:C928,MATCH(A929,$A$2:A928,0)),"")</f>
        <v/>
      </c>
      <c r="O929" s="17"/>
      <c r="P929" s="29"/>
    </row>
    <row r="930" ht="15.75" customHeight="1">
      <c r="A930" s="9" t="str">
        <f>IFERROR(__xludf.DUMMYFUNCTION("IF(B930="""","""",RIGHT(regexreplace(B930&amp;"""",""[^0-9]"",""""),9))"),"")</f>
        <v/>
      </c>
      <c r="B930" s="5"/>
      <c r="C930" s="5"/>
      <c r="D930" s="5"/>
      <c r="E930" s="23"/>
      <c r="F930" s="23"/>
      <c r="G930" s="23"/>
      <c r="H930" s="23"/>
      <c r="I930" s="23"/>
      <c r="J930" s="23"/>
      <c r="K930" s="10" t="str">
        <f t="shared" si="1"/>
        <v/>
      </c>
      <c r="L930" s="27"/>
      <c r="M930" s="27"/>
      <c r="N930" s="10" t="str">
        <f t="shared" ref="N930:N931" si="312">IF(COUNTIF($A$2:A929,A930)&gt;0,INDEX($C$2:C929,MATCH(A930,$A$2:A929,0)),"")</f>
        <v/>
      </c>
      <c r="O930" s="17"/>
      <c r="P930" s="29"/>
    </row>
    <row r="931" ht="15.75" customHeight="1">
      <c r="A931" s="9" t="str">
        <f>IFERROR(__xludf.DUMMYFUNCTION("IF(B931="""","""",RIGHT(regexreplace(B931&amp;"""",""[^0-9]"",""""),9))"),"")</f>
        <v/>
      </c>
      <c r="B931" s="5"/>
      <c r="C931" s="5"/>
      <c r="D931" s="5"/>
      <c r="E931" s="23"/>
      <c r="F931" s="23"/>
      <c r="G931" s="23"/>
      <c r="H931" s="23"/>
      <c r="I931" s="23"/>
      <c r="J931" s="23"/>
      <c r="K931" s="10" t="str">
        <f t="shared" si="1"/>
        <v/>
      </c>
      <c r="L931" s="27"/>
      <c r="M931" s="27"/>
      <c r="N931" s="10" t="str">
        <f t="shared" si="312"/>
        <v/>
      </c>
      <c r="O931" s="17"/>
      <c r="P931" s="29"/>
    </row>
    <row r="932" ht="15.75" customHeight="1">
      <c r="A932" s="9" t="str">
        <f>IFERROR(__xludf.DUMMYFUNCTION("IF(B932="""","""",RIGHT(regexreplace(B932&amp;"""",""[^0-9]"",""""),9))"),"")</f>
        <v/>
      </c>
      <c r="B932" s="5"/>
      <c r="C932" s="5"/>
      <c r="D932" s="5"/>
      <c r="E932" s="23"/>
      <c r="F932" s="23"/>
      <c r="G932" s="23"/>
      <c r="H932" s="23"/>
      <c r="I932" s="23"/>
      <c r="J932" s="23"/>
      <c r="K932" s="10" t="str">
        <f t="shared" si="1"/>
        <v/>
      </c>
      <c r="L932" s="27"/>
      <c r="M932" s="27"/>
      <c r="N932" s="10" t="str">
        <f t="array" ref="N932">IF(COUNTIF($A$2:A931,A)&gt;0,INDEX($C$2:C931,MATCH(A932,$A$2:A931,0)),"")</f>
        <v/>
      </c>
      <c r="O932" s="17"/>
      <c r="P932" s="29"/>
    </row>
    <row r="933" ht="15.75" customHeight="1">
      <c r="A933" s="9" t="str">
        <f>IFERROR(__xludf.DUMMYFUNCTION("IF(B933="""","""",RIGHT(regexreplace(B933&amp;"""",""[^0-9]"",""""),9))"),"")</f>
        <v/>
      </c>
      <c r="B933" s="5"/>
      <c r="C933" s="5"/>
      <c r="D933" s="5"/>
      <c r="E933" s="23"/>
      <c r="F933" s="23"/>
      <c r="G933" s="23"/>
      <c r="H933" s="23"/>
      <c r="I933" s="23"/>
      <c r="J933" s="23"/>
      <c r="K933" s="10" t="str">
        <f t="shared" si="1"/>
        <v/>
      </c>
      <c r="L933" s="27"/>
      <c r="M933" s="27"/>
      <c r="N933" s="10" t="str">
        <f t="shared" ref="N933:N934" si="313">IF(COUNTIF($A$2:A932,A933)&gt;0,INDEX($C$2:C932,MATCH(A933,$A$2:A932,0)),"")</f>
        <v/>
      </c>
      <c r="O933" s="17"/>
      <c r="P933" s="29"/>
    </row>
    <row r="934" ht="15.75" customHeight="1">
      <c r="A934" s="9" t="str">
        <f>IFERROR(__xludf.DUMMYFUNCTION("IF(B934="""","""",RIGHT(regexreplace(B934&amp;"""",""[^0-9]"",""""),9))"),"")</f>
        <v/>
      </c>
      <c r="B934" s="5"/>
      <c r="C934" s="5"/>
      <c r="D934" s="5"/>
      <c r="E934" s="23"/>
      <c r="F934" s="23"/>
      <c r="G934" s="23"/>
      <c r="H934" s="23"/>
      <c r="I934" s="23"/>
      <c r="J934" s="23"/>
      <c r="K934" s="10" t="str">
        <f t="shared" si="1"/>
        <v/>
      </c>
      <c r="L934" s="27"/>
      <c r="M934" s="27"/>
      <c r="N934" s="10" t="str">
        <f t="shared" si="313"/>
        <v/>
      </c>
      <c r="O934" s="17"/>
      <c r="P934" s="29"/>
    </row>
    <row r="935" ht="15.75" customHeight="1">
      <c r="A935" s="9" t="str">
        <f>IFERROR(__xludf.DUMMYFUNCTION("IF(B935="""","""",RIGHT(regexreplace(B935&amp;"""",""[^0-9]"",""""),9))"),"")</f>
        <v/>
      </c>
      <c r="B935" s="5"/>
      <c r="C935" s="5"/>
      <c r="D935" s="5"/>
      <c r="E935" s="23"/>
      <c r="F935" s="23"/>
      <c r="G935" s="23"/>
      <c r="H935" s="23"/>
      <c r="I935" s="23"/>
      <c r="J935" s="23"/>
      <c r="K935" s="10" t="str">
        <f t="shared" si="1"/>
        <v/>
      </c>
      <c r="L935" s="27"/>
      <c r="M935" s="27"/>
      <c r="N935" s="10" t="str">
        <f t="array" ref="N935">IF(COUNTIF($A$2:A934,A)&gt;0,INDEX($C$2:C934,MATCH(A935,$A$2:A934,0)),"")</f>
        <v/>
      </c>
      <c r="O935" s="17"/>
      <c r="P935" s="29"/>
    </row>
    <row r="936" ht="15.75" customHeight="1">
      <c r="A936" s="9" t="str">
        <f>IFERROR(__xludf.DUMMYFUNCTION("IF(B936="""","""",RIGHT(regexreplace(B936&amp;"""",""[^0-9]"",""""),9))"),"")</f>
        <v/>
      </c>
      <c r="B936" s="5"/>
      <c r="C936" s="5"/>
      <c r="D936" s="5"/>
      <c r="E936" s="23"/>
      <c r="F936" s="23"/>
      <c r="G936" s="23"/>
      <c r="H936" s="23"/>
      <c r="I936" s="23"/>
      <c r="J936" s="23"/>
      <c r="K936" s="10" t="str">
        <f t="shared" si="1"/>
        <v/>
      </c>
      <c r="L936" s="27"/>
      <c r="M936" s="27"/>
      <c r="N936" s="10" t="str">
        <f t="shared" ref="N936:N937" si="314">IF(COUNTIF($A$2:A935,A936)&gt;0,INDEX($C$2:C935,MATCH(A936,$A$2:A935,0)),"")</f>
        <v/>
      </c>
      <c r="O936" s="17"/>
      <c r="P936" s="29"/>
    </row>
    <row r="937" ht="15.75" customHeight="1">
      <c r="A937" s="9" t="str">
        <f>IFERROR(__xludf.DUMMYFUNCTION("IF(B937="""","""",RIGHT(regexreplace(B937&amp;"""",""[^0-9]"",""""),9))"),"")</f>
        <v/>
      </c>
      <c r="B937" s="5"/>
      <c r="C937" s="5"/>
      <c r="D937" s="5"/>
      <c r="E937" s="23"/>
      <c r="F937" s="23"/>
      <c r="G937" s="23"/>
      <c r="H937" s="23"/>
      <c r="I937" s="23"/>
      <c r="J937" s="23"/>
      <c r="K937" s="10" t="str">
        <f t="shared" si="1"/>
        <v/>
      </c>
      <c r="L937" s="27"/>
      <c r="M937" s="27"/>
      <c r="N937" s="10" t="str">
        <f t="shared" si="314"/>
        <v/>
      </c>
      <c r="O937" s="17"/>
      <c r="P937" s="29"/>
    </row>
    <row r="938" ht="15.75" customHeight="1">
      <c r="A938" s="9" t="str">
        <f>IFERROR(__xludf.DUMMYFUNCTION("IF(B938="""","""",RIGHT(regexreplace(B938&amp;"""",""[^0-9]"",""""),9))"),"")</f>
        <v/>
      </c>
      <c r="B938" s="5"/>
      <c r="C938" s="5"/>
      <c r="D938" s="5"/>
      <c r="E938" s="23"/>
      <c r="F938" s="23"/>
      <c r="G938" s="23"/>
      <c r="H938" s="23"/>
      <c r="I938" s="23"/>
      <c r="J938" s="23"/>
      <c r="K938" s="10" t="str">
        <f t="shared" si="1"/>
        <v/>
      </c>
      <c r="L938" s="27"/>
      <c r="M938" s="27"/>
      <c r="N938" s="10" t="str">
        <f t="array" ref="N938">IF(COUNTIF($A$2:A937,A)&gt;0,INDEX($C$2:C937,MATCH(A938,$A$2:A937,0)),"")</f>
        <v/>
      </c>
      <c r="O938" s="17"/>
      <c r="P938" s="29"/>
    </row>
    <row r="939" ht="15.75" customHeight="1">
      <c r="A939" s="9" t="str">
        <f>IFERROR(__xludf.DUMMYFUNCTION("IF(B939="""","""",RIGHT(regexreplace(B939&amp;"""",""[^0-9]"",""""),9))"),"")</f>
        <v/>
      </c>
      <c r="B939" s="5"/>
      <c r="C939" s="5"/>
      <c r="D939" s="5"/>
      <c r="E939" s="23"/>
      <c r="F939" s="23"/>
      <c r="G939" s="23"/>
      <c r="H939" s="23"/>
      <c r="I939" s="23"/>
      <c r="J939" s="23"/>
      <c r="K939" s="10" t="str">
        <f t="shared" si="1"/>
        <v/>
      </c>
      <c r="L939" s="27"/>
      <c r="M939" s="27"/>
      <c r="N939" s="10" t="str">
        <f t="shared" ref="N939:N940" si="315">IF(COUNTIF($A$2:A938,A939)&gt;0,INDEX($C$2:C938,MATCH(A939,$A$2:A938,0)),"")</f>
        <v/>
      </c>
      <c r="O939" s="17"/>
      <c r="P939" s="29"/>
    </row>
    <row r="940" ht="15.75" customHeight="1">
      <c r="A940" s="9" t="str">
        <f>IFERROR(__xludf.DUMMYFUNCTION("IF(B940="""","""",RIGHT(regexreplace(B940&amp;"""",""[^0-9]"",""""),9))"),"")</f>
        <v/>
      </c>
      <c r="B940" s="5"/>
      <c r="C940" s="5"/>
      <c r="D940" s="5"/>
      <c r="E940" s="23"/>
      <c r="F940" s="23"/>
      <c r="G940" s="23"/>
      <c r="H940" s="23"/>
      <c r="I940" s="23"/>
      <c r="J940" s="23"/>
      <c r="K940" s="10" t="str">
        <f t="shared" si="1"/>
        <v/>
      </c>
      <c r="L940" s="27"/>
      <c r="M940" s="27"/>
      <c r="N940" s="10" t="str">
        <f t="shared" si="315"/>
        <v/>
      </c>
      <c r="O940" s="17"/>
      <c r="P940" s="29"/>
    </row>
    <row r="941" ht="15.75" customHeight="1">
      <c r="A941" s="9" t="str">
        <f>IFERROR(__xludf.DUMMYFUNCTION("IF(B941="""","""",RIGHT(regexreplace(B941&amp;"""",""[^0-9]"",""""),9))"),"")</f>
        <v/>
      </c>
      <c r="B941" s="5"/>
      <c r="C941" s="5"/>
      <c r="D941" s="5"/>
      <c r="E941" s="23"/>
      <c r="F941" s="23"/>
      <c r="G941" s="23"/>
      <c r="H941" s="23"/>
      <c r="I941" s="23"/>
      <c r="J941" s="23"/>
      <c r="K941" s="10" t="str">
        <f t="shared" si="1"/>
        <v/>
      </c>
      <c r="L941" s="27"/>
      <c r="M941" s="27"/>
      <c r="N941" s="10" t="str">
        <f t="array" ref="N941">IF(COUNTIF($A$2:A940,A)&gt;0,INDEX($C$2:C940,MATCH(A941,$A$2:A940,0)),"")</f>
        <v/>
      </c>
      <c r="O941" s="17"/>
      <c r="P941" s="29"/>
    </row>
    <row r="942" ht="15.75" customHeight="1">
      <c r="A942" s="9" t="str">
        <f>IFERROR(__xludf.DUMMYFUNCTION("IF(B942="""","""",RIGHT(regexreplace(B942&amp;"""",""[^0-9]"",""""),9))"),"")</f>
        <v/>
      </c>
      <c r="B942" s="5"/>
      <c r="C942" s="5"/>
      <c r="D942" s="5"/>
      <c r="E942" s="23"/>
      <c r="F942" s="23"/>
      <c r="G942" s="23"/>
      <c r="H942" s="23"/>
      <c r="I942" s="23"/>
      <c r="J942" s="23"/>
      <c r="K942" s="10" t="str">
        <f t="shared" si="1"/>
        <v/>
      </c>
      <c r="L942" s="27"/>
      <c r="M942" s="27"/>
      <c r="N942" s="10" t="str">
        <f t="shared" ref="N942:N943" si="316">IF(COUNTIF($A$2:A941,A942)&gt;0,INDEX($C$2:C941,MATCH(A942,$A$2:A941,0)),"")</f>
        <v/>
      </c>
      <c r="O942" s="17"/>
      <c r="P942" s="29"/>
    </row>
    <row r="943" ht="15.75" customHeight="1">
      <c r="A943" s="9" t="str">
        <f>IFERROR(__xludf.DUMMYFUNCTION("IF(B943="""","""",RIGHT(regexreplace(B943&amp;"""",""[^0-9]"",""""),9))"),"")</f>
        <v/>
      </c>
      <c r="B943" s="5"/>
      <c r="C943" s="5"/>
      <c r="D943" s="5"/>
      <c r="E943" s="23"/>
      <c r="F943" s="23"/>
      <c r="G943" s="23"/>
      <c r="H943" s="23"/>
      <c r="I943" s="23"/>
      <c r="J943" s="23"/>
      <c r="K943" s="10" t="str">
        <f t="shared" si="1"/>
        <v/>
      </c>
      <c r="L943" s="27"/>
      <c r="M943" s="27"/>
      <c r="N943" s="10" t="str">
        <f t="shared" si="316"/>
        <v/>
      </c>
      <c r="O943" s="17"/>
      <c r="P943" s="29"/>
    </row>
    <row r="944" ht="15.75" customHeight="1">
      <c r="A944" s="9" t="str">
        <f>IFERROR(__xludf.DUMMYFUNCTION("IF(B944="""","""",RIGHT(regexreplace(B944&amp;"""",""[^0-9]"",""""),9))"),"")</f>
        <v/>
      </c>
      <c r="B944" s="5"/>
      <c r="C944" s="5"/>
      <c r="D944" s="5"/>
      <c r="E944" s="23"/>
      <c r="F944" s="23"/>
      <c r="G944" s="23"/>
      <c r="H944" s="23"/>
      <c r="I944" s="23"/>
      <c r="J944" s="23"/>
      <c r="K944" s="10" t="str">
        <f t="shared" si="1"/>
        <v/>
      </c>
      <c r="L944" s="27"/>
      <c r="M944" s="27"/>
      <c r="N944" s="10" t="str">
        <f t="array" ref="N944">IF(COUNTIF($A$2:A943,A)&gt;0,INDEX($C$2:C943,MATCH(A944,$A$2:A943,0)),"")</f>
        <v/>
      </c>
      <c r="O944" s="17"/>
      <c r="P944" s="29"/>
    </row>
    <row r="945" ht="15.75" customHeight="1">
      <c r="A945" s="9" t="str">
        <f>IFERROR(__xludf.DUMMYFUNCTION("IF(B945="""","""",RIGHT(regexreplace(B945&amp;"""",""[^0-9]"",""""),9))"),"")</f>
        <v/>
      </c>
      <c r="B945" s="5"/>
      <c r="C945" s="5"/>
      <c r="D945" s="5"/>
      <c r="E945" s="23"/>
      <c r="F945" s="23"/>
      <c r="G945" s="23"/>
      <c r="H945" s="23"/>
      <c r="I945" s="23"/>
      <c r="J945" s="23"/>
      <c r="K945" s="10" t="str">
        <f t="shared" si="1"/>
        <v/>
      </c>
      <c r="L945" s="27"/>
      <c r="M945" s="27"/>
      <c r="N945" s="10" t="str">
        <f t="shared" ref="N945:N946" si="317">IF(COUNTIF($A$2:A944,A945)&gt;0,INDEX($C$2:C944,MATCH(A945,$A$2:A944,0)),"")</f>
        <v/>
      </c>
      <c r="O945" s="17"/>
      <c r="P945" s="29"/>
    </row>
    <row r="946" ht="15.75" customHeight="1">
      <c r="A946" s="9" t="str">
        <f>IFERROR(__xludf.DUMMYFUNCTION("IF(B946="""","""",RIGHT(regexreplace(B946&amp;"""",""[^0-9]"",""""),9))"),"")</f>
        <v/>
      </c>
      <c r="B946" s="5"/>
      <c r="C946" s="5"/>
      <c r="D946" s="5"/>
      <c r="E946" s="23"/>
      <c r="F946" s="23"/>
      <c r="G946" s="23"/>
      <c r="H946" s="23"/>
      <c r="I946" s="23"/>
      <c r="J946" s="23"/>
      <c r="K946" s="10" t="str">
        <f t="shared" si="1"/>
        <v/>
      </c>
      <c r="L946" s="27"/>
      <c r="M946" s="27"/>
      <c r="N946" s="10" t="str">
        <f t="shared" si="317"/>
        <v/>
      </c>
      <c r="O946" s="17"/>
      <c r="P946" s="29"/>
    </row>
    <row r="947" ht="15.75" customHeight="1">
      <c r="A947" s="9" t="str">
        <f>IFERROR(__xludf.DUMMYFUNCTION("IF(B947="""","""",RIGHT(regexreplace(B947&amp;"""",""[^0-9]"",""""),9))"),"")</f>
        <v/>
      </c>
      <c r="B947" s="5"/>
      <c r="C947" s="5"/>
      <c r="D947" s="5"/>
      <c r="E947" s="23"/>
      <c r="F947" s="23"/>
      <c r="G947" s="23"/>
      <c r="H947" s="23"/>
      <c r="I947" s="23"/>
      <c r="J947" s="23"/>
      <c r="K947" s="10" t="str">
        <f t="shared" si="1"/>
        <v/>
      </c>
      <c r="L947" s="27"/>
      <c r="M947" s="27"/>
      <c r="N947" s="10" t="str">
        <f t="array" ref="N947">IF(COUNTIF($A$2:A946,A)&gt;0,INDEX($C$2:C946,MATCH(A947,$A$2:A946,0)),"")</f>
        <v/>
      </c>
      <c r="O947" s="17"/>
      <c r="P947" s="29"/>
    </row>
    <row r="948" ht="15.75" customHeight="1">
      <c r="A948" s="9" t="str">
        <f>IFERROR(__xludf.DUMMYFUNCTION("IF(B948="""","""",RIGHT(regexreplace(B948&amp;"""",""[^0-9]"",""""),9))"),"")</f>
        <v/>
      </c>
      <c r="B948" s="5"/>
      <c r="C948" s="5"/>
      <c r="D948" s="5"/>
      <c r="E948" s="23"/>
      <c r="F948" s="23"/>
      <c r="G948" s="23"/>
      <c r="H948" s="23"/>
      <c r="I948" s="23"/>
      <c r="J948" s="23"/>
      <c r="K948" s="10" t="str">
        <f t="shared" si="1"/>
        <v/>
      </c>
      <c r="L948" s="27"/>
      <c r="M948" s="27"/>
      <c r="N948" s="10" t="str">
        <f t="shared" ref="N948:N949" si="318">IF(COUNTIF($A$2:A947,A948)&gt;0,INDEX($C$2:C947,MATCH(A948,$A$2:A947,0)),"")</f>
        <v/>
      </c>
      <c r="O948" s="17"/>
      <c r="P948" s="29"/>
    </row>
    <row r="949" ht="15.75" customHeight="1">
      <c r="A949" s="9" t="str">
        <f>IFERROR(__xludf.DUMMYFUNCTION("IF(B949="""","""",RIGHT(regexreplace(B949&amp;"""",""[^0-9]"",""""),9))"),"")</f>
        <v/>
      </c>
      <c r="B949" s="5"/>
      <c r="C949" s="5"/>
      <c r="D949" s="5"/>
      <c r="E949" s="23"/>
      <c r="F949" s="23"/>
      <c r="G949" s="23"/>
      <c r="H949" s="23"/>
      <c r="I949" s="23"/>
      <c r="J949" s="23"/>
      <c r="K949" s="10" t="str">
        <f t="shared" si="1"/>
        <v/>
      </c>
      <c r="L949" s="27"/>
      <c r="M949" s="27"/>
      <c r="N949" s="10" t="str">
        <f t="shared" si="318"/>
        <v/>
      </c>
      <c r="O949" s="17"/>
      <c r="P949" s="29"/>
    </row>
    <row r="950" ht="15.75" customHeight="1">
      <c r="A950" s="9" t="str">
        <f>IFERROR(__xludf.DUMMYFUNCTION("IF(B950="""","""",RIGHT(regexreplace(B950&amp;"""",""[^0-9]"",""""),9))"),"")</f>
        <v/>
      </c>
      <c r="B950" s="5"/>
      <c r="C950" s="5"/>
      <c r="D950" s="5"/>
      <c r="E950" s="23"/>
      <c r="F950" s="23"/>
      <c r="G950" s="23"/>
      <c r="H950" s="23"/>
      <c r="I950" s="23"/>
      <c r="J950" s="23"/>
      <c r="K950" s="10" t="str">
        <f t="shared" si="1"/>
        <v/>
      </c>
      <c r="L950" s="27"/>
      <c r="M950" s="27"/>
      <c r="N950" s="10" t="str">
        <f t="array" ref="N950">IF(COUNTIF($A$2:A949,A)&gt;0,INDEX($C$2:C949,MATCH(A950,$A$2:A949,0)),"")</f>
        <v/>
      </c>
      <c r="O950" s="17"/>
      <c r="P950" s="29"/>
    </row>
    <row r="951" ht="15.75" customHeight="1">
      <c r="A951" s="9" t="str">
        <f>IFERROR(__xludf.DUMMYFUNCTION("IF(B951="""","""",RIGHT(regexreplace(B951&amp;"""",""[^0-9]"",""""),9))"),"")</f>
        <v/>
      </c>
      <c r="B951" s="5"/>
      <c r="C951" s="5"/>
      <c r="D951" s="5"/>
      <c r="E951" s="23"/>
      <c r="F951" s="23"/>
      <c r="G951" s="23"/>
      <c r="H951" s="23"/>
      <c r="I951" s="23"/>
      <c r="J951" s="23"/>
      <c r="K951" s="10" t="str">
        <f t="shared" si="1"/>
        <v/>
      </c>
      <c r="L951" s="27"/>
      <c r="M951" s="27"/>
      <c r="N951" s="10" t="str">
        <f t="shared" ref="N951:N952" si="319">IF(COUNTIF($A$2:A950,A951)&gt;0,INDEX($C$2:C950,MATCH(A951,$A$2:A950,0)),"")</f>
        <v/>
      </c>
      <c r="O951" s="17"/>
      <c r="P951" s="29"/>
    </row>
    <row r="952" ht="15.75" customHeight="1">
      <c r="A952" s="9" t="str">
        <f>IFERROR(__xludf.DUMMYFUNCTION("IF(B952="""","""",RIGHT(regexreplace(B952&amp;"""",""[^0-9]"",""""),9))"),"")</f>
        <v/>
      </c>
      <c r="B952" s="5"/>
      <c r="C952" s="5"/>
      <c r="D952" s="5"/>
      <c r="E952" s="23"/>
      <c r="F952" s="23"/>
      <c r="G952" s="23"/>
      <c r="H952" s="23"/>
      <c r="I952" s="23"/>
      <c r="J952" s="23"/>
      <c r="K952" s="10" t="str">
        <f t="shared" si="1"/>
        <v/>
      </c>
      <c r="L952" s="27"/>
      <c r="M952" s="27"/>
      <c r="N952" s="10" t="str">
        <f t="shared" si="319"/>
        <v/>
      </c>
      <c r="O952" s="17"/>
      <c r="P952" s="29"/>
    </row>
    <row r="953" ht="15.75" customHeight="1">
      <c r="A953" s="9" t="str">
        <f>IFERROR(__xludf.DUMMYFUNCTION("IF(B953="""","""",RIGHT(regexreplace(B953&amp;"""",""[^0-9]"",""""),9))"),"")</f>
        <v/>
      </c>
      <c r="B953" s="5"/>
      <c r="C953" s="5"/>
      <c r="D953" s="5"/>
      <c r="E953" s="23"/>
      <c r="F953" s="23"/>
      <c r="G953" s="23"/>
      <c r="H953" s="23"/>
      <c r="I953" s="23"/>
      <c r="J953" s="23"/>
      <c r="K953" s="10" t="str">
        <f t="shared" si="1"/>
        <v/>
      </c>
      <c r="L953" s="27"/>
      <c r="M953" s="27"/>
      <c r="N953" s="10" t="str">
        <f t="array" ref="N953">IF(COUNTIF($A$2:A952,A)&gt;0,INDEX($C$2:C952,MATCH(A953,$A$2:A952,0)),"")</f>
        <v/>
      </c>
      <c r="O953" s="17"/>
      <c r="P953" s="29"/>
    </row>
    <row r="954" ht="15.75" customHeight="1">
      <c r="A954" s="9" t="str">
        <f>IFERROR(__xludf.DUMMYFUNCTION("IF(B954="""","""",RIGHT(regexreplace(B954&amp;"""",""[^0-9]"",""""),9))"),"")</f>
        <v/>
      </c>
      <c r="B954" s="5"/>
      <c r="C954" s="5"/>
      <c r="D954" s="5"/>
      <c r="E954" s="23"/>
      <c r="F954" s="23"/>
      <c r="G954" s="23"/>
      <c r="H954" s="23"/>
      <c r="I954" s="23"/>
      <c r="J954" s="23"/>
      <c r="K954" s="10" t="str">
        <f t="shared" si="1"/>
        <v/>
      </c>
      <c r="L954" s="27"/>
      <c r="M954" s="27"/>
      <c r="N954" s="10" t="str">
        <f t="shared" ref="N954:N955" si="320">IF(COUNTIF($A$2:A953,A954)&gt;0,INDEX($C$2:C953,MATCH(A954,$A$2:A953,0)),"")</f>
        <v/>
      </c>
      <c r="O954" s="17"/>
      <c r="P954" s="29"/>
    </row>
    <row r="955" ht="15.75" customHeight="1">
      <c r="A955" s="9" t="str">
        <f>IFERROR(__xludf.DUMMYFUNCTION("IF(B955="""","""",RIGHT(regexreplace(B955&amp;"""",""[^0-9]"",""""),9))"),"")</f>
        <v/>
      </c>
      <c r="B955" s="5"/>
      <c r="C955" s="5"/>
      <c r="D955" s="5"/>
      <c r="E955" s="23"/>
      <c r="F955" s="23"/>
      <c r="G955" s="23"/>
      <c r="H955" s="23"/>
      <c r="I955" s="23"/>
      <c r="J955" s="23"/>
      <c r="K955" s="10" t="str">
        <f t="shared" si="1"/>
        <v/>
      </c>
      <c r="L955" s="27"/>
      <c r="M955" s="27"/>
      <c r="N955" s="10" t="str">
        <f t="shared" si="320"/>
        <v/>
      </c>
      <c r="O955" s="17"/>
      <c r="P955" s="29"/>
    </row>
    <row r="956" ht="15.75" customHeight="1">
      <c r="A956" s="9" t="str">
        <f>IFERROR(__xludf.DUMMYFUNCTION("IF(B956="""","""",RIGHT(regexreplace(B956&amp;"""",""[^0-9]"",""""),9))"),"")</f>
        <v/>
      </c>
      <c r="B956" s="5"/>
      <c r="C956" s="5"/>
      <c r="D956" s="5"/>
      <c r="E956" s="23"/>
      <c r="F956" s="23"/>
      <c r="G956" s="23"/>
      <c r="H956" s="23"/>
      <c r="I956" s="23"/>
      <c r="J956" s="23"/>
      <c r="K956" s="10" t="str">
        <f t="shared" si="1"/>
        <v/>
      </c>
      <c r="L956" s="27"/>
      <c r="M956" s="27"/>
      <c r="N956" s="10" t="str">
        <f t="array" ref="N956">IF(COUNTIF($A$2:A955,A)&gt;0,INDEX($C$2:C955,MATCH(A956,$A$2:A955,0)),"")</f>
        <v/>
      </c>
      <c r="O956" s="17"/>
      <c r="P956" s="29"/>
    </row>
    <row r="957" ht="15.75" customHeight="1">
      <c r="A957" s="9" t="str">
        <f>IFERROR(__xludf.DUMMYFUNCTION("IF(B957="""","""",RIGHT(regexreplace(B957&amp;"""",""[^0-9]"",""""),9))"),"")</f>
        <v/>
      </c>
      <c r="B957" s="5"/>
      <c r="C957" s="5"/>
      <c r="D957" s="5"/>
      <c r="E957" s="23"/>
      <c r="F957" s="23"/>
      <c r="G957" s="23"/>
      <c r="H957" s="23"/>
      <c r="I957" s="23"/>
      <c r="J957" s="23"/>
      <c r="K957" s="10" t="str">
        <f t="shared" si="1"/>
        <v/>
      </c>
      <c r="L957" s="27"/>
      <c r="M957" s="27"/>
      <c r="N957" s="10" t="str">
        <f t="shared" ref="N957:N958" si="321">IF(COUNTIF($A$2:A956,A957)&gt;0,INDEX($C$2:C956,MATCH(A957,$A$2:A956,0)),"")</f>
        <v/>
      </c>
      <c r="O957" s="17"/>
      <c r="P957" s="29"/>
    </row>
    <row r="958" ht="15.75" customHeight="1">
      <c r="A958" s="9" t="str">
        <f>IFERROR(__xludf.DUMMYFUNCTION("IF(B958="""","""",RIGHT(regexreplace(B958&amp;"""",""[^0-9]"",""""),9))"),"")</f>
        <v/>
      </c>
      <c r="B958" s="5"/>
      <c r="C958" s="5"/>
      <c r="D958" s="5"/>
      <c r="E958" s="23"/>
      <c r="F958" s="23"/>
      <c r="G958" s="23"/>
      <c r="H958" s="23"/>
      <c r="I958" s="23"/>
      <c r="J958" s="23"/>
      <c r="K958" s="10" t="str">
        <f t="shared" si="1"/>
        <v/>
      </c>
      <c r="L958" s="27"/>
      <c r="M958" s="27"/>
      <c r="N958" s="10" t="str">
        <f t="shared" si="321"/>
        <v/>
      </c>
      <c r="O958" s="17"/>
      <c r="P958" s="29"/>
    </row>
    <row r="959" ht="15.75" customHeight="1">
      <c r="A959" s="9" t="str">
        <f>IFERROR(__xludf.DUMMYFUNCTION("IF(B959="""","""",RIGHT(regexreplace(B959&amp;"""",""[^0-9]"",""""),9))"),"")</f>
        <v/>
      </c>
      <c r="B959" s="5"/>
      <c r="C959" s="5"/>
      <c r="D959" s="5"/>
      <c r="E959" s="23"/>
      <c r="F959" s="23"/>
      <c r="G959" s="23"/>
      <c r="H959" s="23"/>
      <c r="I959" s="23"/>
      <c r="J959" s="23"/>
      <c r="K959" s="10" t="str">
        <f t="shared" si="1"/>
        <v/>
      </c>
      <c r="L959" s="27"/>
      <c r="M959" s="27"/>
      <c r="N959" s="10" t="str">
        <f t="array" ref="N959">IF(COUNTIF($A$2:A958,A)&gt;0,INDEX($C$2:C958,MATCH(A959,$A$2:A958,0)),"")</f>
        <v/>
      </c>
      <c r="O959" s="17"/>
      <c r="P959" s="29"/>
    </row>
    <row r="960" ht="15.75" customHeight="1">
      <c r="A960" s="9" t="str">
        <f>IFERROR(__xludf.DUMMYFUNCTION("IF(B960="""","""",RIGHT(regexreplace(B960&amp;"""",""[^0-9]"",""""),9))"),"")</f>
        <v/>
      </c>
      <c r="B960" s="5"/>
      <c r="C960" s="5"/>
      <c r="D960" s="5"/>
      <c r="E960" s="23"/>
      <c r="F960" s="23"/>
      <c r="G960" s="23"/>
      <c r="H960" s="23"/>
      <c r="I960" s="23"/>
      <c r="J960" s="23"/>
      <c r="K960" s="10" t="str">
        <f t="shared" si="1"/>
        <v/>
      </c>
      <c r="L960" s="27"/>
      <c r="M960" s="27"/>
      <c r="N960" s="10" t="str">
        <f t="shared" ref="N960:N961" si="322">IF(COUNTIF($A$2:A959,A960)&gt;0,INDEX($C$2:C959,MATCH(A960,$A$2:A959,0)),"")</f>
        <v/>
      </c>
      <c r="O960" s="17"/>
      <c r="P960" s="29"/>
    </row>
    <row r="961" ht="15.75" customHeight="1">
      <c r="A961" s="9" t="str">
        <f>IFERROR(__xludf.DUMMYFUNCTION("IF(B961="""","""",RIGHT(regexreplace(B961&amp;"""",""[^0-9]"",""""),9))"),"")</f>
        <v/>
      </c>
      <c r="B961" s="5"/>
      <c r="C961" s="5"/>
      <c r="D961" s="5"/>
      <c r="E961" s="23"/>
      <c r="F961" s="23"/>
      <c r="G961" s="23"/>
      <c r="H961" s="23"/>
      <c r="I961" s="23"/>
      <c r="J961" s="23"/>
      <c r="K961" s="10" t="str">
        <f t="shared" si="1"/>
        <v/>
      </c>
      <c r="L961" s="27"/>
      <c r="M961" s="27"/>
      <c r="N961" s="10" t="str">
        <f t="shared" si="322"/>
        <v/>
      </c>
      <c r="O961" s="17"/>
      <c r="P961" s="29"/>
    </row>
    <row r="962" ht="15.75" customHeight="1">
      <c r="A962" s="9" t="str">
        <f>IFERROR(__xludf.DUMMYFUNCTION("IF(B962="""","""",RIGHT(regexreplace(B962&amp;"""",""[^0-9]"",""""),9))"),"")</f>
        <v/>
      </c>
      <c r="B962" s="5"/>
      <c r="C962" s="5"/>
      <c r="D962" s="5"/>
      <c r="E962" s="23"/>
      <c r="F962" s="23"/>
      <c r="G962" s="23"/>
      <c r="H962" s="23"/>
      <c r="I962" s="23"/>
      <c r="J962" s="23"/>
      <c r="K962" s="10" t="str">
        <f t="shared" si="1"/>
        <v/>
      </c>
      <c r="L962" s="27"/>
      <c r="M962" s="27"/>
      <c r="N962" s="10" t="str">
        <f t="array" ref="N962">IF(COUNTIF($A$2:A961,A)&gt;0,INDEX($C$2:C961,MATCH(A962,$A$2:A961,0)),"")</f>
        <v/>
      </c>
      <c r="O962" s="17"/>
      <c r="P962" s="29"/>
    </row>
    <row r="963" ht="15.75" customHeight="1">
      <c r="A963" s="9" t="str">
        <f>IFERROR(__xludf.DUMMYFUNCTION("IF(B963="""","""",RIGHT(regexreplace(B963&amp;"""",""[^0-9]"",""""),9))"),"")</f>
        <v/>
      </c>
      <c r="B963" s="5"/>
      <c r="C963" s="5"/>
      <c r="D963" s="5"/>
      <c r="E963" s="23"/>
      <c r="F963" s="23"/>
      <c r="G963" s="23"/>
      <c r="H963" s="23"/>
      <c r="I963" s="23"/>
      <c r="J963" s="23"/>
      <c r="K963" s="10" t="str">
        <f t="shared" si="1"/>
        <v/>
      </c>
      <c r="L963" s="27"/>
      <c r="M963" s="27"/>
      <c r="N963" s="10" t="str">
        <f t="shared" ref="N963:N964" si="323">IF(COUNTIF($A$2:A962,A963)&gt;0,INDEX($C$2:C962,MATCH(A963,$A$2:A962,0)),"")</f>
        <v/>
      </c>
      <c r="O963" s="17"/>
      <c r="P963" s="29"/>
    </row>
    <row r="964" ht="15.75" customHeight="1">
      <c r="A964" s="9" t="str">
        <f>IFERROR(__xludf.DUMMYFUNCTION("IF(B964="""","""",RIGHT(regexreplace(B964&amp;"""",""[^0-9]"",""""),9))"),"")</f>
        <v/>
      </c>
      <c r="B964" s="5"/>
      <c r="C964" s="5"/>
      <c r="D964" s="5"/>
      <c r="E964" s="23"/>
      <c r="F964" s="23"/>
      <c r="G964" s="23"/>
      <c r="H964" s="23"/>
      <c r="I964" s="23"/>
      <c r="J964" s="23"/>
      <c r="K964" s="10" t="str">
        <f t="shared" si="1"/>
        <v/>
      </c>
      <c r="L964" s="27"/>
      <c r="M964" s="27"/>
      <c r="N964" s="10" t="str">
        <f t="shared" si="323"/>
        <v/>
      </c>
      <c r="O964" s="17"/>
      <c r="P964" s="29"/>
    </row>
    <row r="965" ht="15.75" customHeight="1">
      <c r="A965" s="9" t="str">
        <f>IFERROR(__xludf.DUMMYFUNCTION("IF(B965="""","""",RIGHT(regexreplace(B965&amp;"""",""[^0-9]"",""""),9))"),"")</f>
        <v/>
      </c>
      <c r="B965" s="5"/>
      <c r="C965" s="5"/>
      <c r="D965" s="5"/>
      <c r="E965" s="23"/>
      <c r="F965" s="23"/>
      <c r="G965" s="23"/>
      <c r="H965" s="23"/>
      <c r="I965" s="23"/>
      <c r="J965" s="23"/>
      <c r="K965" s="10" t="str">
        <f t="shared" si="1"/>
        <v/>
      </c>
      <c r="L965" s="27"/>
      <c r="M965" s="27"/>
      <c r="N965" s="10" t="str">
        <f t="array" ref="N965">IF(COUNTIF($A$2:A964,A)&gt;0,INDEX($C$2:C964,MATCH(A965,$A$2:A964,0)),"")</f>
        <v/>
      </c>
      <c r="O965" s="17"/>
      <c r="P965" s="29"/>
    </row>
    <row r="966" ht="15.75" customHeight="1">
      <c r="A966" s="9" t="str">
        <f>IFERROR(__xludf.DUMMYFUNCTION("IF(B966="""","""",RIGHT(regexreplace(B966&amp;"""",""[^0-9]"",""""),9))"),"")</f>
        <v/>
      </c>
      <c r="B966" s="5"/>
      <c r="C966" s="5"/>
      <c r="D966" s="5"/>
      <c r="E966" s="23"/>
      <c r="F966" s="23"/>
      <c r="G966" s="23"/>
      <c r="H966" s="23"/>
      <c r="I966" s="23"/>
      <c r="J966" s="23"/>
      <c r="K966" s="10" t="str">
        <f t="shared" si="1"/>
        <v/>
      </c>
      <c r="L966" s="27"/>
      <c r="M966" s="27"/>
      <c r="N966" s="10" t="str">
        <f t="shared" ref="N966:N967" si="324">IF(COUNTIF($A$2:A965,A966)&gt;0,INDEX($C$2:C965,MATCH(A966,$A$2:A965,0)),"")</f>
        <v/>
      </c>
      <c r="O966" s="17"/>
      <c r="P966" s="29"/>
    </row>
    <row r="967" ht="15.75" customHeight="1">
      <c r="A967" s="9" t="str">
        <f>IFERROR(__xludf.DUMMYFUNCTION("IF(B967="""","""",RIGHT(regexreplace(B967&amp;"""",""[^0-9]"",""""),9))"),"")</f>
        <v/>
      </c>
      <c r="B967" s="5"/>
      <c r="C967" s="5"/>
      <c r="D967" s="5"/>
      <c r="E967" s="23"/>
      <c r="F967" s="23"/>
      <c r="G967" s="23"/>
      <c r="H967" s="23"/>
      <c r="I967" s="23"/>
      <c r="J967" s="23"/>
      <c r="K967" s="10" t="str">
        <f t="shared" si="1"/>
        <v/>
      </c>
      <c r="L967" s="27"/>
      <c r="M967" s="27"/>
      <c r="N967" s="10" t="str">
        <f t="shared" si="324"/>
        <v/>
      </c>
      <c r="O967" s="17"/>
      <c r="P967" s="29"/>
    </row>
    <row r="968" ht="15.75" customHeight="1">
      <c r="A968" s="9" t="str">
        <f>IFERROR(__xludf.DUMMYFUNCTION("IF(B968="""","""",RIGHT(regexreplace(B968&amp;"""",""[^0-9]"",""""),9))"),"")</f>
        <v/>
      </c>
      <c r="B968" s="5"/>
      <c r="C968" s="5"/>
      <c r="D968" s="5"/>
      <c r="E968" s="23"/>
      <c r="F968" s="23"/>
      <c r="G968" s="23"/>
      <c r="H968" s="23"/>
      <c r="I968" s="23"/>
      <c r="J968" s="23"/>
      <c r="K968" s="10" t="str">
        <f t="shared" si="1"/>
        <v/>
      </c>
      <c r="L968" s="27"/>
      <c r="M968" s="27"/>
      <c r="N968" s="10" t="str">
        <f t="array" ref="N968">IF(COUNTIF($A$2:A967,A)&gt;0,INDEX($C$2:C967,MATCH(A968,$A$2:A967,0)),"")</f>
        <v/>
      </c>
      <c r="O968" s="17"/>
      <c r="P968" s="29"/>
    </row>
    <row r="969" ht="15.75" customHeight="1">
      <c r="A969" s="9" t="str">
        <f>IFERROR(__xludf.DUMMYFUNCTION("IF(B969="""","""",RIGHT(regexreplace(B969&amp;"""",""[^0-9]"",""""),9))"),"")</f>
        <v/>
      </c>
      <c r="B969" s="5"/>
      <c r="C969" s="5"/>
      <c r="D969" s="5"/>
      <c r="E969" s="23"/>
      <c r="F969" s="23"/>
      <c r="G969" s="23"/>
      <c r="H969" s="23"/>
      <c r="I969" s="23"/>
      <c r="J969" s="23"/>
      <c r="K969" s="10" t="str">
        <f t="shared" si="1"/>
        <v/>
      </c>
      <c r="L969" s="27"/>
      <c r="M969" s="27"/>
      <c r="N969" s="10" t="str">
        <f t="shared" ref="N969:N970" si="325">IF(COUNTIF($A$2:A968,A969)&gt;0,INDEX($C$2:C968,MATCH(A969,$A$2:A968,0)),"")</f>
        <v/>
      </c>
      <c r="O969" s="17"/>
      <c r="P969" s="29"/>
    </row>
    <row r="970" ht="15.75" customHeight="1">
      <c r="A970" s="9" t="str">
        <f>IFERROR(__xludf.DUMMYFUNCTION("IF(B970="""","""",RIGHT(regexreplace(B970&amp;"""",""[^0-9]"",""""),9))"),"")</f>
        <v/>
      </c>
      <c r="B970" s="5"/>
      <c r="C970" s="5"/>
      <c r="D970" s="5"/>
      <c r="E970" s="23"/>
      <c r="F970" s="23"/>
      <c r="G970" s="23"/>
      <c r="H970" s="23"/>
      <c r="I970" s="23"/>
      <c r="J970" s="23"/>
      <c r="K970" s="10" t="str">
        <f t="shared" si="1"/>
        <v/>
      </c>
      <c r="L970" s="27"/>
      <c r="M970" s="27"/>
      <c r="N970" s="10" t="str">
        <f t="shared" si="325"/>
        <v/>
      </c>
      <c r="O970" s="17"/>
      <c r="P970" s="29"/>
    </row>
    <row r="971" ht="15.75" customHeight="1">
      <c r="A971" s="9" t="str">
        <f>IFERROR(__xludf.DUMMYFUNCTION("IF(B971="""","""",RIGHT(regexreplace(B971&amp;"""",""[^0-9]"",""""),9))"),"")</f>
        <v/>
      </c>
      <c r="B971" s="5"/>
      <c r="C971" s="5"/>
      <c r="D971" s="5"/>
      <c r="E971" s="23"/>
      <c r="F971" s="23"/>
      <c r="G971" s="23"/>
      <c r="H971" s="23"/>
      <c r="I971" s="23"/>
      <c r="J971" s="23"/>
      <c r="K971" s="10" t="str">
        <f t="shared" si="1"/>
        <v/>
      </c>
      <c r="L971" s="27"/>
      <c r="M971" s="27"/>
      <c r="N971" s="10" t="str">
        <f t="array" ref="N971">IF(COUNTIF($A$2:A970,A)&gt;0,INDEX($C$2:C970,MATCH(A971,$A$2:A970,0)),"")</f>
        <v/>
      </c>
      <c r="O971" s="17"/>
      <c r="P971" s="29"/>
    </row>
    <row r="972" ht="15.75" customHeight="1">
      <c r="A972" s="9" t="str">
        <f>IFERROR(__xludf.DUMMYFUNCTION("IF(B972="""","""",RIGHT(regexreplace(B972&amp;"""",""[^0-9]"",""""),9))"),"")</f>
        <v/>
      </c>
      <c r="B972" s="5"/>
      <c r="C972" s="5"/>
      <c r="D972" s="5"/>
      <c r="E972" s="23"/>
      <c r="F972" s="23"/>
      <c r="G972" s="23"/>
      <c r="H972" s="23"/>
      <c r="I972" s="23"/>
      <c r="J972" s="23"/>
      <c r="K972" s="10" t="str">
        <f t="shared" si="1"/>
        <v/>
      </c>
      <c r="L972" s="27"/>
      <c r="M972" s="27"/>
      <c r="N972" s="10" t="str">
        <f t="shared" ref="N972:N973" si="326">IF(COUNTIF($A$2:A971,A972)&gt;0,INDEX($C$2:C971,MATCH(A972,$A$2:A971,0)),"")</f>
        <v/>
      </c>
      <c r="O972" s="17"/>
      <c r="P972" s="29"/>
    </row>
    <row r="973" ht="15.75" customHeight="1">
      <c r="A973" s="9" t="str">
        <f>IFERROR(__xludf.DUMMYFUNCTION("IF(B973="""","""",RIGHT(regexreplace(B973&amp;"""",""[^0-9]"",""""),9))"),"")</f>
        <v/>
      </c>
      <c r="B973" s="5"/>
      <c r="C973" s="5"/>
      <c r="D973" s="5"/>
      <c r="E973" s="23"/>
      <c r="F973" s="23"/>
      <c r="G973" s="23"/>
      <c r="H973" s="23"/>
      <c r="I973" s="23"/>
      <c r="J973" s="23"/>
      <c r="K973" s="10" t="str">
        <f t="shared" si="1"/>
        <v/>
      </c>
      <c r="L973" s="27"/>
      <c r="M973" s="27"/>
      <c r="N973" s="10" t="str">
        <f t="shared" si="326"/>
        <v/>
      </c>
      <c r="O973" s="17"/>
      <c r="P973" s="29"/>
    </row>
    <row r="974" ht="15.75" customHeight="1">
      <c r="A974" s="9" t="str">
        <f>IFERROR(__xludf.DUMMYFUNCTION("IF(B974="""","""",RIGHT(regexreplace(B974&amp;"""",""[^0-9]"",""""),9))"),"")</f>
        <v/>
      </c>
      <c r="B974" s="5"/>
      <c r="C974" s="5"/>
      <c r="D974" s="5"/>
      <c r="E974" s="23"/>
      <c r="F974" s="23"/>
      <c r="G974" s="23"/>
      <c r="H974" s="23"/>
      <c r="I974" s="23"/>
      <c r="J974" s="23"/>
      <c r="K974" s="10" t="str">
        <f t="shared" si="1"/>
        <v/>
      </c>
      <c r="L974" s="27"/>
      <c r="M974" s="27"/>
      <c r="N974" s="10" t="str">
        <f t="array" ref="N974">IF(COUNTIF($A$2:A973,A)&gt;0,INDEX($C$2:C973,MATCH(A974,$A$2:A973,0)),"")</f>
        <v/>
      </c>
      <c r="O974" s="17"/>
      <c r="P974" s="29"/>
    </row>
    <row r="975" ht="15.75" customHeight="1">
      <c r="A975" s="9" t="str">
        <f>IFERROR(__xludf.DUMMYFUNCTION("IF(B975="""","""",RIGHT(regexreplace(B975&amp;"""",""[^0-9]"",""""),9))"),"")</f>
        <v/>
      </c>
      <c r="B975" s="5"/>
      <c r="C975" s="5"/>
      <c r="D975" s="5"/>
      <c r="E975" s="23"/>
      <c r="F975" s="23"/>
      <c r="G975" s="23"/>
      <c r="H975" s="23"/>
      <c r="I975" s="23"/>
      <c r="J975" s="23"/>
      <c r="K975" s="10" t="str">
        <f t="shared" si="1"/>
        <v/>
      </c>
      <c r="L975" s="27"/>
      <c r="M975" s="27"/>
      <c r="N975" s="10" t="str">
        <f t="shared" ref="N975:N976" si="327">IF(COUNTIF($A$2:A974,A975)&gt;0,INDEX($C$2:C974,MATCH(A975,$A$2:A974,0)),"")</f>
        <v/>
      </c>
      <c r="O975" s="17"/>
      <c r="P975" s="29"/>
    </row>
    <row r="976" ht="15.75" customHeight="1">
      <c r="A976" s="9" t="str">
        <f>IFERROR(__xludf.DUMMYFUNCTION("IF(B976="""","""",RIGHT(regexreplace(B976&amp;"""",""[^0-9]"",""""),9))"),"")</f>
        <v/>
      </c>
      <c r="B976" s="5"/>
      <c r="C976" s="5"/>
      <c r="D976" s="5"/>
      <c r="E976" s="23"/>
      <c r="F976" s="23"/>
      <c r="G976" s="23"/>
      <c r="H976" s="23"/>
      <c r="I976" s="23"/>
      <c r="J976" s="23"/>
      <c r="K976" s="10" t="str">
        <f t="shared" si="1"/>
        <v/>
      </c>
      <c r="L976" s="27"/>
      <c r="M976" s="27"/>
      <c r="N976" s="10" t="str">
        <f t="shared" si="327"/>
        <v/>
      </c>
      <c r="O976" s="17"/>
      <c r="P976" s="29"/>
    </row>
    <row r="977" ht="15.75" customHeight="1">
      <c r="A977" s="9" t="str">
        <f>IFERROR(__xludf.DUMMYFUNCTION("IF(B977="""","""",RIGHT(regexreplace(B977&amp;"""",""[^0-9]"",""""),9))"),"")</f>
        <v/>
      </c>
      <c r="B977" s="5"/>
      <c r="C977" s="5"/>
      <c r="D977" s="5"/>
      <c r="E977" s="23"/>
      <c r="F977" s="23"/>
      <c r="G977" s="23"/>
      <c r="H977" s="23"/>
      <c r="I977" s="23"/>
      <c r="J977" s="23"/>
      <c r="K977" s="10" t="str">
        <f t="shared" si="1"/>
        <v/>
      </c>
      <c r="L977" s="27"/>
      <c r="M977" s="27"/>
      <c r="N977" s="10" t="str">
        <f t="array" ref="N977">IF(COUNTIF($A$2:A976,A)&gt;0,INDEX($C$2:C976,MATCH(A977,$A$2:A976,0)),"")</f>
        <v/>
      </c>
      <c r="O977" s="17"/>
      <c r="P977" s="29"/>
    </row>
    <row r="978" ht="15.75" customHeight="1">
      <c r="A978" s="9" t="str">
        <f>IFERROR(__xludf.DUMMYFUNCTION("IF(B978="""","""",RIGHT(regexreplace(B978&amp;"""",""[^0-9]"",""""),9))"),"")</f>
        <v/>
      </c>
      <c r="B978" s="5"/>
      <c r="C978" s="5"/>
      <c r="D978" s="5"/>
      <c r="E978" s="23"/>
      <c r="F978" s="23"/>
      <c r="G978" s="23"/>
      <c r="H978" s="23"/>
      <c r="I978" s="23"/>
      <c r="J978" s="23"/>
      <c r="K978" s="10" t="str">
        <f t="shared" si="1"/>
        <v/>
      </c>
      <c r="L978" s="27"/>
      <c r="M978" s="27"/>
      <c r="N978" s="10" t="str">
        <f t="shared" ref="N978:N979" si="328">IF(COUNTIF($A$2:A977,A978)&gt;0,INDEX($C$2:C977,MATCH(A978,$A$2:A977,0)),"")</f>
        <v/>
      </c>
      <c r="O978" s="17"/>
      <c r="P978" s="29"/>
    </row>
    <row r="979" ht="15.75" customHeight="1">
      <c r="A979" s="9" t="str">
        <f>IFERROR(__xludf.DUMMYFUNCTION("IF(B979="""","""",RIGHT(regexreplace(B979&amp;"""",""[^0-9]"",""""),9))"),"")</f>
        <v/>
      </c>
      <c r="B979" s="5"/>
      <c r="C979" s="5"/>
      <c r="D979" s="5"/>
      <c r="E979" s="23"/>
      <c r="F979" s="23"/>
      <c r="G979" s="23"/>
      <c r="H979" s="23"/>
      <c r="I979" s="23"/>
      <c r="J979" s="23"/>
      <c r="K979" s="10" t="str">
        <f t="shared" si="1"/>
        <v/>
      </c>
      <c r="L979" s="27"/>
      <c r="M979" s="27"/>
      <c r="N979" s="10" t="str">
        <f t="shared" si="328"/>
        <v/>
      </c>
      <c r="O979" s="17"/>
      <c r="P979" s="29"/>
    </row>
    <row r="980" ht="15.75" customHeight="1">
      <c r="A980" s="9" t="str">
        <f>IFERROR(__xludf.DUMMYFUNCTION("IF(B980="""","""",RIGHT(regexreplace(B980&amp;"""",""[^0-9]"",""""),9))"),"")</f>
        <v/>
      </c>
      <c r="B980" s="5"/>
      <c r="C980" s="5"/>
      <c r="D980" s="5"/>
      <c r="E980" s="23"/>
      <c r="F980" s="23"/>
      <c r="G980" s="23"/>
      <c r="H980" s="23"/>
      <c r="I980" s="23"/>
      <c r="J980" s="23"/>
      <c r="K980" s="10" t="str">
        <f t="shared" si="1"/>
        <v/>
      </c>
      <c r="L980" s="27"/>
      <c r="M980" s="27"/>
      <c r="N980" s="10" t="str">
        <f t="array" ref="N980">IF(COUNTIF($A$2:A979,A)&gt;0,INDEX($C$2:C979,MATCH(A980,$A$2:A979,0)),"")</f>
        <v/>
      </c>
      <c r="O980" s="17"/>
      <c r="P980" s="29"/>
    </row>
    <row r="981" ht="15.75" customHeight="1">
      <c r="A981" s="9" t="str">
        <f>IFERROR(__xludf.DUMMYFUNCTION("IF(B981="""","""",RIGHT(regexreplace(B981&amp;"""",""[^0-9]"",""""),9))"),"")</f>
        <v/>
      </c>
      <c r="B981" s="5"/>
      <c r="C981" s="5"/>
      <c r="D981" s="5"/>
      <c r="E981" s="23"/>
      <c r="F981" s="23"/>
      <c r="G981" s="23"/>
      <c r="H981" s="23"/>
      <c r="I981" s="23"/>
      <c r="J981" s="23"/>
      <c r="K981" s="10" t="str">
        <f t="shared" si="1"/>
        <v/>
      </c>
      <c r="L981" s="27"/>
      <c r="M981" s="27"/>
      <c r="N981" s="10" t="str">
        <f t="shared" ref="N981:N982" si="329">IF(COUNTIF($A$2:A980,A981)&gt;0,INDEX($C$2:C980,MATCH(A981,$A$2:A980,0)),"")</f>
        <v/>
      </c>
      <c r="O981" s="17"/>
      <c r="P981" s="29"/>
    </row>
    <row r="982" ht="15.75" customHeight="1">
      <c r="A982" s="9" t="str">
        <f>IFERROR(__xludf.DUMMYFUNCTION("IF(B982="""","""",RIGHT(regexreplace(B982&amp;"""",""[^0-9]"",""""),9))"),"")</f>
        <v/>
      </c>
      <c r="B982" s="5"/>
      <c r="C982" s="5"/>
      <c r="D982" s="5"/>
      <c r="E982" s="23"/>
      <c r="F982" s="23"/>
      <c r="G982" s="23"/>
      <c r="H982" s="23"/>
      <c r="I982" s="23"/>
      <c r="J982" s="23"/>
      <c r="K982" s="10" t="str">
        <f t="shared" si="1"/>
        <v/>
      </c>
      <c r="L982" s="27"/>
      <c r="M982" s="27"/>
      <c r="N982" s="10" t="str">
        <f t="shared" si="329"/>
        <v/>
      </c>
      <c r="O982" s="17"/>
      <c r="P982" s="29"/>
    </row>
    <row r="983" ht="15.75" customHeight="1">
      <c r="A983" s="9" t="str">
        <f>IFERROR(__xludf.DUMMYFUNCTION("IF(B983="""","""",RIGHT(regexreplace(B983&amp;"""",""[^0-9]"",""""),9))"),"")</f>
        <v/>
      </c>
      <c r="B983" s="5"/>
      <c r="C983" s="5"/>
      <c r="D983" s="5"/>
      <c r="E983" s="23"/>
      <c r="F983" s="23"/>
      <c r="G983" s="23"/>
      <c r="H983" s="23"/>
      <c r="I983" s="23"/>
      <c r="J983" s="23"/>
      <c r="K983" s="10" t="str">
        <f t="shared" si="1"/>
        <v/>
      </c>
      <c r="L983" s="27"/>
      <c r="M983" s="27"/>
      <c r="N983" s="10" t="str">
        <f t="array" ref="N983">IF(COUNTIF($A$2:A982,A)&gt;0,INDEX($C$2:C982,MATCH(A983,$A$2:A982,0)),"")</f>
        <v/>
      </c>
      <c r="O983" s="17"/>
      <c r="P983" s="29"/>
    </row>
    <row r="984" ht="15.75" customHeight="1">
      <c r="A984" s="9" t="str">
        <f>IFERROR(__xludf.DUMMYFUNCTION("IF(B984="""","""",RIGHT(regexreplace(B984&amp;"""",""[^0-9]"",""""),9))"),"")</f>
        <v/>
      </c>
      <c r="B984" s="5"/>
      <c r="C984" s="5"/>
      <c r="D984" s="5"/>
      <c r="E984" s="23"/>
      <c r="F984" s="23"/>
      <c r="G984" s="23"/>
      <c r="H984" s="23"/>
      <c r="I984" s="23"/>
      <c r="J984" s="23"/>
      <c r="K984" s="10" t="str">
        <f t="shared" si="1"/>
        <v/>
      </c>
      <c r="L984" s="27"/>
      <c r="M984" s="27"/>
      <c r="N984" s="10" t="str">
        <f t="shared" ref="N984:N985" si="330">IF(COUNTIF($A$2:A983,A984)&gt;0,INDEX($C$2:C983,MATCH(A984,$A$2:A983,0)),"")</f>
        <v/>
      </c>
      <c r="O984" s="17"/>
      <c r="P984" s="29"/>
    </row>
    <row r="985" ht="15.75" customHeight="1">
      <c r="A985" s="9" t="str">
        <f>IFERROR(__xludf.DUMMYFUNCTION("IF(B985="""","""",RIGHT(regexreplace(B985&amp;"""",""[^0-9]"",""""),9))"),"")</f>
        <v/>
      </c>
      <c r="B985" s="5"/>
      <c r="C985" s="5"/>
      <c r="D985" s="5"/>
      <c r="E985" s="23"/>
      <c r="F985" s="23"/>
      <c r="G985" s="23"/>
      <c r="H985" s="23"/>
      <c r="I985" s="23"/>
      <c r="J985" s="23"/>
      <c r="K985" s="10" t="str">
        <f t="shared" si="1"/>
        <v/>
      </c>
      <c r="L985" s="27"/>
      <c r="M985" s="27"/>
      <c r="N985" s="10" t="str">
        <f t="shared" si="330"/>
        <v/>
      </c>
      <c r="O985" s="17"/>
      <c r="P985" s="29"/>
    </row>
    <row r="986" ht="15.75" customHeight="1">
      <c r="A986" s="9" t="str">
        <f>IFERROR(__xludf.DUMMYFUNCTION("IF(B986="""","""",RIGHT(regexreplace(B986&amp;"""",""[^0-9]"",""""),9))"),"")</f>
        <v/>
      </c>
      <c r="B986" s="5"/>
      <c r="C986" s="5"/>
      <c r="D986" s="5"/>
      <c r="E986" s="23"/>
      <c r="F986" s="23"/>
      <c r="G986" s="23"/>
      <c r="H986" s="23"/>
      <c r="I986" s="23"/>
      <c r="J986" s="23"/>
      <c r="K986" s="10" t="str">
        <f t="shared" si="1"/>
        <v/>
      </c>
      <c r="L986" s="27"/>
      <c r="M986" s="27"/>
      <c r="N986" s="10" t="str">
        <f t="array" ref="N986">IF(COUNTIF($A$2:A985,A)&gt;0,INDEX($C$2:C985,MATCH(A986,$A$2:A985,0)),"")</f>
        <v/>
      </c>
      <c r="O986" s="17"/>
      <c r="P986" s="29"/>
    </row>
    <row r="987" ht="15.75" customHeight="1">
      <c r="A987" s="9" t="str">
        <f>IFERROR(__xludf.DUMMYFUNCTION("IF(B987="""","""",RIGHT(regexreplace(B987&amp;"""",""[^0-9]"",""""),9))"),"")</f>
        <v/>
      </c>
      <c r="B987" s="5"/>
      <c r="C987" s="5"/>
      <c r="D987" s="5"/>
      <c r="E987" s="23"/>
      <c r="F987" s="23"/>
      <c r="G987" s="23"/>
      <c r="H987" s="23"/>
      <c r="I987" s="23"/>
      <c r="J987" s="23"/>
      <c r="K987" s="10" t="str">
        <f t="shared" si="1"/>
        <v/>
      </c>
      <c r="L987" s="27"/>
      <c r="M987" s="27"/>
      <c r="N987" s="10" t="str">
        <f t="shared" ref="N987:N988" si="331">IF(COUNTIF($A$2:A986,A987)&gt;0,INDEX($C$2:C986,MATCH(A987,$A$2:A986,0)),"")</f>
        <v/>
      </c>
      <c r="O987" s="17"/>
      <c r="P987" s="29"/>
    </row>
    <row r="988" ht="15.75" customHeight="1">
      <c r="A988" s="9" t="str">
        <f>IFERROR(__xludf.DUMMYFUNCTION("IF(B988="""","""",RIGHT(regexreplace(B988&amp;"""",""[^0-9]"",""""),9))"),"")</f>
        <v/>
      </c>
      <c r="B988" s="5"/>
      <c r="C988" s="5"/>
      <c r="D988" s="5"/>
      <c r="E988" s="23"/>
      <c r="F988" s="23"/>
      <c r="G988" s="23"/>
      <c r="H988" s="23"/>
      <c r="I988" s="23"/>
      <c r="J988" s="23"/>
      <c r="K988" s="10" t="str">
        <f t="shared" si="1"/>
        <v/>
      </c>
      <c r="L988" s="27"/>
      <c r="M988" s="27"/>
      <c r="N988" s="10" t="str">
        <f t="shared" si="331"/>
        <v/>
      </c>
      <c r="O988" s="17"/>
      <c r="P988" s="29"/>
    </row>
    <row r="989" ht="15.75" customHeight="1">
      <c r="A989" s="9" t="str">
        <f>IFERROR(__xludf.DUMMYFUNCTION("IF(B989="""","""",RIGHT(regexreplace(B989&amp;"""",""[^0-9]"",""""),9))"),"")</f>
        <v/>
      </c>
      <c r="B989" s="5"/>
      <c r="C989" s="5"/>
      <c r="D989" s="5"/>
      <c r="E989" s="23"/>
      <c r="F989" s="23"/>
      <c r="G989" s="23"/>
      <c r="H989" s="23"/>
      <c r="I989" s="23"/>
      <c r="J989" s="23"/>
      <c r="K989" s="10" t="str">
        <f t="shared" si="1"/>
        <v/>
      </c>
      <c r="L989" s="27"/>
      <c r="M989" s="27"/>
      <c r="N989" s="10" t="str">
        <f t="array" ref="N989">IF(COUNTIF($A$2:A988,A)&gt;0,INDEX($C$2:C988,MATCH(A989,$A$2:A988,0)),"")</f>
        <v/>
      </c>
      <c r="O989" s="17"/>
      <c r="P989" s="29"/>
    </row>
    <row r="990" ht="15.75" customHeight="1">
      <c r="A990" s="9" t="str">
        <f>IFERROR(__xludf.DUMMYFUNCTION("IF(B990="""","""",RIGHT(regexreplace(B990&amp;"""",""[^0-9]"",""""),9))"),"")</f>
        <v/>
      </c>
      <c r="B990" s="5"/>
      <c r="C990" s="5"/>
      <c r="D990" s="5"/>
      <c r="E990" s="23"/>
      <c r="F990" s="23"/>
      <c r="G990" s="23"/>
      <c r="H990" s="23"/>
      <c r="I990" s="23"/>
      <c r="J990" s="23"/>
      <c r="K990" s="10" t="str">
        <f t="shared" si="1"/>
        <v/>
      </c>
      <c r="L990" s="27"/>
      <c r="M990" s="27"/>
      <c r="N990" s="10" t="str">
        <f t="shared" ref="N990:N991" si="332">IF(COUNTIF($A$2:A989,A990)&gt;0,INDEX($C$2:C989,MATCH(A990,$A$2:A989,0)),"")</f>
        <v/>
      </c>
      <c r="O990" s="17"/>
      <c r="P990" s="29"/>
    </row>
    <row r="991" ht="15.75" customHeight="1">
      <c r="A991" s="9" t="str">
        <f>IFERROR(__xludf.DUMMYFUNCTION("IF(B991="""","""",RIGHT(regexreplace(B991&amp;"""",""[^0-9]"",""""),9))"),"")</f>
        <v/>
      </c>
      <c r="B991" s="5"/>
      <c r="C991" s="5"/>
      <c r="D991" s="5"/>
      <c r="E991" s="23"/>
      <c r="F991" s="23"/>
      <c r="G991" s="23"/>
      <c r="H991" s="23"/>
      <c r="I991" s="23"/>
      <c r="J991" s="23"/>
      <c r="K991" s="10" t="str">
        <f t="shared" si="1"/>
        <v/>
      </c>
      <c r="L991" s="27"/>
      <c r="M991" s="27"/>
      <c r="N991" s="10" t="str">
        <f t="shared" si="332"/>
        <v/>
      </c>
      <c r="O991" s="17"/>
      <c r="P991" s="29"/>
    </row>
    <row r="992" ht="15.75" customHeight="1">
      <c r="A992" s="9" t="str">
        <f>IFERROR(__xludf.DUMMYFUNCTION("IF(B992="""","""",RIGHT(regexreplace(B992&amp;"""",""[^0-9]"",""""),9))"),"")</f>
        <v/>
      </c>
      <c r="B992" s="5"/>
      <c r="C992" s="5"/>
      <c r="D992" s="5"/>
      <c r="E992" s="23"/>
      <c r="F992" s="23"/>
      <c r="G992" s="23"/>
      <c r="H992" s="23"/>
      <c r="I992" s="23"/>
      <c r="J992" s="23"/>
      <c r="K992" s="10" t="str">
        <f t="shared" si="1"/>
        <v/>
      </c>
      <c r="L992" s="27"/>
      <c r="M992" s="27"/>
      <c r="N992" s="10" t="str">
        <f t="array" ref="N992">IF(COUNTIF($A$2:A991,A)&gt;0,INDEX($C$2:C991,MATCH(A992,$A$2:A991,0)),"")</f>
        <v/>
      </c>
      <c r="O992" s="17"/>
      <c r="P992" s="29"/>
    </row>
    <row r="993" ht="15.75" customHeight="1">
      <c r="A993" s="9" t="str">
        <f>IFERROR(__xludf.DUMMYFUNCTION("IF(B993="""","""",RIGHT(regexreplace(B993&amp;"""",""[^0-9]"",""""),9))"),"")</f>
        <v/>
      </c>
      <c r="B993" s="5"/>
      <c r="C993" s="5"/>
      <c r="D993" s="5"/>
      <c r="E993" s="23"/>
      <c r="F993" s="23"/>
      <c r="G993" s="23"/>
      <c r="H993" s="23"/>
      <c r="I993" s="23"/>
      <c r="J993" s="23"/>
      <c r="K993" s="10" t="str">
        <f t="shared" si="1"/>
        <v/>
      </c>
      <c r="L993" s="27"/>
      <c r="M993" s="27"/>
      <c r="N993" s="10" t="str">
        <f t="shared" ref="N993:N994" si="333">IF(COUNTIF($A$2:A992,A993)&gt;0,INDEX($C$2:C992,MATCH(A993,$A$2:A992,0)),"")</f>
        <v/>
      </c>
      <c r="O993" s="17"/>
      <c r="P993" s="29"/>
    </row>
    <row r="994" ht="15.75" customHeight="1">
      <c r="A994" s="9" t="str">
        <f>IFERROR(__xludf.DUMMYFUNCTION("IF(B994="""","""",RIGHT(regexreplace(B994&amp;"""",""[^0-9]"",""""),9))"),"")</f>
        <v/>
      </c>
      <c r="B994" s="5"/>
      <c r="C994" s="5"/>
      <c r="D994" s="5"/>
      <c r="E994" s="23"/>
      <c r="F994" s="23"/>
      <c r="G994" s="23"/>
      <c r="H994" s="23"/>
      <c r="I994" s="23"/>
      <c r="J994" s="23"/>
      <c r="K994" s="10" t="str">
        <f t="shared" si="1"/>
        <v/>
      </c>
      <c r="L994" s="27"/>
      <c r="M994" s="27"/>
      <c r="N994" s="10" t="str">
        <f t="shared" si="333"/>
        <v/>
      </c>
      <c r="O994" s="17"/>
      <c r="P994" s="29"/>
    </row>
    <row r="995" ht="15.75" customHeight="1">
      <c r="A995" s="9" t="str">
        <f>IFERROR(__xludf.DUMMYFUNCTION("IF(B995="""","""",RIGHT(regexreplace(B995&amp;"""",""[^0-9]"",""""),9))"),"")</f>
        <v/>
      </c>
      <c r="B995" s="5"/>
      <c r="C995" s="5"/>
      <c r="D995" s="5"/>
      <c r="E995" s="23"/>
      <c r="F995" s="23"/>
      <c r="G995" s="23"/>
      <c r="H995" s="23"/>
      <c r="I995" s="23"/>
      <c r="J995" s="23"/>
      <c r="K995" s="10" t="str">
        <f t="shared" si="1"/>
        <v/>
      </c>
      <c r="L995" s="27"/>
      <c r="M995" s="27"/>
      <c r="N995" s="10" t="str">
        <f t="array" ref="N995">IF(COUNTIF($A$2:A994,A)&gt;0,INDEX($C$2:C994,MATCH(A995,$A$2:A994,0)),"")</f>
        <v/>
      </c>
      <c r="O995" s="17"/>
      <c r="P995" s="29"/>
    </row>
    <row r="996" ht="15.75" customHeight="1">
      <c r="A996" s="9" t="str">
        <f>IFERROR(__xludf.DUMMYFUNCTION("IF(B996="""","""",RIGHT(regexreplace(B996&amp;"""",""[^0-9]"",""""),9))"),"")</f>
        <v/>
      </c>
      <c r="B996" s="5"/>
      <c r="C996" s="5"/>
      <c r="D996" s="5"/>
      <c r="E996" s="23"/>
      <c r="F996" s="23"/>
      <c r="G996" s="23"/>
      <c r="H996" s="23"/>
      <c r="I996" s="23"/>
      <c r="J996" s="23"/>
      <c r="K996" s="10" t="str">
        <f t="shared" si="1"/>
        <v/>
      </c>
      <c r="L996" s="27"/>
      <c r="M996" s="27"/>
      <c r="N996" s="10" t="str">
        <f t="shared" ref="N996:N997" si="334">IF(COUNTIF($A$2:A995,A996)&gt;0,INDEX($C$2:C995,MATCH(A996,$A$2:A995,0)),"")</f>
        <v/>
      </c>
      <c r="O996" s="17"/>
      <c r="P996" s="29"/>
    </row>
    <row r="997" ht="15.75" customHeight="1">
      <c r="A997" s="9" t="str">
        <f>IFERROR(__xludf.DUMMYFUNCTION("IF(B997="""","""",RIGHT(regexreplace(B997&amp;"""",""[^0-9]"",""""),9))"),"")</f>
        <v/>
      </c>
      <c r="B997" s="5"/>
      <c r="C997" s="5"/>
      <c r="D997" s="5"/>
      <c r="E997" s="23"/>
      <c r="F997" s="23"/>
      <c r="G997" s="23"/>
      <c r="H997" s="23"/>
      <c r="I997" s="23"/>
      <c r="J997" s="23"/>
      <c r="K997" s="10" t="str">
        <f t="shared" si="1"/>
        <v/>
      </c>
      <c r="L997" s="27"/>
      <c r="M997" s="27"/>
      <c r="N997" s="10" t="str">
        <f t="shared" si="334"/>
        <v/>
      </c>
      <c r="O997" s="17"/>
      <c r="P997" s="29"/>
    </row>
    <row r="998" ht="15.75" customHeight="1">
      <c r="A998" s="9" t="str">
        <f>IFERROR(__xludf.DUMMYFUNCTION("IF(B998="""","""",RIGHT(regexreplace(B998&amp;"""",""[^0-9]"",""""),9))"),"")</f>
        <v/>
      </c>
      <c r="B998" s="5"/>
      <c r="C998" s="5"/>
      <c r="D998" s="5"/>
      <c r="E998" s="23"/>
      <c r="F998" s="23"/>
      <c r="G998" s="23"/>
      <c r="H998" s="23"/>
      <c r="I998" s="23"/>
      <c r="J998" s="23"/>
      <c r="K998" s="10" t="str">
        <f t="shared" si="1"/>
        <v/>
      </c>
      <c r="L998" s="27"/>
      <c r="M998" s="27"/>
      <c r="N998" s="10" t="str">
        <f t="array" ref="N998">IF(COUNTIF($A$2:A997,A)&gt;0,INDEX($C$2:C997,MATCH(A998,$A$2:A997,0)),"")</f>
        <v/>
      </c>
      <c r="O998" s="17"/>
      <c r="P998" s="29"/>
    </row>
    <row r="999" ht="15.75" customHeight="1">
      <c r="A999" s="9" t="str">
        <f>IFERROR(__xludf.DUMMYFUNCTION("IF(B999="""","""",RIGHT(regexreplace(B999&amp;"""",""[^0-9]"",""""),9))"),"")</f>
        <v/>
      </c>
      <c r="B999" s="5"/>
      <c r="C999" s="5"/>
      <c r="D999" s="5"/>
      <c r="E999" s="23"/>
      <c r="F999" s="23"/>
      <c r="G999" s="23"/>
      <c r="H999" s="23"/>
      <c r="I999" s="23"/>
      <c r="J999" s="23"/>
      <c r="K999" s="10" t="str">
        <f t="shared" si="1"/>
        <v/>
      </c>
      <c r="L999" s="27"/>
      <c r="M999" s="27"/>
      <c r="N999" s="10" t="str">
        <f t="shared" ref="N999:N1000" si="335">IF(COUNTIF($A$2:A998,A999)&gt;0,INDEX($C$2:C998,MATCH(A999,$A$2:A998,0)),"")</f>
        <v/>
      </c>
      <c r="O999" s="17"/>
      <c r="P999" s="29"/>
    </row>
    <row r="1000" ht="15.75" customHeight="1">
      <c r="A1000" s="9" t="str">
        <f>IFERROR(__xludf.DUMMYFUNCTION("IF(B1000="""","""",RIGHT(regexreplace(B1000&amp;"""",""[^0-9]"",""""),9))"),"")</f>
        <v/>
      </c>
      <c r="B1000" s="5"/>
      <c r="C1000" s="5"/>
      <c r="D1000" s="5"/>
      <c r="E1000" s="23"/>
      <c r="F1000" s="23"/>
      <c r="G1000" s="23"/>
      <c r="H1000" s="23"/>
      <c r="I1000" s="23"/>
      <c r="J1000" s="23"/>
      <c r="K1000" s="10" t="str">
        <f t="shared" si="1"/>
        <v/>
      </c>
      <c r="L1000" s="27"/>
      <c r="M1000" s="27"/>
      <c r="N1000" s="10" t="str">
        <f t="shared" si="335"/>
        <v/>
      </c>
      <c r="O1000" s="17"/>
      <c r="P1000" s="29"/>
    </row>
  </sheetData>
  <conditionalFormatting sqref="A2:N1000 O2 P2:P1000">
    <cfRule type="expression" dxfId="0" priority="1">
      <formula>$K2="DUPLICATE - CHECK"</formula>
    </cfRule>
  </conditionalFormatting>
  <conditionalFormatting sqref="C2:C1000">
    <cfRule type="expression" dxfId="1" priority="2">
      <formula>AND($B2&lt;&gt;"",$C2="")</formula>
    </cfRule>
  </conditionalFormatting>
  <conditionalFormatting sqref="D2:D1000">
    <cfRule type="expression" dxfId="2" priority="3">
      <formula>AND($B2&lt;&gt;"",$D2="")</formula>
    </cfRule>
  </conditionalFormatting>
  <conditionalFormatting sqref="L2:L1000">
    <cfRule type="expression" dxfId="2" priority="4">
      <formula>AND($B2&lt;&gt;"",$L2="")</formula>
    </cfRule>
  </conditionalFormatting>
  <conditionalFormatting sqref="M2:M1000">
    <cfRule type="expression" dxfId="3" priority="5">
      <formula>LEFT($M2,3)="Yes"</formula>
    </cfRule>
  </conditionalFormatting>
  <conditionalFormatting sqref="F2:F1000">
    <cfRule type="cellIs" dxfId="4" priority="6" operator="equal">
      <formula>"Converted"</formula>
    </cfRule>
  </conditionalFormatting>
  <conditionalFormatting sqref="F2:F1000">
    <cfRule type="cellIs" dxfId="5" priority="7" operator="equal">
      <formula>"Not Interested"</formula>
    </cfRule>
  </conditionalFormatting>
  <conditionalFormatting sqref="F2:F1000">
    <cfRule type="cellIs" dxfId="1" priority="8" operator="equal">
      <formula>"No Answer"</formula>
    </cfRule>
  </conditionalFormatting>
  <conditionalFormatting sqref="F2:F1000">
    <cfRule type="cellIs" dxfId="3" priority="9" operator="equal">
      <formula>"New"</formula>
    </cfRule>
  </conditionalFormatting>
  <conditionalFormatting sqref="F2:F1000">
    <cfRule type="cellIs" dxfId="6" priority="10" operator="equal">
      <formula>"Contacted"</formula>
    </cfRule>
  </conditionalFormatting>
  <dataValidations>
    <dataValidation type="list" allowBlank="1" sqref="D2:D1000">
      <formula1>Members!$A$2:$A$9</formula1>
    </dataValidation>
    <dataValidation type="list" allowBlank="1" sqref="F2:F1000">
      <formula1>"New,Contacted,No Answer,Not Interested,Converted"</formula1>
    </dataValidation>
    <dataValidation type="list" allowBlank="1" sqref="G2:G1000 P2:P1000">
      <formula1>"6,7,8,9,10,11"</formula1>
    </dataValidation>
    <dataValidation type="list" allowBlank="1" sqref="O3:O1000">
      <formula1>"Yes,No"</formula1>
    </dataValidation>
    <dataValidation type="list" allowBlank="1" sqref="O2 I2:I1000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0.0"/>
    <col customWidth="1" min="3" max="4" width="18.0"/>
    <col customWidth="1" min="5" max="26" width="8.71"/>
  </cols>
  <sheetData>
    <row r="1" ht="15.0" customHeight="1">
      <c r="A1" s="2" t="s">
        <v>2</v>
      </c>
      <c r="B1" s="2" t="s">
        <v>22</v>
      </c>
      <c r="C1" s="2" t="s">
        <v>24</v>
      </c>
      <c r="D1" s="2" t="s">
        <v>27</v>
      </c>
    </row>
    <row r="2" ht="15.0" customHeight="1">
      <c r="A2" s="5" t="str">
        <f>Members!A2</f>
        <v>maheesha</v>
      </c>
      <c r="B2" s="5">
        <f>COUNTIF('Master Leads'!$D$2:$D$1000,A2)</f>
        <v>1</v>
      </c>
      <c r="C2" s="5">
        <f>COUNTIFS('Master Leads'!$D$2:$D$1000,A2,'Master Leads'!$F$2:$F$1000,"Converted")</f>
        <v>1</v>
      </c>
      <c r="D2" s="7">
        <f t="shared" ref="D2:D10" si="1">IF(B2=0,"-",C2/B2)</f>
        <v>1</v>
      </c>
    </row>
    <row r="3" ht="15.0" customHeight="1">
      <c r="A3" s="5" t="str">
        <f>Members!A3</f>
        <v>menik</v>
      </c>
      <c r="B3" s="5">
        <f>COUNTIF('Master Leads'!$D$2:$D$1000,A3)</f>
        <v>0</v>
      </c>
      <c r="C3" s="5">
        <f>COUNTIFS('Master Leads'!$D$2:$D$1000,A3,'Master Leads'!$F$2:$F$1000,"Converted")</f>
        <v>0</v>
      </c>
      <c r="D3" s="7" t="str">
        <f t="shared" si="1"/>
        <v>-</v>
      </c>
    </row>
    <row r="4" ht="15.0" customHeight="1">
      <c r="A4" s="5" t="str">
        <f>Members!A4</f>
        <v>kavinda</v>
      </c>
      <c r="B4" s="5">
        <f>COUNTIF('Master Leads'!$D$2:$D$1000,A4)</f>
        <v>2</v>
      </c>
      <c r="C4" s="5">
        <f>COUNTIFS('Master Leads'!$D$2:$D$1000,A4,'Master Leads'!$F$2:$F$1000,"Converted")</f>
        <v>0</v>
      </c>
      <c r="D4" s="7">
        <f t="shared" si="1"/>
        <v>0</v>
      </c>
    </row>
    <row r="5" ht="15.0" customHeight="1">
      <c r="A5" s="5" t="str">
        <f>Members!A5</f>
        <v>umesh</v>
      </c>
      <c r="B5" s="5">
        <f>COUNTIF('Master Leads'!$D$2:$D$1000,A5)</f>
        <v>4</v>
      </c>
      <c r="C5" s="5">
        <f>COUNTIFS('Master Leads'!$D$2:$D$1000,A5,'Master Leads'!$F$2:$F$1000,"Converted")</f>
        <v>1</v>
      </c>
      <c r="D5" s="7">
        <f t="shared" si="1"/>
        <v>0.25</v>
      </c>
    </row>
    <row r="6" ht="15.0" customHeight="1">
      <c r="A6" s="5" t="str">
        <f>Members!A6</f>
        <v>Avishka</v>
      </c>
      <c r="B6" s="5">
        <f>COUNTIF('Master Leads'!$D$2:$D$1000,A6)</f>
        <v>0</v>
      </c>
      <c r="C6" s="5">
        <f>COUNTIFS('Master Leads'!$D$2:$D$1000,A6,'Master Leads'!$F$2:$F$1000,"Converted")</f>
        <v>0</v>
      </c>
      <c r="D6" s="7" t="str">
        <f t="shared" si="1"/>
        <v>-</v>
      </c>
    </row>
    <row r="7" ht="15.0" customHeight="1">
      <c r="A7" s="5" t="str">
        <f>Members!A7</f>
        <v>Wihanga</v>
      </c>
      <c r="B7" s="5">
        <f>COUNTIF('Master Leads'!$D$2:$D$1000,A7)</f>
        <v>0</v>
      </c>
      <c r="C7" s="5">
        <f>COUNTIFS('Master Leads'!$D$2:$D$1000,A7,'Master Leads'!$F$2:$F$1000,"Converted")</f>
        <v>0</v>
      </c>
      <c r="D7" s="7" t="str">
        <f t="shared" si="1"/>
        <v>-</v>
      </c>
    </row>
    <row r="8" ht="15.0" customHeight="1">
      <c r="A8" s="5" t="str">
        <f>Members!A8</f>
        <v>muthumali</v>
      </c>
      <c r="B8" s="5">
        <f>COUNTIF('Master Leads'!$D$2:$D$1000,A8)</f>
        <v>1</v>
      </c>
      <c r="C8" s="5">
        <f>COUNTIFS('Master Leads'!$D$2:$D$1000,A8,'Master Leads'!$F$2:$F$1000,"Converted")</f>
        <v>0</v>
      </c>
      <c r="D8" s="7">
        <f t="shared" si="1"/>
        <v>0</v>
      </c>
    </row>
    <row r="9" ht="15.0" customHeight="1">
      <c r="A9" s="5" t="str">
        <f>Members!A9</f>
        <v>shamali</v>
      </c>
      <c r="B9" s="5">
        <f>COUNTIF('Master Leads'!$D$2:$D$1000,A9)</f>
        <v>0</v>
      </c>
      <c r="C9" s="5">
        <f>COUNTIFS('Master Leads'!$D$2:$D$1000,A9,'Master Leads'!$F$2:$F$1000,"Converted")</f>
        <v>0</v>
      </c>
      <c r="D9" s="7" t="str">
        <f t="shared" si="1"/>
        <v>-</v>
      </c>
    </row>
    <row r="10" ht="15.0" customHeight="1">
      <c r="A10" s="11" t="s">
        <v>70</v>
      </c>
      <c r="B10" s="5">
        <f t="shared" ref="B10:C10" si="2">SUM(B2:B9)</f>
        <v>8</v>
      </c>
      <c r="C10" s="5">
        <f t="shared" si="2"/>
        <v>2</v>
      </c>
      <c r="D10" s="7">
        <f t="shared" si="1"/>
        <v>0.25</v>
      </c>
    </row>
    <row r="11">
      <c r="A11" s="5"/>
      <c r="B11" s="5"/>
      <c r="C11" s="5"/>
      <c r="D11" s="5"/>
    </row>
    <row r="12">
      <c r="A12" s="5"/>
      <c r="B12" s="5"/>
      <c r="C12" s="5"/>
      <c r="D12" s="5"/>
    </row>
    <row r="13">
      <c r="A13" s="5"/>
      <c r="B13" s="5"/>
      <c r="C13" s="5"/>
      <c r="D13" s="5"/>
    </row>
    <row r="14">
      <c r="A14" s="5"/>
      <c r="B14" s="5"/>
      <c r="C14" s="5"/>
      <c r="D14" s="5"/>
    </row>
    <row r="15">
      <c r="A15" s="5"/>
      <c r="B15" s="5"/>
      <c r="C15" s="5"/>
      <c r="D15" s="5"/>
    </row>
    <row r="16">
      <c r="A16" s="5"/>
      <c r="B16" s="5"/>
      <c r="C16" s="5"/>
      <c r="D16" s="5"/>
    </row>
    <row r="17">
      <c r="A17" s="5"/>
      <c r="B17" s="5"/>
      <c r="C17" s="5"/>
      <c r="D17" s="5"/>
    </row>
    <row r="18">
      <c r="A18" s="5"/>
      <c r="B18" s="5"/>
      <c r="C18" s="5"/>
      <c r="D18" s="5"/>
    </row>
    <row r="19">
      <c r="A19" s="5"/>
      <c r="B19" s="5"/>
      <c r="C19" s="5"/>
      <c r="D19" s="5"/>
    </row>
    <row r="20">
      <c r="A20" s="5"/>
      <c r="B20" s="5"/>
      <c r="C20" s="5"/>
      <c r="D20" s="5"/>
    </row>
    <row r="21" ht="15.75" customHeight="1">
      <c r="A21" s="5"/>
      <c r="B21" s="5"/>
      <c r="C21" s="5"/>
      <c r="D21" s="5"/>
    </row>
    <row r="22" ht="15.75" customHeight="1">
      <c r="A22" s="5"/>
      <c r="B22" s="5"/>
      <c r="C22" s="5"/>
      <c r="D22" s="5"/>
    </row>
    <row r="23" ht="15.75" customHeight="1">
      <c r="A23" s="5"/>
      <c r="B23" s="5"/>
      <c r="C23" s="5"/>
      <c r="D23" s="5"/>
    </row>
    <row r="24" ht="15.75" customHeight="1">
      <c r="A24" s="5"/>
      <c r="B24" s="5"/>
      <c r="C24" s="5"/>
      <c r="D24" s="5"/>
    </row>
    <row r="25" ht="15.75" customHeight="1">
      <c r="A25" s="5"/>
      <c r="B25" s="5"/>
      <c r="C25" s="5"/>
      <c r="D25" s="5"/>
    </row>
    <row r="26" ht="15.75" customHeight="1">
      <c r="A26" s="5"/>
      <c r="B26" s="5"/>
      <c r="C26" s="5"/>
      <c r="D26" s="5"/>
    </row>
    <row r="27" ht="15.75" customHeight="1">
      <c r="A27" s="5"/>
      <c r="B27" s="5"/>
      <c r="C27" s="5"/>
      <c r="D27" s="5"/>
    </row>
    <row r="28" ht="15.75" customHeight="1">
      <c r="A28" s="5"/>
      <c r="B28" s="5"/>
      <c r="C28" s="5"/>
      <c r="D28" s="5"/>
    </row>
    <row r="29" ht="15.75" customHeight="1">
      <c r="A29" s="5"/>
      <c r="B29" s="5"/>
      <c r="C29" s="5"/>
      <c r="D29" s="5"/>
    </row>
    <row r="30" ht="15.75" customHeight="1">
      <c r="A30" s="5"/>
      <c r="B30" s="5"/>
      <c r="C30" s="5"/>
      <c r="D30" s="5"/>
    </row>
    <row r="31" ht="15.75" customHeight="1">
      <c r="A31" s="5"/>
      <c r="B31" s="5"/>
      <c r="C31" s="5"/>
      <c r="D31" s="5"/>
    </row>
    <row r="32" ht="15.75" customHeight="1">
      <c r="A32" s="5"/>
      <c r="B32" s="5"/>
      <c r="C32" s="5"/>
      <c r="D32" s="5"/>
    </row>
    <row r="33" ht="15.75" customHeight="1">
      <c r="A33" s="5"/>
      <c r="B33" s="5"/>
      <c r="C33" s="5"/>
      <c r="D33" s="5"/>
    </row>
    <row r="34" ht="15.75" customHeight="1">
      <c r="A34" s="5"/>
      <c r="B34" s="5"/>
      <c r="C34" s="5"/>
      <c r="D34" s="5"/>
    </row>
    <row r="35" ht="15.75" customHeight="1">
      <c r="A35" s="5"/>
      <c r="B35" s="5"/>
      <c r="C35" s="5"/>
      <c r="D35" s="5"/>
    </row>
    <row r="36" ht="15.75" customHeight="1">
      <c r="A36" s="5"/>
      <c r="B36" s="5"/>
      <c r="C36" s="5"/>
      <c r="D36" s="5"/>
    </row>
    <row r="37" ht="15.75" customHeight="1">
      <c r="A37" s="5"/>
      <c r="B37" s="5"/>
      <c r="C37" s="5"/>
      <c r="D37" s="5"/>
    </row>
    <row r="38" ht="15.75" customHeight="1">
      <c r="A38" s="5"/>
      <c r="B38" s="5"/>
      <c r="C38" s="5"/>
      <c r="D38" s="5"/>
    </row>
    <row r="39" ht="15.75" customHeight="1">
      <c r="A39" s="5"/>
      <c r="B39" s="5"/>
      <c r="C39" s="5"/>
      <c r="D39" s="5"/>
    </row>
    <row r="40" ht="15.75" customHeight="1">
      <c r="A40" s="5"/>
      <c r="B40" s="5"/>
      <c r="C40" s="5"/>
      <c r="D40" s="5"/>
    </row>
    <row r="41" ht="15.75" customHeight="1">
      <c r="A41" s="5"/>
      <c r="B41" s="5"/>
      <c r="C41" s="5"/>
      <c r="D41" s="5"/>
    </row>
    <row r="42" ht="15.75" customHeight="1">
      <c r="A42" s="5"/>
      <c r="B42" s="5"/>
      <c r="C42" s="5"/>
      <c r="D42" s="5"/>
    </row>
    <row r="43" ht="15.75" customHeight="1">
      <c r="A43" s="5"/>
      <c r="B43" s="5"/>
      <c r="C43" s="5"/>
      <c r="D43" s="5"/>
    </row>
    <row r="44" ht="15.75" customHeight="1">
      <c r="A44" s="5"/>
      <c r="B44" s="5"/>
      <c r="C44" s="5"/>
      <c r="D44" s="5"/>
    </row>
    <row r="45" ht="15.75" customHeight="1">
      <c r="A45" s="5"/>
      <c r="B45" s="5"/>
      <c r="C45" s="5"/>
      <c r="D45" s="5"/>
    </row>
    <row r="46" ht="15.75" customHeight="1">
      <c r="A46" s="5"/>
      <c r="B46" s="5"/>
      <c r="C46" s="5"/>
      <c r="D46" s="5"/>
    </row>
    <row r="47" ht="15.75" customHeight="1">
      <c r="A47" s="5"/>
      <c r="B47" s="5"/>
      <c r="C47" s="5"/>
      <c r="D47" s="5"/>
    </row>
    <row r="48" ht="15.75" customHeight="1">
      <c r="A48" s="5"/>
      <c r="B48" s="5"/>
      <c r="C48" s="5"/>
      <c r="D48" s="5"/>
    </row>
    <row r="49" ht="15.75" customHeight="1">
      <c r="A49" s="5"/>
      <c r="B49" s="5"/>
      <c r="C49" s="5"/>
      <c r="D49" s="5"/>
    </row>
    <row r="50" ht="15.75" customHeight="1">
      <c r="A50" s="5"/>
      <c r="B50" s="5"/>
      <c r="C50" s="5"/>
      <c r="D50" s="5"/>
    </row>
    <row r="51" ht="15.75" customHeight="1">
      <c r="A51" s="5"/>
      <c r="B51" s="5"/>
      <c r="C51" s="5"/>
      <c r="D51" s="5"/>
    </row>
    <row r="52" ht="15.75" customHeight="1">
      <c r="A52" s="5"/>
      <c r="B52" s="5"/>
      <c r="C52" s="5"/>
      <c r="D52" s="5"/>
    </row>
    <row r="53" ht="15.75" customHeight="1">
      <c r="A53" s="5"/>
      <c r="B53" s="5"/>
      <c r="C53" s="5"/>
      <c r="D53" s="5"/>
    </row>
    <row r="54" ht="15.75" customHeight="1">
      <c r="A54" s="5"/>
      <c r="B54" s="5"/>
      <c r="C54" s="5"/>
      <c r="D54" s="5"/>
    </row>
    <row r="55" ht="15.75" customHeight="1">
      <c r="A55" s="5"/>
      <c r="B55" s="5"/>
      <c r="C55" s="5"/>
      <c r="D55" s="5"/>
    </row>
    <row r="56" ht="15.75" customHeight="1">
      <c r="A56" s="5"/>
      <c r="B56" s="5"/>
      <c r="C56" s="5"/>
      <c r="D56" s="5"/>
    </row>
    <row r="57" ht="15.75" customHeight="1">
      <c r="A57" s="5"/>
      <c r="B57" s="5"/>
      <c r="C57" s="5"/>
      <c r="D57" s="5"/>
    </row>
    <row r="58" ht="15.75" customHeight="1">
      <c r="A58" s="5"/>
      <c r="B58" s="5"/>
      <c r="C58" s="5"/>
      <c r="D58" s="5"/>
    </row>
    <row r="59" ht="15.75" customHeight="1">
      <c r="A59" s="5"/>
      <c r="B59" s="5"/>
      <c r="C59" s="5"/>
      <c r="D59" s="5"/>
    </row>
    <row r="60" ht="15.75" customHeight="1">
      <c r="A60" s="5"/>
      <c r="B60" s="5"/>
      <c r="C60" s="5"/>
      <c r="D60" s="5"/>
    </row>
    <row r="61" ht="15.75" customHeight="1">
      <c r="A61" s="5"/>
      <c r="B61" s="5"/>
      <c r="C61" s="5"/>
      <c r="D61" s="5"/>
    </row>
    <row r="62" ht="15.75" customHeight="1">
      <c r="A62" s="5"/>
      <c r="B62" s="5"/>
      <c r="C62" s="5"/>
      <c r="D62" s="5"/>
    </row>
    <row r="63" ht="15.75" customHeight="1">
      <c r="A63" s="5"/>
      <c r="B63" s="5"/>
      <c r="C63" s="5"/>
      <c r="D63" s="5"/>
    </row>
    <row r="64" ht="15.75" customHeight="1">
      <c r="A64" s="5"/>
      <c r="B64" s="5"/>
      <c r="C64" s="5"/>
      <c r="D64" s="5"/>
    </row>
    <row r="65" ht="15.75" customHeight="1">
      <c r="A65" s="5"/>
      <c r="B65" s="5"/>
      <c r="C65" s="5"/>
      <c r="D65" s="5"/>
    </row>
    <row r="66" ht="15.75" customHeight="1">
      <c r="A66" s="5"/>
      <c r="B66" s="5"/>
      <c r="C66" s="5"/>
      <c r="D66" s="5"/>
    </row>
    <row r="67" ht="15.75" customHeight="1">
      <c r="A67" s="5"/>
      <c r="B67" s="5"/>
      <c r="C67" s="5"/>
      <c r="D67" s="5"/>
    </row>
    <row r="68" ht="15.75" customHeight="1">
      <c r="A68" s="5"/>
      <c r="B68" s="5"/>
      <c r="C68" s="5"/>
      <c r="D68" s="5"/>
    </row>
    <row r="69" ht="15.75" customHeight="1">
      <c r="A69" s="5"/>
      <c r="B69" s="5"/>
      <c r="C69" s="5"/>
      <c r="D69" s="5"/>
    </row>
    <row r="70" ht="15.75" customHeight="1">
      <c r="A70" s="5"/>
      <c r="B70" s="5"/>
      <c r="C70" s="5"/>
      <c r="D70" s="5"/>
    </row>
    <row r="71" ht="15.75" customHeight="1">
      <c r="A71" s="5"/>
      <c r="B71" s="5"/>
      <c r="C71" s="5"/>
      <c r="D71" s="5"/>
    </row>
    <row r="72" ht="15.75" customHeight="1">
      <c r="A72" s="5"/>
      <c r="B72" s="5"/>
      <c r="C72" s="5"/>
      <c r="D72" s="5"/>
    </row>
    <row r="73" ht="15.75" customHeight="1">
      <c r="A73" s="5"/>
      <c r="B73" s="5"/>
      <c r="C73" s="5"/>
      <c r="D73" s="5"/>
    </row>
    <row r="74" ht="15.75" customHeight="1">
      <c r="A74" s="5"/>
      <c r="B74" s="5"/>
      <c r="C74" s="5"/>
      <c r="D74" s="5"/>
    </row>
    <row r="75" ht="15.75" customHeight="1">
      <c r="A75" s="5"/>
      <c r="B75" s="5"/>
      <c r="C75" s="5"/>
      <c r="D75" s="5"/>
    </row>
    <row r="76" ht="15.75" customHeight="1">
      <c r="A76" s="5"/>
      <c r="B76" s="5"/>
      <c r="C76" s="5"/>
      <c r="D76" s="5"/>
    </row>
    <row r="77" ht="15.75" customHeight="1">
      <c r="A77" s="5"/>
      <c r="B77" s="5"/>
      <c r="C77" s="5"/>
      <c r="D77" s="5"/>
    </row>
    <row r="78" ht="15.75" customHeight="1">
      <c r="A78" s="5"/>
      <c r="B78" s="5"/>
      <c r="C78" s="5"/>
      <c r="D78" s="5"/>
    </row>
    <row r="79" ht="15.75" customHeight="1">
      <c r="A79" s="5"/>
      <c r="B79" s="5"/>
      <c r="C79" s="5"/>
      <c r="D79" s="5"/>
    </row>
    <row r="80" ht="15.75" customHeight="1">
      <c r="A80" s="5"/>
      <c r="B80" s="5"/>
      <c r="C80" s="5"/>
      <c r="D80" s="5"/>
    </row>
    <row r="81" ht="15.75" customHeight="1">
      <c r="A81" s="5"/>
      <c r="B81" s="5"/>
      <c r="C81" s="5"/>
      <c r="D81" s="5"/>
    </row>
    <row r="82" ht="15.75" customHeight="1">
      <c r="A82" s="5"/>
      <c r="B82" s="5"/>
      <c r="C82" s="5"/>
      <c r="D82" s="5"/>
    </row>
    <row r="83" ht="15.75" customHeight="1">
      <c r="A83" s="5"/>
      <c r="B83" s="5"/>
      <c r="C83" s="5"/>
      <c r="D83" s="5"/>
    </row>
    <row r="84" ht="15.75" customHeight="1">
      <c r="A84" s="5"/>
      <c r="B84" s="5"/>
      <c r="C84" s="5"/>
      <c r="D84" s="5"/>
    </row>
    <row r="85" ht="15.75" customHeight="1">
      <c r="A85" s="5"/>
      <c r="B85" s="5"/>
      <c r="C85" s="5"/>
      <c r="D85" s="5"/>
    </row>
    <row r="86" ht="15.75" customHeight="1">
      <c r="A86" s="5"/>
      <c r="B86" s="5"/>
      <c r="C86" s="5"/>
      <c r="D86" s="5"/>
    </row>
    <row r="87" ht="15.75" customHeight="1">
      <c r="A87" s="5"/>
      <c r="B87" s="5"/>
      <c r="C87" s="5"/>
      <c r="D87" s="5"/>
    </row>
    <row r="88" ht="15.75" customHeight="1">
      <c r="A88" s="5"/>
      <c r="B88" s="5"/>
      <c r="C88" s="5"/>
      <c r="D88" s="5"/>
    </row>
    <row r="89" ht="15.75" customHeight="1">
      <c r="A89" s="5"/>
      <c r="B89" s="5"/>
      <c r="C89" s="5"/>
      <c r="D89" s="5"/>
    </row>
    <row r="90" ht="15.75" customHeight="1">
      <c r="A90" s="5"/>
      <c r="B90" s="5"/>
      <c r="C90" s="5"/>
      <c r="D90" s="5"/>
    </row>
    <row r="91" ht="15.75" customHeight="1">
      <c r="A91" s="5"/>
      <c r="B91" s="5"/>
      <c r="C91" s="5"/>
      <c r="D91" s="5"/>
    </row>
    <row r="92" ht="15.75" customHeight="1">
      <c r="A92" s="5"/>
      <c r="B92" s="5"/>
      <c r="C92" s="5"/>
      <c r="D92" s="5"/>
    </row>
    <row r="93" ht="15.75" customHeight="1">
      <c r="A93" s="5"/>
      <c r="B93" s="5"/>
      <c r="C93" s="5"/>
      <c r="D93" s="5"/>
    </row>
    <row r="94" ht="15.75" customHeight="1">
      <c r="A94" s="5"/>
      <c r="B94" s="5"/>
      <c r="C94" s="5"/>
      <c r="D94" s="5"/>
    </row>
    <row r="95" ht="15.75" customHeight="1">
      <c r="A95" s="5"/>
      <c r="B95" s="5"/>
      <c r="C95" s="5"/>
      <c r="D95" s="5"/>
    </row>
    <row r="96" ht="15.75" customHeight="1">
      <c r="A96" s="5"/>
      <c r="B96" s="5"/>
      <c r="C96" s="5"/>
      <c r="D96" s="5"/>
    </row>
    <row r="97" ht="15.75" customHeight="1">
      <c r="A97" s="5"/>
      <c r="B97" s="5"/>
      <c r="C97" s="5"/>
      <c r="D97" s="5"/>
    </row>
    <row r="98" ht="15.75" customHeight="1">
      <c r="A98" s="5"/>
      <c r="B98" s="5"/>
      <c r="C98" s="5"/>
      <c r="D98" s="5"/>
    </row>
    <row r="99" ht="15.75" customHeight="1">
      <c r="A99" s="5"/>
      <c r="B99" s="5"/>
      <c r="C99" s="5"/>
      <c r="D99" s="5"/>
    </row>
    <row r="100" ht="15.75" customHeight="1">
      <c r="A100" s="5"/>
      <c r="B100" s="5"/>
      <c r="C100" s="5"/>
      <c r="D100" s="5"/>
    </row>
    <row r="101" ht="15.75" customHeight="1">
      <c r="A101" s="5"/>
      <c r="B101" s="5"/>
      <c r="C101" s="5"/>
      <c r="D101" s="5"/>
    </row>
    <row r="102" ht="15.75" customHeight="1">
      <c r="A102" s="5"/>
      <c r="B102" s="5"/>
      <c r="C102" s="5"/>
      <c r="D102" s="5"/>
    </row>
    <row r="103" ht="15.75" customHeight="1">
      <c r="A103" s="5"/>
      <c r="B103" s="5"/>
      <c r="C103" s="5"/>
      <c r="D103" s="5"/>
    </row>
    <row r="104" ht="15.75" customHeight="1">
      <c r="A104" s="5"/>
      <c r="B104" s="5"/>
      <c r="C104" s="5"/>
      <c r="D104" s="5"/>
    </row>
    <row r="105" ht="15.75" customHeight="1">
      <c r="A105" s="5"/>
      <c r="B105" s="5"/>
      <c r="C105" s="5"/>
      <c r="D105" s="5"/>
    </row>
    <row r="106" ht="15.75" customHeight="1">
      <c r="A106" s="5"/>
      <c r="B106" s="5"/>
      <c r="C106" s="5"/>
      <c r="D106" s="5"/>
    </row>
    <row r="107" ht="15.75" customHeight="1">
      <c r="A107" s="5"/>
      <c r="B107" s="5"/>
      <c r="C107" s="5"/>
      <c r="D107" s="5"/>
    </row>
    <row r="108" ht="15.75" customHeight="1">
      <c r="A108" s="5"/>
      <c r="B108" s="5"/>
      <c r="C108" s="5"/>
      <c r="D108" s="5"/>
    </row>
    <row r="109" ht="15.75" customHeight="1">
      <c r="A109" s="5"/>
      <c r="B109" s="5"/>
      <c r="C109" s="5"/>
      <c r="D109" s="5"/>
    </row>
    <row r="110" ht="15.75" customHeight="1">
      <c r="A110" s="5"/>
      <c r="B110" s="5"/>
      <c r="C110" s="5"/>
      <c r="D110" s="5"/>
    </row>
    <row r="111" ht="15.75" customHeight="1">
      <c r="A111" s="5"/>
      <c r="B111" s="5"/>
      <c r="C111" s="5"/>
      <c r="D111" s="5"/>
    </row>
    <row r="112" ht="15.75" customHeight="1">
      <c r="A112" s="5"/>
      <c r="B112" s="5"/>
      <c r="C112" s="5"/>
      <c r="D112" s="5"/>
    </row>
    <row r="113" ht="15.75" customHeight="1">
      <c r="A113" s="5"/>
      <c r="B113" s="5"/>
      <c r="C113" s="5"/>
      <c r="D113" s="5"/>
    </row>
    <row r="114" ht="15.75" customHeight="1">
      <c r="A114" s="5"/>
      <c r="B114" s="5"/>
      <c r="C114" s="5"/>
      <c r="D114" s="5"/>
    </row>
    <row r="115" ht="15.75" customHeight="1">
      <c r="A115" s="5"/>
      <c r="B115" s="5"/>
      <c r="C115" s="5"/>
      <c r="D115" s="5"/>
    </row>
    <row r="116" ht="15.75" customHeight="1">
      <c r="A116" s="5"/>
      <c r="B116" s="5"/>
      <c r="C116" s="5"/>
      <c r="D116" s="5"/>
    </row>
    <row r="117" ht="15.75" customHeight="1">
      <c r="A117" s="5"/>
      <c r="B117" s="5"/>
      <c r="C117" s="5"/>
      <c r="D117" s="5"/>
    </row>
    <row r="118" ht="15.75" customHeight="1">
      <c r="A118" s="5"/>
      <c r="B118" s="5"/>
      <c r="C118" s="5"/>
      <c r="D118" s="5"/>
    </row>
    <row r="119" ht="15.75" customHeight="1">
      <c r="A119" s="5"/>
      <c r="B119" s="5"/>
      <c r="C119" s="5"/>
      <c r="D119" s="5"/>
    </row>
    <row r="120" ht="15.75" customHeight="1">
      <c r="A120" s="5"/>
      <c r="B120" s="5"/>
      <c r="C120" s="5"/>
      <c r="D120" s="5"/>
    </row>
    <row r="121" ht="15.75" customHeight="1">
      <c r="A121" s="5"/>
      <c r="B121" s="5"/>
      <c r="C121" s="5"/>
      <c r="D121" s="5"/>
    </row>
    <row r="122" ht="15.75" customHeight="1">
      <c r="A122" s="5"/>
      <c r="B122" s="5"/>
      <c r="C122" s="5"/>
      <c r="D122" s="5"/>
    </row>
    <row r="123" ht="15.75" customHeight="1">
      <c r="A123" s="5"/>
      <c r="B123" s="5"/>
      <c r="C123" s="5"/>
      <c r="D123" s="5"/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5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  <row r="1000" ht="15.75" customHeight="1">
      <c r="A1000" s="5"/>
      <c r="B1000" s="5"/>
      <c r="C1000" s="5"/>
      <c r="D1000" s="5"/>
    </row>
  </sheetData>
  <printOptions/>
  <pageMargins bottom="1.0" footer="0.0" header="0.0" left="0.75" right="0.75" top="1.0"/>
  <pageSetup paperSize="9" orientation="portrait"/>
  <drawing r:id="rId1"/>
</worksheet>
</file>