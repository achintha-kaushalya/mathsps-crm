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hir\Desktop\Lead tracking PS\"/>
    </mc:Choice>
  </mc:AlternateContent>
  <xr:revisionPtr revIDLastSave="0" documentId="13_ncr:20001_{DF2AD721-A802-45B4-A1CD-DE27689F901D}" xr6:coauthVersionLast="47" xr6:coauthVersionMax="47" xr10:uidLastSave="{00000000-0000-0000-0000-000000000000}"/>
  <bookViews>
    <workbookView xWindow="-108" yWindow="-108" windowWidth="23256" windowHeight="12456" tabRatio="601" firstSheet="1" activeTab="4" xr2:uid="{00000000-000D-0000-FFFF-FFFF00000000}"/>
  </bookViews>
  <sheets>
    <sheet name="Executive Dashboard" sheetId="1" r:id="rId1"/>
    <sheet name="Grade Interest" sheetId="2" r:id="rId2"/>
    <sheet name="Paid Dashboard" sheetId="3" r:id="rId3"/>
    <sheet name="Member Performance" sheetId="4" r:id="rId4"/>
    <sheet name="Member Paid" sheetId="5" r:id="rId5"/>
    <sheet name="Daily Dashboard" sheetId="7" r:id="rId6"/>
    <sheet name="Repeat Students" sheetId="9" r:id="rId7"/>
    <sheet name="Follow-up Dashboard" sheetId="10" r:id="rId8"/>
    <sheet name="Instructions - READ FIRST" sheetId="12" r:id="rId9"/>
    <sheet name="Members" sheetId="13" r:id="rId10"/>
    <sheet name="Master Leads" sheetId="14" r:id="rId11"/>
    <sheet name="Leads Summary" sheetId="15" r:id="rId12"/>
    <sheet name="_DB1_Data" sheetId="16" state="hidden" r:id="rId13"/>
    <sheet name="_DB2_Data" sheetId="17" state="hidden" r:id="rId14"/>
    <sheet name="_DB3_Data" sheetId="18" state="hidden" r:id="rId15"/>
    <sheet name="_DB4_Data" sheetId="19" state="hidden" r:id="rId16"/>
    <sheet name="_DB5_Data" sheetId="20" state="hidden" r:id="rId17"/>
    <sheet name="_DB6_Data" sheetId="21" state="hidden" r:id="rId18"/>
    <sheet name="_DB7_Data" sheetId="22" state="hidden" r:id="rId19"/>
    <sheet name="_DB8_Data" sheetId="23" state="hidden" r:id="rId2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3" l="1"/>
  <c r="B13" i="23"/>
  <c r="B12" i="23"/>
  <c r="B10" i="23"/>
  <c r="B9" i="23"/>
  <c r="B8" i="23"/>
  <c r="B7" i="23"/>
  <c r="B6" i="23"/>
  <c r="B5" i="23"/>
  <c r="B4" i="23"/>
  <c r="B3" i="23"/>
  <c r="B2" i="23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3" i="22"/>
  <c r="A3" i="22"/>
  <c r="B2" i="22"/>
  <c r="A2" i="22"/>
  <c r="E21" i="21"/>
  <c r="D21" i="21"/>
  <c r="C21" i="21"/>
  <c r="B21" i="21"/>
  <c r="E20" i="21"/>
  <c r="D20" i="21"/>
  <c r="C20" i="21"/>
  <c r="B20" i="21"/>
  <c r="E19" i="21"/>
  <c r="D19" i="21"/>
  <c r="C19" i="21"/>
  <c r="B19" i="21"/>
  <c r="E18" i="21"/>
  <c r="D18" i="21"/>
  <c r="C18" i="21"/>
  <c r="B18" i="21"/>
  <c r="E17" i="21"/>
  <c r="D17" i="21"/>
  <c r="C17" i="21"/>
  <c r="B17" i="21"/>
  <c r="E16" i="21"/>
  <c r="D16" i="21"/>
  <c r="C16" i="21"/>
  <c r="B16" i="21"/>
  <c r="E15" i="21"/>
  <c r="D15" i="21"/>
  <c r="C15" i="21"/>
  <c r="B15" i="21"/>
  <c r="E14" i="21"/>
  <c r="D14" i="21"/>
  <c r="C14" i="21"/>
  <c r="B14" i="21"/>
  <c r="E13" i="21"/>
  <c r="D13" i="21"/>
  <c r="C13" i="21"/>
  <c r="B13" i="21"/>
  <c r="E12" i="21"/>
  <c r="D12" i="21"/>
  <c r="C12" i="21"/>
  <c r="B12" i="21"/>
  <c r="E11" i="21"/>
  <c r="D11" i="21"/>
  <c r="C11" i="21"/>
  <c r="B11" i="21"/>
  <c r="E10" i="21"/>
  <c r="D10" i="21"/>
  <c r="C10" i="21"/>
  <c r="B10" i="21"/>
  <c r="E9" i="21"/>
  <c r="D9" i="21"/>
  <c r="C9" i="21"/>
  <c r="B9" i="21"/>
  <c r="E8" i="21"/>
  <c r="D8" i="21"/>
  <c r="C8" i="21"/>
  <c r="B8" i="21"/>
  <c r="E7" i="21"/>
  <c r="D7" i="21"/>
  <c r="C7" i="21"/>
  <c r="B7" i="21"/>
  <c r="E6" i="21"/>
  <c r="D6" i="21"/>
  <c r="C6" i="21"/>
  <c r="B6" i="21"/>
  <c r="E5" i="21"/>
  <c r="D5" i="21"/>
  <c r="C5" i="21"/>
  <c r="B5" i="21"/>
  <c r="E4" i="21"/>
  <c r="D4" i="21"/>
  <c r="C4" i="21"/>
  <c r="B4" i="21"/>
  <c r="E3" i="21"/>
  <c r="D3" i="21"/>
  <c r="C3" i="21"/>
  <c r="B3" i="21"/>
  <c r="E2" i="21"/>
  <c r="D2" i="21"/>
  <c r="C2" i="21"/>
  <c r="B2" i="21"/>
  <c r="H10" i="20"/>
  <c r="G10" i="20"/>
  <c r="F10" i="20"/>
  <c r="E10" i="20"/>
  <c r="D10" i="20"/>
  <c r="C10" i="20"/>
  <c r="B10" i="20"/>
  <c r="H9" i="20"/>
  <c r="G9" i="20"/>
  <c r="F9" i="20"/>
  <c r="E9" i="20"/>
  <c r="D9" i="20"/>
  <c r="C9" i="20"/>
  <c r="B9" i="20"/>
  <c r="H8" i="20"/>
  <c r="G8" i="20"/>
  <c r="F8" i="20"/>
  <c r="E8" i="20"/>
  <c r="D8" i="20"/>
  <c r="C8" i="20"/>
  <c r="B8" i="20"/>
  <c r="H7" i="20"/>
  <c r="G7" i="20"/>
  <c r="F7" i="20"/>
  <c r="E7" i="20"/>
  <c r="D7" i="20"/>
  <c r="C7" i="20"/>
  <c r="B7" i="20"/>
  <c r="H6" i="20"/>
  <c r="G6" i="20"/>
  <c r="F6" i="20"/>
  <c r="E6" i="20"/>
  <c r="D6" i="20"/>
  <c r="C6" i="20"/>
  <c r="B6" i="20"/>
  <c r="H5" i="20"/>
  <c r="G5" i="20"/>
  <c r="F5" i="20"/>
  <c r="E5" i="20"/>
  <c r="D5" i="20"/>
  <c r="C5" i="20"/>
  <c r="B5" i="20"/>
  <c r="H4" i="20"/>
  <c r="G4" i="20"/>
  <c r="F4" i="20"/>
  <c r="E4" i="20"/>
  <c r="D4" i="20"/>
  <c r="C4" i="20"/>
  <c r="B4" i="20"/>
  <c r="H3" i="20"/>
  <c r="G3" i="20"/>
  <c r="F3" i="20"/>
  <c r="E3" i="20"/>
  <c r="D3" i="20"/>
  <c r="C3" i="20"/>
  <c r="B3" i="20"/>
  <c r="H2" i="20"/>
  <c r="G2" i="20"/>
  <c r="F2" i="20"/>
  <c r="E2" i="20"/>
  <c r="D2" i="20"/>
  <c r="C2" i="20"/>
  <c r="B2" i="20"/>
  <c r="D9" i="19"/>
  <c r="C9" i="19"/>
  <c r="B9" i="19"/>
  <c r="D8" i="19"/>
  <c r="C8" i="19"/>
  <c r="B8" i="19"/>
  <c r="D7" i="19"/>
  <c r="C7" i="19"/>
  <c r="B7" i="19"/>
  <c r="D6" i="19"/>
  <c r="C6" i="19"/>
  <c r="B6" i="19"/>
  <c r="D5" i="19"/>
  <c r="C5" i="19"/>
  <c r="B5" i="19"/>
  <c r="D4" i="19"/>
  <c r="C4" i="19"/>
  <c r="B4" i="19"/>
  <c r="D3" i="19"/>
  <c r="C3" i="19"/>
  <c r="B3" i="19"/>
  <c r="D2" i="19"/>
  <c r="C2" i="19"/>
  <c r="B2" i="19"/>
  <c r="B11" i="18"/>
  <c r="B10" i="18"/>
  <c r="D7" i="18"/>
  <c r="C7" i="18"/>
  <c r="B7" i="18"/>
  <c r="D6" i="18"/>
  <c r="C6" i="18"/>
  <c r="B6" i="18"/>
  <c r="D5" i="18"/>
  <c r="C5" i="18"/>
  <c r="B5" i="18"/>
  <c r="D4" i="18"/>
  <c r="C4" i="18"/>
  <c r="B4" i="18"/>
  <c r="D3" i="18"/>
  <c r="C3" i="18"/>
  <c r="B3" i="18"/>
  <c r="D2" i="18"/>
  <c r="C2" i="18"/>
  <c r="B2" i="18"/>
  <c r="G22" i="17"/>
  <c r="F22" i="17"/>
  <c r="E22" i="17"/>
  <c r="D22" i="17"/>
  <c r="C22" i="17"/>
  <c r="B22" i="17"/>
  <c r="G21" i="17"/>
  <c r="F21" i="17"/>
  <c r="E21" i="17"/>
  <c r="D21" i="17"/>
  <c r="C21" i="17"/>
  <c r="B21" i="17"/>
  <c r="G20" i="17"/>
  <c r="F20" i="17"/>
  <c r="E20" i="17"/>
  <c r="D20" i="17"/>
  <c r="C20" i="17"/>
  <c r="B20" i="17"/>
  <c r="G19" i="17"/>
  <c r="F19" i="17"/>
  <c r="E19" i="17"/>
  <c r="D19" i="17"/>
  <c r="C19" i="17"/>
  <c r="B19" i="17"/>
  <c r="G18" i="17"/>
  <c r="F18" i="17"/>
  <c r="E18" i="17"/>
  <c r="D18" i="17"/>
  <c r="C18" i="17"/>
  <c r="B18" i="17"/>
  <c r="G17" i="17"/>
  <c r="F17" i="17"/>
  <c r="E17" i="17"/>
  <c r="D17" i="17"/>
  <c r="C17" i="17"/>
  <c r="B17" i="17"/>
  <c r="G16" i="17"/>
  <c r="F16" i="17"/>
  <c r="E16" i="17"/>
  <c r="D16" i="17"/>
  <c r="C16" i="17"/>
  <c r="B16" i="17"/>
  <c r="G15" i="17"/>
  <c r="F15" i="17"/>
  <c r="E15" i="17"/>
  <c r="D15" i="17"/>
  <c r="C15" i="17"/>
  <c r="B15" i="17"/>
  <c r="G14" i="17"/>
  <c r="F14" i="17"/>
  <c r="E14" i="17"/>
  <c r="D14" i="17"/>
  <c r="C14" i="17"/>
  <c r="B14" i="17"/>
  <c r="G13" i="17"/>
  <c r="F13" i="17"/>
  <c r="E13" i="17"/>
  <c r="D13" i="17"/>
  <c r="C13" i="17"/>
  <c r="B13" i="17"/>
  <c r="G12" i="17"/>
  <c r="F12" i="17"/>
  <c r="E12" i="17"/>
  <c r="D12" i="17"/>
  <c r="C12" i="17"/>
  <c r="B12" i="17"/>
  <c r="G11" i="17"/>
  <c r="F11" i="17"/>
  <c r="E11" i="17"/>
  <c r="D11" i="17"/>
  <c r="C11" i="17"/>
  <c r="B11" i="17"/>
  <c r="C7" i="17"/>
  <c r="B7" i="17"/>
  <c r="C6" i="17"/>
  <c r="B6" i="17"/>
  <c r="C5" i="17"/>
  <c r="B5" i="17"/>
  <c r="C4" i="17"/>
  <c r="B4" i="17"/>
  <c r="C3" i="17"/>
  <c r="B3" i="17"/>
  <c r="C2" i="17"/>
  <c r="B2" i="17"/>
  <c r="B49" i="16"/>
  <c r="A49" i="16"/>
  <c r="B48" i="16"/>
  <c r="A48" i="16"/>
  <c r="B47" i="16"/>
  <c r="A47" i="16"/>
  <c r="B46" i="16"/>
  <c r="A46" i="16"/>
  <c r="B45" i="16"/>
  <c r="A45" i="16"/>
  <c r="B44" i="16"/>
  <c r="A44" i="16"/>
  <c r="B43" i="16"/>
  <c r="A43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B28" i="16"/>
  <c r="B27" i="16"/>
  <c r="B24" i="16"/>
  <c r="B23" i="16"/>
  <c r="B22" i="16"/>
  <c r="B21" i="16"/>
  <c r="B20" i="16"/>
  <c r="B19" i="16"/>
  <c r="B18" i="16"/>
  <c r="B17" i="16"/>
  <c r="B16" i="16"/>
  <c r="B13" i="16"/>
  <c r="B12" i="16"/>
  <c r="B11" i="16"/>
  <c r="B10" i="16"/>
  <c r="B9" i="16"/>
  <c r="B8" i="16"/>
  <c r="B7" i="16"/>
  <c r="B6" i="16"/>
  <c r="B5" i="16"/>
  <c r="B4" i="16"/>
  <c r="B3" i="16"/>
  <c r="B2" i="16"/>
  <c r="B9" i="15"/>
  <c r="D9" i="15" s="1"/>
  <c r="A9" i="15"/>
  <c r="C9" i="15" s="1"/>
  <c r="C8" i="15"/>
  <c r="A8" i="15"/>
  <c r="B8" i="15" s="1"/>
  <c r="B7" i="15"/>
  <c r="D7" i="15" s="1"/>
  <c r="A7" i="15"/>
  <c r="C7" i="15" s="1"/>
  <c r="B6" i="15"/>
  <c r="D6" i="15" s="1"/>
  <c r="A6" i="15"/>
  <c r="C6" i="15" s="1"/>
  <c r="C5" i="15"/>
  <c r="A5" i="15"/>
  <c r="B5" i="15" s="1"/>
  <c r="A4" i="15"/>
  <c r="C4" i="15" s="1"/>
  <c r="B3" i="15"/>
  <c r="D3" i="15" s="1"/>
  <c r="A3" i="15"/>
  <c r="C3" i="15" s="1"/>
  <c r="C2" i="15"/>
  <c r="A2" i="15"/>
  <c r="B2" i="15" s="1"/>
  <c r="A1000" i="14"/>
  <c r="A999" i="14"/>
  <c r="A998" i="14"/>
  <c r="A997" i="14"/>
  <c r="A996" i="14"/>
  <c r="A995" i="14"/>
  <c r="A994" i="14"/>
  <c r="A993" i="14"/>
  <c r="A992" i="14"/>
  <c r="A991" i="14"/>
  <c r="A990" i="14"/>
  <c r="A989" i="14"/>
  <c r="A988" i="14"/>
  <c r="A987" i="14"/>
  <c r="A986" i="14"/>
  <c r="A985" i="14"/>
  <c r="A984" i="14"/>
  <c r="A983" i="14"/>
  <c r="A982" i="14"/>
  <c r="A981" i="14"/>
  <c r="A980" i="14"/>
  <c r="A979" i="14"/>
  <c r="A978" i="14"/>
  <c r="A977" i="14"/>
  <c r="A976" i="14"/>
  <c r="A975" i="14"/>
  <c r="A974" i="14"/>
  <c r="A973" i="14"/>
  <c r="A972" i="14"/>
  <c r="A971" i="14"/>
  <c r="A970" i="14"/>
  <c r="A969" i="14"/>
  <c r="A968" i="14"/>
  <c r="A967" i="14"/>
  <c r="A966" i="14"/>
  <c r="A965" i="14"/>
  <c r="A964" i="14"/>
  <c r="A963" i="14"/>
  <c r="A962" i="14"/>
  <c r="A961" i="14"/>
  <c r="A960" i="14"/>
  <c r="A959" i="14"/>
  <c r="A958" i="14"/>
  <c r="A957" i="14"/>
  <c r="A956" i="14"/>
  <c r="A955" i="14"/>
  <c r="A954" i="14"/>
  <c r="A953" i="14"/>
  <c r="A952" i="14"/>
  <c r="A951" i="14"/>
  <c r="A950" i="14"/>
  <c r="A949" i="14"/>
  <c r="A948" i="14"/>
  <c r="A947" i="14"/>
  <c r="A946" i="14"/>
  <c r="A945" i="14"/>
  <c r="A944" i="14"/>
  <c r="A943" i="14"/>
  <c r="A942" i="14"/>
  <c r="A941" i="14"/>
  <c r="A940" i="14"/>
  <c r="A939" i="14"/>
  <c r="A938" i="14"/>
  <c r="A937" i="14"/>
  <c r="A936" i="14"/>
  <c r="A935" i="14"/>
  <c r="A934" i="14"/>
  <c r="A933" i="14"/>
  <c r="A932" i="14"/>
  <c r="A931" i="14"/>
  <c r="A930" i="14"/>
  <c r="A929" i="14"/>
  <c r="A928" i="14"/>
  <c r="A927" i="14"/>
  <c r="A926" i="14"/>
  <c r="A925" i="14"/>
  <c r="A924" i="14"/>
  <c r="A923" i="14"/>
  <c r="A922" i="14"/>
  <c r="A921" i="14"/>
  <c r="A920" i="14"/>
  <c r="A919" i="14"/>
  <c r="A918" i="14"/>
  <c r="A917" i="14"/>
  <c r="A916" i="14"/>
  <c r="A915" i="14"/>
  <c r="A914" i="14"/>
  <c r="A913" i="14"/>
  <c r="A912" i="14"/>
  <c r="A911" i="14"/>
  <c r="A910" i="14"/>
  <c r="A909" i="14"/>
  <c r="A908" i="14"/>
  <c r="A907" i="14"/>
  <c r="A906" i="14"/>
  <c r="A905" i="14"/>
  <c r="A904" i="14"/>
  <c r="A903" i="14"/>
  <c r="A902" i="14"/>
  <c r="A901" i="14"/>
  <c r="A900" i="14"/>
  <c r="A899" i="14"/>
  <c r="A898" i="14"/>
  <c r="A897" i="14"/>
  <c r="A896" i="14"/>
  <c r="A895" i="14"/>
  <c r="A894" i="14"/>
  <c r="A893" i="14"/>
  <c r="A892" i="14"/>
  <c r="A891" i="14"/>
  <c r="A890" i="14"/>
  <c r="A889" i="14"/>
  <c r="A888" i="14"/>
  <c r="A887" i="14"/>
  <c r="A886" i="14"/>
  <c r="A885" i="14"/>
  <c r="A884" i="14"/>
  <c r="A883" i="14"/>
  <c r="A882" i="14"/>
  <c r="A881" i="14"/>
  <c r="A880" i="14"/>
  <c r="A879" i="14"/>
  <c r="A878" i="14"/>
  <c r="A877" i="14"/>
  <c r="A876" i="14"/>
  <c r="A875" i="14"/>
  <c r="A874" i="14"/>
  <c r="A873" i="14"/>
  <c r="A872" i="14"/>
  <c r="A871" i="14"/>
  <c r="A870" i="14"/>
  <c r="A869" i="14"/>
  <c r="A868" i="14"/>
  <c r="A867" i="14"/>
  <c r="A866" i="14"/>
  <c r="A865" i="14"/>
  <c r="A864" i="14"/>
  <c r="A863" i="14"/>
  <c r="A862" i="14"/>
  <c r="A861" i="14"/>
  <c r="A860" i="14"/>
  <c r="A859" i="14"/>
  <c r="A858" i="14"/>
  <c r="A857" i="14"/>
  <c r="A856" i="14"/>
  <c r="A855" i="14"/>
  <c r="A854" i="14"/>
  <c r="A853" i="14"/>
  <c r="A852" i="14"/>
  <c r="A851" i="14"/>
  <c r="A850" i="14"/>
  <c r="A849" i="14"/>
  <c r="A848" i="14"/>
  <c r="A847" i="14"/>
  <c r="A846" i="14"/>
  <c r="A845" i="14"/>
  <c r="A844" i="14"/>
  <c r="A843" i="14"/>
  <c r="A842" i="14"/>
  <c r="A841" i="14"/>
  <c r="A840" i="14"/>
  <c r="A839" i="14"/>
  <c r="A838" i="14"/>
  <c r="A837" i="14"/>
  <c r="A836" i="14"/>
  <c r="A835" i="14"/>
  <c r="A834" i="14"/>
  <c r="A833" i="14"/>
  <c r="A832" i="14"/>
  <c r="A831" i="14"/>
  <c r="A830" i="14"/>
  <c r="A829" i="14"/>
  <c r="A828" i="14"/>
  <c r="A827" i="14"/>
  <c r="A826" i="14"/>
  <c r="A825" i="14"/>
  <c r="A824" i="14"/>
  <c r="A823" i="14"/>
  <c r="A822" i="14"/>
  <c r="A821" i="14"/>
  <c r="A820" i="14"/>
  <c r="A819" i="14"/>
  <c r="A818" i="14"/>
  <c r="A817" i="14"/>
  <c r="A816" i="14"/>
  <c r="A815" i="14"/>
  <c r="A814" i="14"/>
  <c r="A813" i="14"/>
  <c r="A812" i="14"/>
  <c r="A811" i="14"/>
  <c r="A810" i="14"/>
  <c r="A809" i="14"/>
  <c r="A808" i="14"/>
  <c r="A807" i="14"/>
  <c r="A806" i="14"/>
  <c r="A805" i="14"/>
  <c r="A804" i="14"/>
  <c r="A803" i="14"/>
  <c r="A802" i="14"/>
  <c r="A801" i="14"/>
  <c r="A800" i="14"/>
  <c r="A799" i="14"/>
  <c r="A798" i="14"/>
  <c r="A797" i="14"/>
  <c r="A796" i="14"/>
  <c r="A795" i="14"/>
  <c r="A794" i="14"/>
  <c r="A793" i="14"/>
  <c r="A792" i="14"/>
  <c r="A791" i="14"/>
  <c r="A790" i="14"/>
  <c r="A789" i="14"/>
  <c r="A788" i="14"/>
  <c r="A787" i="14"/>
  <c r="A786" i="14"/>
  <c r="A785" i="14"/>
  <c r="A784" i="14"/>
  <c r="A783" i="14"/>
  <c r="A782" i="14"/>
  <c r="A781" i="14"/>
  <c r="A780" i="14"/>
  <c r="A779" i="14"/>
  <c r="A778" i="14"/>
  <c r="A777" i="14"/>
  <c r="A776" i="14"/>
  <c r="A775" i="14"/>
  <c r="A774" i="14"/>
  <c r="A773" i="14"/>
  <c r="A772" i="14"/>
  <c r="A771" i="14"/>
  <c r="A770" i="14"/>
  <c r="A769" i="14"/>
  <c r="A768" i="14"/>
  <c r="A767" i="14"/>
  <c r="A766" i="14"/>
  <c r="A765" i="14"/>
  <c r="A764" i="14"/>
  <c r="A763" i="14"/>
  <c r="A762" i="14"/>
  <c r="A761" i="14"/>
  <c r="A760" i="14"/>
  <c r="A759" i="14"/>
  <c r="A758" i="14"/>
  <c r="A757" i="14"/>
  <c r="A756" i="14"/>
  <c r="A755" i="14"/>
  <c r="A754" i="14"/>
  <c r="A753" i="14"/>
  <c r="A752" i="14"/>
  <c r="A751" i="14"/>
  <c r="A750" i="14"/>
  <c r="A749" i="14"/>
  <c r="A748" i="14"/>
  <c r="A747" i="14"/>
  <c r="A746" i="14"/>
  <c r="A745" i="14"/>
  <c r="A744" i="14"/>
  <c r="A743" i="14"/>
  <c r="A742" i="14"/>
  <c r="A741" i="14"/>
  <c r="A740" i="14"/>
  <c r="A739" i="14"/>
  <c r="A738" i="14"/>
  <c r="A737" i="14"/>
  <c r="A736" i="14"/>
  <c r="A735" i="14"/>
  <c r="A734" i="14"/>
  <c r="A733" i="14"/>
  <c r="A732" i="14"/>
  <c r="A731" i="14"/>
  <c r="A730" i="14"/>
  <c r="A729" i="14"/>
  <c r="A728" i="14"/>
  <c r="A727" i="14"/>
  <c r="A726" i="14"/>
  <c r="A725" i="14"/>
  <c r="A724" i="14"/>
  <c r="A723" i="14"/>
  <c r="A722" i="14"/>
  <c r="A721" i="14"/>
  <c r="A720" i="14"/>
  <c r="A719" i="14"/>
  <c r="A718" i="14"/>
  <c r="A717" i="14"/>
  <c r="A716" i="14"/>
  <c r="A715" i="14"/>
  <c r="A714" i="14"/>
  <c r="A713" i="14"/>
  <c r="A712" i="14"/>
  <c r="A711" i="14"/>
  <c r="A710" i="14"/>
  <c r="A709" i="14"/>
  <c r="A708" i="14"/>
  <c r="A707" i="14"/>
  <c r="A706" i="14"/>
  <c r="A705" i="14"/>
  <c r="A704" i="14"/>
  <c r="A703" i="14"/>
  <c r="A702" i="14"/>
  <c r="A701" i="14"/>
  <c r="A700" i="14"/>
  <c r="A699" i="14"/>
  <c r="A698" i="14"/>
  <c r="A697" i="14"/>
  <c r="A696" i="14"/>
  <c r="A695" i="14"/>
  <c r="A694" i="14"/>
  <c r="A693" i="14"/>
  <c r="A692" i="14"/>
  <c r="A691" i="14"/>
  <c r="A690" i="14"/>
  <c r="A689" i="14"/>
  <c r="A688" i="14"/>
  <c r="A687" i="14"/>
  <c r="A686" i="14"/>
  <c r="A685" i="14"/>
  <c r="A684" i="14"/>
  <c r="A683" i="14"/>
  <c r="A682" i="14"/>
  <c r="A681" i="14"/>
  <c r="A680" i="14"/>
  <c r="A679" i="14"/>
  <c r="A678" i="14"/>
  <c r="A677" i="14"/>
  <c r="A676" i="14"/>
  <c r="A675" i="14"/>
  <c r="A674" i="14"/>
  <c r="A673" i="14"/>
  <c r="A672" i="14"/>
  <c r="A671" i="14"/>
  <c r="A670" i="14"/>
  <c r="A669" i="14"/>
  <c r="A668" i="14"/>
  <c r="A667" i="14"/>
  <c r="A666" i="14"/>
  <c r="A665" i="14"/>
  <c r="A664" i="14"/>
  <c r="A663" i="14"/>
  <c r="A662" i="14"/>
  <c r="A661" i="14"/>
  <c r="A660" i="14"/>
  <c r="A659" i="14"/>
  <c r="A658" i="14"/>
  <c r="A657" i="14"/>
  <c r="A656" i="14"/>
  <c r="A655" i="14"/>
  <c r="A654" i="14"/>
  <c r="A653" i="14"/>
  <c r="A652" i="14"/>
  <c r="A651" i="14"/>
  <c r="A650" i="14"/>
  <c r="A649" i="14"/>
  <c r="A648" i="14"/>
  <c r="A647" i="14"/>
  <c r="A646" i="14"/>
  <c r="A645" i="14"/>
  <c r="A644" i="14"/>
  <c r="A643" i="14"/>
  <c r="A642" i="14"/>
  <c r="A641" i="14"/>
  <c r="A640" i="14"/>
  <c r="A639" i="14"/>
  <c r="A638" i="14"/>
  <c r="A637" i="14"/>
  <c r="A636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A611" i="14"/>
  <c r="A610" i="14"/>
  <c r="A609" i="14"/>
  <c r="A608" i="14"/>
  <c r="A607" i="14"/>
  <c r="A606" i="14"/>
  <c r="A605" i="14"/>
  <c r="A604" i="14"/>
  <c r="A603" i="14"/>
  <c r="A602" i="14"/>
  <c r="A601" i="14"/>
  <c r="A600" i="14"/>
  <c r="A599" i="14"/>
  <c r="A598" i="14"/>
  <c r="A597" i="14"/>
  <c r="A596" i="14"/>
  <c r="A595" i="14"/>
  <c r="A594" i="14"/>
  <c r="A593" i="14"/>
  <c r="A592" i="14"/>
  <c r="A591" i="14"/>
  <c r="A590" i="14"/>
  <c r="A589" i="14"/>
  <c r="A588" i="14"/>
  <c r="A587" i="14"/>
  <c r="A586" i="14"/>
  <c r="A585" i="14"/>
  <c r="A584" i="14"/>
  <c r="A583" i="14"/>
  <c r="A582" i="14"/>
  <c r="A581" i="14"/>
  <c r="A580" i="14"/>
  <c r="A579" i="14"/>
  <c r="A578" i="14"/>
  <c r="A577" i="14"/>
  <c r="A576" i="14"/>
  <c r="A575" i="14"/>
  <c r="A574" i="14"/>
  <c r="A573" i="14"/>
  <c r="A572" i="14"/>
  <c r="A571" i="14"/>
  <c r="A570" i="14"/>
  <c r="A569" i="14"/>
  <c r="A568" i="14"/>
  <c r="A567" i="14"/>
  <c r="A566" i="14"/>
  <c r="A565" i="14"/>
  <c r="A564" i="14"/>
  <c r="A563" i="14"/>
  <c r="A562" i="14"/>
  <c r="A561" i="14"/>
  <c r="A560" i="14"/>
  <c r="A559" i="14"/>
  <c r="A558" i="14"/>
  <c r="A557" i="14"/>
  <c r="A556" i="14"/>
  <c r="A555" i="14"/>
  <c r="A554" i="14"/>
  <c r="A553" i="14"/>
  <c r="A552" i="14"/>
  <c r="A551" i="14"/>
  <c r="A550" i="14"/>
  <c r="A549" i="14"/>
  <c r="A548" i="14"/>
  <c r="A547" i="14"/>
  <c r="A546" i="14"/>
  <c r="A545" i="14"/>
  <c r="A544" i="14"/>
  <c r="A543" i="14"/>
  <c r="A542" i="14"/>
  <c r="A541" i="14"/>
  <c r="A540" i="14"/>
  <c r="A539" i="14"/>
  <c r="A538" i="14"/>
  <c r="A537" i="14"/>
  <c r="A536" i="14"/>
  <c r="A535" i="14"/>
  <c r="A534" i="14"/>
  <c r="A533" i="14"/>
  <c r="A532" i="14"/>
  <c r="A531" i="14"/>
  <c r="A530" i="14"/>
  <c r="A529" i="14"/>
  <c r="A528" i="14"/>
  <c r="A527" i="14"/>
  <c r="A526" i="14"/>
  <c r="A525" i="14"/>
  <c r="A524" i="14"/>
  <c r="A523" i="14"/>
  <c r="A522" i="14"/>
  <c r="A521" i="14"/>
  <c r="A520" i="14"/>
  <c r="A519" i="14"/>
  <c r="A518" i="14"/>
  <c r="A517" i="14"/>
  <c r="A516" i="14"/>
  <c r="A515" i="14"/>
  <c r="A514" i="14"/>
  <c r="A513" i="14"/>
  <c r="A512" i="14"/>
  <c r="A511" i="14"/>
  <c r="A510" i="14"/>
  <c r="A509" i="14"/>
  <c r="A508" i="14"/>
  <c r="A507" i="14"/>
  <c r="A506" i="14"/>
  <c r="A505" i="14"/>
  <c r="A504" i="14"/>
  <c r="A503" i="14"/>
  <c r="A502" i="14"/>
  <c r="A501" i="14"/>
  <c r="A500" i="14"/>
  <c r="A499" i="14"/>
  <c r="A498" i="14"/>
  <c r="A497" i="14"/>
  <c r="A496" i="14"/>
  <c r="A495" i="14"/>
  <c r="A494" i="14"/>
  <c r="A493" i="14"/>
  <c r="A492" i="14"/>
  <c r="A491" i="14"/>
  <c r="A490" i="14"/>
  <c r="A489" i="14"/>
  <c r="A488" i="14"/>
  <c r="A487" i="14"/>
  <c r="A486" i="14"/>
  <c r="A485" i="14"/>
  <c r="A484" i="14"/>
  <c r="A483" i="14"/>
  <c r="A482" i="14"/>
  <c r="A481" i="14"/>
  <c r="A480" i="14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N2" i="14" s="1" a="1"/>
  <c r="N2" i="14" s="1"/>
  <c r="C9" i="13"/>
  <c r="B9" i="13"/>
  <c r="C8" i="13"/>
  <c r="B8" i="13"/>
  <c r="C7" i="13"/>
  <c r="B7" i="13"/>
  <c r="C6" i="13"/>
  <c r="B6" i="13"/>
  <c r="C5" i="13"/>
  <c r="B5" i="13"/>
  <c r="C4" i="13"/>
  <c r="B4" i="13"/>
  <c r="C3" i="13"/>
  <c r="B3" i="13"/>
  <c r="C2" i="13"/>
  <c r="B2" i="13"/>
  <c r="S23" i="10"/>
  <c r="O23" i="10"/>
  <c r="K23" i="10"/>
  <c r="G23" i="10"/>
  <c r="S22" i="10"/>
  <c r="O22" i="10"/>
  <c r="K22" i="10"/>
  <c r="G22" i="10"/>
  <c r="S21" i="10"/>
  <c r="O21" i="10"/>
  <c r="K21" i="10"/>
  <c r="G21" i="10"/>
  <c r="S20" i="10"/>
  <c r="O20" i="10"/>
  <c r="K20" i="10"/>
  <c r="G20" i="10"/>
  <c r="S19" i="10"/>
  <c r="O19" i="10"/>
  <c r="K19" i="10"/>
  <c r="G19" i="10"/>
  <c r="S18" i="10"/>
  <c r="O18" i="10"/>
  <c r="K18" i="10"/>
  <c r="G18" i="10"/>
  <c r="S17" i="10"/>
  <c r="O17" i="10"/>
  <c r="K17" i="10"/>
  <c r="G17" i="10"/>
  <c r="S16" i="10"/>
  <c r="O16" i="10"/>
  <c r="K16" i="10"/>
  <c r="G16" i="10"/>
  <c r="Q11" i="10"/>
  <c r="L11" i="10"/>
  <c r="G11" i="10"/>
  <c r="B11" i="10"/>
  <c r="V7" i="10"/>
  <c r="Q7" i="10"/>
  <c r="L7" i="10"/>
  <c r="G7" i="10"/>
  <c r="B7" i="10"/>
  <c r="N19" i="9"/>
  <c r="J19" i="9"/>
  <c r="F19" i="9"/>
  <c r="N18" i="9"/>
  <c r="J18" i="9"/>
  <c r="F18" i="9"/>
  <c r="N17" i="9"/>
  <c r="J17" i="9"/>
  <c r="F17" i="9"/>
  <c r="N16" i="9"/>
  <c r="J16" i="9"/>
  <c r="F16" i="9"/>
  <c r="N15" i="9"/>
  <c r="J15" i="9"/>
  <c r="F15" i="9"/>
  <c r="N14" i="9"/>
  <c r="J14" i="9"/>
  <c r="F14" i="9"/>
  <c r="F13" i="9"/>
  <c r="F12" i="9"/>
  <c r="V11" i="7"/>
  <c r="Q11" i="7"/>
  <c r="L11" i="7"/>
  <c r="G11" i="7"/>
  <c r="B11" i="7"/>
  <c r="V7" i="7"/>
  <c r="Q7" i="7"/>
  <c r="L7" i="7"/>
  <c r="G7" i="7"/>
  <c r="B7" i="7"/>
  <c r="Y15" i="5"/>
  <c r="V15" i="5"/>
  <c r="S15" i="5"/>
  <c r="P15" i="5"/>
  <c r="M15" i="5"/>
  <c r="J15" i="5"/>
  <c r="G15" i="5"/>
  <c r="Y14" i="5"/>
  <c r="V14" i="5"/>
  <c r="S14" i="5"/>
  <c r="P14" i="5"/>
  <c r="M14" i="5"/>
  <c r="J14" i="5"/>
  <c r="G14" i="5"/>
  <c r="Y13" i="5"/>
  <c r="V13" i="5"/>
  <c r="S13" i="5"/>
  <c r="P13" i="5"/>
  <c r="M13" i="5"/>
  <c r="J13" i="5"/>
  <c r="G13" i="5"/>
  <c r="Y12" i="5"/>
  <c r="V12" i="5"/>
  <c r="S12" i="5"/>
  <c r="P12" i="5"/>
  <c r="M12" i="5"/>
  <c r="J12" i="5"/>
  <c r="G12" i="5"/>
  <c r="Y11" i="5"/>
  <c r="V11" i="5"/>
  <c r="S11" i="5"/>
  <c r="P11" i="5"/>
  <c r="M11" i="5"/>
  <c r="J11" i="5"/>
  <c r="G11" i="5"/>
  <c r="Y10" i="5"/>
  <c r="V10" i="5"/>
  <c r="S10" i="5"/>
  <c r="P10" i="5"/>
  <c r="M10" i="5"/>
  <c r="J10" i="5"/>
  <c r="G10" i="5"/>
  <c r="Y9" i="5"/>
  <c r="V9" i="5"/>
  <c r="S9" i="5"/>
  <c r="P9" i="5"/>
  <c r="M9" i="5"/>
  <c r="J9" i="5"/>
  <c r="G9" i="5"/>
  <c r="Y8" i="5"/>
  <c r="V8" i="5"/>
  <c r="S8" i="5"/>
  <c r="P8" i="5"/>
  <c r="M8" i="5"/>
  <c r="J8" i="5"/>
  <c r="G8" i="5"/>
  <c r="Y7" i="5"/>
  <c r="V7" i="5"/>
  <c r="S7" i="5"/>
  <c r="P7" i="5"/>
  <c r="M7" i="5"/>
  <c r="J7" i="5"/>
  <c r="G7" i="5"/>
  <c r="Y26" i="4"/>
  <c r="V26" i="4"/>
  <c r="S26" i="4"/>
  <c r="P26" i="4"/>
  <c r="M26" i="4"/>
  <c r="J26" i="4"/>
  <c r="G26" i="4"/>
  <c r="Y25" i="4"/>
  <c r="V25" i="4"/>
  <c r="S25" i="4"/>
  <c r="P25" i="4"/>
  <c r="M25" i="4"/>
  <c r="J25" i="4"/>
  <c r="G25" i="4"/>
  <c r="Y24" i="4"/>
  <c r="V24" i="4"/>
  <c r="S24" i="4"/>
  <c r="P24" i="4"/>
  <c r="M24" i="4"/>
  <c r="J24" i="4"/>
  <c r="G24" i="4"/>
  <c r="Y23" i="4"/>
  <c r="V23" i="4"/>
  <c r="S23" i="4"/>
  <c r="P23" i="4"/>
  <c r="M23" i="4"/>
  <c r="J23" i="4"/>
  <c r="G23" i="4"/>
  <c r="Y22" i="4"/>
  <c r="V22" i="4"/>
  <c r="S22" i="4"/>
  <c r="P22" i="4"/>
  <c r="M22" i="4"/>
  <c r="J22" i="4"/>
  <c r="G22" i="4"/>
  <c r="Y21" i="4"/>
  <c r="V21" i="4"/>
  <c r="S21" i="4"/>
  <c r="P21" i="4"/>
  <c r="M21" i="4"/>
  <c r="J21" i="4"/>
  <c r="G21" i="4"/>
  <c r="Y20" i="4"/>
  <c r="V20" i="4"/>
  <c r="S20" i="4"/>
  <c r="P20" i="4"/>
  <c r="M20" i="4"/>
  <c r="J20" i="4"/>
  <c r="G20" i="4"/>
  <c r="Y19" i="4"/>
  <c r="V19" i="4"/>
  <c r="S19" i="4"/>
  <c r="P19" i="4"/>
  <c r="M19" i="4"/>
  <c r="J19" i="4"/>
  <c r="G19" i="4"/>
  <c r="K15" i="4"/>
  <c r="G15" i="4"/>
  <c r="AA14" i="4"/>
  <c r="W14" i="4"/>
  <c r="S14" i="4"/>
  <c r="O14" i="4"/>
  <c r="K14" i="4"/>
  <c r="G14" i="4"/>
  <c r="AA13" i="4"/>
  <c r="W13" i="4"/>
  <c r="S13" i="4"/>
  <c r="O13" i="4"/>
  <c r="K13" i="4"/>
  <c r="G13" i="4"/>
  <c r="AA12" i="4"/>
  <c r="W12" i="4"/>
  <c r="S12" i="4"/>
  <c r="O12" i="4"/>
  <c r="K12" i="4"/>
  <c r="G12" i="4"/>
  <c r="AA11" i="4"/>
  <c r="W11" i="4"/>
  <c r="S11" i="4"/>
  <c r="O11" i="4"/>
  <c r="K11" i="4"/>
  <c r="G11" i="4"/>
  <c r="AA10" i="4"/>
  <c r="W10" i="4"/>
  <c r="S10" i="4"/>
  <c r="O10" i="4"/>
  <c r="K10" i="4"/>
  <c r="G10" i="4"/>
  <c r="AA9" i="4"/>
  <c r="W9" i="4"/>
  <c r="S9" i="4"/>
  <c r="O9" i="4"/>
  <c r="K9" i="4"/>
  <c r="G9" i="4"/>
  <c r="AA8" i="4"/>
  <c r="W8" i="4"/>
  <c r="S8" i="4"/>
  <c r="O8" i="4"/>
  <c r="K8" i="4"/>
  <c r="G8" i="4"/>
  <c r="AA7" i="4"/>
  <c r="W7" i="4"/>
  <c r="S7" i="4"/>
  <c r="O7" i="4"/>
  <c r="K7" i="4"/>
  <c r="G7" i="4"/>
  <c r="I25" i="3"/>
  <c r="E25" i="3"/>
  <c r="T24" i="3"/>
  <c r="Q24" i="3"/>
  <c r="M24" i="3"/>
  <c r="I24" i="3"/>
  <c r="E24" i="3"/>
  <c r="T23" i="3"/>
  <c r="Q23" i="3"/>
  <c r="M23" i="3"/>
  <c r="I23" i="3"/>
  <c r="E23" i="3"/>
  <c r="T22" i="3"/>
  <c r="Q22" i="3"/>
  <c r="M22" i="3"/>
  <c r="I22" i="3"/>
  <c r="E22" i="3"/>
  <c r="T21" i="3"/>
  <c r="Q21" i="3"/>
  <c r="M21" i="3"/>
  <c r="I21" i="3"/>
  <c r="E21" i="3"/>
  <c r="T20" i="3"/>
  <c r="Q20" i="3"/>
  <c r="M20" i="3"/>
  <c r="I20" i="3"/>
  <c r="E20" i="3"/>
  <c r="T19" i="3"/>
  <c r="Q19" i="3"/>
  <c r="M19" i="3"/>
  <c r="I19" i="3"/>
  <c r="E19" i="3"/>
  <c r="G14" i="3"/>
  <c r="B14" i="3"/>
  <c r="Q10" i="3"/>
  <c r="L10" i="3"/>
  <c r="G10" i="3"/>
  <c r="B10" i="3"/>
  <c r="T6" i="3"/>
  <c r="N6" i="3"/>
  <c r="H6" i="3"/>
  <c r="B6" i="3"/>
  <c r="I14" i="2"/>
  <c r="E14" i="2"/>
  <c r="S13" i="2"/>
  <c r="P13" i="2"/>
  <c r="M13" i="2"/>
  <c r="I13" i="2"/>
  <c r="E13" i="2"/>
  <c r="S12" i="2"/>
  <c r="P12" i="2"/>
  <c r="M12" i="2"/>
  <c r="I12" i="2"/>
  <c r="E12" i="2"/>
  <c r="S11" i="2"/>
  <c r="P11" i="2"/>
  <c r="M11" i="2"/>
  <c r="I11" i="2"/>
  <c r="E11" i="2"/>
  <c r="S10" i="2"/>
  <c r="P10" i="2"/>
  <c r="M10" i="2"/>
  <c r="I10" i="2"/>
  <c r="E10" i="2"/>
  <c r="S9" i="2"/>
  <c r="P9" i="2"/>
  <c r="M9" i="2"/>
  <c r="I9" i="2"/>
  <c r="E9" i="2"/>
  <c r="S8" i="2"/>
  <c r="P8" i="2"/>
  <c r="M8" i="2"/>
  <c r="I8" i="2"/>
  <c r="E8" i="2"/>
  <c r="V10" i="1"/>
  <c r="Q10" i="1"/>
  <c r="L10" i="1"/>
  <c r="G10" i="1"/>
  <c r="B10" i="1"/>
  <c r="V6" i="1"/>
  <c r="L6" i="1"/>
  <c r="G6" i="1"/>
  <c r="B6" i="1"/>
  <c r="D5" i="15" l="1"/>
  <c r="D8" i="15"/>
  <c r="M4" i="14"/>
  <c r="M13" i="14"/>
  <c r="K182" i="14"/>
  <c r="K12" i="14"/>
  <c r="N139" i="14"/>
  <c r="K3" i="14"/>
  <c r="K9" i="14"/>
  <c r="K16" i="14"/>
  <c r="N63" i="14"/>
  <c r="N83" i="14" a="1"/>
  <c r="N83" i="14" s="1"/>
  <c r="N130" i="14"/>
  <c r="N369" i="14"/>
  <c r="K170" i="14"/>
  <c r="M3" i="14"/>
  <c r="K214" i="14"/>
  <c r="K573" i="14"/>
  <c r="N22" i="14"/>
  <c r="N3" i="14"/>
  <c r="K10" i="14"/>
  <c r="N18" i="14"/>
  <c r="N52" i="14"/>
  <c r="K120" i="14"/>
  <c r="K143" i="14"/>
  <c r="N33" i="14"/>
  <c r="K11" i="14"/>
  <c r="N19" i="14"/>
  <c r="K52" i="14"/>
  <c r="M6" i="14"/>
  <c r="K6" i="14"/>
  <c r="M12" i="14"/>
  <c r="K19" i="14"/>
  <c r="N182" i="14" a="1"/>
  <c r="N182" i="14" s="1"/>
  <c r="K14" i="14"/>
  <c r="K22" i="14"/>
  <c r="N90" i="14"/>
  <c r="K7" i="14"/>
  <c r="K35" i="14"/>
  <c r="N103" i="14"/>
  <c r="M15" i="14"/>
  <c r="K8" i="14"/>
  <c r="K15" i="14"/>
  <c r="N36" i="14"/>
  <c r="N55" i="14"/>
  <c r="N45" i="14"/>
  <c r="K627" i="14"/>
  <c r="M9" i="14"/>
  <c r="N25" i="14"/>
  <c r="K71" i="14"/>
  <c r="N94" i="14"/>
  <c r="N160" i="14"/>
  <c r="K215" i="14"/>
  <c r="K250" i="14"/>
  <c r="N274" i="14"/>
  <c r="K310" i="14"/>
  <c r="K346" i="14"/>
  <c r="K33" i="14"/>
  <c r="K53" i="14"/>
  <c r="K63" i="14"/>
  <c r="K92" i="14"/>
  <c r="N102" i="14"/>
  <c r="N111" i="14"/>
  <c r="K121" i="14"/>
  <c r="K131" i="14"/>
  <c r="K161" i="14"/>
  <c r="K227" i="14"/>
  <c r="K251" i="14"/>
  <c r="K299" i="14"/>
  <c r="K479" i="14"/>
  <c r="K34" i="14"/>
  <c r="N44" i="14" a="1"/>
  <c r="N44" i="14" s="1"/>
  <c r="K54" i="14"/>
  <c r="N112" i="14"/>
  <c r="N142" i="14"/>
  <c r="K173" i="14"/>
  <c r="K195" i="14"/>
  <c r="K206" i="14"/>
  <c r="N207" i="14"/>
  <c r="N257" i="14" a="1"/>
  <c r="N257" i="14" s="1"/>
  <c r="K414" i="14"/>
  <c r="N368" i="14" a="1"/>
  <c r="N368" i="14" s="1"/>
  <c r="K323" i="14"/>
  <c r="K293" i="14"/>
  <c r="K274" i="14"/>
  <c r="N250" i="14"/>
  <c r="N332" i="14" a="1"/>
  <c r="N332" i="14" s="1"/>
  <c r="N302" i="14" a="1"/>
  <c r="N302" i="14" s="1"/>
  <c r="N283" i="14"/>
  <c r="K269" i="14"/>
  <c r="K241" i="14"/>
  <c r="K26" i="14"/>
  <c r="K490" i="14"/>
  <c r="K461" i="14"/>
  <c r="K448" i="14"/>
  <c r="N440" i="14" a="1"/>
  <c r="N440" i="14" s="1"/>
  <c r="K395" i="14"/>
  <c r="K389" i="14"/>
  <c r="K373" i="14"/>
  <c r="K359" i="14"/>
  <c r="N327" i="14"/>
  <c r="N298" i="14"/>
  <c r="K264" i="14"/>
  <c r="N259" i="14"/>
  <c r="K231" i="14"/>
  <c r="N212" i="14" a="1"/>
  <c r="N212" i="14" s="1"/>
  <c r="K242" i="14"/>
  <c r="K56" i="14"/>
  <c r="K75" i="14"/>
  <c r="N95" i="14" a="1"/>
  <c r="N95" i="14" s="1"/>
  <c r="K115" i="14"/>
  <c r="N135" i="14"/>
  <c r="N187" i="14"/>
  <c r="K187" i="14"/>
  <c r="N198" i="14"/>
  <c r="N208" i="14"/>
  <c r="N279" i="14"/>
  <c r="K327" i="14"/>
  <c r="K37" i="14"/>
  <c r="K48" i="14"/>
  <c r="K67" i="14"/>
  <c r="N115" i="14"/>
  <c r="N126" i="14"/>
  <c r="K135" i="14"/>
  <c r="K165" i="14"/>
  <c r="K199" i="14"/>
  <c r="N199" i="14"/>
  <c r="N364" i="14"/>
  <c r="N123" i="14"/>
  <c r="K123" i="14"/>
  <c r="N143" i="14" a="1"/>
  <c r="N143" i="14" s="1"/>
  <c r="K338" i="14"/>
  <c r="N129" i="14"/>
  <c r="K38" i="14"/>
  <c r="N48" i="14"/>
  <c r="N67" i="14"/>
  <c r="K107" i="14"/>
  <c r="K116" i="14"/>
  <c r="N127" i="14"/>
  <c r="N178" i="14"/>
  <c r="K178" i="14"/>
  <c r="K200" i="14"/>
  <c r="K222" i="14"/>
  <c r="K365" i="14"/>
  <c r="K377" i="14"/>
  <c r="K153" i="14"/>
  <c r="K422" i="14"/>
  <c r="N37" i="14"/>
  <c r="N66" i="14"/>
  <c r="K105" i="14"/>
  <c r="N29" i="14" a="1"/>
  <c r="N29" i="14" s="1"/>
  <c r="N49" i="14"/>
  <c r="K87" i="14"/>
  <c r="N107" i="14" a="1"/>
  <c r="N107" i="14" s="1"/>
  <c r="K117" i="14"/>
  <c r="K127" i="14"/>
  <c r="N156" i="14"/>
  <c r="K179" i="14"/>
  <c r="K223" i="14"/>
  <c r="K234" i="14"/>
  <c r="N270" i="14"/>
  <c r="N342" i="14"/>
  <c r="N354" i="14"/>
  <c r="N426" i="14"/>
  <c r="N30" i="14"/>
  <c r="N59" i="14" a="1"/>
  <c r="N59" i="14" s="1"/>
  <c r="K69" i="14"/>
  <c r="K79" i="14"/>
  <c r="N88" i="14"/>
  <c r="N108" i="14"/>
  <c r="K128" i="14"/>
  <c r="N138" i="14"/>
  <c r="N147" i="14"/>
  <c r="N157" i="14"/>
  <c r="K180" i="14"/>
  <c r="K191" i="14"/>
  <c r="K224" i="14"/>
  <c r="K259" i="14"/>
  <c r="K283" i="14"/>
  <c r="N373" i="14"/>
  <c r="N40" i="14"/>
  <c r="K41" i="14"/>
  <c r="N51" i="14"/>
  <c r="N70" i="14"/>
  <c r="N79" i="14"/>
  <c r="N99" i="14"/>
  <c r="K119" i="14"/>
  <c r="K139" i="14"/>
  <c r="N169" i="14"/>
  <c r="K236" i="14"/>
  <c r="K260" i="14"/>
  <c r="K308" i="14"/>
  <c r="M21" i="14"/>
  <c r="K24" i="14"/>
  <c r="N28" i="14"/>
  <c r="K32" i="14"/>
  <c r="N39" i="14"/>
  <c r="N43" i="14"/>
  <c r="N58" i="14"/>
  <c r="K66" i="14"/>
  <c r="K74" i="14"/>
  <c r="N78" i="14"/>
  <c r="N82" i="14"/>
  <c r="K86" i="14"/>
  <c r="K90" i="14"/>
  <c r="K94" i="14"/>
  <c r="K102" i="14"/>
  <c r="N106" i="14"/>
  <c r="K110" i="14"/>
  <c r="K134" i="14"/>
  <c r="K138" i="14"/>
  <c r="K142" i="14"/>
  <c r="K150" i="14"/>
  <c r="K159" i="14"/>
  <c r="K164" i="14"/>
  <c r="K168" i="14"/>
  <c r="N181" i="14"/>
  <c r="K189" i="14"/>
  <c r="K193" i="14"/>
  <c r="K197" i="14"/>
  <c r="K202" i="14"/>
  <c r="K211" i="14"/>
  <c r="N216" i="14"/>
  <c r="K220" i="14"/>
  <c r="K225" i="14"/>
  <c r="K230" i="14"/>
  <c r="K235" i="14"/>
  <c r="N244" i="14"/>
  <c r="N248" i="14" a="1"/>
  <c r="N248" i="14" s="1"/>
  <c r="N258" i="14"/>
  <c r="K263" i="14"/>
  <c r="K267" i="14"/>
  <c r="K277" i="14"/>
  <c r="K282" i="14"/>
  <c r="K287" i="14"/>
  <c r="N291" i="14"/>
  <c r="K296" i="14"/>
  <c r="K301" i="14"/>
  <c r="K306" i="14"/>
  <c r="N316" i="14"/>
  <c r="K321" i="14"/>
  <c r="N331" i="14"/>
  <c r="N336" i="14"/>
  <c r="N352" i="14"/>
  <c r="K352" i="14"/>
  <c r="N357" i="14"/>
  <c r="K367" i="14"/>
  <c r="N387" i="14"/>
  <c r="K387" i="14"/>
  <c r="K393" i="14"/>
  <c r="N393" i="14"/>
  <c r="N399" i="14"/>
  <c r="K405" i="14"/>
  <c r="N412" i="14"/>
  <c r="K432" i="14"/>
  <c r="K438" i="14"/>
  <c r="K445" i="14"/>
  <c r="N445" i="14"/>
  <c r="N459" i="14"/>
  <c r="N473" i="14" a="1"/>
  <c r="N473" i="14" s="1"/>
  <c r="K488" i="14"/>
  <c r="N494" i="14" a="1"/>
  <c r="N494" i="14" s="1"/>
  <c r="K521" i="14"/>
  <c r="K681" i="14"/>
  <c r="K704" i="14"/>
  <c r="K18" i="14"/>
  <c r="K21" i="14"/>
  <c r="K36" i="14"/>
  <c r="N47" i="14" a="1"/>
  <c r="N47" i="14" s="1"/>
  <c r="K51" i="14"/>
  <c r="K55" i="14"/>
  <c r="N62" i="14" a="1"/>
  <c r="N62" i="14" s="1"/>
  <c r="K70" i="14"/>
  <c r="K78" i="14"/>
  <c r="N98" i="14" a="1"/>
  <c r="N98" i="14" s="1"/>
  <c r="K106" i="14"/>
  <c r="N110" i="14" a="1"/>
  <c r="N110" i="14" s="1"/>
  <c r="K114" i="14"/>
  <c r="N118" i="14"/>
  <c r="K122" i="14"/>
  <c r="K126" i="14"/>
  <c r="K130" i="14"/>
  <c r="N146" i="14" a="1"/>
  <c r="N146" i="14" s="1"/>
  <c r="K151" i="14"/>
  <c r="N155" i="14" a="1"/>
  <c r="N155" i="14" s="1"/>
  <c r="N176" i="14" a="1"/>
  <c r="N176" i="14" s="1"/>
  <c r="K181" i="14"/>
  <c r="N185" i="14" a="1"/>
  <c r="N185" i="14" s="1"/>
  <c r="N189" i="14"/>
  <c r="N193" i="14"/>
  <c r="N202" i="14"/>
  <c r="K207" i="14"/>
  <c r="N211" i="14"/>
  <c r="K216" i="14"/>
  <c r="K226" i="14"/>
  <c r="N235" i="14"/>
  <c r="N239" i="14" a="1"/>
  <c r="N239" i="14" s="1"/>
  <c r="N249" i="14"/>
  <c r="K249" i="14"/>
  <c r="K254" i="14"/>
  <c r="K258" i="14"/>
  <c r="N268" i="14"/>
  <c r="N282" i="14"/>
  <c r="N287" i="14" a="1"/>
  <c r="N287" i="14" s="1"/>
  <c r="N292" i="14"/>
  <c r="N297" i="14"/>
  <c r="N306" i="14"/>
  <c r="K311" i="14"/>
  <c r="K316" i="14"/>
  <c r="K326" i="14"/>
  <c r="K331" i="14"/>
  <c r="K337" i="14"/>
  <c r="N337" i="14"/>
  <c r="K342" i="14"/>
  <c r="K347" i="14"/>
  <c r="K362" i="14"/>
  <c r="N367" i="14"/>
  <c r="K372" i="14"/>
  <c r="K382" i="14"/>
  <c r="K394" i="14"/>
  <c r="N400" i="14"/>
  <c r="N405" i="14"/>
  <c r="K412" i="14"/>
  <c r="K426" i="14"/>
  <c r="N432" i="14"/>
  <c r="N438" i="14"/>
  <c r="N460" i="14"/>
  <c r="K474" i="14"/>
  <c r="N474" i="14"/>
  <c r="N481" i="14"/>
  <c r="N504" i="14"/>
  <c r="N521" i="14" a="1"/>
  <c r="N521" i="14" s="1"/>
  <c r="K550" i="14"/>
  <c r="N6" i="14"/>
  <c r="N9" i="14"/>
  <c r="N12" i="14"/>
  <c r="N15" i="14"/>
  <c r="M18" i="14"/>
  <c r="N21" i="14"/>
  <c r="K25" i="14"/>
  <c r="K29" i="14"/>
  <c r="N32" i="14" a="1"/>
  <c r="N32" i="14" s="1"/>
  <c r="K40" i="14"/>
  <c r="K44" i="14"/>
  <c r="K59" i="14"/>
  <c r="N74" i="14" a="1"/>
  <c r="N74" i="14" s="1"/>
  <c r="K83" i="14"/>
  <c r="N86" i="14" a="1"/>
  <c r="N86" i="14" s="1"/>
  <c r="N91" i="14"/>
  <c r="K95" i="14"/>
  <c r="N134" i="14" a="1"/>
  <c r="N134" i="14" s="1"/>
  <c r="N151" i="14"/>
  <c r="K160" i="14"/>
  <c r="N164" i="14" a="1"/>
  <c r="N164" i="14" s="1"/>
  <c r="K169" i="14"/>
  <c r="N177" i="14"/>
  <c r="K198" i="14"/>
  <c r="K217" i="14"/>
  <c r="K221" i="14"/>
  <c r="N226" i="14"/>
  <c r="N230" i="14" a="1"/>
  <c r="N230" i="14" s="1"/>
  <c r="N240" i="14"/>
  <c r="K240" i="14"/>
  <c r="K245" i="14"/>
  <c r="N263" i="14" a="1"/>
  <c r="N263" i="14" s="1"/>
  <c r="K268" i="14"/>
  <c r="K273" i="14"/>
  <c r="K278" i="14"/>
  <c r="N288" i="14"/>
  <c r="K292" i="14"/>
  <c r="K297" i="14"/>
  <c r="K302" i="14"/>
  <c r="K307" i="14"/>
  <c r="K317" i="14"/>
  <c r="N322" i="14"/>
  <c r="K332" i="14"/>
  <c r="K353" i="14"/>
  <c r="N358" i="14"/>
  <c r="K363" i="14"/>
  <c r="K368" i="14"/>
  <c r="N372" i="14"/>
  <c r="K388" i="14"/>
  <c r="N394" i="14"/>
  <c r="K400" i="14"/>
  <c r="N406" i="14"/>
  <c r="K433" i="14"/>
  <c r="K447" i="14"/>
  <c r="N447" i="14"/>
  <c r="K454" i="14"/>
  <c r="K460" i="14"/>
  <c r="K467" i="14"/>
  <c r="K513" i="14"/>
  <c r="K541" i="14"/>
  <c r="K582" i="14"/>
  <c r="K4" i="14"/>
  <c r="N7" i="14"/>
  <c r="M10" i="14"/>
  <c r="K13" i="14"/>
  <c r="N87" i="14"/>
  <c r="K91" i="14"/>
  <c r="K99" i="14"/>
  <c r="K103" i="14"/>
  <c r="K111" i="14"/>
  <c r="N122" i="14" a="1"/>
  <c r="N122" i="14" s="1"/>
  <c r="K147" i="14"/>
  <c r="K152" i="14"/>
  <c r="K156" i="14"/>
  <c r="N173" i="14" a="1"/>
  <c r="N173" i="14" s="1"/>
  <c r="K177" i="14"/>
  <c r="K186" i="14"/>
  <c r="N190" i="14"/>
  <c r="K194" i="14"/>
  <c r="K203" i="14"/>
  <c r="K208" i="14"/>
  <c r="K212" i="14"/>
  <c r="N217" i="14"/>
  <c r="N221" i="14" a="1"/>
  <c r="N221" i="14" s="1"/>
  <c r="N231" i="14"/>
  <c r="N241" i="14"/>
  <c r="N254" i="14" a="1"/>
  <c r="N254" i="14" s="1"/>
  <c r="N278" i="14" a="1"/>
  <c r="N278" i="14" s="1"/>
  <c r="K288" i="14"/>
  <c r="K298" i="14"/>
  <c r="N307" i="14"/>
  <c r="N311" i="14" a="1"/>
  <c r="N311" i="14" s="1"/>
  <c r="N317" i="14" a="1"/>
  <c r="N317" i="14" s="1"/>
  <c r="K348" i="14"/>
  <c r="N353" i="14" a="1"/>
  <c r="N353" i="14" s="1"/>
  <c r="N363" i="14"/>
  <c r="K401" i="14"/>
  <c r="K406" i="14"/>
  <c r="N414" i="14"/>
  <c r="K421" i="14"/>
  <c r="N427" i="14"/>
  <c r="K427" i="14"/>
  <c r="N433" i="14"/>
  <c r="N448" i="14"/>
  <c r="N454" i="14"/>
  <c r="N482" i="14" a="1"/>
  <c r="N482" i="14" s="1"/>
  <c r="N514" i="14"/>
  <c r="K514" i="14"/>
  <c r="N523" i="14"/>
  <c r="K523" i="14"/>
  <c r="N534" i="14"/>
  <c r="K534" i="14"/>
  <c r="N582" i="14"/>
  <c r="N603" i="14"/>
  <c r="N543" i="14"/>
  <c r="N4" i="14"/>
  <c r="M7" i="14"/>
  <c r="N10" i="14"/>
  <c r="N13" i="14"/>
  <c r="M16" i="14"/>
  <c r="M19" i="14"/>
  <c r="M22" i="14"/>
  <c r="N60" i="14"/>
  <c r="K64" i="14"/>
  <c r="N71" i="14" a="1"/>
  <c r="N71" i="14" s="1"/>
  <c r="N75" i="14"/>
  <c r="K80" i="14"/>
  <c r="N96" i="14"/>
  <c r="K100" i="14"/>
  <c r="N119" i="14" a="1"/>
  <c r="N119" i="14" s="1"/>
  <c r="N144" i="14"/>
  <c r="K148" i="14"/>
  <c r="N152" i="14" a="1"/>
  <c r="N152" i="14" s="1"/>
  <c r="N165" i="14"/>
  <c r="K174" i="14"/>
  <c r="N194" i="14" a="1"/>
  <c r="N194" i="14" s="1"/>
  <c r="N203" i="14" a="1"/>
  <c r="N203" i="14" s="1"/>
  <c r="N213" i="14"/>
  <c r="K213" i="14"/>
  <c r="K218" i="14"/>
  <c r="N232" i="14"/>
  <c r="K246" i="14"/>
  <c r="K255" i="14"/>
  <c r="N265" i="14"/>
  <c r="K279" i="14"/>
  <c r="N289" i="14"/>
  <c r="N293" i="14" a="1"/>
  <c r="N293" i="14" s="1"/>
  <c r="N303" i="14"/>
  <c r="N313" i="14"/>
  <c r="N318" i="14"/>
  <c r="N333" i="14"/>
  <c r="K333" i="14"/>
  <c r="N338" i="14" a="1"/>
  <c r="N338" i="14" s="1"/>
  <c r="K344" i="14"/>
  <c r="K349" i="14"/>
  <c r="K379" i="14"/>
  <c r="K384" i="14"/>
  <c r="N389" i="14" a="1"/>
  <c r="N389" i="14" s="1"/>
  <c r="N401" i="14" a="1"/>
  <c r="N401" i="14" s="1"/>
  <c r="N415" i="14"/>
  <c r="K415" i="14"/>
  <c r="N455" i="14" a="1"/>
  <c r="N455" i="14" s="1"/>
  <c r="N469" i="14"/>
  <c r="N498" i="14"/>
  <c r="K535" i="14"/>
  <c r="K543" i="14"/>
  <c r="K574" i="14"/>
  <c r="N574" i="14"/>
  <c r="N222" i="14"/>
  <c r="N312" i="14"/>
  <c r="K312" i="14"/>
  <c r="K364" i="14"/>
  <c r="N379" i="14"/>
  <c r="K434" i="14"/>
  <c r="N995" i="14" a="1"/>
  <c r="N995" i="14" s="1"/>
  <c r="N998" i="14" a="1"/>
  <c r="N998" i="14" s="1"/>
  <c r="N994" i="14"/>
  <c r="K994" i="14"/>
  <c r="K990" i="14"/>
  <c r="N986" i="14" a="1"/>
  <c r="N986" i="14" s="1"/>
  <c r="K993" i="14"/>
  <c r="N989" i="14" a="1"/>
  <c r="N989" i="14" s="1"/>
  <c r="N983" i="14" a="1"/>
  <c r="N983" i="14" s="1"/>
  <c r="N979" i="14"/>
  <c r="N974" i="14" a="1"/>
  <c r="N974" i="14" s="1"/>
  <c r="N965" i="14" a="1"/>
  <c r="N965" i="14" s="1"/>
  <c r="N956" i="14" a="1"/>
  <c r="N956" i="14" s="1"/>
  <c r="N947" i="14" a="1"/>
  <c r="N947" i="14" s="1"/>
  <c r="N938" i="14" a="1"/>
  <c r="N938" i="14" s="1"/>
  <c r="N929" i="14" a="1"/>
  <c r="N929" i="14" s="1"/>
  <c r="N920" i="14" a="1"/>
  <c r="N920" i="14" s="1"/>
  <c r="N911" i="14" a="1"/>
  <c r="N911" i="14" s="1"/>
  <c r="N902" i="14" a="1"/>
  <c r="N902" i="14" s="1"/>
  <c r="N893" i="14" a="1"/>
  <c r="N893" i="14" s="1"/>
  <c r="N884" i="14" a="1"/>
  <c r="N884" i="14" s="1"/>
  <c r="N875" i="14" a="1"/>
  <c r="N875" i="14" s="1"/>
  <c r="N866" i="14" a="1"/>
  <c r="N866" i="14" s="1"/>
  <c r="N857" i="14" a="1"/>
  <c r="N857" i="14" s="1"/>
  <c r="N848" i="14" a="1"/>
  <c r="N848" i="14" s="1"/>
  <c r="N839" i="14" a="1"/>
  <c r="N839" i="14" s="1"/>
  <c r="N830" i="14" a="1"/>
  <c r="N830" i="14" s="1"/>
  <c r="N821" i="14" a="1"/>
  <c r="N821" i="14" s="1"/>
  <c r="N812" i="14" a="1"/>
  <c r="N812" i="14" s="1"/>
  <c r="N803" i="14" a="1"/>
  <c r="N803" i="14" s="1"/>
  <c r="N794" i="14" a="1"/>
  <c r="N794" i="14" s="1"/>
  <c r="N785" i="14" a="1"/>
  <c r="N785" i="14" s="1"/>
  <c r="N776" i="14" a="1"/>
  <c r="N776" i="14" s="1"/>
  <c r="N767" i="14" a="1"/>
  <c r="N767" i="14" s="1"/>
  <c r="N758" i="14" a="1"/>
  <c r="N758" i="14" s="1"/>
  <c r="N749" i="14" a="1"/>
  <c r="N749" i="14" s="1"/>
  <c r="K983" i="14"/>
  <c r="K978" i="14"/>
  <c r="K974" i="14"/>
  <c r="K969" i="14"/>
  <c r="K965" i="14"/>
  <c r="K960" i="14"/>
  <c r="K956" i="14"/>
  <c r="K951" i="14"/>
  <c r="K947" i="14"/>
  <c r="K942" i="14"/>
  <c r="N992" i="14" a="1"/>
  <c r="N992" i="14" s="1"/>
  <c r="N593" i="14" a="1"/>
  <c r="N593" i="14" s="1"/>
  <c r="N585" i="14"/>
  <c r="N581" i="14" a="1"/>
  <c r="N581" i="14" s="1"/>
  <c r="N557" i="14" a="1"/>
  <c r="N557" i="14" s="1"/>
  <c r="N549" i="14"/>
  <c r="N982" i="14"/>
  <c r="N977" i="14" a="1"/>
  <c r="N977" i="14" s="1"/>
  <c r="N968" i="14" a="1"/>
  <c r="N968" i="14" s="1"/>
  <c r="N959" i="14" a="1"/>
  <c r="N959" i="14" s="1"/>
  <c r="N950" i="14" a="1"/>
  <c r="N950" i="14" s="1"/>
  <c r="N941" i="14" a="1"/>
  <c r="N941" i="14" s="1"/>
  <c r="N932" i="14" a="1"/>
  <c r="N932" i="14" s="1"/>
  <c r="N923" i="14" a="1"/>
  <c r="N923" i="14" s="1"/>
  <c r="N914" i="14" a="1"/>
  <c r="N914" i="14" s="1"/>
  <c r="N905" i="14" a="1"/>
  <c r="N905" i="14" s="1"/>
  <c r="N896" i="14" a="1"/>
  <c r="N896" i="14" s="1"/>
  <c r="N887" i="14" a="1"/>
  <c r="N887" i="14" s="1"/>
  <c r="N878" i="14" a="1"/>
  <c r="N878" i="14" s="1"/>
  <c r="N869" i="14" a="1"/>
  <c r="N869" i="14" s="1"/>
  <c r="N860" i="14" a="1"/>
  <c r="N860" i="14" s="1"/>
  <c r="N851" i="14" a="1"/>
  <c r="N851" i="14" s="1"/>
  <c r="N842" i="14" a="1"/>
  <c r="N842" i="14" s="1"/>
  <c r="N833" i="14" a="1"/>
  <c r="N833" i="14" s="1"/>
  <c r="N824" i="14" a="1"/>
  <c r="N824" i="14" s="1"/>
  <c r="N815" i="14" a="1"/>
  <c r="N815" i="14" s="1"/>
  <c r="N806" i="14" a="1"/>
  <c r="N806" i="14" s="1"/>
  <c r="N797" i="14" a="1"/>
  <c r="N797" i="14" s="1"/>
  <c r="N788" i="14" a="1"/>
  <c r="N788" i="14" s="1"/>
  <c r="N779" i="14" a="1"/>
  <c r="N779" i="14" s="1"/>
  <c r="N770" i="14" a="1"/>
  <c r="N770" i="14" s="1"/>
  <c r="N761" i="14" a="1"/>
  <c r="N761" i="14" s="1"/>
  <c r="N752" i="14" a="1"/>
  <c r="N752" i="14" s="1"/>
  <c r="N743" i="14" a="1"/>
  <c r="N743" i="14" s="1"/>
  <c r="N734" i="14" a="1"/>
  <c r="N734" i="14" s="1"/>
  <c r="N725" i="14" a="1"/>
  <c r="N725" i="14" s="1"/>
  <c r="N716" i="14" a="1"/>
  <c r="N716" i="14" s="1"/>
  <c r="N707" i="14" a="1"/>
  <c r="N707" i="14" s="1"/>
  <c r="N698" i="14" a="1"/>
  <c r="N698" i="14" s="1"/>
  <c r="N999" i="14"/>
  <c r="K992" i="14"/>
  <c r="K986" i="14"/>
  <c r="K977" i="14"/>
  <c r="K968" i="14"/>
  <c r="K959" i="14"/>
  <c r="K950" i="14"/>
  <c r="K941" i="14"/>
  <c r="K932" i="14"/>
  <c r="K612" i="14"/>
  <c r="N587" i="14" a="1"/>
  <c r="N587" i="14" s="1"/>
  <c r="N551" i="14" a="1"/>
  <c r="N551" i="14" s="1"/>
  <c r="N515" i="14" a="1"/>
  <c r="N515" i="14" s="1"/>
  <c r="N485" i="14" a="1"/>
  <c r="N485" i="14" s="1"/>
  <c r="N467" i="14" a="1"/>
  <c r="N467" i="14" s="1"/>
  <c r="N449" i="14" a="1"/>
  <c r="N449" i="14" s="1"/>
  <c r="N431" i="14" a="1"/>
  <c r="N431" i="14" s="1"/>
  <c r="N413" i="14" a="1"/>
  <c r="N413" i="14" s="1"/>
  <c r="N395" i="14" a="1"/>
  <c r="N395" i="14" s="1"/>
  <c r="N377" i="14" a="1"/>
  <c r="N377" i="14" s="1"/>
  <c r="K996" i="14"/>
  <c r="N990" i="14"/>
  <c r="N980" i="14" a="1"/>
  <c r="N980" i="14" s="1"/>
  <c r="N971" i="14" a="1"/>
  <c r="N971" i="14" s="1"/>
  <c r="N962" i="14" a="1"/>
  <c r="N962" i="14" s="1"/>
  <c r="N953" i="14" a="1"/>
  <c r="N953" i="14" s="1"/>
  <c r="N944" i="14" a="1"/>
  <c r="N944" i="14" s="1"/>
  <c r="N935" i="14" a="1"/>
  <c r="N935" i="14" s="1"/>
  <c r="N926" i="14" a="1"/>
  <c r="N926" i="14" s="1"/>
  <c r="N917" i="14" a="1"/>
  <c r="N917" i="14" s="1"/>
  <c r="N908" i="14" a="1"/>
  <c r="N908" i="14" s="1"/>
  <c r="N899" i="14" a="1"/>
  <c r="N899" i="14" s="1"/>
  <c r="N890" i="14" a="1"/>
  <c r="N890" i="14" s="1"/>
  <c r="N881" i="14" a="1"/>
  <c r="N881" i="14" s="1"/>
  <c r="N872" i="14" a="1"/>
  <c r="N872" i="14" s="1"/>
  <c r="N863" i="14" a="1"/>
  <c r="N863" i="14" s="1"/>
  <c r="N854" i="14" a="1"/>
  <c r="N854" i="14" s="1"/>
  <c r="N845" i="14" a="1"/>
  <c r="N845" i="14" s="1"/>
  <c r="N836" i="14" a="1"/>
  <c r="N836" i="14" s="1"/>
  <c r="N827" i="14" a="1"/>
  <c r="N827" i="14" s="1"/>
  <c r="N818" i="14" a="1"/>
  <c r="N818" i="14" s="1"/>
  <c r="N809" i="14" a="1"/>
  <c r="N809" i="14" s="1"/>
  <c r="N800" i="14" a="1"/>
  <c r="N800" i="14" s="1"/>
  <c r="K984" i="14"/>
  <c r="K975" i="14"/>
  <c r="K966" i="14"/>
  <c r="K962" i="14"/>
  <c r="K957" i="14"/>
  <c r="K953" i="14"/>
  <c r="K948" i="14"/>
  <c r="K944" i="14"/>
  <c r="K939" i="14"/>
  <c r="K935" i="14"/>
  <c r="K995" i="14"/>
  <c r="K989" i="14"/>
  <c r="N991" i="14"/>
  <c r="N981" i="14"/>
  <c r="N972" i="14"/>
  <c r="N963" i="14"/>
  <c r="N954" i="14"/>
  <c r="N945" i="14"/>
  <c r="K923" i="14"/>
  <c r="K917" i="14"/>
  <c r="N904" i="14"/>
  <c r="N886" i="14"/>
  <c r="N868" i="14"/>
  <c r="N850" i="14"/>
  <c r="N832" i="14"/>
  <c r="N814" i="14"/>
  <c r="K791" i="14"/>
  <c r="K785" i="14"/>
  <c r="K779" i="14"/>
  <c r="K762" i="14"/>
  <c r="N756" i="14"/>
  <c r="K735" i="14"/>
  <c r="K714" i="14"/>
  <c r="K699" i="14"/>
  <c r="N689" i="14" a="1"/>
  <c r="N689" i="14" s="1"/>
  <c r="K680" i="14"/>
  <c r="N675" i="14"/>
  <c r="K666" i="14"/>
  <c r="N647" i="14" a="1"/>
  <c r="N647" i="14" s="1"/>
  <c r="K642" i="14"/>
  <c r="N623" i="14" a="1"/>
  <c r="N623" i="14" s="1"/>
  <c r="K605" i="14"/>
  <c r="N596" i="14" a="1"/>
  <c r="N596" i="14" s="1"/>
  <c r="N578" i="14" a="1"/>
  <c r="N578" i="14" s="1"/>
  <c r="K566" i="14"/>
  <c r="N491" i="14" a="1"/>
  <c r="N491" i="14" s="1"/>
  <c r="N464" i="14" a="1"/>
  <c r="N464" i="14" s="1"/>
  <c r="N437" i="14" a="1"/>
  <c r="N437" i="14" s="1"/>
  <c r="K981" i="14"/>
  <c r="K972" i="14"/>
  <c r="K963" i="14"/>
  <c r="K954" i="14"/>
  <c r="K945" i="14"/>
  <c r="N936" i="14"/>
  <c r="K929" i="14"/>
  <c r="N773" i="14" a="1"/>
  <c r="N773" i="14" s="1"/>
  <c r="K756" i="14"/>
  <c r="K936" i="14"/>
  <c r="N922" i="14"/>
  <c r="N909" i="14"/>
  <c r="K903" i="14"/>
  <c r="K897" i="14"/>
  <c r="N891" i="14"/>
  <c r="K885" i="14"/>
  <c r="K879" i="14"/>
  <c r="N873" i="14"/>
  <c r="K867" i="14"/>
  <c r="K861" i="14"/>
  <c r="N855" i="14"/>
  <c r="K849" i="14"/>
  <c r="K843" i="14"/>
  <c r="N837" i="14"/>
  <c r="K831" i="14"/>
  <c r="K825" i="14"/>
  <c r="N819" i="14"/>
  <c r="K813" i="14"/>
  <c r="K807" i="14"/>
  <c r="N801" i="14"/>
  <c r="K795" i="14"/>
  <c r="K915" i="14"/>
  <c r="K909" i="14"/>
  <c r="K891" i="14"/>
  <c r="K873" i="14"/>
  <c r="K855" i="14"/>
  <c r="K837" i="14"/>
  <c r="K819" i="14"/>
  <c r="K801" i="14"/>
  <c r="K789" i="14"/>
  <c r="N783" i="14"/>
  <c r="N755" i="14" a="1"/>
  <c r="N755" i="14" s="1"/>
  <c r="K744" i="14"/>
  <c r="K723" i="14"/>
  <c r="N927" i="14"/>
  <c r="K921" i="14"/>
  <c r="K896" i="14"/>
  <c r="K878" i="14"/>
  <c r="K860" i="14"/>
  <c r="K842" i="14"/>
  <c r="K824" i="14"/>
  <c r="K806" i="14"/>
  <c r="K783" i="14"/>
  <c r="K777" i="14"/>
  <c r="K749" i="14"/>
  <c r="N738" i="14"/>
  <c r="N728" i="14" a="1"/>
  <c r="N728" i="14" s="1"/>
  <c r="K713" i="14"/>
  <c r="N702" i="14"/>
  <c r="N683" i="14" a="1"/>
  <c r="N683" i="14" s="1"/>
  <c r="K678" i="14"/>
  <c r="N659" i="14" a="1"/>
  <c r="N659" i="14" s="1"/>
  <c r="K641" i="14"/>
  <c r="K636" i="14"/>
  <c r="N617" i="14" a="1"/>
  <c r="N617" i="14" s="1"/>
  <c r="K608" i="14"/>
  <c r="N595" i="14"/>
  <c r="N586" i="14"/>
  <c r="N568" i="14"/>
  <c r="N564" i="14"/>
  <c r="K560" i="14"/>
  <c r="K551" i="14"/>
  <c r="K927" i="14"/>
  <c r="K914" i="14"/>
  <c r="K908" i="14"/>
  <c r="K902" i="14"/>
  <c r="K890" i="14"/>
  <c r="K884" i="14"/>
  <c r="K872" i="14"/>
  <c r="K866" i="14"/>
  <c r="K854" i="14"/>
  <c r="K848" i="14"/>
  <c r="K836" i="14"/>
  <c r="K830" i="14"/>
  <c r="K818" i="14"/>
  <c r="K812" i="14"/>
  <c r="K800" i="14"/>
  <c r="K794" i="14"/>
  <c r="K788" i="14"/>
  <c r="K771" i="14"/>
  <c r="N765" i="14"/>
  <c r="K743" i="14"/>
  <c r="K738" i="14"/>
  <c r="K933" i="14"/>
  <c r="K920" i="14"/>
  <c r="N895" i="14"/>
  <c r="N877" i="14"/>
  <c r="N859" i="14"/>
  <c r="N841" i="14"/>
  <c r="N823" i="14"/>
  <c r="N805" i="14"/>
  <c r="N782" i="14" a="1"/>
  <c r="N782" i="14" s="1"/>
  <c r="K765" i="14"/>
  <c r="K759" i="14"/>
  <c r="K732" i="14"/>
  <c r="K717" i="14"/>
  <c r="K696" i="14"/>
  <c r="N677" i="14" a="1"/>
  <c r="N677" i="14" s="1"/>
  <c r="K659" i="14"/>
  <c r="K654" i="14"/>
  <c r="N635" i="14" a="1"/>
  <c r="N635" i="14" s="1"/>
  <c r="K626" i="14"/>
  <c r="N621" i="14"/>
  <c r="N612" i="14"/>
  <c r="K603" i="14"/>
  <c r="N590" i="14" a="1"/>
  <c r="N590" i="14" s="1"/>
  <c r="N576" i="14"/>
  <c r="K572" i="14"/>
  <c r="N533" i="14" a="1"/>
  <c r="N533" i="14" s="1"/>
  <c r="N513" i="14"/>
  <c r="N493" i="14"/>
  <c r="N458" i="14" a="1"/>
  <c r="N458" i="14" s="1"/>
  <c r="N439" i="14"/>
  <c r="N404" i="14" a="1"/>
  <c r="N404" i="14" s="1"/>
  <c r="N385" i="14"/>
  <c r="K906" i="14"/>
  <c r="N900" i="14"/>
  <c r="K894" i="14"/>
  <c r="K888" i="14"/>
  <c r="N882" i="14"/>
  <c r="K876" i="14"/>
  <c r="K870" i="14"/>
  <c r="N864" i="14"/>
  <c r="K858" i="14"/>
  <c r="K852" i="14"/>
  <c r="N931" i="14"/>
  <c r="N918" i="14"/>
  <c r="K912" i="14"/>
  <c r="K900" i="14"/>
  <c r="K882" i="14"/>
  <c r="K864" i="14"/>
  <c r="K846" i="14"/>
  <c r="K828" i="14"/>
  <c r="K810" i="14"/>
  <c r="K792" i="14"/>
  <c r="K786" i="14"/>
  <c r="K764" i="14"/>
  <c r="K758" i="14"/>
  <c r="K752" i="14"/>
  <c r="K741" i="14"/>
  <c r="K726" i="14"/>
  <c r="K705" i="14"/>
  <c r="K938" i="14"/>
  <c r="K924" i="14"/>
  <c r="K918" i="14"/>
  <c r="K905" i="14"/>
  <c r="K887" i="14"/>
  <c r="K869" i="14"/>
  <c r="K851" i="14"/>
  <c r="K833" i="14"/>
  <c r="K815" i="14"/>
  <c r="K797" i="14"/>
  <c r="K780" i="14"/>
  <c r="N774" i="14"/>
  <c r="N746" i="14" a="1"/>
  <c r="N746" i="14" s="1"/>
  <c r="K731" i="14"/>
  <c r="K930" i="14"/>
  <c r="K911" i="14"/>
  <c r="K899" i="14"/>
  <c r="K893" i="14"/>
  <c r="K881" i="14"/>
  <c r="K875" i="14"/>
  <c r="K863" i="14"/>
  <c r="K857" i="14"/>
  <c r="K845" i="14"/>
  <c r="K839" i="14"/>
  <c r="K827" i="14"/>
  <c r="K821" i="14"/>
  <c r="K809" i="14"/>
  <c r="N958" i="14"/>
  <c r="K803" i="14"/>
  <c r="K750" i="14"/>
  <c r="K728" i="14"/>
  <c r="N715" i="14"/>
  <c r="N691" i="14"/>
  <c r="K686" i="14"/>
  <c r="N652" i="14"/>
  <c r="N641" i="14" a="1"/>
  <c r="N641" i="14" s="1"/>
  <c r="K635" i="14"/>
  <c r="N630" i="14"/>
  <c r="N625" i="14"/>
  <c r="N602" i="14" a="1"/>
  <c r="N602" i="14" s="1"/>
  <c r="K587" i="14"/>
  <c r="K576" i="14"/>
  <c r="K562" i="14"/>
  <c r="K493" i="14"/>
  <c r="N421" i="14"/>
  <c r="N383" i="14" a="1"/>
  <c r="N383" i="14" s="1"/>
  <c r="N348" i="14"/>
  <c r="K341" i="14"/>
  <c r="N329" i="14" a="1"/>
  <c r="N329" i="14" s="1"/>
  <c r="N913" i="14"/>
  <c r="K822" i="14"/>
  <c r="N792" i="14"/>
  <c r="K767" i="14"/>
  <c r="N680" i="14" a="1"/>
  <c r="N680" i="14" s="1"/>
  <c r="N674" i="14" a="1"/>
  <c r="N674" i="14" s="1"/>
  <c r="N668" i="14" a="1"/>
  <c r="N668" i="14" s="1"/>
  <c r="K663" i="14"/>
  <c r="N657" i="14"/>
  <c r="K630" i="14"/>
  <c r="N592" i="14"/>
  <c r="K581" i="14"/>
  <c r="N566" i="14" a="1"/>
  <c r="N566" i="14" s="1"/>
  <c r="N556" i="14"/>
  <c r="N545" i="14" a="1"/>
  <c r="N545" i="14" s="1"/>
  <c r="K533" i="14"/>
  <c r="N524" i="14" a="1"/>
  <c r="N524" i="14" s="1"/>
  <c r="N506" i="14" a="1"/>
  <c r="N506" i="14" s="1"/>
  <c r="N497" i="14" a="1"/>
  <c r="N497" i="14" s="1"/>
  <c r="N488" i="14" a="1"/>
  <c r="N488" i="14" s="1"/>
  <c r="N967" i="14"/>
  <c r="K774" i="14"/>
  <c r="K734" i="14"/>
  <c r="N727" i="14"/>
  <c r="N720" i="14"/>
  <c r="K702" i="14"/>
  <c r="N695" i="14" a="1"/>
  <c r="N695" i="14" s="1"/>
  <c r="K690" i="14"/>
  <c r="N685" i="14"/>
  <c r="K668" i="14"/>
  <c r="K657" i="14"/>
  <c r="K651" i="14"/>
  <c r="N646" i="14"/>
  <c r="N634" i="14"/>
  <c r="K624" i="14"/>
  <c r="K618" i="14"/>
  <c r="N810" i="14"/>
  <c r="N791" i="14" a="1"/>
  <c r="N791" i="14" s="1"/>
  <c r="K782" i="14"/>
  <c r="K720" i="14"/>
  <c r="N713" i="14" a="1"/>
  <c r="N713" i="14" s="1"/>
  <c r="K708" i="14"/>
  <c r="N679" i="14"/>
  <c r="N662" i="14" a="1"/>
  <c r="N662" i="14" s="1"/>
  <c r="N629" i="14" a="1"/>
  <c r="N629" i="14" s="1"/>
  <c r="K606" i="14"/>
  <c r="K596" i="14"/>
  <c r="N591" i="14"/>
  <c r="N580" i="14"/>
  <c r="K570" i="14"/>
  <c r="N560" i="14" a="1"/>
  <c r="N560" i="14" s="1"/>
  <c r="N555" i="14"/>
  <c r="N532" i="14"/>
  <c r="K528" i="14"/>
  <c r="K524" i="14"/>
  <c r="N520" i="14"/>
  <c r="N510" i="14"/>
  <c r="K506" i="14"/>
  <c r="K492" i="14"/>
  <c r="N976" i="14"/>
  <c r="K840" i="14"/>
  <c r="K773" i="14"/>
  <c r="N747" i="14"/>
  <c r="N740" i="14" a="1"/>
  <c r="N740" i="14" s="1"/>
  <c r="N701" i="14" a="1"/>
  <c r="N701" i="14" s="1"/>
  <c r="K695" i="14"/>
  <c r="K689" i="14"/>
  <c r="N684" i="14"/>
  <c r="K672" i="14"/>
  <c r="K662" i="14"/>
  <c r="N656" i="14" a="1"/>
  <c r="N656" i="14" s="1"/>
  <c r="N650" i="14" a="1"/>
  <c r="N650" i="14" s="1"/>
  <c r="K645" i="14"/>
  <c r="N639" i="14"/>
  <c r="K633" i="14"/>
  <c r="K629" i="14"/>
  <c r="K617" i="14"/>
  <c r="N611" i="14" a="1"/>
  <c r="N611" i="14" s="1"/>
  <c r="K585" i="14"/>
  <c r="K580" i="14"/>
  <c r="K575" i="14"/>
  <c r="K549" i="14"/>
  <c r="N544" i="14"/>
  <c r="N540" i="14"/>
  <c r="N536" i="14" a="1"/>
  <c r="N536" i="14" s="1"/>
  <c r="K532" i="14"/>
  <c r="K515" i="14"/>
  <c r="N444" i="14"/>
  <c r="N411" i="14"/>
  <c r="K403" i="14"/>
  <c r="N390" i="14"/>
  <c r="N382" i="14"/>
  <c r="N378" i="14"/>
  <c r="N374" i="14" a="1"/>
  <c r="N374" i="14" s="1"/>
  <c r="N362" i="14" a="1"/>
  <c r="N362" i="14" s="1"/>
  <c r="N343" i="14"/>
  <c r="N764" i="14" a="1"/>
  <c r="N764" i="14" s="1"/>
  <c r="K747" i="14"/>
  <c r="K740" i="14"/>
  <c r="K725" i="14"/>
  <c r="N719" i="14" a="1"/>
  <c r="N719" i="14" s="1"/>
  <c r="K707" i="14"/>
  <c r="K701" i="14"/>
  <c r="K684" i="14"/>
  <c r="K656" i="14"/>
  <c r="K650" i="14"/>
  <c r="K639" i="14"/>
  <c r="K623" i="14"/>
  <c r="K611" i="14"/>
  <c r="N605" i="14" a="1"/>
  <c r="N605" i="14" s="1"/>
  <c r="N600" i="14"/>
  <c r="K595" i="14"/>
  <c r="K590" i="14"/>
  <c r="N569" i="14" a="1"/>
  <c r="N569" i="14" s="1"/>
  <c r="N554" i="14" a="1"/>
  <c r="N554" i="14" s="1"/>
  <c r="K544" i="14"/>
  <c r="K540" i="14"/>
  <c r="K536" i="14"/>
  <c r="N527" i="14" a="1"/>
  <c r="N527" i="14" s="1"/>
  <c r="N505" i="14"/>
  <c r="N479" i="14" a="1"/>
  <c r="N479" i="14" s="1"/>
  <c r="N475" i="14"/>
  <c r="K466" i="14"/>
  <c r="N461" i="14" a="1"/>
  <c r="N461" i="14" s="1"/>
  <c r="N457" i="14"/>
  <c r="N453" i="14"/>
  <c r="K444" i="14"/>
  <c r="N435" i="14"/>
  <c r="N419" i="14" a="1"/>
  <c r="N419" i="14" s="1"/>
  <c r="K411" i="14"/>
  <c r="K407" i="14"/>
  <c r="N985" i="14"/>
  <c r="N828" i="14"/>
  <c r="K798" i="14"/>
  <c r="N731" i="14" a="1"/>
  <c r="N731" i="14" s="1"/>
  <c r="N688" i="14"/>
  <c r="N671" i="14" a="1"/>
  <c r="N671" i="14" s="1"/>
  <c r="N666" i="14"/>
  <c r="N644" i="14" a="1"/>
  <c r="N644" i="14" s="1"/>
  <c r="N632" i="14" a="1"/>
  <c r="N632" i="14" s="1"/>
  <c r="K600" i="14"/>
  <c r="N584" i="14" a="1"/>
  <c r="N584" i="14" s="1"/>
  <c r="K569" i="14"/>
  <c r="K564" i="14"/>
  <c r="N548" i="14" a="1"/>
  <c r="N548" i="14" s="1"/>
  <c r="N531" i="14"/>
  <c r="N509" i="14" a="1"/>
  <c r="N509" i="14" s="1"/>
  <c r="N500" i="14" a="1"/>
  <c r="N500" i="14" s="1"/>
  <c r="K475" i="14"/>
  <c r="N470" i="14" a="1"/>
  <c r="N470" i="14" s="1"/>
  <c r="K457" i="14"/>
  <c r="K439" i="14"/>
  <c r="K2" i="14"/>
  <c r="K753" i="14"/>
  <c r="K746" i="14"/>
  <c r="N724" i="14"/>
  <c r="N711" i="14"/>
  <c r="N706" i="14"/>
  <c r="N700" i="14"/>
  <c r="N693" i="14"/>
  <c r="K683" i="14"/>
  <c r="K677" i="14"/>
  <c r="K671" i="14"/>
  <c r="K660" i="14"/>
  <c r="N649" i="14"/>
  <c r="K644" i="14"/>
  <c r="N638" i="14" a="1"/>
  <c r="N638" i="14" s="1"/>
  <c r="N940" i="14"/>
  <c r="K816" i="14"/>
  <c r="N787" i="14"/>
  <c r="N778" i="14"/>
  <c r="K770" i="14"/>
  <c r="K711" i="14"/>
  <c r="K693" i="14"/>
  <c r="K687" i="14"/>
  <c r="N665" i="14" a="1"/>
  <c r="N665" i="14" s="1"/>
  <c r="K632" i="14"/>
  <c r="N846" i="14"/>
  <c r="K761" i="14"/>
  <c r="N745" i="14"/>
  <c r="N737" i="14" a="1"/>
  <c r="N737" i="14" s="1"/>
  <c r="N729" i="14"/>
  <c r="K665" i="14"/>
  <c r="N653" i="14" a="1"/>
  <c r="N653" i="14" s="1"/>
  <c r="N648" i="14"/>
  <c r="K588" i="14"/>
  <c r="K578" i="14"/>
  <c r="K558" i="14"/>
  <c r="N542" i="14" a="1"/>
  <c r="N542" i="14" s="1"/>
  <c r="N530" i="14" a="1"/>
  <c r="N530" i="14" s="1"/>
  <c r="K526" i="14"/>
  <c r="K522" i="14"/>
  <c r="K518" i="14"/>
  <c r="N949" i="14"/>
  <c r="K804" i="14"/>
  <c r="N751" i="14"/>
  <c r="K737" i="14"/>
  <c r="K729" i="14"/>
  <c r="N722" i="14" a="1"/>
  <c r="N722" i="14" s="1"/>
  <c r="K716" i="14"/>
  <c r="N710" i="14" a="1"/>
  <c r="N710" i="14" s="1"/>
  <c r="N704" i="14" a="1"/>
  <c r="N704" i="14" s="1"/>
  <c r="K698" i="14"/>
  <c r="N692" i="14" a="1"/>
  <c r="N692" i="14" s="1"/>
  <c r="N686" i="14" a="1"/>
  <c r="N686" i="14" s="1"/>
  <c r="K653" i="14"/>
  <c r="K648" i="14"/>
  <c r="K615" i="14"/>
  <c r="K586" i="14"/>
  <c r="N546" i="14"/>
  <c r="N499" i="14"/>
  <c r="N599" i="14" a="1"/>
  <c r="N599" i="14" s="1"/>
  <c r="N562" i="14"/>
  <c r="K553" i="14"/>
  <c r="K546" i="14"/>
  <c r="N526" i="14"/>
  <c r="N512" i="14" a="1"/>
  <c r="N512" i="14" s="1"/>
  <c r="N476" i="14" a="1"/>
  <c r="N476" i="14" s="1"/>
  <c r="N425" i="14" a="1"/>
  <c r="N425" i="14" s="1"/>
  <c r="N420" i="14"/>
  <c r="K409" i="14"/>
  <c r="N398" i="14" a="1"/>
  <c r="N398" i="14" s="1"/>
  <c r="K371" i="14"/>
  <c r="N344" i="14" a="1"/>
  <c r="N344" i="14" s="1"/>
  <c r="K340" i="14"/>
  <c r="N335" i="14" a="1"/>
  <c r="N335" i="14" s="1"/>
  <c r="N330" i="14"/>
  <c r="N326" i="14" a="1"/>
  <c r="N326" i="14" s="1"/>
  <c r="N309" i="14"/>
  <c r="N305" i="14" a="1"/>
  <c r="N305" i="14" s="1"/>
  <c r="N281" i="14" a="1"/>
  <c r="N281" i="14" s="1"/>
  <c r="N273" i="14"/>
  <c r="N269" i="14" a="1"/>
  <c r="N269" i="14" s="1"/>
  <c r="N245" i="14" a="1"/>
  <c r="N245" i="14" s="1"/>
  <c r="N237" i="14"/>
  <c r="N233" i="14" a="1"/>
  <c r="N233" i="14" s="1"/>
  <c r="N209" i="14" a="1"/>
  <c r="N209" i="14" s="1"/>
  <c r="N201" i="14"/>
  <c r="N197" i="14" a="1"/>
  <c r="N197" i="14" s="1"/>
  <c r="N140" i="14" a="1"/>
  <c r="N140" i="14" s="1"/>
  <c r="K129" i="14"/>
  <c r="N125" i="14" a="1"/>
  <c r="N125" i="14" s="1"/>
  <c r="K834" i="14"/>
  <c r="K776" i="14"/>
  <c r="K675" i="14"/>
  <c r="N631" i="14"/>
  <c r="N614" i="14" a="1"/>
  <c r="N614" i="14" s="1"/>
  <c r="K593" i="14"/>
  <c r="N664" i="14"/>
  <c r="K621" i="14"/>
  <c r="K614" i="14"/>
  <c r="N598" i="14"/>
  <c r="K545" i="14"/>
  <c r="K525" i="14"/>
  <c r="K504" i="14"/>
  <c r="K498" i="14"/>
  <c r="K486" i="14"/>
  <c r="N446" i="14" a="1"/>
  <c r="N446" i="14" s="1"/>
  <c r="N434" i="14" a="1"/>
  <c r="N434" i="14" s="1"/>
  <c r="K419" i="14"/>
  <c r="K408" i="14"/>
  <c r="N392" i="14" a="1"/>
  <c r="N392" i="14" s="1"/>
  <c r="K383" i="14"/>
  <c r="K370" i="14"/>
  <c r="K361" i="14"/>
  <c r="K357" i="14"/>
  <c r="N339" i="14"/>
  <c r="N284" i="14" a="1"/>
  <c r="N284" i="14" s="1"/>
  <c r="K281" i="14"/>
  <c r="N604" i="14"/>
  <c r="K598" i="14"/>
  <c r="N575" i="14" a="1"/>
  <c r="N575" i="14" s="1"/>
  <c r="N567" i="14"/>
  <c r="N517" i="14"/>
  <c r="N480" i="14"/>
  <c r="K424" i="14"/>
  <c r="K378" i="14"/>
  <c r="N365" i="14" a="1"/>
  <c r="N365" i="14" s="1"/>
  <c r="N347" i="14" a="1"/>
  <c r="N347" i="14" s="1"/>
  <c r="K343" i="14"/>
  <c r="N308" i="14" a="1"/>
  <c r="N308" i="14" s="1"/>
  <c r="N300" i="14"/>
  <c r="N296" i="14" a="1"/>
  <c r="N296" i="14" s="1"/>
  <c r="N272" i="14" a="1"/>
  <c r="N272" i="14" s="1"/>
  <c r="N264" i="14"/>
  <c r="N260" i="14" a="1"/>
  <c r="N260" i="14" s="1"/>
  <c r="N236" i="14" a="1"/>
  <c r="N236" i="14" s="1"/>
  <c r="N228" i="14"/>
  <c r="N224" i="14" a="1"/>
  <c r="N224" i="14" s="1"/>
  <c r="N200" i="14" a="1"/>
  <c r="N200" i="14" s="1"/>
  <c r="N158" i="14" a="1"/>
  <c r="N158" i="14" s="1"/>
  <c r="K926" i="14"/>
  <c r="N620" i="14" a="1"/>
  <c r="N620" i="14" s="1"/>
  <c r="K604" i="14"/>
  <c r="K567" i="14"/>
  <c r="N538" i="14"/>
  <c r="K531" i="14"/>
  <c r="N503" i="14" a="1"/>
  <c r="N503" i="14" s="1"/>
  <c r="K497" i="14"/>
  <c r="N490" i="14"/>
  <c r="K480" i="14"/>
  <c r="K462" i="14"/>
  <c r="N407" i="14" a="1"/>
  <c r="N407" i="14" s="1"/>
  <c r="N610" i="14"/>
  <c r="K557" i="14"/>
  <c r="N522" i="14"/>
  <c r="K502" i="14"/>
  <c r="N489" i="14"/>
  <c r="K484" i="14"/>
  <c r="K669" i="14"/>
  <c r="N626" i="14" a="1"/>
  <c r="N626" i="14" s="1"/>
  <c r="K602" i="14"/>
  <c r="N572" i="14" a="1"/>
  <c r="N572" i="14" s="1"/>
  <c r="K542" i="14"/>
  <c r="K507" i="14"/>
  <c r="K722" i="14"/>
  <c r="N658" i="14"/>
  <c r="N594" i="14"/>
  <c r="N547" i="14"/>
  <c r="N535" i="14"/>
  <c r="N528" i="14"/>
  <c r="K768" i="14"/>
  <c r="K710" i="14"/>
  <c r="N608" i="14" a="1"/>
  <c r="N608" i="14" s="1"/>
  <c r="K594" i="14"/>
  <c r="N563" i="14" a="1"/>
  <c r="N563" i="14" s="1"/>
  <c r="N16" i="14"/>
  <c r="K30" i="14"/>
  <c r="K45" i="14"/>
  <c r="K49" i="14"/>
  <c r="N56" i="14" a="1"/>
  <c r="N56" i="14" s="1"/>
  <c r="K60" i="14"/>
  <c r="N64" i="14"/>
  <c r="K68" i="14"/>
  <c r="N72" i="14"/>
  <c r="K76" i="14"/>
  <c r="K84" i="14"/>
  <c r="K88" i="14"/>
  <c r="K96" i="14"/>
  <c r="N100" i="14"/>
  <c r="K104" i="14"/>
  <c r="K108" i="14"/>
  <c r="K112" i="14"/>
  <c r="N131" i="14" a="1"/>
  <c r="N131" i="14" s="1"/>
  <c r="K136" i="14"/>
  <c r="K140" i="14"/>
  <c r="K144" i="14"/>
  <c r="N148" i="14"/>
  <c r="K157" i="14"/>
  <c r="N161" i="14" a="1"/>
  <c r="N161" i="14" s="1"/>
  <c r="K166" i="14"/>
  <c r="N170" i="14" a="1"/>
  <c r="N170" i="14" s="1"/>
  <c r="N174" i="14"/>
  <c r="K183" i="14"/>
  <c r="N204" i="14"/>
  <c r="K204" i="14"/>
  <c r="K209" i="14"/>
  <c r="N227" i="14" a="1"/>
  <c r="N227" i="14" s="1"/>
  <c r="K232" i="14"/>
  <c r="K237" i="14"/>
  <c r="N246" i="14"/>
  <c r="N255" i="14"/>
  <c r="K265" i="14"/>
  <c r="K270" i="14"/>
  <c r="K284" i="14"/>
  <c r="N294" i="14"/>
  <c r="K303" i="14"/>
  <c r="K313" i="14"/>
  <c r="K319" i="14"/>
  <c r="N323" i="14" a="1"/>
  <c r="N323" i="14" s="1"/>
  <c r="K328" i="14"/>
  <c r="N334" i="14"/>
  <c r="N349" i="14"/>
  <c r="N359" i="14" a="1"/>
  <c r="N359" i="14" s="1"/>
  <c r="K369" i="14"/>
  <c r="N384" i="14"/>
  <c r="K396" i="14"/>
  <c r="N428" i="14" a="1"/>
  <c r="N428" i="14" s="1"/>
  <c r="N442" i="14"/>
  <c r="N450" i="14"/>
  <c r="N456" i="14"/>
  <c r="K470" i="14"/>
  <c r="N477" i="14"/>
  <c r="N484" i="14"/>
  <c r="K516" i="14"/>
  <c r="M2" i="14"/>
  <c r="K5" i="14"/>
  <c r="N26" i="14" a="1"/>
  <c r="N26" i="14" s="1"/>
  <c r="N41" i="14" a="1"/>
  <c r="N41" i="14" s="1"/>
  <c r="K72" i="14"/>
  <c r="N76" i="14"/>
  <c r="N80" i="14" a="1"/>
  <c r="N80" i="14" s="1"/>
  <c r="N84" i="14"/>
  <c r="N92" i="14" a="1"/>
  <c r="N92" i="14" s="1"/>
  <c r="N132" i="14"/>
  <c r="N136" i="14"/>
  <c r="N162" i="14"/>
  <c r="N166" i="14"/>
  <c r="N183" i="14"/>
  <c r="N191" i="14" a="1"/>
  <c r="N191" i="14" s="1"/>
  <c r="N205" i="14"/>
  <c r="N218" i="14" a="1"/>
  <c r="N218" i="14" s="1"/>
  <c r="N242" i="14" a="1"/>
  <c r="N242" i="14" s="1"/>
  <c r="N251" i="14" a="1"/>
  <c r="N251" i="14" s="1"/>
  <c r="N256" i="14"/>
  <c r="N261" i="14"/>
  <c r="K275" i="14"/>
  <c r="K280" i="14"/>
  <c r="N285" i="14"/>
  <c r="K285" i="14"/>
  <c r="K290" i="14"/>
  <c r="K294" i="14"/>
  <c r="N304" i="14"/>
  <c r="N319" i="14"/>
  <c r="N328" i="14"/>
  <c r="K334" i="14"/>
  <c r="K345" i="14"/>
  <c r="N355" i="14"/>
  <c r="K375" i="14"/>
  <c r="K380" i="14"/>
  <c r="K390" i="14"/>
  <c r="N396" i="14"/>
  <c r="N409" i="14"/>
  <c r="K416" i="14"/>
  <c r="N422" i="14" a="1"/>
  <c r="N422" i="14" s="1"/>
  <c r="K436" i="14"/>
  <c r="K442" i="14"/>
  <c r="K450" i="14"/>
  <c r="K456" i="14"/>
  <c r="K485" i="14"/>
  <c r="N492" i="14"/>
  <c r="K500" i="14"/>
  <c r="K508" i="14"/>
  <c r="K354" i="14"/>
  <c r="N483" i="14"/>
  <c r="K483" i="14"/>
  <c r="M5" i="14"/>
  <c r="M8" i="14"/>
  <c r="M11" i="14"/>
  <c r="M14" i="14"/>
  <c r="K17" i="14"/>
  <c r="K20" i="14"/>
  <c r="K23" i="14"/>
  <c r="N34" i="14"/>
  <c r="N42" i="14"/>
  <c r="K46" i="14"/>
  <c r="N53" i="14" a="1"/>
  <c r="N53" i="14" s="1"/>
  <c r="K57" i="14"/>
  <c r="K61" i="14"/>
  <c r="K65" i="14"/>
  <c r="N68" i="14" a="1"/>
  <c r="N68" i="14" s="1"/>
  <c r="K97" i="14"/>
  <c r="K101" i="14"/>
  <c r="N104" i="14" a="1"/>
  <c r="N104" i="14" s="1"/>
  <c r="N116" i="14" a="1"/>
  <c r="N116" i="14" s="1"/>
  <c r="N120" i="14"/>
  <c r="K124" i="14"/>
  <c r="K132" i="14"/>
  <c r="K137" i="14"/>
  <c r="K145" i="14"/>
  <c r="K149" i="14"/>
  <c r="N153" i="14"/>
  <c r="K162" i="14"/>
  <c r="K167" i="14"/>
  <c r="K171" i="14"/>
  <c r="K175" i="14"/>
  <c r="N179" i="14" a="1"/>
  <c r="N179" i="14" s="1"/>
  <c r="K188" i="14"/>
  <c r="N195" i="14"/>
  <c r="K205" i="14"/>
  <c r="N214" i="14"/>
  <c r="N223" i="14"/>
  <c r="K228" i="14"/>
  <c r="K233" i="14"/>
  <c r="K238" i="14"/>
  <c r="K247" i="14"/>
  <c r="N252" i="14"/>
  <c r="K256" i="14"/>
  <c r="K261" i="14"/>
  <c r="K266" i="14"/>
  <c r="K271" i="14"/>
  <c r="N280" i="14"/>
  <c r="N299" i="14" a="1"/>
  <c r="N299" i="14" s="1"/>
  <c r="K304" i="14"/>
  <c r="K309" i="14"/>
  <c r="K314" i="14"/>
  <c r="K324" i="14"/>
  <c r="N340" i="14"/>
  <c r="N345" i="14"/>
  <c r="K350" i="14"/>
  <c r="K360" i="14"/>
  <c r="N375" i="14"/>
  <c r="K385" i="14"/>
  <c r="N403" i="14"/>
  <c r="K410" i="14"/>
  <c r="N416" i="14" a="1"/>
  <c r="N416" i="14" s="1"/>
  <c r="N423" i="14"/>
  <c r="K423" i="14"/>
  <c r="N430" i="14"/>
  <c r="N436" i="14"/>
  <c r="N472" i="14"/>
  <c r="K478" i="14"/>
  <c r="N508" i="14"/>
  <c r="K537" i="14"/>
  <c r="N577" i="14"/>
  <c r="K577" i="14"/>
  <c r="M17" i="14"/>
  <c r="M20" i="14"/>
  <c r="K27" i="14"/>
  <c r="K31" i="14"/>
  <c r="N38" i="14" a="1"/>
  <c r="N38" i="14" s="1"/>
  <c r="K42" i="14"/>
  <c r="N46" i="14"/>
  <c r="K50" i="14"/>
  <c r="N57" i="14"/>
  <c r="N61" i="14"/>
  <c r="K73" i="14"/>
  <c r="K77" i="14"/>
  <c r="K81" i="14"/>
  <c r="K85" i="14"/>
  <c r="K89" i="14"/>
  <c r="K93" i="14"/>
  <c r="N97" i="14"/>
  <c r="K109" i="14"/>
  <c r="K113" i="14"/>
  <c r="N124" i="14"/>
  <c r="N128" i="14" a="1"/>
  <c r="N128" i="14" s="1"/>
  <c r="K133" i="14"/>
  <c r="K141" i="14"/>
  <c r="N145" i="14"/>
  <c r="K154" i="14"/>
  <c r="K158" i="14"/>
  <c r="N163" i="14"/>
  <c r="N171" i="14"/>
  <c r="N175" i="14"/>
  <c r="K184" i="14"/>
  <c r="K192" i="14"/>
  <c r="N196" i="14"/>
  <c r="K210" i="14"/>
  <c r="K219" i="14"/>
  <c r="N229" i="14"/>
  <c r="N238" i="14"/>
  <c r="K243" i="14"/>
  <c r="N247" i="14"/>
  <c r="K252" i="14"/>
  <c r="K262" i="14"/>
  <c r="N271" i="14"/>
  <c r="N275" i="14" a="1"/>
  <c r="N275" i="14" s="1"/>
  <c r="K286" i="14"/>
  <c r="N290" i="14" a="1"/>
  <c r="N290" i="14" s="1"/>
  <c r="K295" i="14"/>
  <c r="N314" i="14" a="1"/>
  <c r="N314" i="14" s="1"/>
  <c r="K320" i="14"/>
  <c r="N324" i="14"/>
  <c r="K329" i="14"/>
  <c r="K335" i="14"/>
  <c r="N350" i="14" a="1"/>
  <c r="N350" i="14" s="1"/>
  <c r="K356" i="14"/>
  <c r="N360" i="14"/>
  <c r="N380" i="14" a="1"/>
  <c r="N380" i="14" s="1"/>
  <c r="K391" i="14"/>
  <c r="K417" i="14"/>
  <c r="N417" i="14"/>
  <c r="K430" i="14"/>
  <c r="K437" i="14"/>
  <c r="K443" i="14"/>
  <c r="N451" i="14"/>
  <c r="K472" i="14"/>
  <c r="N486" i="14"/>
  <c r="N502" i="14"/>
  <c r="N518" i="14" a="1"/>
  <c r="N518" i="14" s="1"/>
  <c r="K620" i="14"/>
  <c r="N5" i="14" a="1"/>
  <c r="N5" i="14" s="1"/>
  <c r="N8" i="14" a="1"/>
  <c r="N8" i="14" s="1"/>
  <c r="N11" i="14" a="1"/>
  <c r="N11" i="14" s="1"/>
  <c r="N14" i="14" a="1"/>
  <c r="N14" i="14" s="1"/>
  <c r="N23" i="14" a="1"/>
  <c r="N23" i="14" s="1"/>
  <c r="N27" i="14"/>
  <c r="N31" i="14"/>
  <c r="N65" i="14" a="1"/>
  <c r="N65" i="14" s="1"/>
  <c r="N73" i="14"/>
  <c r="N81" i="14"/>
  <c r="N85" i="14"/>
  <c r="N89" i="14" a="1"/>
  <c r="N89" i="14" s="1"/>
  <c r="N93" i="14"/>
  <c r="N101" i="14" a="1"/>
  <c r="N101" i="14" s="1"/>
  <c r="N109" i="14"/>
  <c r="N133" i="14"/>
  <c r="N137" i="14" a="1"/>
  <c r="N137" i="14" s="1"/>
  <c r="N141" i="14"/>
  <c r="N149" i="14" a="1"/>
  <c r="N149" i="14" s="1"/>
  <c r="N154" i="14"/>
  <c r="K163" i="14"/>
  <c r="N167" i="14" a="1"/>
  <c r="N167" i="14" s="1"/>
  <c r="K172" i="14"/>
  <c r="N184" i="14"/>
  <c r="N188" i="14" a="1"/>
  <c r="N188" i="14" s="1"/>
  <c r="N192" i="14"/>
  <c r="K196" i="14"/>
  <c r="K201" i="14"/>
  <c r="N210" i="14"/>
  <c r="N219" i="14"/>
  <c r="K229" i="14"/>
  <c r="N243" i="14"/>
  <c r="K253" i="14"/>
  <c r="K257" i="14"/>
  <c r="N262" i="14"/>
  <c r="N266" i="14" a="1"/>
  <c r="N266" i="14" s="1"/>
  <c r="N276" i="14"/>
  <c r="K276" i="14"/>
  <c r="N286" i="14"/>
  <c r="N295" i="14"/>
  <c r="K300" i="14"/>
  <c r="K305" i="14"/>
  <c r="N315" i="14"/>
  <c r="N320" i="14" a="1"/>
  <c r="N320" i="14" s="1"/>
  <c r="N325" i="14"/>
  <c r="N356" i="14" a="1"/>
  <c r="N356" i="14" s="1"/>
  <c r="N366" i="14"/>
  <c r="K376" i="14"/>
  <c r="K381" i="14"/>
  <c r="K386" i="14"/>
  <c r="N391" i="14"/>
  <c r="K398" i="14"/>
  <c r="K404" i="14"/>
  <c r="N410" i="14" a="1"/>
  <c r="N410" i="14" s="1"/>
  <c r="N418" i="14"/>
  <c r="K431" i="14"/>
  <c r="N443" i="14" a="1"/>
  <c r="N443" i="14" s="1"/>
  <c r="K452" i="14"/>
  <c r="K458" i="14"/>
  <c r="K465" i="14"/>
  <c r="K473" i="14"/>
  <c r="K494" i="14"/>
  <c r="N558" i="14"/>
  <c r="K568" i="14"/>
  <c r="N17" i="14" a="1"/>
  <c r="N17" i="14" s="1"/>
  <c r="N20" i="14" a="1"/>
  <c r="N20" i="14" s="1"/>
  <c r="N24" i="14"/>
  <c r="K28" i="14"/>
  <c r="N35" i="14" a="1"/>
  <c r="N35" i="14" s="1"/>
  <c r="K39" i="14"/>
  <c r="K43" i="14"/>
  <c r="K47" i="14"/>
  <c r="N50" i="14" a="1"/>
  <c r="N50" i="14" s="1"/>
  <c r="N54" i="14"/>
  <c r="K58" i="14"/>
  <c r="K62" i="14"/>
  <c r="N69" i="14"/>
  <c r="N77" i="14" a="1"/>
  <c r="N77" i="14" s="1"/>
  <c r="K82" i="14"/>
  <c r="K98" i="14"/>
  <c r="N105" i="14"/>
  <c r="N113" i="14" a="1"/>
  <c r="N113" i="14" s="1"/>
  <c r="N117" i="14"/>
  <c r="N121" i="14"/>
  <c r="K125" i="14"/>
  <c r="K146" i="14"/>
  <c r="N150" i="14"/>
  <c r="K155" i="14"/>
  <c r="N159" i="14"/>
  <c r="N168" i="14"/>
  <c r="N172" i="14"/>
  <c r="K176" i="14"/>
  <c r="N180" i="14"/>
  <c r="K185" i="14"/>
  <c r="N206" i="14" a="1"/>
  <c r="N206" i="14" s="1"/>
  <c r="N215" i="14" a="1"/>
  <c r="N215" i="14" s="1"/>
  <c r="N220" i="14"/>
  <c r="N225" i="14"/>
  <c r="N234" i="14"/>
  <c r="K239" i="14"/>
  <c r="K244" i="14"/>
  <c r="K248" i="14"/>
  <c r="N253" i="14"/>
  <c r="N267" i="14"/>
  <c r="K272" i="14"/>
  <c r="N277" i="14"/>
  <c r="K291" i="14"/>
  <c r="N301" i="14"/>
  <c r="N310" i="14"/>
  <c r="K315" i="14"/>
  <c r="N321" i="14"/>
  <c r="K325" i="14"/>
  <c r="K330" i="14"/>
  <c r="K336" i="14"/>
  <c r="N341" i="14" a="1"/>
  <c r="N341" i="14" s="1"/>
  <c r="N346" i="14"/>
  <c r="K351" i="14"/>
  <c r="N361" i="14"/>
  <c r="N371" i="14" a="1"/>
  <c r="N371" i="14" s="1"/>
  <c r="N376" i="14"/>
  <c r="N381" i="14"/>
  <c r="N386" i="14" a="1"/>
  <c r="N386" i="14" s="1"/>
  <c r="K418" i="14"/>
  <c r="K425" i="14"/>
  <c r="N452" i="14" a="1"/>
  <c r="N452" i="14" s="1"/>
  <c r="K459" i="14"/>
  <c r="N465" i="14"/>
  <c r="K503" i="14"/>
  <c r="N539" i="14" a="1"/>
  <c r="N539" i="14" s="1"/>
  <c r="K589" i="14"/>
  <c r="K692" i="14"/>
  <c r="N571" i="14"/>
  <c r="K571" i="14"/>
  <c r="N579" i="14"/>
  <c r="K579" i="14"/>
  <c r="N609" i="14"/>
  <c r="K609" i="14"/>
  <c r="K647" i="14"/>
  <c r="K548" i="14"/>
  <c r="K495" i="14"/>
  <c r="N495" i="14"/>
  <c r="K530" i="14"/>
  <c r="N537" i="14"/>
  <c r="N589" i="14"/>
  <c r="K637" i="14"/>
  <c r="N637" i="14"/>
  <c r="K397" i="14"/>
  <c r="N402" i="14"/>
  <c r="K413" i="14"/>
  <c r="K429" i="14"/>
  <c r="K509" i="14"/>
  <c r="K517" i="14"/>
  <c r="N559" i="14"/>
  <c r="K559" i="14"/>
  <c r="K339" i="14"/>
  <c r="N397" i="14"/>
  <c r="K402" i="14"/>
  <c r="N408" i="14"/>
  <c r="N429" i="14"/>
  <c r="K440" i="14"/>
  <c r="N463" i="14"/>
  <c r="K463" i="14"/>
  <c r="K469" i="14"/>
  <c r="K491" i="14"/>
  <c r="K510" i="14"/>
  <c r="K539" i="14"/>
  <c r="N552" i="14"/>
  <c r="K584" i="14"/>
  <c r="K289" i="14"/>
  <c r="K322" i="14"/>
  <c r="N388" i="14"/>
  <c r="K464" i="14"/>
  <c r="K481" i="14"/>
  <c r="K511" i="14"/>
  <c r="N511" i="14"/>
  <c r="K552" i="14"/>
  <c r="N561" i="14"/>
  <c r="K561" i="14"/>
  <c r="N642" i="14"/>
  <c r="K719" i="14"/>
  <c r="N114" i="14"/>
  <c r="K118" i="14"/>
  <c r="N186" i="14"/>
  <c r="K190" i="14"/>
  <c r="K318" i="14"/>
  <c r="K358" i="14"/>
  <c r="K441" i="14"/>
  <c r="N441" i="14"/>
  <c r="N487" i="14"/>
  <c r="K487" i="14"/>
  <c r="K499" i="14"/>
  <c r="N519" i="14"/>
  <c r="K519" i="14"/>
  <c r="N607" i="14"/>
  <c r="K607" i="14"/>
  <c r="K477" i="14"/>
  <c r="K527" i="14"/>
  <c r="N541" i="14"/>
  <c r="K554" i="14"/>
  <c r="K563" i="14"/>
  <c r="K643" i="14"/>
  <c r="K670" i="14"/>
  <c r="K676" i="14"/>
  <c r="K682" i="14"/>
  <c r="K745" i="14"/>
  <c r="K835" i="14"/>
  <c r="N835" i="14"/>
  <c r="K547" i="14"/>
  <c r="K583" i="14"/>
  <c r="N583" i="14"/>
  <c r="K599" i="14"/>
  <c r="N615" i="14"/>
  <c r="N643" i="14"/>
  <c r="N670" i="14"/>
  <c r="N676" i="14"/>
  <c r="N682" i="14"/>
  <c r="N705" i="14"/>
  <c r="K787" i="14"/>
  <c r="K805" i="14"/>
  <c r="K638" i="14"/>
  <c r="K649" i="14"/>
  <c r="N660" i="14"/>
  <c r="K700" i="14"/>
  <c r="K706" i="14"/>
  <c r="K718" i="14"/>
  <c r="N718" i="14"/>
  <c r="K724" i="14"/>
  <c r="K847" i="14"/>
  <c r="N847" i="14"/>
  <c r="K859" i="14"/>
  <c r="K871" i="14"/>
  <c r="N871" i="14"/>
  <c r="K883" i="14"/>
  <c r="N883" i="14"/>
  <c r="K895" i="14"/>
  <c r="K616" i="14"/>
  <c r="K622" i="14"/>
  <c r="N622" i="14"/>
  <c r="K628" i="14"/>
  <c r="K655" i="14"/>
  <c r="N655" i="14"/>
  <c r="K763" i="14"/>
  <c r="N763" i="14"/>
  <c r="K817" i="14"/>
  <c r="N817" i="14"/>
  <c r="K366" i="14"/>
  <c r="K435" i="14"/>
  <c r="N466" i="14"/>
  <c r="K505" i="14"/>
  <c r="N616" i="14"/>
  <c r="N628" i="14"/>
  <c r="K661" i="14"/>
  <c r="N661" i="14"/>
  <c r="K694" i="14"/>
  <c r="N694" i="14"/>
  <c r="K449" i="14"/>
  <c r="K471" i="14"/>
  <c r="N496" i="14"/>
  <c r="N501" i="14"/>
  <c r="K565" i="14"/>
  <c r="K667" i="14"/>
  <c r="N678" i="14"/>
  <c r="N732" i="14"/>
  <c r="K755" i="14"/>
  <c r="K790" i="14"/>
  <c r="N790" i="14"/>
  <c r="K799" i="14"/>
  <c r="N799" i="14"/>
  <c r="K829" i="14"/>
  <c r="N829" i="14"/>
  <c r="N351" i="14"/>
  <c r="K355" i="14"/>
  <c r="K399" i="14"/>
  <c r="K420" i="14"/>
  <c r="N462" i="14"/>
  <c r="N471" i="14"/>
  <c r="K476" i="14"/>
  <c r="K496" i="14"/>
  <c r="K501" i="14"/>
  <c r="K555" i="14"/>
  <c r="N565" i="14"/>
  <c r="K591" i="14"/>
  <c r="K601" i="14"/>
  <c r="N601" i="14"/>
  <c r="N606" i="14"/>
  <c r="N667" i="14"/>
  <c r="K679" i="14"/>
  <c r="N516" i="14"/>
  <c r="N550" i="14"/>
  <c r="N624" i="14"/>
  <c r="K634" i="14"/>
  <c r="K640" i="14"/>
  <c r="N640" i="14"/>
  <c r="N651" i="14"/>
  <c r="K673" i="14"/>
  <c r="N673" i="14"/>
  <c r="K727" i="14"/>
  <c r="K757" i="14"/>
  <c r="N757" i="14"/>
  <c r="K841" i="14"/>
  <c r="K613" i="14"/>
  <c r="K674" i="14"/>
  <c r="K709" i="14"/>
  <c r="N714" i="14"/>
  <c r="K742" i="14"/>
  <c r="K811" i="14"/>
  <c r="N811" i="14"/>
  <c r="K853" i="14"/>
  <c r="N853" i="14"/>
  <c r="K865" i="14"/>
  <c r="N865" i="14"/>
  <c r="K877" i="14"/>
  <c r="K889" i="14"/>
  <c r="N889" i="14"/>
  <c r="K901" i="14"/>
  <c r="N901" i="14"/>
  <c r="K446" i="14"/>
  <c r="K455" i="14"/>
  <c r="N468" i="14"/>
  <c r="K512" i="14"/>
  <c r="K529" i="14"/>
  <c r="N597" i="14"/>
  <c r="K597" i="14"/>
  <c r="N613" i="14"/>
  <c r="K619" i="14"/>
  <c r="N619" i="14"/>
  <c r="K625" i="14"/>
  <c r="K691" i="14"/>
  <c r="N696" i="14"/>
  <c r="K703" i="14"/>
  <c r="N703" i="14"/>
  <c r="N709" i="14"/>
  <c r="K715" i="14"/>
  <c r="N742" i="14"/>
  <c r="N750" i="14"/>
  <c r="K784" i="14"/>
  <c r="N784" i="14"/>
  <c r="K392" i="14"/>
  <c r="K451" i="14"/>
  <c r="K468" i="14"/>
  <c r="K489" i="14"/>
  <c r="N525" i="14"/>
  <c r="N529" i="14"/>
  <c r="K658" i="14"/>
  <c r="K697" i="14"/>
  <c r="N697" i="14"/>
  <c r="K736" i="14"/>
  <c r="N736" i="14"/>
  <c r="K793" i="14"/>
  <c r="N793" i="14"/>
  <c r="K823" i="14"/>
  <c r="N741" i="14"/>
  <c r="K769" i="14"/>
  <c r="K931" i="14"/>
  <c r="K721" i="14"/>
  <c r="N721" i="14"/>
  <c r="N769" i="14"/>
  <c r="K775" i="14"/>
  <c r="N775" i="14"/>
  <c r="K781" i="14"/>
  <c r="N781" i="14"/>
  <c r="K913" i="14"/>
  <c r="K919" i="14"/>
  <c r="N919" i="14"/>
  <c r="K940" i="14"/>
  <c r="K949" i="14"/>
  <c r="K958" i="14"/>
  <c r="K967" i="14"/>
  <c r="K976" i="14"/>
  <c r="K985" i="14"/>
  <c r="N370" i="14"/>
  <c r="K374" i="14"/>
  <c r="N424" i="14"/>
  <c r="K428" i="14"/>
  <c r="N478" i="14"/>
  <c r="K482" i="14"/>
  <c r="K538" i="14"/>
  <c r="K631" i="14"/>
  <c r="K664" i="14"/>
  <c r="N687" i="14"/>
  <c r="K712" i="14"/>
  <c r="N712" i="14"/>
  <c r="K748" i="14"/>
  <c r="N748" i="14"/>
  <c r="K754" i="14"/>
  <c r="N754" i="14"/>
  <c r="K733" i="14"/>
  <c r="K760" i="14"/>
  <c r="K998" i="14"/>
  <c r="N573" i="14"/>
  <c r="K646" i="14"/>
  <c r="N669" i="14"/>
  <c r="K688" i="14"/>
  <c r="N723" i="14"/>
  <c r="N733" i="14"/>
  <c r="N760" i="14"/>
  <c r="K766" i="14"/>
  <c r="N766" i="14"/>
  <c r="K772" i="14"/>
  <c r="N772" i="14"/>
  <c r="K999" i="14"/>
  <c r="K739" i="14"/>
  <c r="N739" i="14"/>
  <c r="K778" i="14"/>
  <c r="K922" i="14"/>
  <c r="K928" i="14"/>
  <c r="N928" i="14"/>
  <c r="K971" i="14"/>
  <c r="K980" i="14"/>
  <c r="K796" i="14"/>
  <c r="K802" i="14"/>
  <c r="N802" i="14"/>
  <c r="K808" i="14"/>
  <c r="N808" i="14"/>
  <c r="K814" i="14"/>
  <c r="K820" i="14"/>
  <c r="N820" i="14"/>
  <c r="K826" i="14"/>
  <c r="N826" i="14"/>
  <c r="K832" i="14"/>
  <c r="K838" i="14"/>
  <c r="N838" i="14"/>
  <c r="K844" i="14"/>
  <c r="N844" i="14"/>
  <c r="K850" i="14"/>
  <c r="K856" i="14"/>
  <c r="N856" i="14"/>
  <c r="K862" i="14"/>
  <c r="N862" i="14"/>
  <c r="K868" i="14"/>
  <c r="K874" i="14"/>
  <c r="N874" i="14"/>
  <c r="K880" i="14"/>
  <c r="N880" i="14"/>
  <c r="K886" i="14"/>
  <c r="K892" i="14"/>
  <c r="N892" i="14"/>
  <c r="K898" i="14"/>
  <c r="N898" i="14"/>
  <c r="K904" i="14"/>
  <c r="K910" i="14"/>
  <c r="N910" i="14"/>
  <c r="K453" i="14"/>
  <c r="N507" i="14"/>
  <c r="N553" i="14"/>
  <c r="N570" i="14"/>
  <c r="N588" i="14"/>
  <c r="K610" i="14"/>
  <c r="N633" i="14"/>
  <c r="K652" i="14"/>
  <c r="K685" i="14"/>
  <c r="K730" i="14"/>
  <c r="N730" i="14"/>
  <c r="K751" i="14"/>
  <c r="N796" i="14"/>
  <c r="N759" i="14"/>
  <c r="N768" i="14"/>
  <c r="N777" i="14"/>
  <c r="N786" i="14"/>
  <c r="N795" i="14"/>
  <c r="N804" i="14"/>
  <c r="N813" i="14"/>
  <c r="N822" i="14"/>
  <c r="N831" i="14"/>
  <c r="N840" i="14"/>
  <c r="N849" i="14"/>
  <c r="N858" i="14"/>
  <c r="N867" i="14"/>
  <c r="N876" i="14"/>
  <c r="N885" i="14"/>
  <c r="N894" i="14"/>
  <c r="N903" i="14"/>
  <c r="N912" i="14"/>
  <c r="N921" i="14"/>
  <c r="N930" i="14"/>
  <c r="N939" i="14"/>
  <c r="N948" i="14"/>
  <c r="N957" i="14"/>
  <c r="N966" i="14"/>
  <c r="N975" i="14"/>
  <c r="N984" i="14"/>
  <c r="N996" i="14"/>
  <c r="B4" i="15"/>
  <c r="D4" i="15" s="1"/>
  <c r="K520" i="14"/>
  <c r="K556" i="14"/>
  <c r="K592" i="14"/>
  <c r="K991" i="14"/>
  <c r="N997" i="14"/>
  <c r="K937" i="14"/>
  <c r="K946" i="14"/>
  <c r="K955" i="14"/>
  <c r="K964" i="14"/>
  <c r="K973" i="14"/>
  <c r="K982" i="14"/>
  <c r="N937" i="14"/>
  <c r="N946" i="14"/>
  <c r="N955" i="14"/>
  <c r="N964" i="14"/>
  <c r="N973" i="14"/>
  <c r="N987" i="14"/>
  <c r="K1000" i="14"/>
  <c r="N1000" i="14"/>
  <c r="N618" i="14"/>
  <c r="N627" i="14"/>
  <c r="N636" i="14"/>
  <c r="N645" i="14"/>
  <c r="N654" i="14"/>
  <c r="N663" i="14"/>
  <c r="N672" i="14"/>
  <c r="N681" i="14"/>
  <c r="N690" i="14"/>
  <c r="N699" i="14"/>
  <c r="N708" i="14"/>
  <c r="N717" i="14"/>
  <c r="N726" i="14"/>
  <c r="N735" i="14"/>
  <c r="N744" i="14"/>
  <c r="N753" i="14"/>
  <c r="N762" i="14"/>
  <c r="N771" i="14"/>
  <c r="N780" i="14"/>
  <c r="N789" i="14"/>
  <c r="N798" i="14"/>
  <c r="N807" i="14"/>
  <c r="N816" i="14"/>
  <c r="N825" i="14"/>
  <c r="N834" i="14"/>
  <c r="N843" i="14"/>
  <c r="N852" i="14"/>
  <c r="N861" i="14"/>
  <c r="N870" i="14"/>
  <c r="N879" i="14"/>
  <c r="N888" i="14"/>
  <c r="N897" i="14"/>
  <c r="N906" i="14"/>
  <c r="N915" i="14"/>
  <c r="N924" i="14"/>
  <c r="N933" i="14"/>
  <c r="N942" i="14"/>
  <c r="N951" i="14"/>
  <c r="N960" i="14"/>
  <c r="N969" i="14"/>
  <c r="N978" i="14"/>
  <c r="K987" i="14"/>
  <c r="D2" i="15"/>
  <c r="K988" i="14"/>
  <c r="N993" i="14"/>
  <c r="K907" i="14"/>
  <c r="K916" i="14"/>
  <c r="K925" i="14"/>
  <c r="K934" i="14"/>
  <c r="K943" i="14"/>
  <c r="K952" i="14"/>
  <c r="K961" i="14"/>
  <c r="K970" i="14"/>
  <c r="K979" i="14"/>
  <c r="N988" i="14"/>
  <c r="C10" i="15"/>
  <c r="N907" i="14"/>
  <c r="N916" i="14"/>
  <c r="N925" i="14"/>
  <c r="N934" i="14"/>
  <c r="N943" i="14"/>
  <c r="N952" i="14"/>
  <c r="N961" i="14"/>
  <c r="N970" i="14"/>
  <c r="K997" i="14"/>
  <c r="B10" i="15" l="1"/>
  <c r="D10" i="15" s="1"/>
  <c r="Q7" i="9"/>
  <c r="J13" i="9"/>
  <c r="N13" i="9"/>
  <c r="G7" i="9"/>
  <c r="V7" i="9"/>
  <c r="L7" i="9"/>
  <c r="B7" i="9"/>
  <c r="Q6" i="1"/>
  <c r="N12" i="9"/>
  <c r="J12" i="9"/>
</calcChain>
</file>

<file path=xl/sharedStrings.xml><?xml version="1.0" encoding="utf-8"?>
<sst xmlns="http://schemas.openxmlformats.org/spreadsheetml/2006/main" count="506" uniqueCount="285">
  <si>
    <t xml:space="preserve">  LEAD MANAGEMENT SYSTEM   |   EXECUTIVE DASHBOARD</t>
  </si>
  <si>
    <t xml:space="preserve">  Live data from Master Leads   ·   Auto-refreshes with new entries   ·   Professional CRM Analytics</t>
  </si>
  <si>
    <t>TOTAL LEADS</t>
  </si>
  <si>
    <t>PAID STUDENTS</t>
  </si>
  <si>
    <t>CONVERSION RATE</t>
  </si>
  <si>
    <t>REPEAT STUDENTS</t>
  </si>
  <si>
    <t>ACTIVE LEADS</t>
  </si>
  <si>
    <t>All entries in Master Leads</t>
  </si>
  <si>
    <t>Confirmed fee paid (col O = Yes)</t>
  </si>
  <si>
    <t>Converted leads ÷ Total leads</t>
  </si>
  <si>
    <t>Same student, multiple campaigns</t>
  </si>
  <si>
    <t>Status = New or Contacted</t>
  </si>
  <si>
    <t>NO ANSWER</t>
  </si>
  <si>
    <t>CONVERTED</t>
  </si>
  <si>
    <t>INTERESTED</t>
  </si>
  <si>
    <t>TODAY'S LEADS</t>
  </si>
  <si>
    <t>THIS MONTH</t>
  </si>
  <si>
    <t>Calls not picked up</t>
  </si>
  <si>
    <t>Successfully converted</t>
  </si>
  <si>
    <t>Interested but not yet paid</t>
  </si>
  <si>
    <t>New leads added today</t>
  </si>
  <si>
    <t>Leads added this month</t>
  </si>
  <si>
    <t xml:space="preserve">  PERFORMANCE ANALYTICS   —   Charts auto-update from Master Leads</t>
  </si>
  <si>
    <t xml:space="preserve">  NOTE: Campaign chart uses B1-B10 by default. Update campaign names in _DB1_Data sheet (col A, rows 31-40) to match your actual campaigns.</t>
  </si>
  <si>
    <t xml:space="preserve">  GRADE INTEREST DASHBOARD   |   Leads by Grade (6 - 11)</t>
  </si>
  <si>
    <t xml:space="preserve">  Shows how many leads enquired for each grade  ·  Auto-updates with new data</t>
  </si>
  <si>
    <t xml:space="preserve">  GRADE BREAKDOWN   —   Leads, Paid Students &amp; Percentage per Grade</t>
  </si>
  <si>
    <t>Grade</t>
  </si>
  <si>
    <t>Total Leads</t>
  </si>
  <si>
    <t>Paid Students</t>
  </si>
  <si>
    <t>Lead %</t>
  </si>
  <si>
    <t>Paid %</t>
  </si>
  <si>
    <t>Interested → Paid Conv.</t>
  </si>
  <si>
    <t>Grade 6</t>
  </si>
  <si>
    <t>Grade 7</t>
  </si>
  <si>
    <t>Grade 8</t>
  </si>
  <si>
    <t>Grade 9</t>
  </si>
  <si>
    <t>Grade 10</t>
  </si>
  <si>
    <t>Grade 11</t>
  </si>
  <si>
    <t>TOTAL</t>
  </si>
  <si>
    <t>100%</t>
  </si>
  <si>
    <t xml:space="preserve">  PAID STUDENT DASHBOARD   |   Fee-Confirmed Enrollments</t>
  </si>
  <si>
    <t xml:space="preserve">  Shows all students who have confirmed payment  ·  Grade-wise breakdown  ·  Conversion rates</t>
  </si>
  <si>
    <t>TOTAL PAID</t>
  </si>
  <si>
    <t>OVERALL PAID %</t>
  </si>
  <si>
    <t>INTERESTED → PAID</t>
  </si>
  <si>
    <t>All confirmed paid students</t>
  </si>
  <si>
    <t>All leads in system</t>
  </si>
  <si>
    <t>Paid ÷ Total Leads</t>
  </si>
  <si>
    <t>Of interested leads, how many paid</t>
  </si>
  <si>
    <t>GRADE 6 PAID</t>
  </si>
  <si>
    <t>GRADE 7 PAID</t>
  </si>
  <si>
    <t>GRADE 8 PAID</t>
  </si>
  <si>
    <t>GRADE 9 PAID</t>
  </si>
  <si>
    <t>Paid in Grade 6</t>
  </si>
  <si>
    <t>Paid in Grade 7</t>
  </si>
  <si>
    <t>Paid in Grade 8</t>
  </si>
  <si>
    <t>Paid in Grade 9</t>
  </si>
  <si>
    <t>GRADE 10 PAID</t>
  </si>
  <si>
    <t>GRADE 11 PAID</t>
  </si>
  <si>
    <t>Paid in Grade 10</t>
  </si>
  <si>
    <t>Paid in Grade 11</t>
  </si>
  <si>
    <t xml:space="preserve">  GRADE-WISE PAID BREAKDOWN   —   Detailed conversion per grade</t>
  </si>
  <si>
    <t>Paid</t>
  </si>
  <si>
    <t>Not Paid</t>
  </si>
  <si>
    <t>Interested→Paid</t>
  </si>
  <si>
    <t xml:space="preserve">  PAID CHARTS   —   Visual breakdown of payments by grade</t>
  </si>
  <si>
    <t xml:space="preserve">  MEMBER PERFORMANCE DASHBOARD   |   Staff Leads, Conversions &amp; Rankings</t>
  </si>
  <si>
    <t xml:space="preserve">  See which team member handles the most leads and converts best  ·  Auto-updates</t>
  </si>
  <si>
    <t xml:space="preserve">  MEMBER-WISE LEAD &amp; CONVERSION PERFORMANCE</t>
  </si>
  <si>
    <t>Member</t>
  </si>
  <si>
    <t>Converted</t>
  </si>
  <si>
    <t>No Answer</t>
  </si>
  <si>
    <t>Conv. %</t>
  </si>
  <si>
    <t>Rank</t>
  </si>
  <si>
    <t>maheesha</t>
  </si>
  <si>
    <t>menik</t>
  </si>
  <si>
    <t>kavinda</t>
  </si>
  <si>
    <t>umesh</t>
  </si>
  <si>
    <t>Avishka</t>
  </si>
  <si>
    <t>Wihanga</t>
  </si>
  <si>
    <t>muthumali</t>
  </si>
  <si>
    <t>shamali</t>
  </si>
  <si>
    <t xml:space="preserve">  GRADE BREAKDOWN BY MEMBER   —   Which member handles which grade</t>
  </si>
  <si>
    <t>Total</t>
  </si>
  <si>
    <t xml:space="preserve">  MEMBER CHARTS   —   Visual performance comparison</t>
  </si>
  <si>
    <t xml:space="preserve">  MEMBER PAID DASHBOARD   |   Paid Students by Member &amp; Grade</t>
  </si>
  <si>
    <t xml:space="preserve">  Drill down into which member generated paid students in each grade  ·  Auto-updates</t>
  </si>
  <si>
    <t xml:space="preserve">  PAID BY MEMBER × GRADE   —   Detailed grade-wise paid breakdown per member</t>
  </si>
  <si>
    <t>Total Paid</t>
  </si>
  <si>
    <t xml:space="preserve">  PAID CHARTS   —   Paid breakdown by member and grade</t>
  </si>
  <si>
    <t>Campaign</t>
  </si>
  <si>
    <t>Leads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</si>
  <si>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</si>
  <si>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</si>
  <si>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</si>
  <si>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</si>
  <si>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</si>
  <si>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</si>
  <si>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</si>
  <si>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</si>
  <si>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</si>
  <si>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</si>
  <si>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</si>
  <si>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</si>
  <si>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</si>
  <si>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</si>
  <si>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</si>
  <si>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</si>
  <si>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</si>
  <si>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</si>
  <si>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</si>
  <si>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</si>
  <si>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 xml:space="preserve">  DAILY DASHBOARD   |   Today, Yesterday, Last 7 Days, This Week, This Month</t>
  </si>
  <si>
    <t xml:space="preserve">  Quick snapshot of lead activity over different time periods  ·  Auto-refreshes daily</t>
  </si>
  <si>
    <t xml:space="preserve">  TIME-PERIOD LEAD COUNTS   —   Auto-refreshes on every open</t>
  </si>
  <si>
    <t>TODAY</t>
  </si>
  <si>
    <t>YESTERDAY</t>
  </si>
  <si>
    <t>LAST 7 DAYS</t>
  </si>
  <si>
    <t>THIS WEEK</t>
  </si>
  <si>
    <t>Leads added today</t>
  </si>
  <si>
    <t>Leads added yesterday</t>
  </si>
  <si>
    <t>Leads in the last 7 days</t>
  </si>
  <si>
    <t>Mon to today this week</t>
  </si>
  <si>
    <t>First of month to today</t>
  </si>
  <si>
    <t>LAST MONTH</t>
  </si>
  <si>
    <t>THIS WEEK PAID</t>
  </si>
  <si>
    <t>THIS MONTH PAID</t>
  </si>
  <si>
    <t>TODAY CONVERTED</t>
  </si>
  <si>
    <t>All of last month</t>
  </si>
  <si>
    <t>Paid this week</t>
  </si>
  <si>
    <t>Paid this month</t>
  </si>
  <si>
    <t>Converted today</t>
  </si>
  <si>
    <t>All leads ever</t>
  </si>
  <si>
    <t xml:space="preserve">  TREND CHARTS   —   Daily, Weekly, and Monthly patterns</t>
  </si>
  <si>
    <t>SECOND CALL PENDING</t>
  </si>
  <si>
    <t>Count</t>
  </si>
  <si>
    <t>New</t>
  </si>
  <si>
    <t>Contacted</t>
  </si>
  <si>
    <t>Interested</t>
  </si>
  <si>
    <t>Not Interested</t>
  </si>
  <si>
    <t>Follow-up</t>
  </si>
  <si>
    <t>Second Call Pending</t>
  </si>
  <si>
    <t>Second Call Completed</t>
  </si>
  <si>
    <t xml:space="preserve">  REPEAT STUDENT DASHBOARD   |   Students who Enquired Multiple Times</t>
  </si>
  <si>
    <t xml:space="preserve">  Track returning students across different campaigns  ·  Uses col M (Repeat Student?)</t>
  </si>
  <si>
    <t xml:space="preserve">  REPEAT STUDENT KPIs</t>
  </si>
  <si>
    <t>NEW STUDENTS</t>
  </si>
  <si>
    <t>REPEAT RATE</t>
  </si>
  <si>
    <t>REPEAT &amp; PAID</t>
  </si>
  <si>
    <t>REPEAT &amp; CONVERTED</t>
  </si>
  <si>
    <t>Enquired before (col M = Yes)</t>
  </si>
  <si>
    <t>First-time enquiries</t>
  </si>
  <si>
    <t>Repeat / Total leads</t>
  </si>
  <si>
    <t>Repeat students who also paid</t>
  </si>
  <si>
    <t>Repeat students converted</t>
  </si>
  <si>
    <t xml:space="preserve">  REPEAT BY CAMPAIGN &amp; MEMBER</t>
  </si>
  <si>
    <t>Repeat</t>
  </si>
  <si>
    <t>Repeat %</t>
  </si>
  <si>
    <t xml:space="preserve">  FOLLOW-UP DASHBOARD   |   Second Calls, Pending Follow-ups &amp; Rates</t>
  </si>
  <si>
    <t xml:space="preserve">  Track which leads need a second call and who completed it  ·  Based on col I (Second Call Done)</t>
  </si>
  <si>
    <t xml:space="preserve">  FOLLOW-UP KPIs   —   Based on Second Call Done column (col I)</t>
  </si>
  <si>
    <t>SECOND CALL DONE</t>
  </si>
  <si>
    <t>NOT SET</t>
  </si>
  <si>
    <t>FOLLOW-UP RATE</t>
  </si>
  <si>
    <t>Completed second calls</t>
  </si>
  <si>
    <t>Need second call</t>
  </si>
  <si>
    <t>Second call not recorded</t>
  </si>
  <si>
    <t>Done / (Done + Pending)</t>
  </si>
  <si>
    <t>2ND CALL + CONVERTED</t>
  </si>
  <si>
    <t>2ND CALL + PAID</t>
  </si>
  <si>
    <t>PENDING + INTERESTED</t>
  </si>
  <si>
    <t>PENDING + NO ANSWER</t>
  </si>
  <si>
    <t>Second call done &amp; converted</t>
  </si>
  <si>
    <t>Second call done &amp; paid</t>
  </si>
  <si>
    <t>Follow-up needed + interested</t>
  </si>
  <si>
    <t>Pending call, no answer last time</t>
  </si>
  <si>
    <t xml:space="preserve">  FOLLOW-UP BY MEMBER   —   Who has pending second calls?</t>
  </si>
  <si>
    <t>2nd Done</t>
  </si>
  <si>
    <t>2nd Pending</t>
  </si>
  <si>
    <t>Not Set</t>
  </si>
  <si>
    <t>Done %</t>
  </si>
  <si>
    <t>HOW THIS SYSTEM WORKS (v8 - same layout as before, one bug fixed)</t>
  </si>
  <si>
    <t>This is the same Master Leads layout you already have live. Only the F-Code rule changed:</t>
  </si>
  <si>
    <t>F-CODE IS NOW UNIQUE PER PHONE NUMBER, PERMANENTLY</t>
  </si>
  <si>
    <t>Before: every new campaign entry generated a brand new F-code, even for a phone number already in the system.</t>
  </si>
  <si>
    <t>Now: 'Add New Lead' checks column A (Phone Normalized) for this number FIRST. If it's already there under any</t>
  </si>
  <si>
    <t>earlier row, it REUSES that same F-code. A new F-code is only generated the very first time a number is ever seen.</t>
  </si>
  <si>
    <t>So the same student messaging in through a different boost later keeps their original F-code, and gets a new</t>
  </si>
  <si>
    <t>row logging the new campaign/enquiry - not a new identity.</t>
  </si>
  <si>
    <t>DUPLICATE VS REPEAT (unchanged)</t>
  </si>
  <si>
    <t>Same phone + same campaign already logged = true duplicate, blocked, no new row.</t>
  </si>
  <si>
    <t>Same phone + a different/new campaign = new row added, F-code reused, marked 'Repeat Student'.</t>
  </si>
  <si>
    <t>SETUP STEPS</t>
  </si>
  <si>
    <t>1. Extensions &gt; Apps Script &gt; delete existing code &gt; paste in the new Code.gs &gt; Save.</t>
  </si>
  <si>
    <t>2. Reload the sheet. Use 'Lead Tools &gt; Add New Lead' as before (same phone/campaign/name prompts).</t>
  </si>
  <si>
    <t>Never type a leading '=' before a phone number (e.g. don't type '=94 70 335 2129') - Sheets reads that as a</t>
  </si>
  <si>
    <t>broken formula and shows #ERROR!. Just type the digits, with or without '+94'.</t>
  </si>
  <si>
    <t>Commission (Rs.) is tracked separately in the Payment file, once a lead is confirmed as a paying student.</t>
  </si>
  <si>
    <t>F-CODE NOW AUTO-FILLS EVEN WITH DIRECT TYPING</t>
  </si>
  <si>
    <t>Previously, typing a phone number straight into column B (instead of using 'Add New Lead') left the F-Code</t>
  </si>
  <si>
    <t>cell blank, since only the menu button filled it in. This is now fixed: the moment a phone number is typed into</t>
  </si>
  <si>
    <t>column B - by the menu OR by hand - the F-Code fills in automatically within a second or two: reused if the</t>
  </si>
  <si>
    <t>number exists elsewhere, or a brand new code if it's the first time this number has been seen.</t>
  </si>
  <si>
    <t>It never overwrites a code that's already there, so it's safe even if you fill in rows in any order.</t>
  </si>
  <si>
    <t>Using 'Add New Lead' is still the better habit - it also checks the campaign and warns about true duplicates</t>
  </si>
  <si>
    <t>before you type anything - but typing directly into a row will no longer leave the F-Code blank.</t>
  </si>
  <si>
    <t>DATE ADDED NOW AUTO-FILLS TOO</t>
  </si>
  <si>
    <t>The moment a phone number is typed into column B, 'Date Added' fills in with today's date automatically -</t>
  </si>
  <si>
    <t>same trigger as the F-Code fix, and just as safe: it never overwrites a date that's already there.</t>
  </si>
  <si>
    <t>COLOUR WARNINGS (new)</t>
  </si>
  <si>
    <t xml:space="preserve"> - RED row = a true duplicate (same phone + same campaign already logged). Check before doing anything else.</t>
  </si>
  <si>
    <t xml:space="preserve"> - ORANGE F-Code cell = phone entered but no F-code yet (very rare now, but means something went wrong -</t>
  </si>
  <si>
    <t xml:space="preserve">   check the number isn't too short/incomplete).</t>
  </si>
  <si>
    <t xml:space="preserve"> - YELLOW Assigned Member / Campaign cell = phone entered but that field is still blank - fill it in.</t>
  </si>
  <si>
    <t xml:space="preserve"> - LIGHT BLUE row (in Repeat Student column) = a returning student under a new campaign - not a problem,</t>
  </si>
  <si>
    <t xml:space="preserve">   just worth noticing.</t>
  </si>
  <si>
    <t xml:space="preserve"> - Status column colours: green = Converted, red = Not Interested, orange = No Answer, blue = New,</t>
  </si>
  <si>
    <t xml:space="preserve">   grey = Contacted. Lets you scan the whole sheet at a glance without reading every word.</t>
  </si>
  <si>
    <t>0716030661</t>
  </si>
  <si>
    <t>Member Name</t>
  </si>
  <si>
    <t>Total Leads (auto)</t>
  </si>
  <si>
    <t>Converted Leads (auto)</t>
  </si>
  <si>
    <t>Phone (Normalized)</t>
  </si>
  <si>
    <t>Raw Phone (as entered)</t>
  </si>
  <si>
    <t>F-Code</t>
  </si>
  <si>
    <t>Assigned Member</t>
  </si>
  <si>
    <t>Date Added</t>
  </si>
  <si>
    <t>Status</t>
  </si>
  <si>
    <t>Comments</t>
  </si>
  <si>
    <t>Second Call Done</t>
  </si>
  <si>
    <t>Second Call Notes</t>
  </si>
  <si>
    <t>Duplicate Check</t>
  </si>
  <si>
    <t>Campaign / Boost Name</t>
  </si>
  <si>
    <t>Repeat Student?</t>
  </si>
  <si>
    <t>Previous F-Code (if repeat)</t>
  </si>
  <si>
    <t>+94 77 862 5101</t>
  </si>
  <si>
    <t>F00001</t>
  </si>
  <si>
    <t>2026-07-01</t>
  </si>
  <si>
    <t>6</t>
  </si>
  <si>
    <t>No</t>
  </si>
  <si>
    <t>7, 9</t>
  </si>
  <si>
    <t>0766820157</t>
  </si>
  <si>
    <t>F00002</t>
  </si>
  <si>
    <t>2026-07-02</t>
  </si>
  <si>
    <t>off</t>
  </si>
  <si>
    <t>+94 71 219 7438</t>
  </si>
  <si>
    <t>F00003</t>
  </si>
  <si>
    <t>2026-07-03</t>
  </si>
  <si>
    <t>11</t>
  </si>
  <si>
    <t>Yes</t>
  </si>
  <si>
    <t>details ewanna</t>
  </si>
  <si>
    <t>F00004</t>
  </si>
  <si>
    <t>8, 9</t>
  </si>
  <si>
    <t>send details</t>
  </si>
  <si>
    <t>9</t>
  </si>
  <si>
    <t>F00005</t>
  </si>
  <si>
    <t>7</t>
  </si>
  <si>
    <t>F00006</t>
  </si>
  <si>
    <t>8</t>
  </si>
  <si>
    <t>10</t>
  </si>
  <si>
    <t>F00007</t>
  </si>
  <si>
    <t>Total Leads Handled</t>
  </si>
  <si>
    <t>Converted Leads</t>
  </si>
  <si>
    <t>Conversion Rate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</si>
  <si>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</si>
  <si>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</si>
  <si>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</si>
  <si>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</si>
  <si>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</si>
  <si>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</si>
  <si>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</si>
  <si>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</si>
  <si>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</si>
  <si>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</si>
  <si>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</si>
  <si>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</si>
  <si>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</si>
  <si>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 Picked Up</t>
  </si>
  <si>
    <t>Payment</t>
  </si>
  <si>
    <t>Unpaid</t>
  </si>
  <si>
    <t>Date</t>
  </si>
  <si>
    <t>Conv%</t>
  </si>
  <si>
    <t>Week Ending</t>
  </si>
  <si>
    <t>Second Call Not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</si>
</sst>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/m"/>
    <numFmt numFmtId="166" formatCode="dd\-mmm"/>
  </numFmts>
  <fonts count="58" x14ac:knownFonts="1">
    <font>
      <sz val="11"/>
      <color theme="1"/>
      <name val="Calibri"/>
      <scheme val="minor"/>
    </font>
    <font>
      <b/>
      <sz val="12"/>
      <color rgb="FF1F4E78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</font>
    <font>
      <b/>
      <sz val="11"/>
      <color theme="1"/>
      <name val="Cambria"/>
    </font>
    <font>
      <sz val="11"/>
      <color theme="1"/>
      <name val="Calibri"/>
      <scheme val="minor"/>
    </font>
    <font>
      <b/>
      <sz val="20"/>
      <color rgb="FFFFFFFF"/>
      <name val="Calibri"/>
    </font>
    <font>
      <sz val="9"/>
      <color rgb="FFBFDBFE"/>
      <name val="Calibri"/>
    </font>
    <font>
      <b/>
      <sz val="8"/>
      <color rgb="FFFFFFFF"/>
      <name val="Calibri"/>
    </font>
    <font>
      <b/>
      <sz val="22"/>
      <color rgb="FF0D2744"/>
      <name val="Calibri"/>
    </font>
    <font>
      <sz val="8"/>
      <color rgb="FF64748B"/>
      <name val="Calibri"/>
    </font>
    <font>
      <b/>
      <sz val="22"/>
      <color rgb="FF166534"/>
      <name val="Calibri"/>
    </font>
    <font>
      <b/>
      <sz val="22"/>
      <color rgb="FF134E4A"/>
      <name val="Calibri"/>
    </font>
    <font>
      <b/>
      <sz val="22"/>
      <color rgb="FF581C87"/>
      <name val="Calibri"/>
    </font>
    <font>
      <b/>
      <sz val="22"/>
      <color rgb="FF1565C0"/>
      <name val="Calibri"/>
    </font>
    <font>
      <b/>
      <sz val="22"/>
      <color rgb="FFC2410C"/>
      <name val="Calibri"/>
    </font>
    <font>
      <b/>
      <sz val="22"/>
      <color rgb="FF1976D2"/>
      <name val="Calibri"/>
    </font>
    <font>
      <b/>
      <sz val="22"/>
      <color rgb="FF312E81"/>
      <name val="Calibri"/>
    </font>
    <font>
      <b/>
      <sz val="10"/>
      <color rgb="FF1E293B"/>
      <name val="Calibri"/>
    </font>
    <font>
      <b/>
      <sz val="9"/>
      <color rgb="FF0D2744"/>
      <name val="Calibri"/>
    </font>
    <font>
      <sz val="9"/>
      <name val="Calibri"/>
    </font>
    <font>
      <b/>
      <sz val="11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1"/>
      <color rgb="FF1E293B"/>
      <name val="Calibri"/>
    </font>
    <font>
      <b/>
      <sz val="11"/>
      <color rgb="FF166534"/>
      <name val="Calibri"/>
    </font>
    <font>
      <sz val="10"/>
      <color rgb="FF1E293B"/>
      <name val="Calibri"/>
    </font>
    <font>
      <b/>
      <sz val="11"/>
      <color rgb="FFFFFFFF"/>
      <name val="Calibri"/>
    </font>
    <font>
      <sz val="9"/>
      <color rgb="FFA7F3D0"/>
      <name val="Calibri"/>
    </font>
    <font>
      <b/>
      <sz val="20"/>
      <color rgb="FF166534"/>
      <name val="Calibri"/>
    </font>
    <font>
      <b/>
      <sz val="20"/>
      <color rgb="FF0D2744"/>
      <name val="Calibri"/>
    </font>
    <font>
      <b/>
      <sz val="20"/>
      <color rgb="FF134E4A"/>
      <name val="Calibri"/>
    </font>
    <font>
      <b/>
      <sz val="20"/>
      <color rgb="FF581C87"/>
      <name val="Calibri"/>
    </font>
    <font>
      <b/>
      <sz val="20"/>
      <color rgb="FF1D4ED8"/>
      <name val="Calibri"/>
    </font>
    <font>
      <b/>
      <sz val="20"/>
      <color rgb="FF0369A1"/>
      <name val="Calibri"/>
    </font>
    <font>
      <b/>
      <sz val="20"/>
      <color rgb="FF047857"/>
      <name val="Calibri"/>
    </font>
    <font>
      <b/>
      <sz val="20"/>
      <color rgb="FF7C3AED"/>
      <name val="Calibri"/>
    </font>
    <font>
      <b/>
      <sz val="20"/>
      <color rgb="FFB45309"/>
      <name val="Calibri"/>
    </font>
    <font>
      <b/>
      <sz val="20"/>
      <color rgb="FFB91C1C"/>
      <name val="Calibri"/>
    </font>
    <font>
      <b/>
      <sz val="10"/>
      <color rgb="FF166534"/>
      <name val="Calibri"/>
    </font>
    <font>
      <b/>
      <sz val="10"/>
      <color rgb="FFC2410C"/>
      <name val="Calibri"/>
    </font>
    <font>
      <b/>
      <sz val="10"/>
      <color rgb="FF134E4A"/>
      <name val="Calibri"/>
    </font>
    <font>
      <sz val="10"/>
      <color rgb="FFC2410C"/>
      <name val="Calibri"/>
    </font>
    <font>
      <b/>
      <sz val="10"/>
      <color rgb="FF581C87"/>
      <name val="Calibri"/>
    </font>
    <font>
      <b/>
      <sz val="10"/>
      <color rgb="FF0D2744"/>
      <name val="Calibri"/>
    </font>
    <font>
      <sz val="9"/>
      <color rgb="FFFED7AA"/>
      <name val="Calibri"/>
    </font>
    <font>
      <b/>
      <sz val="20"/>
      <color rgb="FFC2410C"/>
      <name val="Calibri"/>
    </font>
    <font>
      <sz val="9"/>
      <color rgb="FFBAE6FD"/>
      <name val="Calibri"/>
    </font>
    <font>
      <b/>
      <sz val="20"/>
      <color rgb="FF1565C0"/>
      <name val="Calibri"/>
    </font>
    <font>
      <b/>
      <sz val="20"/>
      <color rgb="FF1976D2"/>
      <name val="Calibri"/>
    </font>
    <font>
      <b/>
      <sz val="20"/>
      <color rgb="FF0EA5E9"/>
      <name val="Calibri"/>
    </font>
    <font>
      <b/>
      <sz val="20"/>
      <color rgb="FF1E293B"/>
      <name val="Calibri"/>
    </font>
    <font>
      <b/>
      <sz val="20"/>
      <color rgb="FF991B1B"/>
      <name val="Calibri"/>
    </font>
    <font>
      <sz val="9"/>
      <color rgb="FFC7D2FE"/>
      <name val="Calibri"/>
    </font>
    <font>
      <b/>
      <sz val="20"/>
      <color rgb="FF312E81"/>
      <name val="Calibri"/>
    </font>
    <font>
      <b/>
      <sz val="20"/>
      <color rgb="FF64748B"/>
      <name val="Calibri"/>
    </font>
    <font>
      <sz val="10"/>
      <color rgb="FF64748B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0F4F8"/>
      </patternFill>
    </fill>
    <fill>
      <patternFill patternType="solid">
        <fgColor rgb="FF0D2744"/>
      </patternFill>
    </fill>
    <fill>
      <patternFill patternType="solid">
        <fgColor rgb="FF1976D2"/>
      </patternFill>
    </fill>
    <fill>
      <patternFill patternType="solid">
        <fgColor rgb="FFFFFFFF"/>
      </patternFill>
    </fill>
    <fill>
      <patternFill patternType="solid">
        <fgColor rgb="FF166534"/>
      </patternFill>
    </fill>
    <fill>
      <patternFill patternType="solid">
        <fgColor rgb="FF134E4A"/>
      </patternFill>
    </fill>
    <fill>
      <patternFill patternType="solid">
        <fgColor rgb="FF581C87"/>
      </patternFill>
    </fill>
    <fill>
      <patternFill patternType="solid">
        <fgColor rgb="FF1565C0"/>
      </patternFill>
    </fill>
    <fill>
      <patternFill patternType="solid">
        <fgColor rgb="FFC2410C"/>
      </patternFill>
    </fill>
    <fill>
      <patternFill patternType="solid">
        <fgColor rgb="FF312E81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1D4ED8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B91C1C"/>
      </patternFill>
    </fill>
    <fill>
      <patternFill patternType="solid">
        <fgColor rgb="FFCCFBF1"/>
      </patternFill>
    </fill>
    <fill>
      <patternFill patternType="solid">
        <fgColor rgb="FF1E3A8A"/>
      </patternFill>
    </fill>
    <fill>
      <patternFill patternType="solid">
        <fgColor rgb="FF991B1B"/>
      </patternFill>
    </fill>
    <fill>
      <patternFill patternType="solid">
        <fgColor rgb="FFE0E7FF"/>
      </patternFill>
    </fill>
    <fill>
      <patternFill patternType="solid">
        <fgColor rgb="FF0E7490"/>
      </patternFill>
    </fill>
    <fill>
      <patternFill patternType="solid">
        <fgColor rgb="FFBE185D"/>
      </patternFill>
    </fill>
    <fill>
      <patternFill patternType="solid">
        <fgColor rgb="FF1E293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0EA5E9"/>
      </patternFill>
    </fill>
    <fill>
      <patternFill patternType="solid">
        <fgColor rgb="FF0284C7"/>
      </patternFill>
    </fill>
    <fill>
      <patternFill patternType="solid">
        <fgColor rgb="FF3730A3"/>
      </patternFill>
    </fill>
    <fill>
      <patternFill patternType="solid">
        <fgColor rgb="FF64748B"/>
      </patternFill>
    </fill>
  </fills>
  <borders count="6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medium">
        <color rgb="FF0D2744"/>
      </left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medium">
        <color rgb="FF0D2744"/>
      </left>
      <right style="thin">
        <color rgb="FFD1D5DB"/>
      </right>
      <top/>
      <bottom/>
      <diagonal/>
    </border>
    <border>
      <left/>
      <right style="thin">
        <color rgb="FFD1D5DB"/>
      </right>
      <top/>
      <bottom/>
      <diagonal/>
    </border>
    <border>
      <left style="medium">
        <color rgb="FF0D2744"/>
      </left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medium">
        <color rgb="FF166534"/>
      </left>
      <right style="thin">
        <color rgb="FFD1D5DB"/>
      </right>
      <top style="thin">
        <color rgb="FFD1D5DB"/>
      </top>
      <bottom/>
      <diagonal/>
    </border>
    <border>
      <left style="medium">
        <color rgb="FF166534"/>
      </left>
      <right style="thin">
        <color rgb="FFD1D5DB"/>
      </right>
      <top/>
      <bottom/>
      <diagonal/>
    </border>
    <border>
      <left style="medium">
        <color rgb="FF166534"/>
      </left>
      <right style="thin">
        <color rgb="FFD1D5DB"/>
      </right>
      <top/>
      <bottom style="thin">
        <color rgb="FFD1D5DB"/>
      </bottom>
      <diagonal/>
    </border>
    <border>
      <left style="medium">
        <color rgb="FF134E4A"/>
      </left>
      <right style="thin">
        <color rgb="FFD1D5DB"/>
      </right>
      <top style="thin">
        <color rgb="FFD1D5DB"/>
      </top>
      <bottom/>
      <diagonal/>
    </border>
    <border>
      <left style="medium">
        <color rgb="FF134E4A"/>
      </left>
      <right style="thin">
        <color rgb="FFD1D5DB"/>
      </right>
      <top/>
      <bottom/>
      <diagonal/>
    </border>
    <border>
      <left style="medium">
        <color rgb="FF134E4A"/>
      </left>
      <right style="thin">
        <color rgb="FFD1D5DB"/>
      </right>
      <top/>
      <bottom style="thin">
        <color rgb="FFD1D5DB"/>
      </bottom>
      <diagonal/>
    </border>
    <border>
      <left style="medium">
        <color rgb="FF581C87"/>
      </left>
      <right style="thin">
        <color rgb="FFD1D5DB"/>
      </right>
      <top style="thin">
        <color rgb="FFD1D5DB"/>
      </top>
      <bottom/>
      <diagonal/>
    </border>
    <border>
      <left style="medium">
        <color rgb="FF581C87"/>
      </left>
      <right style="thin">
        <color rgb="FFD1D5DB"/>
      </right>
      <top/>
      <bottom/>
      <diagonal/>
    </border>
    <border>
      <left style="medium">
        <color rgb="FF581C87"/>
      </left>
      <right style="thin">
        <color rgb="FFD1D5DB"/>
      </right>
      <top/>
      <bottom style="thin">
        <color rgb="FFD1D5DB"/>
      </bottom>
      <diagonal/>
    </border>
    <border>
      <left style="medium">
        <color rgb="FF1565C0"/>
      </left>
      <right style="thin">
        <color rgb="FFD1D5DB"/>
      </right>
      <top style="thin">
        <color rgb="FFD1D5DB"/>
      </top>
      <bottom/>
      <diagonal/>
    </border>
    <border>
      <left style="medium">
        <color rgb="FF1565C0"/>
      </left>
      <right style="thin">
        <color rgb="FFD1D5DB"/>
      </right>
      <top/>
      <bottom/>
      <diagonal/>
    </border>
    <border>
      <left style="medium">
        <color rgb="FF1565C0"/>
      </left>
      <right style="thin">
        <color rgb="FFD1D5DB"/>
      </right>
      <top/>
      <bottom style="thin">
        <color rgb="FFD1D5DB"/>
      </bottom>
      <diagonal/>
    </border>
    <border>
      <left style="medium">
        <color rgb="FFC2410C"/>
      </left>
      <right style="thin">
        <color rgb="FFD1D5DB"/>
      </right>
      <top style="thin">
        <color rgb="FFD1D5DB"/>
      </top>
      <bottom/>
      <diagonal/>
    </border>
    <border>
      <left style="medium">
        <color rgb="FFC2410C"/>
      </left>
      <right style="thin">
        <color rgb="FFD1D5DB"/>
      </right>
      <top/>
      <bottom/>
      <diagonal/>
    </border>
    <border>
      <left style="medium">
        <color rgb="FFC2410C"/>
      </left>
      <right style="thin">
        <color rgb="FFD1D5DB"/>
      </right>
      <top/>
      <bottom style="thin">
        <color rgb="FFD1D5DB"/>
      </bottom>
      <diagonal/>
    </border>
    <border>
      <left style="medium">
        <color rgb="FF1976D2"/>
      </left>
      <right style="thin">
        <color rgb="FFD1D5DB"/>
      </right>
      <top style="thin">
        <color rgb="FFD1D5DB"/>
      </top>
      <bottom/>
      <diagonal/>
    </border>
    <border>
      <left style="medium">
        <color rgb="FF1976D2"/>
      </left>
      <right style="thin">
        <color rgb="FFD1D5DB"/>
      </right>
      <top/>
      <bottom/>
      <diagonal/>
    </border>
    <border>
      <left style="medium">
        <color rgb="FF1976D2"/>
      </left>
      <right style="thin">
        <color rgb="FFD1D5DB"/>
      </right>
      <top/>
      <bottom style="thin">
        <color rgb="FFD1D5DB"/>
      </bottom>
      <diagonal/>
    </border>
    <border>
      <left style="medium">
        <color rgb="FF312E81"/>
      </left>
      <right style="thin">
        <color rgb="FFD1D5DB"/>
      </right>
      <top style="thin">
        <color rgb="FFD1D5DB"/>
      </top>
      <bottom/>
      <diagonal/>
    </border>
    <border>
      <left style="medium">
        <color rgb="FF312E81"/>
      </left>
      <right style="thin">
        <color rgb="FFD1D5DB"/>
      </right>
      <top/>
      <bottom/>
      <diagonal/>
    </border>
    <border>
      <left style="medium">
        <color rgb="FF312E81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D2744"/>
      </left>
      <right style="thin">
        <color rgb="FF0D2744"/>
      </right>
      <top style="thin">
        <color rgb="FF0D2744"/>
      </top>
      <bottom style="thin">
        <color rgb="FF0D2744"/>
      </bottom>
      <diagonal/>
    </border>
    <border>
      <left/>
      <right/>
      <top style="thin">
        <color rgb="FF0D2744"/>
      </top>
      <bottom style="thin">
        <color rgb="FF0D2744"/>
      </bottom>
      <diagonal/>
    </border>
    <border>
      <left/>
      <right style="thin">
        <color rgb="FF0D2744"/>
      </right>
      <top style="thin">
        <color rgb="FF0D2744"/>
      </top>
      <bottom style="thin">
        <color rgb="FF0D2744"/>
      </bottom>
      <diagonal/>
    </border>
    <border>
      <left style="medium">
        <color rgb="FF1D4ED8"/>
      </left>
      <right style="thin">
        <color rgb="FFD1D5DB"/>
      </right>
      <top style="thin">
        <color rgb="FFD1D5DB"/>
      </top>
      <bottom/>
      <diagonal/>
    </border>
    <border>
      <left style="medium">
        <color rgb="FF1D4ED8"/>
      </left>
      <right style="thin">
        <color rgb="FFD1D5DB"/>
      </right>
      <top/>
      <bottom/>
      <diagonal/>
    </border>
    <border>
      <left style="medium">
        <color rgb="FF1D4ED8"/>
      </left>
      <right style="thin">
        <color rgb="FFD1D5DB"/>
      </right>
      <top/>
      <bottom style="thin">
        <color rgb="FFD1D5DB"/>
      </bottom>
      <diagonal/>
    </border>
    <border>
      <left style="medium">
        <color rgb="FF0369A1"/>
      </left>
      <right style="thin">
        <color rgb="FFD1D5DB"/>
      </right>
      <top style="thin">
        <color rgb="FFD1D5DB"/>
      </top>
      <bottom/>
      <diagonal/>
    </border>
    <border>
      <left style="medium">
        <color rgb="FF0369A1"/>
      </left>
      <right style="thin">
        <color rgb="FFD1D5DB"/>
      </right>
      <top/>
      <bottom/>
      <diagonal/>
    </border>
    <border>
      <left style="medium">
        <color rgb="FF0369A1"/>
      </left>
      <right style="thin">
        <color rgb="FFD1D5DB"/>
      </right>
      <top/>
      <bottom style="thin">
        <color rgb="FFD1D5DB"/>
      </bottom>
      <diagonal/>
    </border>
    <border>
      <left style="medium">
        <color rgb="FF047857"/>
      </left>
      <right style="thin">
        <color rgb="FFD1D5DB"/>
      </right>
      <top style="thin">
        <color rgb="FFD1D5DB"/>
      </top>
      <bottom/>
      <diagonal/>
    </border>
    <border>
      <left style="medium">
        <color rgb="FF047857"/>
      </left>
      <right style="thin">
        <color rgb="FFD1D5DB"/>
      </right>
      <top/>
      <bottom/>
      <diagonal/>
    </border>
    <border>
      <left style="medium">
        <color rgb="FF047857"/>
      </left>
      <right style="thin">
        <color rgb="FFD1D5DB"/>
      </right>
      <top/>
      <bottom style="thin">
        <color rgb="FFD1D5DB"/>
      </bottom>
      <diagonal/>
    </border>
    <border>
      <left style="medium">
        <color rgb="FF7C3AED"/>
      </left>
      <right style="thin">
        <color rgb="FFD1D5DB"/>
      </right>
      <top style="thin">
        <color rgb="FFD1D5DB"/>
      </top>
      <bottom/>
      <diagonal/>
    </border>
    <border>
      <left style="medium">
        <color rgb="FF7C3AED"/>
      </left>
      <right style="thin">
        <color rgb="FFD1D5DB"/>
      </right>
      <top/>
      <bottom/>
      <diagonal/>
    </border>
    <border>
      <left style="medium">
        <color rgb="FF7C3AED"/>
      </left>
      <right style="thin">
        <color rgb="FFD1D5DB"/>
      </right>
      <top/>
      <bottom style="thin">
        <color rgb="FFD1D5DB"/>
      </bottom>
      <diagonal/>
    </border>
    <border>
      <left style="medium">
        <color rgb="FFB45309"/>
      </left>
      <right style="thin">
        <color rgb="FFD1D5DB"/>
      </right>
      <top style="thin">
        <color rgb="FFD1D5DB"/>
      </top>
      <bottom/>
      <diagonal/>
    </border>
    <border>
      <left style="medium">
        <color rgb="FFB45309"/>
      </left>
      <right style="thin">
        <color rgb="FFD1D5DB"/>
      </right>
      <top/>
      <bottom/>
      <diagonal/>
    </border>
    <border>
      <left style="medium">
        <color rgb="FFB45309"/>
      </left>
      <right style="thin">
        <color rgb="FFD1D5DB"/>
      </right>
      <top/>
      <bottom style="thin">
        <color rgb="FFD1D5DB"/>
      </bottom>
      <diagonal/>
    </border>
    <border>
      <left style="medium">
        <color rgb="FFB91C1C"/>
      </left>
      <right style="thin">
        <color rgb="FFD1D5DB"/>
      </right>
      <top style="thin">
        <color rgb="FFD1D5DB"/>
      </top>
      <bottom/>
      <diagonal/>
    </border>
    <border>
      <left style="medium">
        <color rgb="FFB91C1C"/>
      </left>
      <right style="thin">
        <color rgb="FFD1D5DB"/>
      </right>
      <top/>
      <bottom/>
      <diagonal/>
    </border>
    <border>
      <left style="medium">
        <color rgb="FFB91C1C"/>
      </left>
      <right style="thin">
        <color rgb="FFD1D5DB"/>
      </right>
      <top/>
      <bottom style="thin">
        <color rgb="FFD1D5DB"/>
      </bottom>
      <diagonal/>
    </border>
    <border>
      <left style="medium">
        <color rgb="FF0EA5E9"/>
      </left>
      <right style="thin">
        <color rgb="FFD1D5DB"/>
      </right>
      <top style="thin">
        <color rgb="FFD1D5DB"/>
      </top>
      <bottom/>
      <diagonal/>
    </border>
    <border>
      <left style="medium">
        <color rgb="FF0EA5E9"/>
      </left>
      <right style="thin">
        <color rgb="FFD1D5DB"/>
      </right>
      <top/>
      <bottom/>
      <diagonal/>
    </border>
    <border>
      <left style="medium">
        <color rgb="FF0EA5E9"/>
      </left>
      <right style="thin">
        <color rgb="FFD1D5DB"/>
      </right>
      <top/>
      <bottom style="thin">
        <color rgb="FFD1D5DB"/>
      </bottom>
      <diagonal/>
    </border>
    <border>
      <left style="medium">
        <color rgb="FF1E293B"/>
      </left>
      <right style="thin">
        <color rgb="FFD1D5DB"/>
      </right>
      <top style="thin">
        <color rgb="FFD1D5DB"/>
      </top>
      <bottom/>
      <diagonal/>
    </border>
    <border>
      <left style="medium">
        <color rgb="FF1E293B"/>
      </left>
      <right style="thin">
        <color rgb="FFD1D5DB"/>
      </right>
      <top/>
      <bottom/>
      <diagonal/>
    </border>
    <border>
      <left style="medium">
        <color rgb="FF1E293B"/>
      </left>
      <right style="thin">
        <color rgb="FFD1D5DB"/>
      </right>
      <top/>
      <bottom style="thin">
        <color rgb="FFD1D5DB"/>
      </bottom>
      <diagonal/>
    </border>
    <border>
      <left style="medium">
        <color rgb="FF991B1B"/>
      </left>
      <right style="thin">
        <color rgb="FFD1D5DB"/>
      </right>
      <top style="thin">
        <color rgb="FFD1D5DB"/>
      </top>
      <bottom/>
      <diagonal/>
    </border>
    <border>
      <left style="medium">
        <color rgb="FF991B1B"/>
      </left>
      <right style="thin">
        <color rgb="FFD1D5DB"/>
      </right>
      <top/>
      <bottom/>
      <diagonal/>
    </border>
    <border>
      <left style="medium">
        <color rgb="FF991B1B"/>
      </left>
      <right style="thin">
        <color rgb="FFD1D5DB"/>
      </right>
      <top/>
      <bottom style="thin">
        <color rgb="FFD1D5DB"/>
      </bottom>
      <diagonal/>
    </border>
    <border>
      <left style="medium">
        <color rgb="FF64748B"/>
      </left>
      <right style="thin">
        <color rgb="FFD1D5DB"/>
      </right>
      <top style="thin">
        <color rgb="FFD1D5DB"/>
      </top>
      <bottom/>
      <diagonal/>
    </border>
    <border>
      <left style="medium">
        <color rgb="FF64748B"/>
      </left>
      <right style="thin">
        <color rgb="FFD1D5DB"/>
      </right>
      <top/>
      <bottom/>
      <diagonal/>
    </border>
    <border>
      <left style="medium">
        <color rgb="FF64748B"/>
      </left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3" borderId="2" xfId="0" applyFont="1" applyFill="1" applyBorder="1"/>
    <xf numFmtId="0" fontId="4" fillId="0" borderId="0" xfId="0" applyFont="1"/>
    <xf numFmtId="0" fontId="4" fillId="0" borderId="0" xfId="0" quotePrefix="1" applyFont="1"/>
    <xf numFmtId="164" fontId="4" fillId="0" borderId="0" xfId="0" applyNumberFormat="1" applyFont="1"/>
    <xf numFmtId="0" fontId="4" fillId="0" borderId="1" xfId="0" applyFont="1" applyBorder="1"/>
    <xf numFmtId="0" fontId="4" fillId="3" borderId="1" xfId="0" applyFont="1" applyFill="1" applyBorder="1"/>
    <xf numFmtId="0" fontId="5" fillId="0" borderId="0" xfId="0" applyFont="1"/>
    <xf numFmtId="0" fontId="4" fillId="4" borderId="1" xfId="0" applyFont="1" applyFill="1" applyBorder="1"/>
    <xf numFmtId="0" fontId="4" fillId="5" borderId="1" xfId="0" applyFont="1" applyFill="1" applyBorder="1"/>
    <xf numFmtId="0" fontId="6" fillId="5" borderId="0" xfId="0" applyFont="1" applyFill="1"/>
    <xf numFmtId="14" fontId="4" fillId="4" borderId="0" xfId="0" applyNumberFormat="1" applyFont="1" applyFill="1"/>
    <xf numFmtId="0" fontId="4" fillId="4" borderId="0" xfId="0" applyFont="1" applyFill="1"/>
    <xf numFmtId="165" fontId="4" fillId="4" borderId="0" xfId="0" applyNumberFormat="1" applyFont="1" applyFill="1"/>
    <xf numFmtId="0" fontId="4" fillId="3" borderId="0" xfId="0" applyFont="1" applyFill="1"/>
    <xf numFmtId="165" fontId="4" fillId="5" borderId="0" xfId="0" applyNumberFormat="1" applyFont="1" applyFill="1"/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6" borderId="0" xfId="0" applyFill="1"/>
    <xf numFmtId="0" fontId="20" fillId="0" borderId="0" xfId="0" applyFont="1"/>
    <xf numFmtId="0" fontId="21" fillId="0" borderId="0" xfId="0" applyFont="1"/>
    <xf numFmtId="166" fontId="0" fillId="0" borderId="0" xfId="0" applyNumberFormat="1"/>
    <xf numFmtId="0" fontId="0" fillId="10" borderId="0" xfId="0" applyFill="1"/>
    <xf numFmtId="0" fontId="0" fillId="11" borderId="0" xfId="0" applyFill="1"/>
    <xf numFmtId="0" fontId="0" fillId="14" borderId="0" xfId="0" applyFill="1"/>
    <xf numFmtId="0" fontId="0" fillId="17" borderId="32" xfId="0" applyFill="1" applyBorder="1"/>
    <xf numFmtId="0" fontId="0" fillId="9" borderId="32" xfId="0" applyFill="1" applyBorder="1"/>
    <xf numFmtId="0" fontId="22" fillId="0" borderId="0" xfId="0" applyFont="1"/>
    <xf numFmtId="0" fontId="0" fillId="15" borderId="0" xfId="0" applyFill="1"/>
    <xf numFmtId="0" fontId="0" fillId="25" borderId="0" xfId="0" applyFill="1"/>
    <xf numFmtId="0" fontId="0" fillId="31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164" fontId="0" fillId="0" borderId="0" xfId="0" applyNumberFormat="1"/>
    <xf numFmtId="0" fontId="9" fillId="15" borderId="29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9" fillId="14" borderId="23" xfId="0" applyFont="1" applyFill="1" applyBorder="1" applyAlignment="1">
      <alignment horizontal="left" vertical="center"/>
    </xf>
    <xf numFmtId="0" fontId="9" fillId="8" borderId="26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0" fillId="0" borderId="0" xfId="0"/>
    <xf numFmtId="0" fontId="10" fillId="9" borderId="6" xfId="0" applyFont="1" applyFill="1" applyBorder="1" applyAlignment="1">
      <alignment horizontal="left" vertical="center"/>
    </xf>
    <xf numFmtId="0" fontId="0" fillId="0" borderId="7" xfId="0" applyBorder="1"/>
    <xf numFmtId="164" fontId="13" fillId="9" borderId="15" xfId="0" applyNumberFormat="1" applyFont="1" applyFill="1" applyBorder="1" applyAlignment="1">
      <alignment horizontal="left" vertical="center"/>
    </xf>
    <xf numFmtId="0" fontId="11" fillId="9" borderId="22" xfId="0" applyFont="1" applyFill="1" applyBorder="1" applyAlignment="1">
      <alignment horizontal="left" vertical="top"/>
    </xf>
    <xf numFmtId="0" fontId="0" fillId="0" borderId="9" xfId="0" applyBorder="1"/>
    <xf numFmtId="0" fontId="0" fillId="0" borderId="10" xfId="0" applyBorder="1"/>
    <xf numFmtId="0" fontId="11" fillId="9" borderId="31" xfId="0" applyFont="1" applyFill="1" applyBorder="1" applyAlignment="1">
      <alignment horizontal="left" vertical="top"/>
    </xf>
    <xf numFmtId="0" fontId="9" fillId="7" borderId="3" xfId="0" applyFont="1" applyFill="1" applyBorder="1" applyAlignment="1">
      <alignment horizontal="left" vertical="center"/>
    </xf>
    <xf numFmtId="0" fontId="11" fillId="9" borderId="28" xfId="0" applyFont="1" applyFill="1" applyBorder="1" applyAlignment="1">
      <alignment horizontal="left" vertical="top"/>
    </xf>
    <xf numFmtId="0" fontId="19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0" fontId="11" fillId="9" borderId="19" xfId="0" applyFont="1" applyFill="1" applyBorder="1" applyAlignment="1">
      <alignment horizontal="left" vertical="top"/>
    </xf>
    <xf numFmtId="0" fontId="11" fillId="9" borderId="8" xfId="0" applyFont="1" applyFill="1" applyBorder="1" applyAlignment="1">
      <alignment horizontal="left" vertical="top"/>
    </xf>
    <xf numFmtId="0" fontId="11" fillId="9" borderId="16" xfId="0" applyFont="1" applyFill="1" applyBorder="1" applyAlignment="1">
      <alignment horizontal="left" vertical="top"/>
    </xf>
    <xf numFmtId="0" fontId="11" fillId="9" borderId="13" xfId="0" applyFont="1" applyFill="1" applyBorder="1" applyAlignment="1">
      <alignment horizontal="left" vertical="top"/>
    </xf>
    <xf numFmtId="0" fontId="9" fillId="13" borderId="20" xfId="0" applyFont="1" applyFill="1" applyBorder="1" applyAlignment="1">
      <alignment horizontal="left" vertical="center"/>
    </xf>
    <xf numFmtId="0" fontId="11" fillId="9" borderId="25" xfId="0" applyFont="1" applyFill="1" applyBorder="1" applyAlignment="1">
      <alignment horizontal="left" vertical="top"/>
    </xf>
    <xf numFmtId="0" fontId="13" fillId="9" borderId="15" xfId="0" applyFont="1" applyFill="1" applyBorder="1" applyAlignment="1">
      <alignment horizontal="left" vertical="center"/>
    </xf>
    <xf numFmtId="0" fontId="9" fillId="12" borderId="17" xfId="0" applyFont="1" applyFill="1" applyBorder="1" applyAlignment="1">
      <alignment horizontal="left" vertical="center"/>
    </xf>
    <xf numFmtId="0" fontId="18" fillId="9" borderId="30" xfId="0" applyFont="1" applyFill="1" applyBorder="1" applyAlignment="1">
      <alignment horizontal="left" vertical="center"/>
    </xf>
    <xf numFmtId="0" fontId="12" fillId="9" borderId="12" xfId="0" applyFont="1" applyFill="1" applyBorder="1" applyAlignment="1">
      <alignment horizontal="left" vertical="center"/>
    </xf>
    <xf numFmtId="0" fontId="9" fillId="11" borderId="14" xfId="0" applyFont="1" applyFill="1" applyBorder="1" applyAlignment="1">
      <alignment horizontal="left" vertical="center"/>
    </xf>
    <xf numFmtId="0" fontId="15" fillId="9" borderId="2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7" fillId="9" borderId="27" xfId="0" applyFont="1" applyFill="1" applyBorder="1" applyAlignment="1">
      <alignment horizontal="left" vertical="center"/>
    </xf>
    <xf numFmtId="0" fontId="14" fillId="9" borderId="18" xfId="0" applyFont="1" applyFill="1" applyBorder="1" applyAlignment="1">
      <alignment horizontal="left" vertical="center"/>
    </xf>
    <xf numFmtId="0" fontId="16" fillId="9" borderId="24" xfId="0" applyFont="1" applyFill="1" applyBorder="1" applyAlignment="1">
      <alignment horizontal="left" vertical="center"/>
    </xf>
    <xf numFmtId="164" fontId="27" fillId="9" borderId="32" xfId="0" applyNumberFormat="1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24" fillId="21" borderId="32" xfId="0" applyFont="1" applyFill="1" applyBorder="1" applyAlignment="1">
      <alignment horizontal="center" vertical="center"/>
    </xf>
    <xf numFmtId="0" fontId="28" fillId="7" borderId="35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24" fillId="7" borderId="35" xfId="0" applyFont="1" applyFill="1" applyBorder="1" applyAlignment="1">
      <alignment horizontal="center" vertical="center"/>
    </xf>
    <xf numFmtId="164" fontId="27" fillId="17" borderId="32" xfId="0" applyNumberFormat="1" applyFont="1" applyFill="1" applyBorder="1" applyAlignment="1">
      <alignment horizontal="center" vertical="center"/>
    </xf>
    <xf numFmtId="0" fontId="26" fillId="17" borderId="32" xfId="0" applyFont="1" applyFill="1" applyBorder="1" applyAlignment="1">
      <alignment horizontal="center" vertical="center"/>
    </xf>
    <xf numFmtId="0" fontId="24" fillId="18" borderId="32" xfId="0" applyFont="1" applyFill="1" applyBorder="1" applyAlignment="1">
      <alignment horizontal="center" vertical="center"/>
    </xf>
    <xf numFmtId="0" fontId="24" fillId="23" borderId="32" xfId="0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4" fillId="20" borderId="32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17" borderId="32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4" fillId="19" borderId="32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5" fillId="9" borderId="32" xfId="0" applyFont="1" applyFill="1" applyBorder="1" applyAlignment="1">
      <alignment horizontal="center" vertical="center"/>
    </xf>
    <xf numFmtId="0" fontId="24" fillId="22" borderId="32" xfId="0" applyFont="1" applyFill="1" applyBorder="1" applyAlignment="1">
      <alignment horizontal="center" vertical="center"/>
    </xf>
    <xf numFmtId="164" fontId="27" fillId="24" borderId="0" xfId="0" applyNumberFormat="1" applyFont="1" applyFill="1" applyAlignment="1">
      <alignment horizontal="center" vertical="center"/>
    </xf>
    <xf numFmtId="164" fontId="27" fillId="9" borderId="0" xfId="0" applyNumberFormat="1" applyFont="1" applyFill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11" fillId="9" borderId="40" xfId="0" applyFont="1" applyFill="1" applyBorder="1" applyAlignment="1">
      <alignment horizontal="left" vertical="top"/>
    </xf>
    <xf numFmtId="0" fontId="9" fillId="23" borderId="53" xfId="0" applyFont="1" applyFill="1" applyBorder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24" fillId="19" borderId="0" xfId="0" applyFont="1" applyFill="1" applyAlignment="1">
      <alignment horizontal="center" vertical="center"/>
    </xf>
    <xf numFmtId="0" fontId="11" fillId="9" borderId="55" xfId="0" applyFont="1" applyFill="1" applyBorder="1" applyAlignment="1">
      <alignment horizontal="left" vertical="top"/>
    </xf>
    <xf numFmtId="0" fontId="28" fillId="7" borderId="0" xfId="0" applyFont="1" applyFill="1" applyAlignment="1">
      <alignment horizontal="center" vertical="center"/>
    </xf>
    <xf numFmtId="0" fontId="30" fillId="9" borderId="12" xfId="0" applyFont="1" applyFill="1" applyBorder="1" applyAlignment="1">
      <alignment horizontal="left" vertical="center"/>
    </xf>
    <xf numFmtId="164" fontId="33" fillId="9" borderId="18" xfId="0" applyNumberFormat="1" applyFont="1" applyFill="1" applyBorder="1" applyAlignment="1">
      <alignment horizontal="left" vertical="center"/>
    </xf>
    <xf numFmtId="0" fontId="11" fillId="9" borderId="52" xfId="0" applyFont="1" applyFill="1" applyBorder="1" applyAlignment="1">
      <alignment horizontal="left" vertical="top"/>
    </xf>
    <xf numFmtId="164" fontId="32" fillId="9" borderId="15" xfId="0" applyNumberFormat="1" applyFont="1" applyFill="1" applyBorder="1" applyAlignment="1">
      <alignment horizontal="left" vertical="center"/>
    </xf>
    <xf numFmtId="0" fontId="9" fillId="19" borderId="41" xfId="0" applyFont="1" applyFill="1" applyBorder="1" applyAlignment="1">
      <alignment horizontal="left" vertical="center"/>
    </xf>
    <xf numFmtId="0" fontId="11" fillId="9" borderId="43" xfId="0" applyFont="1" applyFill="1" applyBorder="1" applyAlignment="1">
      <alignment horizontal="left" vertical="top"/>
    </xf>
    <xf numFmtId="0" fontId="40" fillId="9" borderId="0" xfId="0" applyFont="1" applyFill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34" fillId="9" borderId="39" xfId="0" applyFont="1" applyFill="1" applyBorder="1" applyAlignment="1">
      <alignment horizontal="left" vertical="center"/>
    </xf>
    <xf numFmtId="0" fontId="36" fillId="9" borderId="45" xfId="0" applyFont="1" applyFill="1" applyBorder="1" applyAlignment="1">
      <alignment horizontal="left" vertical="center"/>
    </xf>
    <xf numFmtId="0" fontId="39" fillId="9" borderId="54" xfId="0" applyFont="1" applyFill="1" applyBorder="1" applyAlignment="1">
      <alignment horizontal="left" vertical="center"/>
    </xf>
    <xf numFmtId="0" fontId="9" fillId="18" borderId="38" xfId="0" applyFont="1" applyFill="1" applyBorder="1" applyAlignment="1">
      <alignment horizontal="left" vertical="center"/>
    </xf>
    <xf numFmtId="0" fontId="9" fillId="20" borderId="44" xfId="0" applyFont="1" applyFill="1" applyBorder="1" applyAlignment="1">
      <alignment horizontal="left" vertical="center"/>
    </xf>
    <xf numFmtId="0" fontId="29" fillId="11" borderId="0" xfId="0" applyFont="1" applyFill="1" applyAlignment="1">
      <alignment horizontal="left" vertical="center"/>
    </xf>
    <xf numFmtId="0" fontId="11" fillId="9" borderId="46" xfId="0" applyFont="1" applyFill="1" applyBorder="1" applyAlignment="1">
      <alignment horizontal="left" vertical="top"/>
    </xf>
    <xf numFmtId="0" fontId="24" fillId="20" borderId="0" xfId="0" applyFont="1" applyFill="1" applyAlignment="1">
      <alignment horizontal="center" vertical="center"/>
    </xf>
    <xf numFmtId="0" fontId="24" fillId="22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40" fillId="24" borderId="0" xfId="0" applyFont="1" applyFill="1" applyAlignment="1">
      <alignment horizontal="center" vertical="center"/>
    </xf>
    <xf numFmtId="0" fontId="31" fillId="9" borderId="6" xfId="0" applyFont="1" applyFill="1" applyBorder="1" applyAlignment="1">
      <alignment horizontal="left" vertical="center"/>
    </xf>
    <xf numFmtId="0" fontId="35" fillId="9" borderId="42" xfId="0" applyFont="1" applyFill="1" applyBorder="1" applyAlignment="1">
      <alignment horizontal="left" vertical="center"/>
    </xf>
    <xf numFmtId="0" fontId="37" fillId="9" borderId="48" xfId="0" applyFont="1" applyFill="1" applyBorder="1" applyAlignment="1">
      <alignment horizontal="left" vertical="center"/>
    </xf>
    <xf numFmtId="0" fontId="9" fillId="22" borderId="50" xfId="0" applyFont="1" applyFill="1" applyBorder="1" applyAlignment="1">
      <alignment horizontal="left" vertical="center"/>
    </xf>
    <xf numFmtId="0" fontId="24" fillId="7" borderId="0" xfId="0" applyFont="1" applyFill="1" applyAlignment="1">
      <alignment horizontal="center" vertical="center"/>
    </xf>
    <xf numFmtId="0" fontId="24" fillId="21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0" fontId="38" fillId="9" borderId="51" xfId="0" applyFont="1" applyFill="1" applyBorder="1" applyAlignment="1">
      <alignment horizontal="left" vertical="center"/>
    </xf>
    <xf numFmtId="0" fontId="24" fillId="23" borderId="0" xfId="0" applyFont="1" applyFill="1" applyAlignment="1">
      <alignment horizontal="center" vertical="center"/>
    </xf>
    <xf numFmtId="0" fontId="9" fillId="21" borderId="47" xfId="0" applyFont="1" applyFill="1" applyBorder="1" applyAlignment="1">
      <alignment horizontal="left" vertical="center"/>
    </xf>
    <xf numFmtId="0" fontId="11" fillId="9" borderId="49" xfId="0" applyFont="1" applyFill="1" applyBorder="1" applyAlignment="1">
      <alignment horizontal="left" vertical="top"/>
    </xf>
    <xf numFmtId="0" fontId="24" fillId="18" borderId="0" xfId="0" applyFont="1" applyFill="1" applyAlignment="1">
      <alignment horizontal="left" vertical="center"/>
    </xf>
    <xf numFmtId="0" fontId="27" fillId="9" borderId="0" xfId="0" applyFont="1" applyFill="1" applyAlignment="1">
      <alignment horizontal="center" vertical="center"/>
    </xf>
    <xf numFmtId="164" fontId="27" fillId="27" borderId="0" xfId="0" applyNumberFormat="1" applyFont="1" applyFill="1" applyAlignment="1">
      <alignment horizontal="center" vertical="center"/>
    </xf>
    <xf numFmtId="0" fontId="42" fillId="9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left" vertical="center"/>
    </xf>
    <xf numFmtId="0" fontId="44" fillId="9" borderId="0" xfId="0" applyFont="1" applyFill="1" applyAlignment="1">
      <alignment horizontal="center" vertical="center"/>
    </xf>
    <xf numFmtId="0" fontId="40" fillId="27" borderId="0" xfId="0" applyFont="1" applyFill="1" applyAlignment="1">
      <alignment horizontal="center" vertical="center"/>
    </xf>
    <xf numFmtId="0" fontId="45" fillId="9" borderId="0" xfId="0" applyFont="1" applyFill="1" applyAlignment="1">
      <alignment horizontal="center" vertical="center"/>
    </xf>
    <xf numFmtId="0" fontId="42" fillId="27" borderId="0" xfId="0" applyFont="1" applyFill="1" applyAlignment="1">
      <alignment horizontal="center" vertical="center"/>
    </xf>
    <xf numFmtId="0" fontId="24" fillId="28" borderId="0" xfId="0" applyFont="1" applyFill="1" applyAlignment="1">
      <alignment horizontal="left" vertical="center"/>
    </xf>
    <xf numFmtId="0" fontId="43" fillId="27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left" vertical="center"/>
    </xf>
    <xf numFmtId="0" fontId="44" fillId="27" borderId="0" xfId="0" applyFont="1" applyFill="1" applyAlignment="1">
      <alignment horizontal="center" vertical="center"/>
    </xf>
    <xf numFmtId="0" fontId="23" fillId="22" borderId="0" xfId="0" applyFont="1" applyFill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24" fillId="22" borderId="0" xfId="0" applyFont="1" applyFill="1" applyAlignment="1">
      <alignment horizontal="left" vertical="center"/>
    </xf>
    <xf numFmtId="0" fontId="45" fillId="24" borderId="0" xfId="0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24" fillId="21" borderId="0" xfId="0" applyFont="1" applyFill="1" applyAlignment="1">
      <alignment horizontal="left" vertical="center"/>
    </xf>
    <xf numFmtId="0" fontId="23" fillId="28" borderId="0" xfId="0" applyFont="1" applyFill="1" applyAlignment="1">
      <alignment horizontal="center" vertical="center"/>
    </xf>
    <xf numFmtId="0" fontId="23" fillId="20" borderId="0" xfId="0" applyFont="1" applyFill="1" applyAlignment="1">
      <alignment horizontal="center" vertical="center"/>
    </xf>
    <xf numFmtId="0" fontId="23" fillId="29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left" vertical="center"/>
    </xf>
    <xf numFmtId="0" fontId="24" fillId="29" borderId="0" xfId="0" applyFont="1" applyFill="1" applyAlignment="1">
      <alignment horizontal="left" vertical="center"/>
    </xf>
    <xf numFmtId="0" fontId="23" fillId="21" borderId="0" xfId="0" applyFont="1" applyFill="1" applyAlignment="1">
      <alignment horizontal="center" vertical="center"/>
    </xf>
    <xf numFmtId="0" fontId="23" fillId="30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0" fontId="0" fillId="16" borderId="0" xfId="0" applyFill="1"/>
    <xf numFmtId="0" fontId="0" fillId="9" borderId="0" xfId="0" applyFill="1"/>
    <xf numFmtId="0" fontId="0" fillId="32" borderId="0" xfId="0" applyFill="1"/>
    <xf numFmtId="0" fontId="40" fillId="32" borderId="0" xfId="0" applyFont="1" applyFill="1" applyAlignment="1">
      <alignment horizontal="center" vertical="center"/>
    </xf>
    <xf numFmtId="0" fontId="32" fillId="9" borderId="15" xfId="0" applyFont="1" applyFill="1" applyBorder="1" applyAlignment="1">
      <alignment horizontal="left" vertical="center"/>
    </xf>
    <xf numFmtId="0" fontId="0" fillId="9" borderId="7" xfId="0" applyFill="1" applyBorder="1"/>
    <xf numFmtId="0" fontId="0" fillId="14" borderId="0" xfId="0" applyFill="1"/>
    <xf numFmtId="164" fontId="27" fillId="32" borderId="0" xfId="0" applyNumberFormat="1" applyFont="1" applyFill="1" applyAlignment="1">
      <alignment horizontal="center" vertical="center"/>
    </xf>
    <xf numFmtId="0" fontId="0" fillId="9" borderId="9" xfId="0" applyFill="1" applyBorder="1"/>
    <xf numFmtId="0" fontId="0" fillId="9" borderId="10" xfId="0" applyFill="1" applyBorder="1"/>
    <xf numFmtId="0" fontId="0" fillId="11" borderId="0" xfId="0" applyFill="1"/>
    <xf numFmtId="0" fontId="0" fillId="12" borderId="0" xfId="0" applyFill="1"/>
    <xf numFmtId="0" fontId="0" fillId="14" borderId="4" xfId="0" applyFill="1" applyBorder="1"/>
    <xf numFmtId="0" fontId="0" fillId="14" borderId="5" xfId="0" applyFill="1" applyBorder="1"/>
    <xf numFmtId="0" fontId="0" fillId="10" borderId="0" xfId="0" applyFill="1"/>
    <xf numFmtId="0" fontId="0" fillId="10" borderId="4" xfId="0" applyFill="1" applyBorder="1"/>
    <xf numFmtId="0" fontId="0" fillId="10" borderId="5" xfId="0" applyFill="1" applyBorder="1"/>
    <xf numFmtId="0" fontId="47" fillId="9" borderId="24" xfId="0" applyFont="1" applyFill="1" applyBorder="1" applyAlignment="1">
      <alignment horizontal="left" vertical="center"/>
    </xf>
    <xf numFmtId="0" fontId="0" fillId="11" borderId="4" xfId="0" applyFill="1" applyBorder="1"/>
    <xf numFmtId="0" fontId="0" fillId="11" borderId="5" xfId="0" applyFill="1" applyBorder="1"/>
    <xf numFmtId="0" fontId="0" fillId="7" borderId="0" xfId="0" applyFill="1"/>
    <xf numFmtId="0" fontId="0" fillId="7" borderId="4" xfId="0" applyFill="1" applyBorder="1"/>
    <xf numFmtId="0" fontId="0" fillId="7" borderId="5" xfId="0" applyFill="1" applyBorder="1"/>
    <xf numFmtId="0" fontId="0" fillId="31" borderId="0" xfId="0" applyFill="1"/>
    <xf numFmtId="0" fontId="7" fillId="33" borderId="0" xfId="0" applyFont="1" applyFill="1" applyAlignment="1">
      <alignment horizontal="left" vertical="center"/>
    </xf>
    <xf numFmtId="0" fontId="0" fillId="33" borderId="0" xfId="0" applyFill="1"/>
    <xf numFmtId="0" fontId="0" fillId="8" borderId="4" xfId="0" applyFill="1" applyBorder="1"/>
    <xf numFmtId="0" fontId="0" fillId="8" borderId="5" xfId="0" applyFill="1" applyBorder="1"/>
    <xf numFmtId="0" fontId="11" fillId="9" borderId="61" xfId="0" applyFont="1" applyFill="1" applyBorder="1" applyAlignment="1">
      <alignment horizontal="left" vertical="top"/>
    </xf>
    <xf numFmtId="0" fontId="51" fillId="9" borderId="57" xfId="0" applyFont="1" applyFill="1" applyBorder="1" applyAlignment="1">
      <alignment horizontal="left" vertical="center"/>
    </xf>
    <xf numFmtId="0" fontId="52" fillId="9" borderId="60" xfId="0" applyFont="1" applyFill="1" applyBorder="1" applyAlignment="1">
      <alignment horizontal="left" vertical="center"/>
    </xf>
    <xf numFmtId="0" fontId="50" fillId="9" borderId="27" xfId="0" applyFont="1" applyFill="1" applyBorder="1" applyAlignment="1">
      <alignment horizontal="left" vertical="center"/>
    </xf>
    <xf numFmtId="0" fontId="11" fillId="9" borderId="58" xfId="0" applyFont="1" applyFill="1" applyBorder="1" applyAlignment="1">
      <alignment horizontal="left" vertical="top"/>
    </xf>
    <xf numFmtId="0" fontId="49" fillId="9" borderId="21" xfId="0" applyFont="1" applyFill="1" applyBorder="1" applyAlignment="1">
      <alignment horizontal="left" vertical="center"/>
    </xf>
    <xf numFmtId="0" fontId="33" fillId="9" borderId="18" xfId="0" applyFont="1" applyFill="1" applyBorder="1" applyAlignment="1">
      <alignment horizontal="left" vertical="center"/>
    </xf>
    <xf numFmtId="0" fontId="9" fillId="30" borderId="59" xfId="0" applyFont="1" applyFill="1" applyBorder="1" applyAlignment="1">
      <alignment horizontal="left" vertical="center"/>
    </xf>
    <xf numFmtId="0" fontId="0" fillId="30" borderId="4" xfId="0" applyFill="1" applyBorder="1"/>
    <xf numFmtId="0" fontId="0" fillId="30" borderId="5" xfId="0" applyFill="1" applyBorder="1"/>
    <xf numFmtId="0" fontId="0" fillId="13" borderId="4" xfId="0" applyFill="1" applyBorder="1"/>
    <xf numFmtId="0" fontId="0" fillId="13" borderId="5" xfId="0" applyFill="1" applyBorder="1"/>
    <xf numFmtId="0" fontId="48" fillId="34" borderId="0" xfId="0" applyFont="1" applyFill="1" applyAlignment="1">
      <alignment horizontal="left" vertical="center"/>
    </xf>
    <xf numFmtId="0" fontId="0" fillId="34" borderId="0" xfId="0" applyFill="1"/>
    <xf numFmtId="0" fontId="9" fillId="33" borderId="56" xfId="0" applyFont="1" applyFill="1" applyBorder="1" applyAlignment="1">
      <alignment horizontal="left" vertical="center"/>
    </xf>
    <xf numFmtId="0" fontId="0" fillId="33" borderId="4" xfId="0" applyFill="1" applyBorder="1"/>
    <xf numFmtId="0" fontId="0" fillId="33" borderId="5" xfId="0" applyFill="1" applyBorder="1"/>
    <xf numFmtId="0" fontId="0" fillId="12" borderId="4" xfId="0" applyFill="1" applyBorder="1"/>
    <xf numFmtId="0" fontId="0" fillId="12" borderId="5" xfId="0" applyFill="1" applyBorder="1"/>
    <xf numFmtId="0" fontId="0" fillId="27" borderId="0" xfId="0" applyFill="1"/>
    <xf numFmtId="0" fontId="11" fillId="9" borderId="64" xfId="0" applyFont="1" applyFill="1" applyBorder="1" applyAlignment="1">
      <alignment horizontal="left" vertical="top"/>
    </xf>
    <xf numFmtId="0" fontId="53" fillId="9" borderId="63" xfId="0" applyFont="1" applyFill="1" applyBorder="1" applyAlignment="1">
      <alignment horizontal="left" vertical="center"/>
    </xf>
    <xf numFmtId="0" fontId="9" fillId="26" borderId="62" xfId="0" applyFont="1" applyFill="1" applyBorder="1" applyAlignment="1">
      <alignment horizontal="left" vertical="center"/>
    </xf>
    <xf numFmtId="0" fontId="0" fillId="26" borderId="4" xfId="0" applyFill="1" applyBorder="1"/>
    <xf numFmtId="0" fontId="0" fillId="26" borderId="5" xfId="0" applyFill="1" applyBorder="1"/>
    <xf numFmtId="0" fontId="0" fillId="15" borderId="4" xfId="0" applyFill="1" applyBorder="1"/>
    <xf numFmtId="0" fontId="0" fillId="15" borderId="5" xfId="0" applyFill="1" applyBorder="1"/>
    <xf numFmtId="0" fontId="24" fillId="15" borderId="0" xfId="0" applyFont="1" applyFill="1" applyAlignment="1">
      <alignment horizontal="center" vertical="center"/>
    </xf>
    <xf numFmtId="0" fontId="0" fillId="15" borderId="0" xfId="0" applyFill="1"/>
    <xf numFmtId="0" fontId="55" fillId="9" borderId="30" xfId="0" applyFont="1" applyFill="1" applyBorder="1" applyAlignment="1">
      <alignment horizontal="left" vertical="center"/>
    </xf>
    <xf numFmtId="0" fontId="54" fillId="35" borderId="0" xfId="0" applyFont="1" applyFill="1" applyAlignment="1">
      <alignment horizontal="left" vertical="center"/>
    </xf>
    <xf numFmtId="0" fontId="0" fillId="35" borderId="0" xfId="0" applyFill="1"/>
    <xf numFmtId="0" fontId="0" fillId="18" borderId="0" xfId="0" applyFill="1"/>
    <xf numFmtId="0" fontId="57" fillId="9" borderId="0" xfId="0" applyFont="1" applyFill="1" applyAlignment="1">
      <alignment horizontal="center" vertical="center"/>
    </xf>
    <xf numFmtId="0" fontId="7" fillId="31" borderId="0" xfId="0" applyFont="1" applyFill="1" applyAlignment="1">
      <alignment horizontal="left" vertical="center"/>
    </xf>
    <xf numFmtId="0" fontId="9" fillId="36" borderId="65" xfId="0" applyFont="1" applyFill="1" applyBorder="1" applyAlignment="1">
      <alignment horizontal="left" vertical="center"/>
    </xf>
    <xf numFmtId="0" fontId="0" fillId="36" borderId="4" xfId="0" applyFill="1" applyBorder="1"/>
    <xf numFmtId="0" fontId="0" fillId="36" borderId="5" xfId="0" applyFill="1" applyBorder="1"/>
    <xf numFmtId="0" fontId="0" fillId="21" borderId="0" xfId="0" applyFill="1"/>
    <xf numFmtId="0" fontId="0" fillId="29" borderId="0" xfId="0" applyFill="1"/>
    <xf numFmtId="0" fontId="41" fillId="32" borderId="0" xfId="0" applyFont="1" applyFill="1" applyAlignment="1">
      <alignment horizontal="center" vertical="center"/>
    </xf>
    <xf numFmtId="0" fontId="56" fillId="9" borderId="66" xfId="0" applyFont="1" applyFill="1" applyBorder="1" applyAlignment="1">
      <alignment horizontal="left" vertical="center"/>
    </xf>
    <xf numFmtId="0" fontId="0" fillId="20" borderId="0" xfId="0" applyFill="1"/>
    <xf numFmtId="0" fontId="23" fillId="36" borderId="0" xfId="0" applyFont="1" applyFill="1" applyAlignment="1">
      <alignment horizontal="center" vertical="center"/>
    </xf>
    <xf numFmtId="0" fontId="0" fillId="36" borderId="0" xfId="0" applyFill="1"/>
    <xf numFmtId="0" fontId="57" fillId="32" borderId="0" xfId="0" applyFont="1" applyFill="1" applyAlignment="1">
      <alignment horizontal="center" vertical="center"/>
    </xf>
    <xf numFmtId="0" fontId="0" fillId="22" borderId="0" xfId="0" applyFill="1"/>
    <xf numFmtId="0" fontId="11" fillId="9" borderId="67" xfId="0" applyFont="1" applyFill="1" applyBorder="1" applyAlignment="1">
      <alignment horizontal="left" vertical="top"/>
    </xf>
    <xf numFmtId="0" fontId="0" fillId="28" borderId="0" xfId="0" applyFill="1"/>
    <xf numFmtId="0" fontId="46" fillId="14" borderId="0" xfId="0" applyFont="1" applyFill="1" applyAlignment="1">
      <alignment horizontal="left" vertical="center"/>
    </xf>
  </cellXfs>
  <cellStyles count="1">
    <cellStyle name="Normal" xfId="0" builtinId="0"/>
  </cellStyles>
  <dxfs count="10">
    <dxf>
      <font>
        <b/>
        <color rgb="FF99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 Status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58490363574349"/>
          <c:y val="0.14509577889183742"/>
          <c:w val="0.77386514752603131"/>
          <c:h val="0.82079663958386651"/>
        </c:manualLayout>
      </c:layout>
      <c:pieChart>
        <c:varyColors val="1"/>
        <c:ser>
          <c:idx val="0"/>
          <c:order val="0"/>
          <c:tx>
            <c:strRef>
              <c:f>_DB1_Data!$B$15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59-426E-9DCF-28216C8B51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59-426E-9DCF-28216C8B51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59-426E-9DCF-28216C8B51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559-426E-9DCF-28216C8B51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559-426E-9DCF-28216C8B51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559-426E-9DCF-28216C8B51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559-426E-9DCF-28216C8B51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559-426E-9DCF-28216C8B51A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559-426E-9DCF-28216C8B51A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559-426E-9DCF-28216C8B51A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559-426E-9DCF-28216C8B51A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559-426E-9DCF-28216C8B51A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559-426E-9DCF-28216C8B51A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559-426E-9DCF-28216C8B51A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559-426E-9DCF-28216C8B51A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7559-426E-9DCF-28216C8B51A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7559-426E-9DCF-28216C8B51A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7559-426E-9DCF-28216C8B51AD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_DB1_Data!$A$16:$A$24</c:f>
              <c:strCache>
                <c:ptCount val="9"/>
                <c:pt idx="0">
                  <c:v>New</c:v>
                </c:pt>
                <c:pt idx="1">
                  <c:v>Contacted</c:v>
                </c:pt>
                <c:pt idx="2">
                  <c:v>Converted</c:v>
                </c:pt>
                <c:pt idx="3">
                  <c:v>Not Interested</c:v>
                </c:pt>
                <c:pt idx="4">
                  <c:v>No Answer</c:v>
                </c:pt>
                <c:pt idx="5">
                  <c:v>Interested</c:v>
                </c:pt>
                <c:pt idx="6">
                  <c:v>Follow-up</c:v>
                </c:pt>
                <c:pt idx="7">
                  <c:v>Second Call Done</c:v>
                </c:pt>
                <c:pt idx="8">
                  <c:v>Not Picked Up</c:v>
                </c:pt>
              </c:strCache>
            </c:strRef>
          </c:cat>
          <c:val>
            <c:numRef>
              <c:f>_DB1_Data!$B$16:$B$24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559-426E-9DCF-28216C8B51A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Paid vs Unpaid</a:t>
            </a:r>
          </a:p>
        </c:rich>
      </c:tx>
      <c:layout>
        <c:manualLayout>
          <c:xMode val="edge"/>
          <c:yMode val="edge"/>
          <c:x val="2.5918700845546896E-2"/>
          <c:y val="4.8611109066428217E-2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_DB1_Data!$B$26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9C-447C-B52B-669924083589}"/>
              </c:ext>
            </c:extLst>
          </c:dPt>
          <c:dPt>
            <c:idx val="1"/>
            <c:bubble3D val="0"/>
            <c:spPr>
              <a:solidFill>
                <a:srgbClr val="E2E8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9C-447C-B52B-669924083589}"/>
              </c:ext>
            </c:extLst>
          </c:dPt>
          <c:cat>
            <c:strRef>
              <c:f>_DB1_Data!$A$27:$A$28</c:f>
              <c:strCache>
                <c:ptCount val="2"/>
                <c:pt idx="0">
                  <c:v>Paid</c:v>
                </c:pt>
                <c:pt idx="1">
                  <c:v>Unpaid</c:v>
                </c:pt>
              </c:strCache>
            </c:strRef>
          </c:cat>
          <c:val>
            <c:numRef>
              <c:f>_DB1_Data!$B$27:$B$28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9C-447C-B52B-669924083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 (All Leads)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41681391846713"/>
          <c:y val="0.10966056314009137"/>
          <c:w val="0.70936244779721036"/>
          <c:h val="0.78715153329308607"/>
        </c:manualLayout>
      </c:layout>
      <c:pieChart>
        <c:varyColors val="1"/>
        <c:ser>
          <c:idx val="0"/>
          <c:order val="0"/>
          <c:tx>
            <c:strRef>
              <c:f>_DB2_Data!$B$1</c:f>
              <c:strCache>
                <c:ptCount val="1"/>
                <c:pt idx="0">
                  <c:v>Leads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C5-4976-B496-ECAB25D82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C5-4976-B496-ECAB25D82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C5-4976-B496-ECAB25D82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C5-4976-B496-ECAB25D827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C5-4976-B496-ECAB25D827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C5-4976-B496-ECAB25D82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_DB2_Data!$A$2:$A$7</c:f>
              <c:strCache>
                <c:ptCount val="6"/>
                <c:pt idx="0">
                  <c:v>Grade 6</c:v>
                </c:pt>
                <c:pt idx="1">
                  <c:v>Grade 7</c:v>
                </c:pt>
                <c:pt idx="2">
                  <c:v>Grade 8</c:v>
                </c:pt>
                <c:pt idx="3">
                  <c:v>Grade 9</c:v>
                </c:pt>
                <c:pt idx="4">
                  <c:v>Grade 10</c:v>
                </c:pt>
                <c:pt idx="5">
                  <c:v>Grade 11</c:v>
                </c:pt>
              </c:strCache>
            </c:strRef>
          </c:cat>
          <c:val>
            <c:numRef>
              <c:f>_DB2_Data!$B$2:$B$7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C5-4976-B496-ECAB25D8270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Paid Students by Grade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4884056400015E-2"/>
          <c:y val="0.11010361009797487"/>
          <c:w val="0.77156896891573989"/>
          <c:h val="0.84952506619943435"/>
        </c:manualLayout>
      </c:layout>
      <c:pieChart>
        <c:varyColors val="1"/>
        <c:ser>
          <c:idx val="0"/>
          <c:order val="0"/>
          <c:tx>
            <c:strRef>
              <c:f>_DB3_Data!$C$1</c:f>
              <c:strCache>
                <c:ptCount val="1"/>
                <c:pt idx="0">
                  <c:v>Paid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0F-4250-B1F1-84338B6665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0F-4250-B1F1-84338B6665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0F-4250-B1F1-84338B6665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0F-4250-B1F1-84338B6665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0F-4250-B1F1-84338B6665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B0F-4250-B1F1-84338B66656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_DB3_Data!$A$2:$A$7</c:f>
              <c:strCache>
                <c:ptCount val="6"/>
                <c:pt idx="0">
                  <c:v>Grade 6</c:v>
                </c:pt>
                <c:pt idx="1">
                  <c:v>Grade 7</c:v>
                </c:pt>
                <c:pt idx="2">
                  <c:v>Grade 8</c:v>
                </c:pt>
                <c:pt idx="3">
                  <c:v>Grade 9</c:v>
                </c:pt>
                <c:pt idx="4">
                  <c:v>Grade 10</c:v>
                </c:pt>
                <c:pt idx="5">
                  <c:v>Grade 11</c:v>
                </c:pt>
              </c:strCache>
            </c:strRef>
          </c:cat>
          <c:val>
            <c:numRef>
              <c:f>_DB3_Data!$C$2:$C$7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0F-4250-B1F1-84338B6665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Overall Paid vs Unpaid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8796108078477949"/>
          <c:y val="0.11694033802284537"/>
          <c:w val="0.66511056150299697"/>
          <c:h val="0.82361111111111107"/>
        </c:manualLayout>
      </c:layout>
      <c:doughnutChart>
        <c:varyColors val="1"/>
        <c:ser>
          <c:idx val="0"/>
          <c:order val="0"/>
          <c:tx>
            <c:strRef>
              <c:f>_DB3_Data!$B$9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09-4AD4-BDD8-82D2F796B9AA}"/>
              </c:ext>
            </c:extLst>
          </c:dPt>
          <c:dPt>
            <c:idx val="1"/>
            <c:bubble3D val="0"/>
            <c:spPr>
              <a:solidFill>
                <a:srgbClr val="E2E8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09-4AD4-BDD8-82D2F796B9AA}"/>
              </c:ext>
            </c:extLst>
          </c:dPt>
          <c:cat>
            <c:strRef>
              <c:f>_DB3_Data!$A$10:$A$11</c:f>
              <c:strCache>
                <c:ptCount val="2"/>
                <c:pt idx="0">
                  <c:v>Paid</c:v>
                </c:pt>
                <c:pt idx="1">
                  <c:v>Unpaid</c:v>
                </c:pt>
              </c:strCache>
            </c:strRef>
          </c:cat>
          <c:val>
            <c:numRef>
              <c:f>_DB3_Data!$B$10:$B$11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09-4AD4-BDD8-82D2F796B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Daily Leads — Last 14 Days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_DB7_Data!$B$1</c:f>
              <c:strCache>
                <c:ptCount val="1"/>
                <c:pt idx="0">
                  <c:v>Leads</c:v>
                </c:pt>
              </c:strCache>
            </c:strRef>
          </c:tx>
          <c:spPr>
            <a:ln w="28000">
              <a:solidFill>
                <a:srgbClr val="0EA5E9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_DB7_Data!$A$2:$A$15</c:f>
              <c:numCache>
                <c:formatCode>dd\-mmm</c:formatCode>
                <c:ptCount val="14"/>
                <c:pt idx="0">
                  <c:v>46210</c:v>
                </c:pt>
                <c:pt idx="1">
                  <c:v>46211</c:v>
                </c:pt>
                <c:pt idx="2">
                  <c:v>46212</c:v>
                </c:pt>
                <c:pt idx="3">
                  <c:v>46213</c:v>
                </c:pt>
                <c:pt idx="4">
                  <c:v>46214</c:v>
                </c:pt>
                <c:pt idx="5">
                  <c:v>46215</c:v>
                </c:pt>
                <c:pt idx="6">
                  <c:v>46216</c:v>
                </c:pt>
                <c:pt idx="7">
                  <c:v>46217</c:v>
                </c:pt>
                <c:pt idx="8">
                  <c:v>46218</c:v>
                </c:pt>
                <c:pt idx="9">
                  <c:v>46219</c:v>
                </c:pt>
                <c:pt idx="10">
                  <c:v>46220</c:v>
                </c:pt>
                <c:pt idx="11">
                  <c:v>46221</c:v>
                </c:pt>
                <c:pt idx="12">
                  <c:v>46222</c:v>
                </c:pt>
                <c:pt idx="13">
                  <c:v>46223</c:v>
                </c:pt>
              </c:numCache>
            </c:numRef>
          </c:cat>
          <c:val>
            <c:numRef>
              <c:f>_DB7_Data!$B$2:$B$15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3A-4F71-A6F5-3534DF831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d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Weekly Trend — Last 8 Weeks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_DB7_Data!$B$17</c:f>
              <c:strCache>
                <c:ptCount val="1"/>
                <c:pt idx="0">
                  <c:v>Leads</c:v>
                </c:pt>
              </c:strCache>
            </c:strRef>
          </c:tx>
          <c:spPr>
            <a:ln w="28000">
              <a:solidFill>
                <a:srgbClr val="0D2744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_DB7_Data!$A$18:$A$25</c:f>
              <c:numCache>
                <c:formatCode>dd\-mmm</c:formatCode>
                <c:ptCount val="8"/>
                <c:pt idx="0">
                  <c:v>46181</c:v>
                </c:pt>
                <c:pt idx="1">
                  <c:v>46188</c:v>
                </c:pt>
                <c:pt idx="2">
                  <c:v>46195</c:v>
                </c:pt>
                <c:pt idx="3">
                  <c:v>46202</c:v>
                </c:pt>
                <c:pt idx="4">
                  <c:v>46209</c:v>
                </c:pt>
                <c:pt idx="5">
                  <c:v>46216</c:v>
                </c:pt>
                <c:pt idx="6">
                  <c:v>46223</c:v>
                </c:pt>
                <c:pt idx="7">
                  <c:v>46230</c:v>
                </c:pt>
              </c:numCache>
            </c:numRef>
          </c:cat>
          <c:val>
            <c:numRef>
              <c:f>_DB7_Data!$B$18:$B$25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8C-4F55-873E-35D660C6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Ending</a:t>
                </a:r>
              </a:p>
            </c:rich>
          </c:tx>
          <c:overlay val="1"/>
        </c:title>
        <c:numFmt formatCode="d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278545</xdr:colOff>
      <xdr:row>1</xdr:row>
      <xdr:rowOff>76199</xdr:rowOff>
    </xdr:from>
    <xdr:ext cx="5218740" cy="492034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181856</xdr:colOff>
      <xdr:row>14</xdr:row>
      <xdr:rowOff>119742</xdr:rowOff>
    </xdr:from>
    <xdr:ext cx="4705830" cy="339634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141512</xdr:colOff>
      <xdr:row>1</xdr:row>
      <xdr:rowOff>32656</xdr:rowOff>
    </xdr:from>
    <xdr:ext cx="4626429" cy="41692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116542</xdr:colOff>
      <xdr:row>1</xdr:row>
      <xdr:rowOff>107576</xdr:rowOff>
    </xdr:from>
    <xdr:ext cx="4831976" cy="34603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29</xdr:col>
      <xdr:colOff>134469</xdr:colOff>
      <xdr:row>14</xdr:row>
      <xdr:rowOff>89647</xdr:rowOff>
    </xdr:from>
    <xdr:ext cx="4903696" cy="3576918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71718</xdr:colOff>
      <xdr:row>35</xdr:row>
      <xdr:rowOff>161364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Z89"/>
  <sheetViews>
    <sheetView showGridLines="0" zoomScale="70" zoomScaleNormal="70" workbookViewId="0">
      <pane xSplit="1" ySplit="3" topLeftCell="B4" activePane="bottomRight" state="frozen"/>
      <selection pane="topRight"/>
      <selection pane="bottomLeft"/>
      <selection pane="bottomRight" activeCell="AD29" sqref="AD29"/>
    </sheetView>
  </sheetViews>
  <sheetFormatPr defaultRowHeight="14.4" x14ac:dyDescent="0.3"/>
  <cols>
    <col min="1" max="1" width="1.44140625" customWidth="1"/>
    <col min="2" max="4" width="3.77734375" customWidth="1"/>
    <col min="5" max="5" width="11.6640625" customWidth="1"/>
    <col min="6" max="6" width="1.21875" customWidth="1"/>
    <col min="7" max="9" width="3.77734375" customWidth="1"/>
    <col min="10" max="10" width="12.6640625" customWidth="1"/>
    <col min="11" max="11" width="1.21875" customWidth="1"/>
    <col min="12" max="14" width="3.77734375" customWidth="1"/>
    <col min="15" max="15" width="13.33203125" customWidth="1"/>
    <col min="16" max="16" width="1.21875" customWidth="1"/>
    <col min="17" max="19" width="3.77734375" customWidth="1"/>
    <col min="20" max="20" width="14.77734375" customWidth="1"/>
    <col min="21" max="21" width="1.21875" customWidth="1"/>
    <col min="22" max="24" width="3.77734375" customWidth="1"/>
    <col min="25" max="25" width="18.33203125" customWidth="1"/>
    <col min="26" max="26" width="13.77734375" hidden="1" customWidth="1"/>
    <col min="28" max="69" width="13" customWidth="1"/>
  </cols>
  <sheetData>
    <row r="1" spans="1:26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52.05" customHeight="1" x14ac:dyDescent="0.3">
      <c r="A2" s="21"/>
      <c r="B2" s="45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21"/>
    </row>
    <row r="3" spans="1:26" ht="19.95" customHeight="1" x14ac:dyDescent="0.3">
      <c r="A3" s="22"/>
      <c r="B3" s="71" t="s">
        <v>1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2"/>
    </row>
    <row r="4" spans="1:26" ht="12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3.95" customHeight="1" x14ac:dyDescent="0.3">
      <c r="A5" s="20"/>
      <c r="B5" s="54" t="s">
        <v>2</v>
      </c>
      <c r="C5" s="41"/>
      <c r="D5" s="41"/>
      <c r="E5" s="42"/>
      <c r="F5" s="20"/>
      <c r="G5" s="58" t="s">
        <v>3</v>
      </c>
      <c r="H5" s="41"/>
      <c r="I5" s="41"/>
      <c r="J5" s="42"/>
      <c r="K5" s="20"/>
      <c r="L5" s="69" t="s">
        <v>4</v>
      </c>
      <c r="M5" s="41"/>
      <c r="N5" s="41"/>
      <c r="O5" s="42"/>
      <c r="P5" s="20"/>
      <c r="Q5" s="66" t="s">
        <v>5</v>
      </c>
      <c r="R5" s="41"/>
      <c r="S5" s="41"/>
      <c r="T5" s="42"/>
      <c r="U5" s="20"/>
      <c r="V5" s="63" t="s">
        <v>6</v>
      </c>
      <c r="W5" s="41"/>
      <c r="X5" s="41"/>
      <c r="Y5" s="42"/>
      <c r="Z5" s="20"/>
    </row>
    <row r="6" spans="1:26" ht="37.950000000000003" customHeight="1" x14ac:dyDescent="0.3">
      <c r="A6" s="20"/>
      <c r="B6" s="47">
        <f>COUNTA('Master Leads'!B:B)-1</f>
        <v>10</v>
      </c>
      <c r="C6" s="46"/>
      <c r="D6" s="46"/>
      <c r="E6" s="48"/>
      <c r="F6" s="20"/>
      <c r="G6" s="68">
        <f>COUNTIF('Master Leads'!O:O,"Yes")</f>
        <v>2</v>
      </c>
      <c r="H6" s="46"/>
      <c r="I6" s="46"/>
      <c r="J6" s="48"/>
      <c r="K6" s="20"/>
      <c r="L6" s="49">
        <f>IFERROR(COUNTIF('Master Leads'!F:F,"Converted")/(COUNTA('Master Leads'!B:B)-1),0)</f>
        <v>0.2</v>
      </c>
      <c r="M6" s="46"/>
      <c r="N6" s="46"/>
      <c r="O6" s="48"/>
      <c r="P6" s="20"/>
      <c r="Q6" s="73">
        <f ca="1">COUNTIF('Master Leads'!M:M,"Yes*")</f>
        <v>13</v>
      </c>
      <c r="R6" s="46"/>
      <c r="S6" s="46"/>
      <c r="T6" s="48"/>
      <c r="U6" s="20"/>
      <c r="V6" s="70">
        <f>COUNTIF('Master Leads'!F:F,"New")+COUNTIF('Master Leads'!F:F,"Contacted")</f>
        <v>5</v>
      </c>
      <c r="W6" s="46"/>
      <c r="X6" s="46"/>
      <c r="Y6" s="48"/>
      <c r="Z6" s="20"/>
    </row>
    <row r="7" spans="1:26" ht="15" customHeight="1" x14ac:dyDescent="0.3">
      <c r="A7" s="20"/>
      <c r="B7" s="60" t="s">
        <v>7</v>
      </c>
      <c r="C7" s="51"/>
      <c r="D7" s="51"/>
      <c r="E7" s="52"/>
      <c r="F7" s="20"/>
      <c r="G7" s="62" t="s">
        <v>8</v>
      </c>
      <c r="H7" s="51"/>
      <c r="I7" s="51"/>
      <c r="J7" s="52"/>
      <c r="K7" s="20"/>
      <c r="L7" s="61" t="s">
        <v>9</v>
      </c>
      <c r="M7" s="51"/>
      <c r="N7" s="51"/>
      <c r="O7" s="52"/>
      <c r="P7" s="20"/>
      <c r="Q7" s="59" t="s">
        <v>10</v>
      </c>
      <c r="R7" s="51"/>
      <c r="S7" s="51"/>
      <c r="T7" s="52"/>
      <c r="U7" s="20"/>
      <c r="V7" s="50" t="s">
        <v>11</v>
      </c>
      <c r="W7" s="51"/>
      <c r="X7" s="51"/>
      <c r="Y7" s="52"/>
      <c r="Z7" s="20"/>
    </row>
    <row r="8" spans="1:26" ht="10.050000000000001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3.95" customHeight="1" x14ac:dyDescent="0.3">
      <c r="A9" s="20"/>
      <c r="B9" s="43" t="s">
        <v>12</v>
      </c>
      <c r="C9" s="41"/>
      <c r="D9" s="41"/>
      <c r="E9" s="42"/>
      <c r="F9" s="20"/>
      <c r="G9" s="58" t="s">
        <v>13</v>
      </c>
      <c r="H9" s="41"/>
      <c r="I9" s="41"/>
      <c r="J9" s="42"/>
      <c r="K9" s="20"/>
      <c r="L9" s="44" t="s">
        <v>14</v>
      </c>
      <c r="M9" s="41"/>
      <c r="N9" s="41"/>
      <c r="O9" s="42"/>
      <c r="P9" s="20"/>
      <c r="Q9" s="40" t="s">
        <v>15</v>
      </c>
      <c r="R9" s="41"/>
      <c r="S9" s="41"/>
      <c r="T9" s="42"/>
      <c r="U9" s="20"/>
      <c r="V9" s="69" t="s">
        <v>16</v>
      </c>
      <c r="W9" s="41"/>
      <c r="X9" s="41"/>
      <c r="Y9" s="42"/>
      <c r="Z9" s="20"/>
    </row>
    <row r="10" spans="1:26" ht="37.950000000000003" customHeight="1" x14ac:dyDescent="0.3">
      <c r="A10" s="20"/>
      <c r="B10" s="74">
        <f>COUNTIF('Master Leads'!F:F,"No Answer")</f>
        <v>1</v>
      </c>
      <c r="C10" s="46"/>
      <c r="D10" s="46"/>
      <c r="E10" s="48"/>
      <c r="F10" s="20"/>
      <c r="G10" s="68">
        <f>COUNTIF('Master Leads'!F:F,"Converted")</f>
        <v>2</v>
      </c>
      <c r="H10" s="46"/>
      <c r="I10" s="46"/>
      <c r="J10" s="48"/>
      <c r="K10" s="20"/>
      <c r="L10" s="72">
        <f>COUNTIF('Master Leads'!F:F,"Interested")</f>
        <v>0</v>
      </c>
      <c r="M10" s="46"/>
      <c r="N10" s="46"/>
      <c r="O10" s="48"/>
      <c r="P10" s="20"/>
      <c r="Q10" s="67">
        <f ca="1">COUNTIF('Master Leads'!E:E,TODAY())</f>
        <v>0</v>
      </c>
      <c r="R10" s="46"/>
      <c r="S10" s="46"/>
      <c r="T10" s="48"/>
      <c r="U10" s="20"/>
      <c r="V10" s="65">
        <f ca="1">COUNTIFS('Master Leads'!E:E,"&gt;="&amp;DATE(YEAR(TODAY()),MONTH(TODAY()),1),'Master Leads'!E:E,"&lt;="&amp;EOMONTH(TODAY(),0))</f>
        <v>7</v>
      </c>
      <c r="W10" s="46"/>
      <c r="X10" s="46"/>
      <c r="Y10" s="48"/>
      <c r="Z10" s="20"/>
    </row>
    <row r="11" spans="1:26" ht="15" customHeight="1" x14ac:dyDescent="0.3">
      <c r="A11" s="20"/>
      <c r="B11" s="64" t="s">
        <v>17</v>
      </c>
      <c r="C11" s="51"/>
      <c r="D11" s="51"/>
      <c r="E11" s="52"/>
      <c r="F11" s="20"/>
      <c r="G11" s="62" t="s">
        <v>18</v>
      </c>
      <c r="H11" s="51"/>
      <c r="I11" s="51"/>
      <c r="J11" s="52"/>
      <c r="K11" s="20"/>
      <c r="L11" s="55" t="s">
        <v>19</v>
      </c>
      <c r="M11" s="51"/>
      <c r="N11" s="51"/>
      <c r="O11" s="52"/>
      <c r="P11" s="20"/>
      <c r="Q11" s="53" t="s">
        <v>20</v>
      </c>
      <c r="R11" s="51"/>
      <c r="S11" s="51"/>
      <c r="T11" s="52"/>
      <c r="U11" s="20"/>
      <c r="V11" s="61" t="s">
        <v>21</v>
      </c>
      <c r="W11" s="51"/>
      <c r="X11" s="51"/>
      <c r="Y11" s="52"/>
      <c r="Z11" s="20"/>
    </row>
    <row r="12" spans="1:26" ht="13.9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5.95" customHeight="1" x14ac:dyDescent="0.3">
      <c r="A13" s="23"/>
      <c r="B13" s="56" t="s">
        <v>22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23"/>
    </row>
    <row r="14" spans="1:26" ht="13.9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3.9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3.9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3.9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3.9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3.9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3.9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3.9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3.9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3.9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3.9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3.9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3.9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3.9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3.9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8" customHeight="1" x14ac:dyDescent="0.3">
      <c r="A57" s="23"/>
      <c r="B57" s="57" t="s">
        <v>23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23"/>
    </row>
    <row r="58" spans="1:26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3.95" customHeight="1" x14ac:dyDescent="0.3"/>
    <row r="86" spans="1:26" ht="13.95" customHeight="1" x14ac:dyDescent="0.3"/>
    <row r="87" spans="1:26" ht="13.95" customHeight="1" x14ac:dyDescent="0.3"/>
    <row r="88" spans="1:26" ht="13.95" customHeight="1" x14ac:dyDescent="0.3"/>
    <row r="89" spans="1:26" ht="13.95" customHeight="1" x14ac:dyDescent="0.3"/>
  </sheetData>
  <mergeCells count="34">
    <mergeCell ref="B10:E10"/>
    <mergeCell ref="G5:J5"/>
    <mergeCell ref="Q10:T10"/>
    <mergeCell ref="G10:J10"/>
    <mergeCell ref="L5:O5"/>
    <mergeCell ref="G6:J6"/>
    <mergeCell ref="V9:Y9"/>
    <mergeCell ref="V6:Y6"/>
    <mergeCell ref="L10:O10"/>
    <mergeCell ref="Q6:T6"/>
    <mergeCell ref="Q11:T11"/>
    <mergeCell ref="B5:E5"/>
    <mergeCell ref="L11:O11"/>
    <mergeCell ref="B13:Y13"/>
    <mergeCell ref="B57:Y57"/>
    <mergeCell ref="G9:J9"/>
    <mergeCell ref="Q7:T7"/>
    <mergeCell ref="B7:E7"/>
    <mergeCell ref="V11:Y11"/>
    <mergeCell ref="L7:O7"/>
    <mergeCell ref="G11:J11"/>
    <mergeCell ref="V5:Y5"/>
    <mergeCell ref="G7:J7"/>
    <mergeCell ref="B11:E11"/>
    <mergeCell ref="V10:Y10"/>
    <mergeCell ref="Q5:T5"/>
    <mergeCell ref="Q9:T9"/>
    <mergeCell ref="B9:E9"/>
    <mergeCell ref="L9:O9"/>
    <mergeCell ref="B2:Y2"/>
    <mergeCell ref="B6:E6"/>
    <mergeCell ref="L6:O6"/>
    <mergeCell ref="V7:Y7"/>
    <mergeCell ref="B3:Y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AC89"/>
  <sheetViews>
    <sheetView showGridLines="0" zoomScale="85" zoomScaleNormal="85" workbookViewId="0">
      <selection activeCell="AG20" sqref="AG20"/>
    </sheetView>
  </sheetViews>
  <sheetFormatPr defaultRowHeight="14.4" x14ac:dyDescent="0.3"/>
  <cols>
    <col min="1" max="1" width="1.44140625" customWidth="1"/>
    <col min="2" max="22" width="3.77734375" customWidth="1"/>
    <col min="23" max="23" width="10.33203125" customWidth="1"/>
    <col min="24" max="31" width="3.77734375" customWidth="1"/>
    <col min="32" max="69" width="13" customWidth="1"/>
  </cols>
  <sheetData>
    <row r="1" spans="1:29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52.05" customHeight="1" x14ac:dyDescent="0.3">
      <c r="A2" s="21"/>
      <c r="B2" s="45" t="s">
        <v>24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21"/>
    </row>
    <row r="3" spans="1:29" ht="19.95" customHeight="1" x14ac:dyDescent="0.3">
      <c r="A3" s="22"/>
      <c r="B3" s="71" t="s">
        <v>25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2"/>
    </row>
    <row r="4" spans="1:29" ht="13.9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25.95" customHeight="1" x14ac:dyDescent="0.3">
      <c r="A5" s="23"/>
      <c r="B5" s="56" t="s">
        <v>26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23"/>
    </row>
    <row r="6" spans="1:29" ht="13.95" customHeigh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22.05" customHeight="1" x14ac:dyDescent="0.3">
      <c r="A7" s="20"/>
      <c r="B7" s="96" t="s">
        <v>27</v>
      </c>
      <c r="C7" s="46"/>
      <c r="D7" s="46"/>
      <c r="E7" s="87" t="s">
        <v>28</v>
      </c>
      <c r="F7" s="46"/>
      <c r="G7" s="46"/>
      <c r="H7" s="46"/>
      <c r="I7" s="95" t="s">
        <v>29</v>
      </c>
      <c r="J7" s="46"/>
      <c r="K7" s="46"/>
      <c r="L7" s="46"/>
      <c r="M7" s="88" t="s">
        <v>30</v>
      </c>
      <c r="N7" s="46"/>
      <c r="O7" s="46"/>
      <c r="P7" s="90" t="s">
        <v>31</v>
      </c>
      <c r="Q7" s="46"/>
      <c r="R7" s="46"/>
      <c r="S7" s="93" t="s">
        <v>32</v>
      </c>
      <c r="T7" s="46"/>
      <c r="U7" s="46"/>
      <c r="V7" s="46"/>
      <c r="W7" s="46"/>
      <c r="X7" s="20"/>
      <c r="Y7" s="20"/>
      <c r="Z7" s="20"/>
      <c r="AA7" s="20"/>
      <c r="AB7" s="20"/>
      <c r="AC7" s="20"/>
    </row>
    <row r="8" spans="1:29" ht="19.95" customHeight="1" x14ac:dyDescent="0.3">
      <c r="A8" s="20"/>
      <c r="B8" s="85" t="s">
        <v>33</v>
      </c>
      <c r="C8" s="76"/>
      <c r="D8" s="77"/>
      <c r="E8" s="92">
        <f>COUNTIF('Master Leads'!G:G,6)</f>
        <v>1</v>
      </c>
      <c r="F8" s="76"/>
      <c r="G8" s="76"/>
      <c r="H8" s="77"/>
      <c r="I8" s="84">
        <f>COUNTIFS('Master Leads'!G:G,6,'Master Leads'!O:O,"Yes")</f>
        <v>0</v>
      </c>
      <c r="J8" s="76"/>
      <c r="K8" s="76"/>
      <c r="L8" s="77"/>
      <c r="M8" s="83">
        <f>IFERROR(COUNTIF('Master Leads'!G:G,6)/(COUNTA('Master Leads'!B:B)-1),0)</f>
        <v>0.1</v>
      </c>
      <c r="N8" s="76"/>
      <c r="O8" s="77"/>
      <c r="P8" s="83">
        <f>IFERROR(COUNTIFS('Master Leads'!G:G,6,'Master Leads'!O:O,"Yes")/COUNTIF('Master Leads'!G:G,6),0)</f>
        <v>0</v>
      </c>
      <c r="Q8" s="76"/>
      <c r="R8" s="77"/>
      <c r="S8" s="83">
        <f>IFERROR(COUNTIFS('Master Leads'!G:G,6,'Master Leads'!O:O,"Yes")/(COUNTIFS('Master Leads'!G:G,6,'Master Leads'!F:F,"Interested")+COUNTIFS('Master Leads'!G:G,6,'Master Leads'!O:O,"Yes")),0)</f>
        <v>0</v>
      </c>
      <c r="T8" s="76"/>
      <c r="U8" s="76"/>
      <c r="V8" s="76"/>
      <c r="W8" s="77"/>
      <c r="X8" s="30"/>
      <c r="Y8" s="20"/>
      <c r="Z8" s="20"/>
      <c r="AA8" s="20"/>
      <c r="AB8" s="20"/>
      <c r="AC8" s="20"/>
    </row>
    <row r="9" spans="1:29" ht="19.95" customHeight="1" x14ac:dyDescent="0.3">
      <c r="A9" s="20"/>
      <c r="B9" s="94" t="s">
        <v>34</v>
      </c>
      <c r="C9" s="76"/>
      <c r="D9" s="77"/>
      <c r="E9" s="97">
        <f>COUNTIF('Master Leads'!G:G,7)</f>
        <v>1</v>
      </c>
      <c r="F9" s="76"/>
      <c r="G9" s="76"/>
      <c r="H9" s="77"/>
      <c r="I9" s="91">
        <f>COUNTIFS('Master Leads'!G:G,7,'Master Leads'!O:O,"Yes")</f>
        <v>1</v>
      </c>
      <c r="J9" s="76"/>
      <c r="K9" s="76"/>
      <c r="L9" s="77"/>
      <c r="M9" s="75">
        <f>IFERROR(COUNTIF('Master Leads'!G:G,7)/(COUNTA('Master Leads'!B:B)-1),0)</f>
        <v>0.1</v>
      </c>
      <c r="N9" s="76"/>
      <c r="O9" s="77"/>
      <c r="P9" s="75">
        <f>IFERROR(COUNTIFS('Master Leads'!G:G,7,'Master Leads'!O:O,"Yes")/COUNTIF('Master Leads'!G:G,7),0)</f>
        <v>1</v>
      </c>
      <c r="Q9" s="76"/>
      <c r="R9" s="77"/>
      <c r="S9" s="75">
        <f>IFERROR(COUNTIFS('Master Leads'!G:G,7,'Master Leads'!O:O,"Yes")/(COUNTIFS('Master Leads'!G:G,7,'Master Leads'!F:F,"Interested")+COUNTIFS('Master Leads'!G:G,7,'Master Leads'!O:O,"Yes")),0)</f>
        <v>1</v>
      </c>
      <c r="T9" s="76"/>
      <c r="U9" s="76"/>
      <c r="V9" s="76"/>
      <c r="W9" s="77"/>
      <c r="X9" s="31"/>
      <c r="Y9" s="20"/>
      <c r="Z9" s="20"/>
      <c r="AA9" s="20"/>
      <c r="AB9" s="20"/>
      <c r="AC9" s="20"/>
    </row>
    <row r="10" spans="1:29" ht="19.95" customHeight="1" x14ac:dyDescent="0.3">
      <c r="A10" s="20"/>
      <c r="B10" s="89" t="s">
        <v>35</v>
      </c>
      <c r="C10" s="76"/>
      <c r="D10" s="77"/>
      <c r="E10" s="92">
        <f>COUNTIF('Master Leads'!G:G,8)</f>
        <v>1</v>
      </c>
      <c r="F10" s="76"/>
      <c r="G10" s="76"/>
      <c r="H10" s="77"/>
      <c r="I10" s="84">
        <f>COUNTIFS('Master Leads'!G:G,8,'Master Leads'!O:O,"Yes")</f>
        <v>0</v>
      </c>
      <c r="J10" s="76"/>
      <c r="K10" s="76"/>
      <c r="L10" s="77"/>
      <c r="M10" s="83">
        <f>IFERROR(COUNTIF('Master Leads'!G:G,8)/(COUNTA('Master Leads'!B:B)-1),0)</f>
        <v>0.1</v>
      </c>
      <c r="N10" s="76"/>
      <c r="O10" s="77"/>
      <c r="P10" s="83">
        <f>IFERROR(COUNTIFS('Master Leads'!G:G,8,'Master Leads'!O:O,"Yes")/COUNTIF('Master Leads'!G:G,8),0)</f>
        <v>0</v>
      </c>
      <c r="Q10" s="76"/>
      <c r="R10" s="77"/>
      <c r="S10" s="83">
        <f>IFERROR(COUNTIFS('Master Leads'!G:G,8,'Master Leads'!O:O,"Yes")/(COUNTIFS('Master Leads'!G:G,8,'Master Leads'!F:F,"Interested")+COUNTIFS('Master Leads'!G:G,8,'Master Leads'!O:O,"Yes")),0)</f>
        <v>0</v>
      </c>
      <c r="T10" s="76"/>
      <c r="U10" s="76"/>
      <c r="V10" s="76"/>
      <c r="W10" s="77"/>
      <c r="X10" s="30"/>
      <c r="Y10" s="20"/>
      <c r="Z10" s="20"/>
      <c r="AA10" s="20"/>
      <c r="AB10" s="20"/>
      <c r="AC10" s="20"/>
    </row>
    <row r="11" spans="1:29" ht="19.95" customHeight="1" x14ac:dyDescent="0.3">
      <c r="A11" s="20"/>
      <c r="B11" s="78" t="s">
        <v>36</v>
      </c>
      <c r="C11" s="76"/>
      <c r="D11" s="77"/>
      <c r="E11" s="97">
        <f>COUNTIF('Master Leads'!G:G,9)</f>
        <v>1</v>
      </c>
      <c r="F11" s="76"/>
      <c r="G11" s="76"/>
      <c r="H11" s="77"/>
      <c r="I11" s="91">
        <f>COUNTIFS('Master Leads'!G:G,9,'Master Leads'!O:O,"Yes")</f>
        <v>0</v>
      </c>
      <c r="J11" s="76"/>
      <c r="K11" s="76"/>
      <c r="L11" s="77"/>
      <c r="M11" s="75">
        <f>IFERROR(COUNTIF('Master Leads'!G:G,9)/(COUNTA('Master Leads'!B:B)-1),0)</f>
        <v>0.1</v>
      </c>
      <c r="N11" s="76"/>
      <c r="O11" s="77"/>
      <c r="P11" s="75">
        <f>IFERROR(COUNTIFS('Master Leads'!G:G,9,'Master Leads'!O:O,"Yes")/COUNTIF('Master Leads'!G:G,9),0)</f>
        <v>0</v>
      </c>
      <c r="Q11" s="76"/>
      <c r="R11" s="77"/>
      <c r="S11" s="75">
        <f>IFERROR(COUNTIFS('Master Leads'!G:G,9,'Master Leads'!O:O,"Yes")/(COUNTIFS('Master Leads'!G:G,9,'Master Leads'!F:F,"Interested")+COUNTIFS('Master Leads'!G:G,9,'Master Leads'!O:O,"Yes")),0)</f>
        <v>0</v>
      </c>
      <c r="T11" s="76"/>
      <c r="U11" s="76"/>
      <c r="V11" s="76"/>
      <c r="W11" s="77"/>
      <c r="X11" s="31"/>
      <c r="Y11" s="20"/>
      <c r="Z11" s="20"/>
      <c r="AA11" s="20"/>
      <c r="AB11" s="20"/>
      <c r="AC11" s="20"/>
    </row>
    <row r="12" spans="1:29" ht="19.95" customHeight="1" x14ac:dyDescent="0.3">
      <c r="A12" s="20"/>
      <c r="B12" s="98" t="s">
        <v>37</v>
      </c>
      <c r="C12" s="76"/>
      <c r="D12" s="77"/>
      <c r="E12" s="92">
        <f>COUNTIF('Master Leads'!G:G,10)</f>
        <v>1</v>
      </c>
      <c r="F12" s="76"/>
      <c r="G12" s="76"/>
      <c r="H12" s="77"/>
      <c r="I12" s="84">
        <f>COUNTIFS('Master Leads'!G:G,10,'Master Leads'!O:O,"Yes")</f>
        <v>0</v>
      </c>
      <c r="J12" s="76"/>
      <c r="K12" s="76"/>
      <c r="L12" s="77"/>
      <c r="M12" s="83">
        <f>IFERROR(COUNTIF('Master Leads'!G:G,10)/(COUNTA('Master Leads'!B:B)-1),0)</f>
        <v>0.1</v>
      </c>
      <c r="N12" s="76"/>
      <c r="O12" s="77"/>
      <c r="P12" s="83">
        <f>IFERROR(COUNTIFS('Master Leads'!G:G,10,'Master Leads'!O:O,"Yes")/COUNTIF('Master Leads'!G:G,10),0)</f>
        <v>0</v>
      </c>
      <c r="Q12" s="76"/>
      <c r="R12" s="77"/>
      <c r="S12" s="83">
        <f>IFERROR(COUNTIFS('Master Leads'!G:G,10,'Master Leads'!O:O,"Yes")/(COUNTIFS('Master Leads'!G:G,10,'Master Leads'!F:F,"Interested")+COUNTIFS('Master Leads'!G:G,10,'Master Leads'!O:O,"Yes")),0)</f>
        <v>0</v>
      </c>
      <c r="T12" s="76"/>
      <c r="U12" s="76"/>
      <c r="V12" s="76"/>
      <c r="W12" s="77"/>
      <c r="X12" s="30"/>
      <c r="Y12" s="20"/>
      <c r="Z12" s="20"/>
      <c r="AA12" s="20"/>
      <c r="AB12" s="20"/>
      <c r="AC12" s="20"/>
    </row>
    <row r="13" spans="1:29" ht="19.95" customHeight="1" x14ac:dyDescent="0.3">
      <c r="A13" s="20"/>
      <c r="B13" s="86" t="s">
        <v>38</v>
      </c>
      <c r="C13" s="76"/>
      <c r="D13" s="77"/>
      <c r="E13" s="97">
        <f>COUNTIF('Master Leads'!G:G,11)</f>
        <v>1</v>
      </c>
      <c r="F13" s="76"/>
      <c r="G13" s="76"/>
      <c r="H13" s="77"/>
      <c r="I13" s="91">
        <f>COUNTIFS('Master Leads'!G:G,11,'Master Leads'!O:O,"Yes")</f>
        <v>1</v>
      </c>
      <c r="J13" s="76"/>
      <c r="K13" s="76"/>
      <c r="L13" s="77"/>
      <c r="M13" s="75">
        <f>IFERROR(COUNTIF('Master Leads'!G:G,11)/(COUNTA('Master Leads'!B:B)-1),0)</f>
        <v>0.1</v>
      </c>
      <c r="N13" s="76"/>
      <c r="O13" s="77"/>
      <c r="P13" s="75">
        <f>IFERROR(COUNTIFS('Master Leads'!G:G,11,'Master Leads'!O:O,"Yes")/COUNTIF('Master Leads'!G:G,11),0)</f>
        <v>1</v>
      </c>
      <c r="Q13" s="76"/>
      <c r="R13" s="77"/>
      <c r="S13" s="75">
        <f>IFERROR(COUNTIFS('Master Leads'!G:G,11,'Master Leads'!O:O,"Yes")/(COUNTIFS('Master Leads'!G:G,11,'Master Leads'!F:F,"Interested")+COUNTIFS('Master Leads'!G:G,11,'Master Leads'!O:O,"Yes")),0)</f>
        <v>1</v>
      </c>
      <c r="T13" s="76"/>
      <c r="U13" s="76"/>
      <c r="V13" s="76"/>
      <c r="W13" s="77"/>
      <c r="X13" s="31"/>
      <c r="Y13" s="20"/>
      <c r="Z13" s="20"/>
      <c r="AA13" s="20"/>
      <c r="AB13" s="20"/>
      <c r="AC13" s="20"/>
    </row>
    <row r="14" spans="1:29" ht="22.05" customHeight="1" x14ac:dyDescent="0.3">
      <c r="A14" s="20"/>
      <c r="B14" s="82" t="s">
        <v>39</v>
      </c>
      <c r="C14" s="80"/>
      <c r="D14" s="81"/>
      <c r="E14" s="79">
        <f>COUNTA('Master Leads'!B:B)-1</f>
        <v>10</v>
      </c>
      <c r="F14" s="80"/>
      <c r="G14" s="80"/>
      <c r="H14" s="81"/>
      <c r="I14" s="79">
        <f>COUNTIF('Master Leads'!O:O,"Yes")</f>
        <v>2</v>
      </c>
      <c r="J14" s="80"/>
      <c r="K14" s="80"/>
      <c r="L14" s="81"/>
      <c r="M14" s="82" t="s">
        <v>40</v>
      </c>
      <c r="N14" s="80"/>
      <c r="O14" s="80"/>
      <c r="P14" s="80"/>
      <c r="Q14" s="80"/>
      <c r="R14" s="80"/>
      <c r="S14" s="80"/>
      <c r="T14" s="80"/>
      <c r="U14" s="80"/>
      <c r="V14" s="80"/>
      <c r="W14" s="81"/>
      <c r="X14" s="20"/>
      <c r="Y14" s="20"/>
      <c r="Z14" s="20"/>
      <c r="AA14" s="20"/>
      <c r="AB14" s="20"/>
      <c r="AC14" s="20"/>
    </row>
    <row r="15" spans="1:29" ht="13.9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25.95" customHeight="1" x14ac:dyDescent="0.3">
      <c r="A16" s="23"/>
      <c r="B16" s="5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23"/>
    </row>
    <row r="17" spans="1:29" ht="13.9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3.9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3.9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3.9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3.9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3.9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3.9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3.9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3.9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3.9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3.9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25.95" customHeight="1" x14ac:dyDescent="0.3">
      <c r="A43" s="23"/>
      <c r="B43" s="5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23"/>
    </row>
    <row r="44" spans="1:29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3.9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3.95" customHeight="1" x14ac:dyDescent="0.3"/>
    <row r="86" spans="1:29" ht="13.95" customHeight="1" x14ac:dyDescent="0.3"/>
    <row r="87" spans="1:29" ht="13.95" customHeight="1" x14ac:dyDescent="0.3"/>
    <row r="88" spans="1:29" ht="13.95" customHeight="1" x14ac:dyDescent="0.3"/>
    <row r="89" spans="1:29" ht="13.95" customHeight="1" x14ac:dyDescent="0.3"/>
  </sheetData>
  <mergeCells count="51">
    <mergeCell ref="B3:AB3"/>
    <mergeCell ref="B12:D12"/>
    <mergeCell ref="E11:H11"/>
    <mergeCell ref="B5:AB5"/>
    <mergeCell ref="I7:L7"/>
    <mergeCell ref="B7:D7"/>
    <mergeCell ref="E10:H10"/>
    <mergeCell ref="S9:W9"/>
    <mergeCell ref="E9:H9"/>
    <mergeCell ref="P10:R10"/>
    <mergeCell ref="M9:O9"/>
    <mergeCell ref="P9:R9"/>
    <mergeCell ref="B9:D9"/>
    <mergeCell ref="M8:O8"/>
    <mergeCell ref="P12:R12"/>
    <mergeCell ref="I11:L11"/>
    <mergeCell ref="S13:W13"/>
    <mergeCell ref="E8:H8"/>
    <mergeCell ref="S10:W10"/>
    <mergeCell ref="E13:H13"/>
    <mergeCell ref="I12:L12"/>
    <mergeCell ref="B8:D8"/>
    <mergeCell ref="B2:AB2"/>
    <mergeCell ref="M13:O13"/>
    <mergeCell ref="B13:D13"/>
    <mergeCell ref="E7:H7"/>
    <mergeCell ref="M7:O7"/>
    <mergeCell ref="I10:L10"/>
    <mergeCell ref="M12:O12"/>
    <mergeCell ref="B10:D10"/>
    <mergeCell ref="P7:R7"/>
    <mergeCell ref="I13:L13"/>
    <mergeCell ref="S8:W8"/>
    <mergeCell ref="I9:L9"/>
    <mergeCell ref="S11:W11"/>
    <mergeCell ref="E12:H12"/>
    <mergeCell ref="S7:W7"/>
    <mergeCell ref="M10:O10"/>
    <mergeCell ref="P8:R8"/>
    <mergeCell ref="P11:R11"/>
    <mergeCell ref="I8:L8"/>
    <mergeCell ref="S12:W12"/>
    <mergeCell ref="M11:O11"/>
    <mergeCell ref="B11:D11"/>
    <mergeCell ref="I14:L14"/>
    <mergeCell ref="B43:AB43"/>
    <mergeCell ref="B14:D14"/>
    <mergeCell ref="P13:R13"/>
    <mergeCell ref="E14:H14"/>
    <mergeCell ref="B16:AB16"/>
    <mergeCell ref="M14:W1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6534"/>
  </sheetPr>
  <dimension ref="A1:AC89"/>
  <sheetViews>
    <sheetView showGridLines="0" topLeftCell="A9" zoomScale="85" zoomScaleNormal="85" workbookViewId="0">
      <selection activeCell="AM12" sqref="AM12"/>
    </sheetView>
  </sheetViews>
  <sheetFormatPr defaultRowHeight="14.4" x14ac:dyDescent="0.3"/>
  <cols>
    <col min="1" max="1" width="1.44140625" customWidth="1"/>
    <col min="2" max="34" width="3.77734375" customWidth="1"/>
    <col min="35" max="69" width="13" customWidth="1"/>
  </cols>
  <sheetData>
    <row r="1" spans="1:29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52.05" customHeight="1" x14ac:dyDescent="0.3">
      <c r="A2" s="27"/>
      <c r="B2" s="126" t="s">
        <v>41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27"/>
    </row>
    <row r="3" spans="1:29" ht="19.95" customHeight="1" x14ac:dyDescent="0.3">
      <c r="A3" s="28"/>
      <c r="B3" s="122" t="s">
        <v>42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8"/>
    </row>
    <row r="4" spans="1:29" ht="12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3.95" customHeight="1" x14ac:dyDescent="0.3">
      <c r="A5" s="20"/>
      <c r="B5" s="58" t="s">
        <v>43</v>
      </c>
      <c r="C5" s="41"/>
      <c r="D5" s="41"/>
      <c r="E5" s="41"/>
      <c r="F5" s="42"/>
      <c r="G5" s="20"/>
      <c r="H5" s="54" t="s">
        <v>2</v>
      </c>
      <c r="I5" s="41"/>
      <c r="J5" s="41"/>
      <c r="K5" s="41"/>
      <c r="L5" s="42"/>
      <c r="M5" s="20"/>
      <c r="N5" s="69" t="s">
        <v>44</v>
      </c>
      <c r="O5" s="41"/>
      <c r="P5" s="41"/>
      <c r="Q5" s="41"/>
      <c r="R5" s="42"/>
      <c r="S5" s="20"/>
      <c r="T5" s="66" t="s">
        <v>45</v>
      </c>
      <c r="U5" s="41"/>
      <c r="V5" s="41"/>
      <c r="W5" s="41"/>
      <c r="X5" s="42"/>
      <c r="Y5" s="20"/>
      <c r="Z5" s="20"/>
      <c r="AA5" s="20"/>
      <c r="AB5" s="20"/>
      <c r="AC5" s="20"/>
    </row>
    <row r="6" spans="1:29" ht="37.950000000000003" customHeight="1" x14ac:dyDescent="0.3">
      <c r="A6" s="20"/>
      <c r="B6" s="108">
        <f>COUNTIF('Master Leads'!O:O,"Yes")</f>
        <v>2</v>
      </c>
      <c r="C6" s="46"/>
      <c r="D6" s="46"/>
      <c r="E6" s="46"/>
      <c r="F6" s="48"/>
      <c r="G6" s="20"/>
      <c r="H6" s="128">
        <f>COUNTA('Master Leads'!B:B)-1</f>
        <v>10</v>
      </c>
      <c r="I6" s="46"/>
      <c r="J6" s="46"/>
      <c r="K6" s="46"/>
      <c r="L6" s="48"/>
      <c r="M6" s="20"/>
      <c r="N6" s="111">
        <f>IFERROR(COUNTIF('Master Leads'!O:O,"Yes")/(COUNTA('Master Leads'!B:B)-1),0)</f>
        <v>0.2</v>
      </c>
      <c r="O6" s="46"/>
      <c r="P6" s="46"/>
      <c r="Q6" s="46"/>
      <c r="R6" s="48"/>
      <c r="S6" s="20"/>
      <c r="T6" s="109">
        <f>IFERROR(COUNTIF('Master Leads'!O:O,"Yes")/(COUNTIF('Master Leads'!F:F,"Interested")+COUNTIF('Master Leads'!O:O,"Yes")),0)</f>
        <v>1</v>
      </c>
      <c r="U6" s="46"/>
      <c r="V6" s="46"/>
      <c r="W6" s="46"/>
      <c r="X6" s="48"/>
      <c r="Y6" s="20"/>
      <c r="Z6" s="20"/>
      <c r="AA6" s="20"/>
      <c r="AB6" s="20"/>
      <c r="AC6" s="20"/>
    </row>
    <row r="7" spans="1:29" ht="15" customHeight="1" x14ac:dyDescent="0.3">
      <c r="A7" s="20"/>
      <c r="B7" s="62" t="s">
        <v>46</v>
      </c>
      <c r="C7" s="51"/>
      <c r="D7" s="51"/>
      <c r="E7" s="51"/>
      <c r="F7" s="52"/>
      <c r="G7" s="20"/>
      <c r="H7" s="60" t="s">
        <v>47</v>
      </c>
      <c r="I7" s="51"/>
      <c r="J7" s="51"/>
      <c r="K7" s="51"/>
      <c r="L7" s="52"/>
      <c r="M7" s="20"/>
      <c r="N7" s="61" t="s">
        <v>48</v>
      </c>
      <c r="O7" s="51"/>
      <c r="P7" s="51"/>
      <c r="Q7" s="51"/>
      <c r="R7" s="52"/>
      <c r="S7" s="20"/>
      <c r="T7" s="59" t="s">
        <v>49</v>
      </c>
      <c r="U7" s="51"/>
      <c r="V7" s="51"/>
      <c r="W7" s="51"/>
      <c r="X7" s="52"/>
      <c r="Y7" s="20"/>
      <c r="Z7" s="20"/>
      <c r="AA7" s="20"/>
      <c r="AB7" s="20"/>
      <c r="AC7" s="20"/>
    </row>
    <row r="8" spans="1:29" ht="12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3.95" customHeight="1" x14ac:dyDescent="0.3">
      <c r="A9" s="20"/>
      <c r="B9" s="120" t="s">
        <v>50</v>
      </c>
      <c r="C9" s="41"/>
      <c r="D9" s="41"/>
      <c r="E9" s="41"/>
      <c r="F9" s="42"/>
      <c r="G9" s="112" t="s">
        <v>51</v>
      </c>
      <c r="H9" s="41"/>
      <c r="I9" s="41"/>
      <c r="J9" s="41"/>
      <c r="K9" s="42"/>
      <c r="L9" s="121" t="s">
        <v>52</v>
      </c>
      <c r="M9" s="41"/>
      <c r="N9" s="41"/>
      <c r="O9" s="41"/>
      <c r="P9" s="42"/>
      <c r="Q9" s="137" t="s">
        <v>53</v>
      </c>
      <c r="R9" s="41"/>
      <c r="S9" s="41"/>
      <c r="T9" s="41"/>
      <c r="U9" s="42"/>
      <c r="V9" s="20"/>
      <c r="W9" s="20"/>
      <c r="X9" s="20"/>
      <c r="Y9" s="20"/>
      <c r="Z9" s="20"/>
      <c r="AA9" s="20"/>
      <c r="AB9" s="20"/>
      <c r="AC9" s="20"/>
    </row>
    <row r="10" spans="1:29" ht="37.950000000000003" customHeight="1" x14ac:dyDescent="0.3">
      <c r="A10" s="20"/>
      <c r="B10" s="117">
        <f>COUNTIFS('Master Leads'!G:G,6,'Master Leads'!O:O,"Yes")</f>
        <v>0</v>
      </c>
      <c r="C10" s="46"/>
      <c r="D10" s="46"/>
      <c r="E10" s="46"/>
      <c r="F10" s="48"/>
      <c r="G10" s="129">
        <f>COUNTIFS('Master Leads'!G:G,7,'Master Leads'!O:O,"Yes")</f>
        <v>1</v>
      </c>
      <c r="H10" s="46"/>
      <c r="I10" s="46"/>
      <c r="J10" s="46"/>
      <c r="K10" s="48"/>
      <c r="L10" s="118">
        <f>COUNTIFS('Master Leads'!G:G,8,'Master Leads'!O:O,"Yes")</f>
        <v>0</v>
      </c>
      <c r="M10" s="46"/>
      <c r="N10" s="46"/>
      <c r="O10" s="46"/>
      <c r="P10" s="48"/>
      <c r="Q10" s="130">
        <f>COUNTIFS('Master Leads'!G:G,9,'Master Leads'!O:O,"Yes")</f>
        <v>0</v>
      </c>
      <c r="R10" s="46"/>
      <c r="S10" s="46"/>
      <c r="T10" s="46"/>
      <c r="U10" s="48"/>
      <c r="V10" s="20"/>
      <c r="W10" s="20"/>
      <c r="X10" s="20"/>
      <c r="Y10" s="20"/>
      <c r="Z10" s="20"/>
      <c r="AA10" s="20"/>
      <c r="AB10" s="20"/>
      <c r="AC10" s="20"/>
    </row>
    <row r="11" spans="1:29" ht="15" customHeight="1" x14ac:dyDescent="0.3">
      <c r="A11" s="20"/>
      <c r="B11" s="102" t="s">
        <v>54</v>
      </c>
      <c r="C11" s="51"/>
      <c r="D11" s="51"/>
      <c r="E11" s="51"/>
      <c r="F11" s="52"/>
      <c r="G11" s="113" t="s">
        <v>55</v>
      </c>
      <c r="H11" s="51"/>
      <c r="I11" s="51"/>
      <c r="J11" s="51"/>
      <c r="K11" s="52"/>
      <c r="L11" s="123" t="s">
        <v>56</v>
      </c>
      <c r="M11" s="51"/>
      <c r="N11" s="51"/>
      <c r="O11" s="51"/>
      <c r="P11" s="52"/>
      <c r="Q11" s="138" t="s">
        <v>57</v>
      </c>
      <c r="R11" s="51"/>
      <c r="S11" s="51"/>
      <c r="T11" s="51"/>
      <c r="U11" s="52"/>
      <c r="V11" s="20"/>
      <c r="W11" s="20"/>
      <c r="X11" s="20"/>
      <c r="Y11" s="20"/>
      <c r="Z11" s="20"/>
      <c r="AA11" s="20"/>
      <c r="AB11" s="20"/>
      <c r="AC11" s="20"/>
    </row>
    <row r="12" spans="1:29" ht="10.050000000000001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3.95" customHeight="1" x14ac:dyDescent="0.3">
      <c r="A13" s="20"/>
      <c r="B13" s="131" t="s">
        <v>58</v>
      </c>
      <c r="C13" s="41"/>
      <c r="D13" s="41"/>
      <c r="E13" s="41"/>
      <c r="F13" s="42"/>
      <c r="G13" s="103" t="s">
        <v>59</v>
      </c>
      <c r="H13" s="41"/>
      <c r="I13" s="41"/>
      <c r="J13" s="41"/>
      <c r="K13" s="42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37.950000000000003" customHeight="1" x14ac:dyDescent="0.3">
      <c r="A14" s="20"/>
      <c r="B14" s="135">
        <f>COUNTIFS('Master Leads'!G:G,10,'Master Leads'!O:O,"Yes")</f>
        <v>0</v>
      </c>
      <c r="C14" s="46"/>
      <c r="D14" s="46"/>
      <c r="E14" s="46"/>
      <c r="F14" s="48"/>
      <c r="G14" s="119">
        <f>COUNTIFS('Master Leads'!G:G,11,'Master Leads'!O:O,"Yes")</f>
        <v>1</v>
      </c>
      <c r="H14" s="46"/>
      <c r="I14" s="46"/>
      <c r="J14" s="46"/>
      <c r="K14" s="48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5" customHeight="1" x14ac:dyDescent="0.3">
      <c r="A15" s="20"/>
      <c r="B15" s="110" t="s">
        <v>60</v>
      </c>
      <c r="C15" s="51"/>
      <c r="D15" s="51"/>
      <c r="E15" s="51"/>
      <c r="F15" s="52"/>
      <c r="G15" s="106" t="s">
        <v>61</v>
      </c>
      <c r="H15" s="51"/>
      <c r="I15" s="51"/>
      <c r="J15" s="51"/>
      <c r="K15" s="52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2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3.95" customHeight="1" x14ac:dyDescent="0.3">
      <c r="A17" s="23"/>
      <c r="B17" s="56" t="s">
        <v>62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23"/>
    </row>
    <row r="18" spans="1:29" ht="22.05" customHeight="1" x14ac:dyDescent="0.3">
      <c r="A18" s="20"/>
      <c r="B18" s="96" t="s">
        <v>27</v>
      </c>
      <c r="C18" s="46"/>
      <c r="D18" s="46"/>
      <c r="E18" s="87" t="s">
        <v>28</v>
      </c>
      <c r="F18" s="46"/>
      <c r="G18" s="46"/>
      <c r="H18" s="46"/>
      <c r="I18" s="95" t="s">
        <v>63</v>
      </c>
      <c r="J18" s="46"/>
      <c r="K18" s="46"/>
      <c r="L18" s="46"/>
      <c r="M18" s="93" t="s">
        <v>64</v>
      </c>
      <c r="N18" s="46"/>
      <c r="O18" s="46"/>
      <c r="P18" s="46"/>
      <c r="Q18" s="88" t="s">
        <v>31</v>
      </c>
      <c r="R18" s="46"/>
      <c r="S18" s="46"/>
      <c r="T18" s="90" t="s">
        <v>65</v>
      </c>
      <c r="U18" s="46"/>
      <c r="V18" s="46"/>
      <c r="W18" s="46"/>
      <c r="X18" s="46"/>
      <c r="Y18" s="20"/>
      <c r="Z18" s="20"/>
      <c r="AA18" s="20"/>
      <c r="AB18" s="20"/>
      <c r="AC18" s="20"/>
    </row>
    <row r="19" spans="1:29" ht="19.95" customHeight="1" x14ac:dyDescent="0.3">
      <c r="A19" s="20"/>
      <c r="B19" s="115" t="s">
        <v>33</v>
      </c>
      <c r="C19" s="46"/>
      <c r="D19" s="46"/>
      <c r="E19" s="116">
        <f>COUNTIF('Master Leads'!G:G,6)</f>
        <v>1</v>
      </c>
      <c r="F19" s="46"/>
      <c r="G19" s="46"/>
      <c r="H19" s="46"/>
      <c r="I19" s="127">
        <f>COUNTIFS('Master Leads'!G:G,6,'Master Leads'!O:O,"Yes")</f>
        <v>0</v>
      </c>
      <c r="J19" s="46"/>
      <c r="K19" s="46"/>
      <c r="L19" s="46"/>
      <c r="M19" s="101">
        <f>COUNTIF('Master Leads'!G:G,6)-COUNTIFS('Master Leads'!G:G,6,'Master Leads'!O:O,"Yes")</f>
        <v>1</v>
      </c>
      <c r="N19" s="46"/>
      <c r="O19" s="46"/>
      <c r="P19" s="46"/>
      <c r="Q19" s="99">
        <f>IFERROR(COUNTIFS('Master Leads'!G:G,6,'Master Leads'!O:O,"Yes")/COUNTIF('Master Leads'!G:G,6),0)</f>
        <v>0</v>
      </c>
      <c r="R19" s="46"/>
      <c r="S19" s="46"/>
      <c r="T19" s="99">
        <f>IFERROR(COUNTIFS('Master Leads'!G:G,6,'Master Leads'!O:O,"Yes")/(COUNTIFS('Master Leads'!G:G,6,'Master Leads'!F:F,"Interested")+COUNTIFS('Master Leads'!G:G,6,'Master Leads'!O:O,"Yes")),0)</f>
        <v>0</v>
      </c>
      <c r="U19" s="46"/>
      <c r="V19" s="46"/>
      <c r="W19" s="46"/>
      <c r="X19" s="46"/>
      <c r="Y19" s="20"/>
      <c r="Z19" s="20"/>
      <c r="AA19" s="20"/>
      <c r="AB19" s="20"/>
      <c r="AC19" s="20"/>
    </row>
    <row r="20" spans="1:29" ht="19.95" customHeight="1" x14ac:dyDescent="0.3">
      <c r="A20" s="20"/>
      <c r="B20" s="105" t="s">
        <v>34</v>
      </c>
      <c r="C20" s="46"/>
      <c r="D20" s="46"/>
      <c r="E20" s="104">
        <f>COUNTIF('Master Leads'!G:G,7)</f>
        <v>1</v>
      </c>
      <c r="F20" s="46"/>
      <c r="G20" s="46"/>
      <c r="H20" s="46"/>
      <c r="I20" s="114">
        <f>COUNTIFS('Master Leads'!G:G,7,'Master Leads'!O:O,"Yes")</f>
        <v>1</v>
      </c>
      <c r="J20" s="46"/>
      <c r="K20" s="46"/>
      <c r="L20" s="46"/>
      <c r="M20" s="134">
        <f>COUNTIF('Master Leads'!G:G,7)-COUNTIFS('Master Leads'!G:G,7,'Master Leads'!O:O,"Yes")</f>
        <v>0</v>
      </c>
      <c r="N20" s="46"/>
      <c r="O20" s="46"/>
      <c r="P20" s="46"/>
      <c r="Q20" s="100">
        <f>IFERROR(COUNTIFS('Master Leads'!G:G,7,'Master Leads'!O:O,"Yes")/COUNTIF('Master Leads'!G:G,7),0)</f>
        <v>1</v>
      </c>
      <c r="R20" s="46"/>
      <c r="S20" s="46"/>
      <c r="T20" s="100">
        <f>IFERROR(COUNTIFS('Master Leads'!G:G,7,'Master Leads'!O:O,"Yes")/(COUNTIFS('Master Leads'!G:G,7,'Master Leads'!F:F,"Interested")+COUNTIFS('Master Leads'!G:G,7,'Master Leads'!O:O,"Yes")),0)</f>
        <v>1</v>
      </c>
      <c r="U20" s="46"/>
      <c r="V20" s="46"/>
      <c r="W20" s="46"/>
      <c r="X20" s="46"/>
      <c r="Y20" s="20"/>
      <c r="Z20" s="20"/>
      <c r="AA20" s="20"/>
      <c r="AB20" s="20"/>
      <c r="AC20" s="20"/>
    </row>
    <row r="21" spans="1:29" ht="19.95" customHeight="1" x14ac:dyDescent="0.3">
      <c r="A21" s="20"/>
      <c r="B21" s="124" t="s">
        <v>35</v>
      </c>
      <c r="C21" s="46"/>
      <c r="D21" s="46"/>
      <c r="E21" s="116">
        <f>COUNTIF('Master Leads'!G:G,8)</f>
        <v>1</v>
      </c>
      <c r="F21" s="46"/>
      <c r="G21" s="46"/>
      <c r="H21" s="46"/>
      <c r="I21" s="127">
        <f>COUNTIFS('Master Leads'!G:G,8,'Master Leads'!O:O,"Yes")</f>
        <v>0</v>
      </c>
      <c r="J21" s="46"/>
      <c r="K21" s="46"/>
      <c r="L21" s="46"/>
      <c r="M21" s="101">
        <f>COUNTIF('Master Leads'!G:G,8)-COUNTIFS('Master Leads'!G:G,8,'Master Leads'!O:O,"Yes")</f>
        <v>1</v>
      </c>
      <c r="N21" s="46"/>
      <c r="O21" s="46"/>
      <c r="P21" s="46"/>
      <c r="Q21" s="99">
        <f>IFERROR(COUNTIFS('Master Leads'!G:G,8,'Master Leads'!O:O,"Yes")/COUNTIF('Master Leads'!G:G,8),0)</f>
        <v>0</v>
      </c>
      <c r="R21" s="46"/>
      <c r="S21" s="46"/>
      <c r="T21" s="99">
        <f>IFERROR(COUNTIFS('Master Leads'!G:G,8,'Master Leads'!O:O,"Yes")/(COUNTIFS('Master Leads'!G:G,8,'Master Leads'!F:F,"Interested")+COUNTIFS('Master Leads'!G:G,8,'Master Leads'!O:O,"Yes")),0)</f>
        <v>0</v>
      </c>
      <c r="U21" s="46"/>
      <c r="V21" s="46"/>
      <c r="W21" s="46"/>
      <c r="X21" s="46"/>
      <c r="Y21" s="20"/>
      <c r="Z21" s="20"/>
      <c r="AA21" s="20"/>
      <c r="AB21" s="20"/>
      <c r="AC21" s="20"/>
    </row>
    <row r="22" spans="1:29" ht="19.95" customHeight="1" x14ac:dyDescent="0.3">
      <c r="A22" s="20"/>
      <c r="B22" s="133" t="s">
        <v>36</v>
      </c>
      <c r="C22" s="46"/>
      <c r="D22" s="46"/>
      <c r="E22" s="104">
        <f>COUNTIF('Master Leads'!G:G,9)</f>
        <v>1</v>
      </c>
      <c r="F22" s="46"/>
      <c r="G22" s="46"/>
      <c r="H22" s="46"/>
      <c r="I22" s="114">
        <f>COUNTIFS('Master Leads'!G:G,9,'Master Leads'!O:O,"Yes")</f>
        <v>0</v>
      </c>
      <c r="J22" s="46"/>
      <c r="K22" s="46"/>
      <c r="L22" s="46"/>
      <c r="M22" s="134">
        <f>COUNTIF('Master Leads'!G:G,9)-COUNTIFS('Master Leads'!G:G,9,'Master Leads'!O:O,"Yes")</f>
        <v>1</v>
      </c>
      <c r="N22" s="46"/>
      <c r="O22" s="46"/>
      <c r="P22" s="46"/>
      <c r="Q22" s="100">
        <f>IFERROR(COUNTIFS('Master Leads'!G:G,9,'Master Leads'!O:O,"Yes")/COUNTIF('Master Leads'!G:G,9),0)</f>
        <v>0</v>
      </c>
      <c r="R22" s="46"/>
      <c r="S22" s="46"/>
      <c r="T22" s="100">
        <f>IFERROR(COUNTIFS('Master Leads'!G:G,9,'Master Leads'!O:O,"Yes")/(COUNTIFS('Master Leads'!G:G,9,'Master Leads'!F:F,"Interested")+COUNTIFS('Master Leads'!G:G,9,'Master Leads'!O:O,"Yes")),0)</f>
        <v>0</v>
      </c>
      <c r="U22" s="46"/>
      <c r="V22" s="46"/>
      <c r="W22" s="46"/>
      <c r="X22" s="46"/>
      <c r="Y22" s="20"/>
      <c r="Z22" s="20"/>
      <c r="AA22" s="20"/>
      <c r="AB22" s="20"/>
      <c r="AC22" s="20"/>
    </row>
    <row r="23" spans="1:29" ht="19.95" customHeight="1" x14ac:dyDescent="0.3">
      <c r="A23" s="20"/>
      <c r="B23" s="125" t="s">
        <v>37</v>
      </c>
      <c r="C23" s="46"/>
      <c r="D23" s="46"/>
      <c r="E23" s="116">
        <f>COUNTIF('Master Leads'!G:G,10)</f>
        <v>1</v>
      </c>
      <c r="F23" s="46"/>
      <c r="G23" s="46"/>
      <c r="H23" s="46"/>
      <c r="I23" s="127">
        <f>COUNTIFS('Master Leads'!G:G,10,'Master Leads'!O:O,"Yes")</f>
        <v>0</v>
      </c>
      <c r="J23" s="46"/>
      <c r="K23" s="46"/>
      <c r="L23" s="46"/>
      <c r="M23" s="101">
        <f>COUNTIF('Master Leads'!G:G,10)-COUNTIFS('Master Leads'!G:G,10,'Master Leads'!O:O,"Yes")</f>
        <v>1</v>
      </c>
      <c r="N23" s="46"/>
      <c r="O23" s="46"/>
      <c r="P23" s="46"/>
      <c r="Q23" s="99">
        <f>IFERROR(COUNTIFS('Master Leads'!G:G,10,'Master Leads'!O:O,"Yes")/COUNTIF('Master Leads'!G:G,10),0)</f>
        <v>0</v>
      </c>
      <c r="R23" s="46"/>
      <c r="S23" s="46"/>
      <c r="T23" s="99">
        <f>IFERROR(COUNTIFS('Master Leads'!G:G,10,'Master Leads'!O:O,"Yes")/(COUNTIFS('Master Leads'!G:G,10,'Master Leads'!F:F,"Interested")+COUNTIFS('Master Leads'!G:G,10,'Master Leads'!O:O,"Yes")),0)</f>
        <v>0</v>
      </c>
      <c r="U23" s="46"/>
      <c r="V23" s="46"/>
      <c r="W23" s="46"/>
      <c r="X23" s="46"/>
      <c r="Y23" s="20"/>
      <c r="Z23" s="20"/>
      <c r="AA23" s="20"/>
      <c r="AB23" s="20"/>
      <c r="AC23" s="20"/>
    </row>
    <row r="24" spans="1:29" ht="19.95" customHeight="1" x14ac:dyDescent="0.3">
      <c r="A24" s="20"/>
      <c r="B24" s="136" t="s">
        <v>38</v>
      </c>
      <c r="C24" s="46"/>
      <c r="D24" s="46"/>
      <c r="E24" s="104">
        <f>COUNTIF('Master Leads'!G:G,11)</f>
        <v>1</v>
      </c>
      <c r="F24" s="46"/>
      <c r="G24" s="46"/>
      <c r="H24" s="46"/>
      <c r="I24" s="114">
        <f>COUNTIFS('Master Leads'!G:G,11,'Master Leads'!O:O,"Yes")</f>
        <v>1</v>
      </c>
      <c r="J24" s="46"/>
      <c r="K24" s="46"/>
      <c r="L24" s="46"/>
      <c r="M24" s="134">
        <f>COUNTIF('Master Leads'!G:G,11)-COUNTIFS('Master Leads'!G:G,11,'Master Leads'!O:O,"Yes")</f>
        <v>0</v>
      </c>
      <c r="N24" s="46"/>
      <c r="O24" s="46"/>
      <c r="P24" s="46"/>
      <c r="Q24" s="100">
        <f>IFERROR(COUNTIFS('Master Leads'!G:G,11,'Master Leads'!O:O,"Yes")/COUNTIF('Master Leads'!G:G,11),0)</f>
        <v>1</v>
      </c>
      <c r="R24" s="46"/>
      <c r="S24" s="46"/>
      <c r="T24" s="100">
        <f>IFERROR(COUNTIFS('Master Leads'!G:G,11,'Master Leads'!O:O,"Yes")/(COUNTIFS('Master Leads'!G:G,11,'Master Leads'!F:F,"Interested")+COUNTIFS('Master Leads'!G:G,11,'Master Leads'!O:O,"Yes")),0)</f>
        <v>1</v>
      </c>
      <c r="U24" s="46"/>
      <c r="V24" s="46"/>
      <c r="W24" s="46"/>
      <c r="X24" s="46"/>
      <c r="Y24" s="20"/>
      <c r="Z24" s="20"/>
      <c r="AA24" s="20"/>
      <c r="AB24" s="20"/>
      <c r="AC24" s="20"/>
    </row>
    <row r="25" spans="1:29" ht="22.05" customHeight="1" x14ac:dyDescent="0.3">
      <c r="A25" s="20"/>
      <c r="B25" s="132" t="s">
        <v>39</v>
      </c>
      <c r="C25" s="46"/>
      <c r="D25" s="46"/>
      <c r="E25" s="107">
        <f>COUNTA('Master Leads'!B:B)-1</f>
        <v>10</v>
      </c>
      <c r="F25" s="46"/>
      <c r="G25" s="46"/>
      <c r="H25" s="46"/>
      <c r="I25" s="107">
        <f>COUNTIF('Master Leads'!O:O,"Yes")</f>
        <v>2</v>
      </c>
      <c r="J25" s="46"/>
      <c r="K25" s="46"/>
      <c r="L25" s="46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0"/>
      <c r="AB25" s="20"/>
      <c r="AC25" s="20"/>
    </row>
    <row r="26" spans="1:29" ht="25.95" customHeight="1" x14ac:dyDescent="0.3">
      <c r="A26" s="23"/>
      <c r="B26" s="56" t="s">
        <v>66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23"/>
    </row>
    <row r="27" spans="1:29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3.9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3.9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3.9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3.95" customHeight="1" x14ac:dyDescent="0.3"/>
    <row r="86" spans="1:29" ht="13.95" customHeight="1" x14ac:dyDescent="0.3"/>
    <row r="87" spans="1:29" ht="13.95" customHeight="1" x14ac:dyDescent="0.3"/>
    <row r="88" spans="1:29" ht="13.95" customHeight="1" x14ac:dyDescent="0.3"/>
    <row r="89" spans="1:29" ht="13.95" customHeight="1" x14ac:dyDescent="0.3"/>
  </sheetData>
  <mergeCells count="79">
    <mergeCell ref="B2:AB2"/>
    <mergeCell ref="T5:X5"/>
    <mergeCell ref="E25:H25"/>
    <mergeCell ref="I19:L19"/>
    <mergeCell ref="E18:H18"/>
    <mergeCell ref="H6:L6"/>
    <mergeCell ref="G10:K10"/>
    <mergeCell ref="Q10:U10"/>
    <mergeCell ref="B13:F13"/>
    <mergeCell ref="T21:X21"/>
    <mergeCell ref="E20:H20"/>
    <mergeCell ref="T23:X23"/>
    <mergeCell ref="B25:D25"/>
    <mergeCell ref="Q21:S21"/>
    <mergeCell ref="T7:X7"/>
    <mergeCell ref="I21:L21"/>
    <mergeCell ref="B3:AB3"/>
    <mergeCell ref="L11:P11"/>
    <mergeCell ref="B21:D21"/>
    <mergeCell ref="I24:L24"/>
    <mergeCell ref="B23:D23"/>
    <mergeCell ref="B22:D22"/>
    <mergeCell ref="T18:X18"/>
    <mergeCell ref="I23:L23"/>
    <mergeCell ref="M24:P24"/>
    <mergeCell ref="B17:AB17"/>
    <mergeCell ref="B14:F14"/>
    <mergeCell ref="N5:R5"/>
    <mergeCell ref="B24:D24"/>
    <mergeCell ref="M20:P20"/>
    <mergeCell ref="E19:H19"/>
    <mergeCell ref="Q9:U9"/>
    <mergeCell ref="B26:AB26"/>
    <mergeCell ref="Q24:S24"/>
    <mergeCell ref="Q18:S18"/>
    <mergeCell ref="B5:F5"/>
    <mergeCell ref="M21:P21"/>
    <mergeCell ref="T19:X19"/>
    <mergeCell ref="I22:L22"/>
    <mergeCell ref="M22:P22"/>
    <mergeCell ref="Q11:U11"/>
    <mergeCell ref="B18:D18"/>
    <mergeCell ref="Q20:S20"/>
    <mergeCell ref="H5:L5"/>
    <mergeCell ref="G9:K9"/>
    <mergeCell ref="M18:P18"/>
    <mergeCell ref="Q19:S19"/>
    <mergeCell ref="T20:X20"/>
    <mergeCell ref="G11:K11"/>
    <mergeCell ref="I20:L20"/>
    <mergeCell ref="M19:P19"/>
    <mergeCell ref="H7:L7"/>
    <mergeCell ref="L10:P10"/>
    <mergeCell ref="G14:K14"/>
    <mergeCell ref="L9:P9"/>
    <mergeCell ref="I25:L25"/>
    <mergeCell ref="T22:X22"/>
    <mergeCell ref="B6:F6"/>
    <mergeCell ref="I18:L18"/>
    <mergeCell ref="T6:X6"/>
    <mergeCell ref="B15:F15"/>
    <mergeCell ref="N6:R6"/>
    <mergeCell ref="E22:H22"/>
    <mergeCell ref="B19:D19"/>
    <mergeCell ref="Q22:S22"/>
    <mergeCell ref="E21:H21"/>
    <mergeCell ref="E23:H23"/>
    <mergeCell ref="B10:F10"/>
    <mergeCell ref="B9:F9"/>
    <mergeCell ref="B7:F7"/>
    <mergeCell ref="Q23:S23"/>
    <mergeCell ref="T24:X24"/>
    <mergeCell ref="N7:R7"/>
    <mergeCell ref="M23:P23"/>
    <mergeCell ref="B11:F11"/>
    <mergeCell ref="G13:K13"/>
    <mergeCell ref="E24:H24"/>
    <mergeCell ref="B20:D20"/>
    <mergeCell ref="G15:K1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2E81"/>
  </sheetPr>
  <dimension ref="A1:AK89"/>
  <sheetViews>
    <sheetView showGridLines="0" zoomScale="85" workbookViewId="0">
      <selection activeCell="AN20" sqref="AN20"/>
    </sheetView>
  </sheetViews>
  <sheetFormatPr defaultRowHeight="14.4" x14ac:dyDescent="0.3"/>
  <cols>
    <col min="1" max="1" width="1.44140625" customWidth="1"/>
    <col min="2" max="39" width="3.44140625" customWidth="1"/>
    <col min="40" max="79" width="13" customWidth="1"/>
  </cols>
  <sheetData>
    <row r="1" spans="1:37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ht="52.05" customHeight="1" x14ac:dyDescent="0.3">
      <c r="A2" s="33"/>
      <c r="B2" s="170" t="s">
        <v>67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33"/>
    </row>
    <row r="3" spans="1:37" ht="19.95" customHeight="1" x14ac:dyDescent="0.3">
      <c r="A3" s="34"/>
      <c r="B3" s="165" t="s">
        <v>68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34"/>
    </row>
    <row r="4" spans="1:37" ht="13.9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ht="25.95" customHeight="1" x14ac:dyDescent="0.3">
      <c r="A5" s="23"/>
      <c r="B5" s="56" t="s">
        <v>69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23"/>
    </row>
    <row r="6" spans="1:37" ht="22.05" customHeight="1" x14ac:dyDescent="0.3">
      <c r="A6" s="20"/>
      <c r="B6" s="96" t="s">
        <v>70</v>
      </c>
      <c r="C6" s="46"/>
      <c r="D6" s="46"/>
      <c r="E6" s="46"/>
      <c r="F6" s="46"/>
      <c r="G6" s="87" t="s">
        <v>28</v>
      </c>
      <c r="H6" s="46"/>
      <c r="I6" s="46"/>
      <c r="J6" s="46"/>
      <c r="K6" s="95" t="s">
        <v>63</v>
      </c>
      <c r="L6" s="46"/>
      <c r="M6" s="46"/>
      <c r="N6" s="46"/>
      <c r="O6" s="88" t="s">
        <v>71</v>
      </c>
      <c r="P6" s="46"/>
      <c r="Q6" s="46"/>
      <c r="R6" s="46"/>
      <c r="S6" s="93" t="s">
        <v>72</v>
      </c>
      <c r="T6" s="46"/>
      <c r="U6" s="46"/>
      <c r="V6" s="46"/>
      <c r="W6" s="90" t="s">
        <v>73</v>
      </c>
      <c r="X6" s="46"/>
      <c r="Y6" s="46"/>
      <c r="Z6" s="46"/>
      <c r="AA6" s="159" t="s">
        <v>31</v>
      </c>
      <c r="AB6" s="46"/>
      <c r="AC6" s="46"/>
      <c r="AD6" s="46"/>
      <c r="AE6" s="155" t="s">
        <v>74</v>
      </c>
      <c r="AF6" s="46"/>
      <c r="AG6" s="46"/>
      <c r="AH6" s="20"/>
      <c r="AI6" s="20"/>
      <c r="AJ6" s="20"/>
      <c r="AK6" s="20"/>
    </row>
    <row r="7" spans="1:37" ht="19.95" customHeight="1" x14ac:dyDescent="0.3">
      <c r="A7" s="20"/>
      <c r="B7" s="139" t="s">
        <v>75</v>
      </c>
      <c r="C7" s="46"/>
      <c r="D7" s="46"/>
      <c r="E7" s="46"/>
      <c r="F7" s="46"/>
      <c r="G7" s="158">
        <f>COUNTIF('Master Leads'!D:D,"maheesha")</f>
        <v>1</v>
      </c>
      <c r="H7" s="46"/>
      <c r="I7" s="46"/>
      <c r="J7" s="46"/>
      <c r="K7" s="146">
        <f>COUNTIFS('Master Leads'!D:D,"maheesha",'Master Leads'!O:O,"Yes")</f>
        <v>0</v>
      </c>
      <c r="L7" s="46"/>
      <c r="M7" s="46"/>
      <c r="N7" s="46"/>
      <c r="O7" s="148">
        <f>COUNTIFS('Master Leads'!D:D,"maheesha",'Master Leads'!F:F,"Converted")</f>
        <v>1</v>
      </c>
      <c r="P7" s="46"/>
      <c r="Q7" s="46"/>
      <c r="R7" s="46"/>
      <c r="S7" s="150">
        <f>COUNTIFS('Master Leads'!D:D,"maheesha",'Master Leads'!F:F,"No Answer")</f>
        <v>0</v>
      </c>
      <c r="T7" s="46"/>
      <c r="U7" s="46"/>
      <c r="V7" s="46"/>
      <c r="W7" s="141">
        <f>IFERROR(COUNTIFS('Master Leads'!D:D,"maheesha",'Master Leads'!F:F,"Converted")/COUNTIF('Master Leads'!D:D,"maheesha"),0)</f>
        <v>1</v>
      </c>
      <c r="X7" s="46"/>
      <c r="Y7" s="46"/>
      <c r="Z7" s="46"/>
      <c r="AA7" s="141">
        <f>IFERROR(COUNTIFS('Master Leads'!D:D,"maheesha",'Master Leads'!O:O,"Yes")/COUNTIF('Master Leads'!D:D,"maheesha"),0)</f>
        <v>0</v>
      </c>
      <c r="AB7" s="46"/>
      <c r="AC7" s="46"/>
      <c r="AD7" s="46"/>
      <c r="AE7" s="152"/>
      <c r="AF7" s="46"/>
      <c r="AG7" s="46"/>
      <c r="AH7" s="20"/>
      <c r="AI7" s="20"/>
      <c r="AJ7" s="20"/>
      <c r="AK7" s="20"/>
    </row>
    <row r="8" spans="1:37" ht="19.95" customHeight="1" x14ac:dyDescent="0.3">
      <c r="A8" s="20"/>
      <c r="B8" s="151" t="s">
        <v>76</v>
      </c>
      <c r="C8" s="46"/>
      <c r="D8" s="46"/>
      <c r="E8" s="46"/>
      <c r="F8" s="46"/>
      <c r="G8" s="104">
        <f>COUNTIF('Master Leads'!D:D,"menik")</f>
        <v>0</v>
      </c>
      <c r="H8" s="46"/>
      <c r="I8" s="46"/>
      <c r="J8" s="46"/>
      <c r="K8" s="114">
        <f>COUNTIFS('Master Leads'!D:D,"menik",'Master Leads'!O:O,"Yes")</f>
        <v>0</v>
      </c>
      <c r="L8" s="46"/>
      <c r="M8" s="46"/>
      <c r="N8" s="46"/>
      <c r="O8" s="142">
        <f>COUNTIFS('Master Leads'!D:D,"menik",'Master Leads'!F:F,"Converted")</f>
        <v>0</v>
      </c>
      <c r="P8" s="46"/>
      <c r="Q8" s="46"/>
      <c r="R8" s="46"/>
      <c r="S8" s="154">
        <f>COUNTIFS('Master Leads'!D:D,"menik",'Master Leads'!F:F,"No Answer")</f>
        <v>0</v>
      </c>
      <c r="T8" s="46"/>
      <c r="U8" s="46"/>
      <c r="V8" s="46"/>
      <c r="W8" s="100">
        <f>IFERROR(COUNTIFS('Master Leads'!D:D,"menik",'Master Leads'!F:F,"Converted")/COUNTIF('Master Leads'!D:D,"menik"),0)</f>
        <v>0</v>
      </c>
      <c r="X8" s="46"/>
      <c r="Y8" s="46"/>
      <c r="Z8" s="46"/>
      <c r="AA8" s="100">
        <f>IFERROR(COUNTIFS('Master Leads'!D:D,"menik",'Master Leads'!O:O,"Yes")/COUNTIF('Master Leads'!D:D,"menik"),0)</f>
        <v>0</v>
      </c>
      <c r="AB8" s="46"/>
      <c r="AC8" s="46"/>
      <c r="AD8" s="46"/>
      <c r="AE8" s="145"/>
      <c r="AF8" s="46"/>
      <c r="AG8" s="46"/>
      <c r="AH8" s="20"/>
      <c r="AI8" s="20"/>
      <c r="AJ8" s="20"/>
      <c r="AK8" s="20"/>
    </row>
    <row r="9" spans="1:37" ht="19.95" customHeight="1" x14ac:dyDescent="0.3">
      <c r="A9" s="20"/>
      <c r="B9" s="160" t="s">
        <v>77</v>
      </c>
      <c r="C9" s="46"/>
      <c r="D9" s="46"/>
      <c r="E9" s="46"/>
      <c r="F9" s="46"/>
      <c r="G9" s="158">
        <f>COUNTIF('Master Leads'!D:D,"kavinda")</f>
        <v>2</v>
      </c>
      <c r="H9" s="46"/>
      <c r="I9" s="46"/>
      <c r="J9" s="46"/>
      <c r="K9" s="146">
        <f>COUNTIFS('Master Leads'!D:D,"kavinda",'Master Leads'!O:O,"Yes")</f>
        <v>1</v>
      </c>
      <c r="L9" s="46"/>
      <c r="M9" s="46"/>
      <c r="N9" s="46"/>
      <c r="O9" s="148">
        <f>COUNTIFS('Master Leads'!D:D,"kavinda",'Master Leads'!F:F,"Converted")</f>
        <v>0</v>
      </c>
      <c r="P9" s="46"/>
      <c r="Q9" s="46"/>
      <c r="R9" s="46"/>
      <c r="S9" s="150">
        <f>COUNTIFS('Master Leads'!D:D,"kavinda",'Master Leads'!F:F,"No Answer")</f>
        <v>1</v>
      </c>
      <c r="T9" s="46"/>
      <c r="U9" s="46"/>
      <c r="V9" s="46"/>
      <c r="W9" s="141">
        <f>IFERROR(COUNTIFS('Master Leads'!D:D,"kavinda",'Master Leads'!F:F,"Converted")/COUNTIF('Master Leads'!D:D,"kavinda"),0)</f>
        <v>0</v>
      </c>
      <c r="X9" s="46"/>
      <c r="Y9" s="46"/>
      <c r="Z9" s="46"/>
      <c r="AA9" s="141">
        <f>IFERROR(COUNTIFS('Master Leads'!D:D,"kavinda",'Master Leads'!O:O,"Yes")/COUNTIF('Master Leads'!D:D,"kavinda"),0)</f>
        <v>0.5</v>
      </c>
      <c r="AB9" s="46"/>
      <c r="AC9" s="46"/>
      <c r="AD9" s="46"/>
      <c r="AE9" s="152"/>
      <c r="AF9" s="46"/>
      <c r="AG9" s="46"/>
      <c r="AH9" s="20"/>
      <c r="AI9" s="20"/>
      <c r="AJ9" s="20"/>
      <c r="AK9" s="20"/>
    </row>
    <row r="10" spans="1:37" ht="19.95" customHeight="1" x14ac:dyDescent="0.3">
      <c r="A10" s="20"/>
      <c r="B10" s="156" t="s">
        <v>78</v>
      </c>
      <c r="C10" s="46"/>
      <c r="D10" s="46"/>
      <c r="E10" s="46"/>
      <c r="F10" s="46"/>
      <c r="G10" s="104">
        <f>COUNTIF('Master Leads'!D:D,"umesh")</f>
        <v>4</v>
      </c>
      <c r="H10" s="46"/>
      <c r="I10" s="46"/>
      <c r="J10" s="46"/>
      <c r="K10" s="114">
        <f>COUNTIFS('Master Leads'!D:D,"umesh",'Master Leads'!O:O,"Yes")</f>
        <v>0</v>
      </c>
      <c r="L10" s="46"/>
      <c r="M10" s="46"/>
      <c r="N10" s="46"/>
      <c r="O10" s="142">
        <f>COUNTIFS('Master Leads'!D:D,"umesh",'Master Leads'!F:F,"Converted")</f>
        <v>1</v>
      </c>
      <c r="P10" s="46"/>
      <c r="Q10" s="46"/>
      <c r="R10" s="46"/>
      <c r="S10" s="154">
        <f>COUNTIFS('Master Leads'!D:D,"umesh",'Master Leads'!F:F,"No Answer")</f>
        <v>0</v>
      </c>
      <c r="T10" s="46"/>
      <c r="U10" s="46"/>
      <c r="V10" s="46"/>
      <c r="W10" s="100">
        <f>IFERROR(COUNTIFS('Master Leads'!D:D,"umesh",'Master Leads'!F:F,"Converted")/COUNTIF('Master Leads'!D:D,"umesh"),0)</f>
        <v>0.25</v>
      </c>
      <c r="X10" s="46"/>
      <c r="Y10" s="46"/>
      <c r="Z10" s="46"/>
      <c r="AA10" s="100">
        <f>IFERROR(COUNTIFS('Master Leads'!D:D,"umesh",'Master Leads'!O:O,"Yes")/COUNTIF('Master Leads'!D:D,"umesh"),0)</f>
        <v>0</v>
      </c>
      <c r="AB10" s="46"/>
      <c r="AC10" s="46"/>
      <c r="AD10" s="46"/>
      <c r="AE10" s="145"/>
      <c r="AF10" s="46"/>
      <c r="AG10" s="46"/>
      <c r="AH10" s="20"/>
      <c r="AI10" s="20"/>
      <c r="AJ10" s="20"/>
      <c r="AK10" s="20"/>
    </row>
    <row r="11" spans="1:37" ht="19.95" customHeight="1" x14ac:dyDescent="0.3">
      <c r="A11" s="20"/>
      <c r="B11" s="149" t="s">
        <v>79</v>
      </c>
      <c r="C11" s="46"/>
      <c r="D11" s="46"/>
      <c r="E11" s="46"/>
      <c r="F11" s="46"/>
      <c r="G11" s="158">
        <f>COUNTIF('Master Leads'!D:D,"Avishka")</f>
        <v>0</v>
      </c>
      <c r="H11" s="46"/>
      <c r="I11" s="46"/>
      <c r="J11" s="46"/>
      <c r="K11" s="146">
        <f>COUNTIFS('Master Leads'!D:D,"Avishka",'Master Leads'!O:O,"Yes")</f>
        <v>0</v>
      </c>
      <c r="L11" s="46"/>
      <c r="M11" s="46"/>
      <c r="N11" s="46"/>
      <c r="O11" s="148">
        <f>COUNTIFS('Master Leads'!D:D,"Avishka",'Master Leads'!F:F,"Converted")</f>
        <v>0</v>
      </c>
      <c r="P11" s="46"/>
      <c r="Q11" s="46"/>
      <c r="R11" s="46"/>
      <c r="S11" s="150">
        <f>COUNTIFS('Master Leads'!D:D,"Avishka",'Master Leads'!F:F,"No Answer")</f>
        <v>0</v>
      </c>
      <c r="T11" s="46"/>
      <c r="U11" s="46"/>
      <c r="V11" s="46"/>
      <c r="W11" s="141">
        <f>IFERROR(COUNTIFS('Master Leads'!D:D,"Avishka",'Master Leads'!F:F,"Converted")/COUNTIF('Master Leads'!D:D,"Avishka"),0)</f>
        <v>0</v>
      </c>
      <c r="X11" s="46"/>
      <c r="Y11" s="46"/>
      <c r="Z11" s="46"/>
      <c r="AA11" s="141">
        <f>IFERROR(COUNTIFS('Master Leads'!D:D,"Avishka",'Master Leads'!O:O,"Yes")/COUNTIF('Master Leads'!D:D,"Avishka"),0)</f>
        <v>0</v>
      </c>
      <c r="AB11" s="46"/>
      <c r="AC11" s="46"/>
      <c r="AD11" s="46"/>
      <c r="AE11" s="152"/>
      <c r="AF11" s="46"/>
      <c r="AG11" s="46"/>
      <c r="AH11" s="20"/>
      <c r="AI11" s="20"/>
      <c r="AJ11" s="20"/>
      <c r="AK11" s="20"/>
    </row>
    <row r="12" spans="1:37" ht="19.95" customHeight="1" x14ac:dyDescent="0.3">
      <c r="A12" s="20"/>
      <c r="B12" s="166" t="s">
        <v>80</v>
      </c>
      <c r="C12" s="46"/>
      <c r="D12" s="46"/>
      <c r="E12" s="46"/>
      <c r="F12" s="46"/>
      <c r="G12" s="104">
        <f>COUNTIF('Master Leads'!D:D,"Wihanga")</f>
        <v>0</v>
      </c>
      <c r="H12" s="46"/>
      <c r="I12" s="46"/>
      <c r="J12" s="46"/>
      <c r="K12" s="114">
        <f>COUNTIFS('Master Leads'!D:D,"Wihanga",'Master Leads'!O:O,"Yes")</f>
        <v>0</v>
      </c>
      <c r="L12" s="46"/>
      <c r="M12" s="46"/>
      <c r="N12" s="46"/>
      <c r="O12" s="142">
        <f>COUNTIFS('Master Leads'!D:D,"Wihanga",'Master Leads'!F:F,"Converted")</f>
        <v>0</v>
      </c>
      <c r="P12" s="46"/>
      <c r="Q12" s="46"/>
      <c r="R12" s="46"/>
      <c r="S12" s="154">
        <f>COUNTIFS('Master Leads'!D:D,"Wihanga",'Master Leads'!F:F,"No Answer")</f>
        <v>0</v>
      </c>
      <c r="T12" s="46"/>
      <c r="U12" s="46"/>
      <c r="V12" s="46"/>
      <c r="W12" s="100">
        <f>IFERROR(COUNTIFS('Master Leads'!D:D,"Wihanga",'Master Leads'!F:F,"Converted")/COUNTIF('Master Leads'!D:D,"Wihanga"),0)</f>
        <v>0</v>
      </c>
      <c r="X12" s="46"/>
      <c r="Y12" s="46"/>
      <c r="Z12" s="46"/>
      <c r="AA12" s="100">
        <f>IFERROR(COUNTIFS('Master Leads'!D:D,"Wihanga",'Master Leads'!O:O,"Yes")/COUNTIF('Master Leads'!D:D,"Wihanga"),0)</f>
        <v>0</v>
      </c>
      <c r="AB12" s="46"/>
      <c r="AC12" s="46"/>
      <c r="AD12" s="46"/>
      <c r="AE12" s="145"/>
      <c r="AF12" s="46"/>
      <c r="AG12" s="46"/>
      <c r="AH12" s="20"/>
      <c r="AI12" s="20"/>
      <c r="AJ12" s="20"/>
      <c r="AK12" s="20"/>
    </row>
    <row r="13" spans="1:37" ht="19.95" customHeight="1" x14ac:dyDescent="0.3">
      <c r="A13" s="20"/>
      <c r="B13" s="144" t="s">
        <v>81</v>
      </c>
      <c r="C13" s="46"/>
      <c r="D13" s="46"/>
      <c r="E13" s="46"/>
      <c r="F13" s="46"/>
      <c r="G13" s="158">
        <f>COUNTIF('Master Leads'!D:D,"muthumali")</f>
        <v>1</v>
      </c>
      <c r="H13" s="46"/>
      <c r="I13" s="46"/>
      <c r="J13" s="46"/>
      <c r="K13" s="146">
        <f>COUNTIFS('Master Leads'!D:D,"muthumali",'Master Leads'!O:O,"Yes")</f>
        <v>0</v>
      </c>
      <c r="L13" s="46"/>
      <c r="M13" s="46"/>
      <c r="N13" s="46"/>
      <c r="O13" s="148">
        <f>COUNTIFS('Master Leads'!D:D,"muthumali",'Master Leads'!F:F,"Converted")</f>
        <v>0</v>
      </c>
      <c r="P13" s="46"/>
      <c r="Q13" s="46"/>
      <c r="R13" s="46"/>
      <c r="S13" s="150">
        <f>COUNTIFS('Master Leads'!D:D,"muthumali",'Master Leads'!F:F,"No Answer")</f>
        <v>0</v>
      </c>
      <c r="T13" s="46"/>
      <c r="U13" s="46"/>
      <c r="V13" s="46"/>
      <c r="W13" s="141">
        <f>IFERROR(COUNTIFS('Master Leads'!D:D,"muthumali",'Master Leads'!F:F,"Converted")/COUNTIF('Master Leads'!D:D,"muthumali"),0)</f>
        <v>0</v>
      </c>
      <c r="X13" s="46"/>
      <c r="Y13" s="46"/>
      <c r="Z13" s="46"/>
      <c r="AA13" s="141">
        <f>IFERROR(COUNTIFS('Master Leads'!D:D,"muthumali",'Master Leads'!O:O,"Yes")/COUNTIF('Master Leads'!D:D,"muthumali"),0)</f>
        <v>0</v>
      </c>
      <c r="AB13" s="46"/>
      <c r="AC13" s="46"/>
      <c r="AD13" s="46"/>
      <c r="AE13" s="152"/>
      <c r="AF13" s="46"/>
      <c r="AG13" s="46"/>
      <c r="AH13" s="20"/>
      <c r="AI13" s="20"/>
      <c r="AJ13" s="20"/>
      <c r="AK13" s="20"/>
    </row>
    <row r="14" spans="1:37" ht="19.95" customHeight="1" x14ac:dyDescent="0.3">
      <c r="A14" s="20"/>
      <c r="B14" s="169" t="s">
        <v>82</v>
      </c>
      <c r="C14" s="46"/>
      <c r="D14" s="46"/>
      <c r="E14" s="46"/>
      <c r="F14" s="46"/>
      <c r="G14" s="104">
        <f>COUNTIF('Master Leads'!D:D,"shamali")</f>
        <v>0</v>
      </c>
      <c r="H14" s="46"/>
      <c r="I14" s="46"/>
      <c r="J14" s="46"/>
      <c r="K14" s="114">
        <f>COUNTIFS('Master Leads'!D:D,"shamali",'Master Leads'!O:O,"Yes")</f>
        <v>0</v>
      </c>
      <c r="L14" s="46"/>
      <c r="M14" s="46"/>
      <c r="N14" s="46"/>
      <c r="O14" s="142">
        <f>COUNTIFS('Master Leads'!D:D,"shamali",'Master Leads'!F:F,"Converted")</f>
        <v>0</v>
      </c>
      <c r="P14" s="46"/>
      <c r="Q14" s="46"/>
      <c r="R14" s="46"/>
      <c r="S14" s="154">
        <f>COUNTIFS('Master Leads'!D:D,"shamali",'Master Leads'!F:F,"No Answer")</f>
        <v>0</v>
      </c>
      <c r="T14" s="46"/>
      <c r="U14" s="46"/>
      <c r="V14" s="46"/>
      <c r="W14" s="100">
        <f>IFERROR(COUNTIFS('Master Leads'!D:D,"shamali",'Master Leads'!F:F,"Converted")/COUNTIF('Master Leads'!D:D,"shamali"),0)</f>
        <v>0</v>
      </c>
      <c r="X14" s="46"/>
      <c r="Y14" s="46"/>
      <c r="Z14" s="46"/>
      <c r="AA14" s="100">
        <f>IFERROR(COUNTIFS('Master Leads'!D:D,"shamali",'Master Leads'!O:O,"Yes")/COUNTIF('Master Leads'!D:D,"shamali"),0)</f>
        <v>0</v>
      </c>
      <c r="AB14" s="46"/>
      <c r="AC14" s="46"/>
      <c r="AD14" s="46"/>
      <c r="AE14" s="145"/>
      <c r="AF14" s="46"/>
      <c r="AG14" s="46"/>
      <c r="AH14" s="20"/>
      <c r="AI14" s="20"/>
      <c r="AJ14" s="20"/>
      <c r="AK14" s="20"/>
    </row>
    <row r="15" spans="1:37" ht="22.05" customHeight="1" x14ac:dyDescent="0.3">
      <c r="A15" s="20"/>
      <c r="B15" s="132" t="s">
        <v>39</v>
      </c>
      <c r="C15" s="46"/>
      <c r="D15" s="46"/>
      <c r="E15" s="46"/>
      <c r="F15" s="46"/>
      <c r="G15" s="107">
        <f>COUNTA('Master Leads'!B:B)-1</f>
        <v>10</v>
      </c>
      <c r="H15" s="46"/>
      <c r="I15" s="46"/>
      <c r="J15" s="46"/>
      <c r="K15" s="107">
        <f>COUNTIF('Master Leads'!O:O,"Yes")</f>
        <v>2</v>
      </c>
      <c r="L15" s="46"/>
      <c r="M15" s="46"/>
      <c r="N15" s="46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0"/>
    </row>
    <row r="16" spans="1:37" ht="13.9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spans="1:37" ht="25.95" customHeight="1" x14ac:dyDescent="0.3">
      <c r="A17" s="23"/>
      <c r="B17" s="56" t="s">
        <v>83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23"/>
    </row>
    <row r="18" spans="1:37" ht="22.05" customHeight="1" x14ac:dyDescent="0.3">
      <c r="A18" s="20"/>
      <c r="B18" s="96" t="s">
        <v>70</v>
      </c>
      <c r="C18" s="46"/>
      <c r="D18" s="46"/>
      <c r="E18" s="46"/>
      <c r="F18" s="46"/>
      <c r="G18" s="164" t="s">
        <v>33</v>
      </c>
      <c r="H18" s="46"/>
      <c r="I18" s="46"/>
      <c r="J18" s="162" t="s">
        <v>34</v>
      </c>
      <c r="K18" s="46"/>
      <c r="L18" s="46"/>
      <c r="M18" s="167" t="s">
        <v>35</v>
      </c>
      <c r="N18" s="46"/>
      <c r="O18" s="46"/>
      <c r="P18" s="153" t="s">
        <v>36</v>
      </c>
      <c r="Q18" s="46"/>
      <c r="R18" s="46"/>
      <c r="S18" s="161" t="s">
        <v>37</v>
      </c>
      <c r="T18" s="46"/>
      <c r="U18" s="46"/>
      <c r="V18" s="163" t="s">
        <v>38</v>
      </c>
      <c r="W18" s="46"/>
      <c r="X18" s="46"/>
      <c r="Y18" s="168" t="s">
        <v>84</v>
      </c>
      <c r="Z18" s="46"/>
      <c r="AA18" s="46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spans="1:37" ht="19.95" customHeight="1" x14ac:dyDescent="0.3">
      <c r="A19" s="20"/>
      <c r="B19" s="139" t="s">
        <v>75</v>
      </c>
      <c r="C19" s="46"/>
      <c r="D19" s="46"/>
      <c r="E19" s="46"/>
      <c r="F19" s="46"/>
      <c r="G19" s="143">
        <f>COUNTIFS('Master Leads'!D:D,"maheesha",'Master Leads'!G:G,6)</f>
        <v>1</v>
      </c>
      <c r="H19" s="46"/>
      <c r="I19" s="46"/>
      <c r="J19" s="143">
        <f>COUNTIFS('Master Leads'!D:D,"maheesha",'Master Leads'!G:G,7)</f>
        <v>0</v>
      </c>
      <c r="K19" s="46"/>
      <c r="L19" s="46"/>
      <c r="M19" s="143">
        <f>COUNTIFS('Master Leads'!D:D,"maheesha",'Master Leads'!G:G,8)</f>
        <v>0</v>
      </c>
      <c r="N19" s="46"/>
      <c r="O19" s="46"/>
      <c r="P19" s="143">
        <f>COUNTIFS('Master Leads'!D:D,"maheesha",'Master Leads'!G:G,9)</f>
        <v>0</v>
      </c>
      <c r="Q19" s="46"/>
      <c r="R19" s="46"/>
      <c r="S19" s="143">
        <f>COUNTIFS('Master Leads'!D:D,"maheesha",'Master Leads'!G:G,10)</f>
        <v>0</v>
      </c>
      <c r="T19" s="46"/>
      <c r="U19" s="46"/>
      <c r="V19" s="143">
        <f>COUNTIFS('Master Leads'!D:D,"maheesha",'Master Leads'!G:G,11)</f>
        <v>0</v>
      </c>
      <c r="W19" s="46"/>
      <c r="X19" s="46"/>
      <c r="Y19" s="157">
        <f>COUNTIF('Master Leads'!D:D,"maheesha")</f>
        <v>1</v>
      </c>
      <c r="Z19" s="46"/>
      <c r="AA19" s="46"/>
      <c r="AB19" s="20"/>
      <c r="AC19" s="20"/>
      <c r="AD19" s="20"/>
      <c r="AE19" s="20"/>
      <c r="AF19" s="20"/>
      <c r="AG19" s="20"/>
      <c r="AH19" s="20"/>
      <c r="AI19" s="20"/>
      <c r="AJ19" s="20"/>
      <c r="AK19" s="20"/>
    </row>
    <row r="20" spans="1:37" ht="19.95" customHeight="1" x14ac:dyDescent="0.3">
      <c r="A20" s="20"/>
      <c r="B20" s="151" t="s">
        <v>76</v>
      </c>
      <c r="C20" s="46"/>
      <c r="D20" s="46"/>
      <c r="E20" s="46"/>
      <c r="F20" s="46"/>
      <c r="G20" s="140">
        <f>COUNTIFS('Master Leads'!D:D,"menik",'Master Leads'!G:G,6)</f>
        <v>0</v>
      </c>
      <c r="H20" s="46"/>
      <c r="I20" s="46"/>
      <c r="J20" s="140">
        <f>COUNTIFS('Master Leads'!D:D,"menik",'Master Leads'!G:G,7)</f>
        <v>0</v>
      </c>
      <c r="K20" s="46"/>
      <c r="L20" s="46"/>
      <c r="M20" s="140">
        <f>COUNTIFS('Master Leads'!D:D,"menik",'Master Leads'!G:G,8)</f>
        <v>0</v>
      </c>
      <c r="N20" s="46"/>
      <c r="O20" s="46"/>
      <c r="P20" s="140">
        <f>COUNTIFS('Master Leads'!D:D,"menik",'Master Leads'!G:G,9)</f>
        <v>0</v>
      </c>
      <c r="Q20" s="46"/>
      <c r="R20" s="46"/>
      <c r="S20" s="140">
        <f>COUNTIFS('Master Leads'!D:D,"menik",'Master Leads'!G:G,10)</f>
        <v>0</v>
      </c>
      <c r="T20" s="46"/>
      <c r="U20" s="46"/>
      <c r="V20" s="140">
        <f>COUNTIFS('Master Leads'!D:D,"menik",'Master Leads'!G:G,11)</f>
        <v>0</v>
      </c>
      <c r="W20" s="46"/>
      <c r="X20" s="46"/>
      <c r="Y20" s="147">
        <f>COUNTIF('Master Leads'!D:D,"menik")</f>
        <v>0</v>
      </c>
      <c r="Z20" s="46"/>
      <c r="AA20" s="46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spans="1:37" ht="19.95" customHeight="1" x14ac:dyDescent="0.3">
      <c r="A21" s="20"/>
      <c r="B21" s="160" t="s">
        <v>77</v>
      </c>
      <c r="C21" s="46"/>
      <c r="D21" s="46"/>
      <c r="E21" s="46"/>
      <c r="F21" s="46"/>
      <c r="G21" s="143">
        <f>COUNTIFS('Master Leads'!D:D,"kavinda",'Master Leads'!G:G,6)</f>
        <v>0</v>
      </c>
      <c r="H21" s="46"/>
      <c r="I21" s="46"/>
      <c r="J21" s="143">
        <f>COUNTIFS('Master Leads'!D:D,"kavinda",'Master Leads'!G:G,7)</f>
        <v>0</v>
      </c>
      <c r="K21" s="46"/>
      <c r="L21" s="46"/>
      <c r="M21" s="143">
        <f>COUNTIFS('Master Leads'!D:D,"kavinda",'Master Leads'!G:G,8)</f>
        <v>0</v>
      </c>
      <c r="N21" s="46"/>
      <c r="O21" s="46"/>
      <c r="P21" s="143">
        <f>COUNTIFS('Master Leads'!D:D,"kavinda",'Master Leads'!G:G,9)</f>
        <v>0</v>
      </c>
      <c r="Q21" s="46"/>
      <c r="R21" s="46"/>
      <c r="S21" s="143">
        <f>COUNTIFS('Master Leads'!D:D,"kavinda",'Master Leads'!G:G,10)</f>
        <v>0</v>
      </c>
      <c r="T21" s="46"/>
      <c r="U21" s="46"/>
      <c r="V21" s="143">
        <f>COUNTIFS('Master Leads'!D:D,"kavinda",'Master Leads'!G:G,11)</f>
        <v>1</v>
      </c>
      <c r="W21" s="46"/>
      <c r="X21" s="46"/>
      <c r="Y21" s="157">
        <f>COUNTIF('Master Leads'!D:D,"kavinda")</f>
        <v>2</v>
      </c>
      <c r="Z21" s="46"/>
      <c r="AA21" s="46"/>
      <c r="AB21" s="20"/>
      <c r="AC21" s="20"/>
      <c r="AD21" s="20"/>
      <c r="AE21" s="20"/>
      <c r="AF21" s="20"/>
      <c r="AG21" s="20"/>
      <c r="AH21" s="20"/>
      <c r="AI21" s="20"/>
      <c r="AJ21" s="20"/>
      <c r="AK21" s="20"/>
    </row>
    <row r="22" spans="1:37" ht="19.95" customHeight="1" x14ac:dyDescent="0.3">
      <c r="A22" s="20"/>
      <c r="B22" s="156" t="s">
        <v>78</v>
      </c>
      <c r="C22" s="46"/>
      <c r="D22" s="46"/>
      <c r="E22" s="46"/>
      <c r="F22" s="46"/>
      <c r="G22" s="140">
        <f>COUNTIFS('Master Leads'!D:D,"umesh",'Master Leads'!G:G,6)</f>
        <v>0</v>
      </c>
      <c r="H22" s="46"/>
      <c r="I22" s="46"/>
      <c r="J22" s="140">
        <f>COUNTIFS('Master Leads'!D:D,"umesh",'Master Leads'!G:G,7)</f>
        <v>0</v>
      </c>
      <c r="K22" s="46"/>
      <c r="L22" s="46"/>
      <c r="M22" s="140">
        <f>COUNTIFS('Master Leads'!D:D,"umesh",'Master Leads'!G:G,8)</f>
        <v>0</v>
      </c>
      <c r="N22" s="46"/>
      <c r="O22" s="46"/>
      <c r="P22" s="140">
        <f>COUNTIFS('Master Leads'!D:D,"umesh",'Master Leads'!G:G,9)</f>
        <v>1</v>
      </c>
      <c r="Q22" s="46"/>
      <c r="R22" s="46"/>
      <c r="S22" s="140">
        <f>COUNTIFS('Master Leads'!D:D,"umesh",'Master Leads'!G:G,10)</f>
        <v>1</v>
      </c>
      <c r="T22" s="46"/>
      <c r="U22" s="46"/>
      <c r="V22" s="140">
        <f>COUNTIFS('Master Leads'!D:D,"umesh",'Master Leads'!G:G,11)</f>
        <v>0</v>
      </c>
      <c r="W22" s="46"/>
      <c r="X22" s="46"/>
      <c r="Y22" s="147">
        <f>COUNTIF('Master Leads'!D:D,"umesh")</f>
        <v>4</v>
      </c>
      <c r="Z22" s="46"/>
      <c r="AA22" s="46"/>
      <c r="AB22" s="20"/>
      <c r="AC22" s="20"/>
      <c r="AD22" s="20"/>
      <c r="AE22" s="20"/>
      <c r="AF22" s="20"/>
      <c r="AG22" s="20"/>
      <c r="AH22" s="20"/>
      <c r="AI22" s="20"/>
      <c r="AJ22" s="20"/>
      <c r="AK22" s="20"/>
    </row>
    <row r="23" spans="1:37" ht="19.95" customHeight="1" x14ac:dyDescent="0.3">
      <c r="A23" s="20"/>
      <c r="B23" s="149" t="s">
        <v>79</v>
      </c>
      <c r="C23" s="46"/>
      <c r="D23" s="46"/>
      <c r="E23" s="46"/>
      <c r="F23" s="46"/>
      <c r="G23" s="143">
        <f>COUNTIFS('Master Leads'!D:D,"Avishka",'Master Leads'!G:G,6)</f>
        <v>0</v>
      </c>
      <c r="H23" s="46"/>
      <c r="I23" s="46"/>
      <c r="J23" s="143">
        <f>COUNTIFS('Master Leads'!D:D,"Avishka",'Master Leads'!G:G,7)</f>
        <v>0</v>
      </c>
      <c r="K23" s="46"/>
      <c r="L23" s="46"/>
      <c r="M23" s="143">
        <f>COUNTIFS('Master Leads'!D:D,"Avishka",'Master Leads'!G:G,8)</f>
        <v>0</v>
      </c>
      <c r="N23" s="46"/>
      <c r="O23" s="46"/>
      <c r="P23" s="143">
        <f>COUNTIFS('Master Leads'!D:D,"Avishka",'Master Leads'!G:G,9)</f>
        <v>0</v>
      </c>
      <c r="Q23" s="46"/>
      <c r="R23" s="46"/>
      <c r="S23" s="143">
        <f>COUNTIFS('Master Leads'!D:D,"Avishka",'Master Leads'!G:G,10)</f>
        <v>0</v>
      </c>
      <c r="T23" s="46"/>
      <c r="U23" s="46"/>
      <c r="V23" s="143">
        <f>COUNTIFS('Master Leads'!D:D,"Avishka",'Master Leads'!G:G,11)</f>
        <v>0</v>
      </c>
      <c r="W23" s="46"/>
      <c r="X23" s="46"/>
      <c r="Y23" s="157">
        <f>COUNTIF('Master Leads'!D:D,"Avishka")</f>
        <v>0</v>
      </c>
      <c r="Z23" s="46"/>
      <c r="AA23" s="46"/>
      <c r="AB23" s="20"/>
      <c r="AC23" s="20"/>
      <c r="AD23" s="20"/>
      <c r="AE23" s="20"/>
      <c r="AF23" s="20"/>
      <c r="AG23" s="20"/>
      <c r="AH23" s="20"/>
      <c r="AI23" s="20"/>
      <c r="AJ23" s="20"/>
      <c r="AK23" s="20"/>
    </row>
    <row r="24" spans="1:37" ht="19.95" customHeight="1" x14ac:dyDescent="0.3">
      <c r="A24" s="20"/>
      <c r="B24" s="166" t="s">
        <v>80</v>
      </c>
      <c r="C24" s="46"/>
      <c r="D24" s="46"/>
      <c r="E24" s="46"/>
      <c r="F24" s="46"/>
      <c r="G24" s="140">
        <f>COUNTIFS('Master Leads'!D:D,"Wihanga",'Master Leads'!G:G,6)</f>
        <v>0</v>
      </c>
      <c r="H24" s="46"/>
      <c r="I24" s="46"/>
      <c r="J24" s="140">
        <f>COUNTIFS('Master Leads'!D:D,"Wihanga",'Master Leads'!G:G,7)</f>
        <v>0</v>
      </c>
      <c r="K24" s="46"/>
      <c r="L24" s="46"/>
      <c r="M24" s="140">
        <f>COUNTIFS('Master Leads'!D:D,"Wihanga",'Master Leads'!G:G,8)</f>
        <v>0</v>
      </c>
      <c r="N24" s="46"/>
      <c r="O24" s="46"/>
      <c r="P24" s="140">
        <f>COUNTIFS('Master Leads'!D:D,"Wihanga",'Master Leads'!G:G,9)</f>
        <v>0</v>
      </c>
      <c r="Q24" s="46"/>
      <c r="R24" s="46"/>
      <c r="S24" s="140">
        <f>COUNTIFS('Master Leads'!D:D,"Wihanga",'Master Leads'!G:G,10)</f>
        <v>0</v>
      </c>
      <c r="T24" s="46"/>
      <c r="U24" s="46"/>
      <c r="V24" s="140">
        <f>COUNTIFS('Master Leads'!D:D,"Wihanga",'Master Leads'!G:G,11)</f>
        <v>0</v>
      </c>
      <c r="W24" s="46"/>
      <c r="X24" s="46"/>
      <c r="Y24" s="147">
        <f>COUNTIF('Master Leads'!D:D,"Wihanga")</f>
        <v>0</v>
      </c>
      <c r="Z24" s="46"/>
      <c r="AA24" s="46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spans="1:37" ht="19.95" customHeight="1" x14ac:dyDescent="0.3">
      <c r="A25" s="20"/>
      <c r="B25" s="144" t="s">
        <v>81</v>
      </c>
      <c r="C25" s="46"/>
      <c r="D25" s="46"/>
      <c r="E25" s="46"/>
      <c r="F25" s="46"/>
      <c r="G25" s="143">
        <f>COUNTIFS('Master Leads'!D:D,"muthumali",'Master Leads'!G:G,6)</f>
        <v>0</v>
      </c>
      <c r="H25" s="46"/>
      <c r="I25" s="46"/>
      <c r="J25" s="143">
        <f>COUNTIFS('Master Leads'!D:D,"muthumali",'Master Leads'!G:G,7)</f>
        <v>0</v>
      </c>
      <c r="K25" s="46"/>
      <c r="L25" s="46"/>
      <c r="M25" s="143">
        <f>COUNTIFS('Master Leads'!D:D,"muthumali",'Master Leads'!G:G,8)</f>
        <v>1</v>
      </c>
      <c r="N25" s="46"/>
      <c r="O25" s="46"/>
      <c r="P25" s="143">
        <f>COUNTIFS('Master Leads'!D:D,"muthumali",'Master Leads'!G:G,9)</f>
        <v>0</v>
      </c>
      <c r="Q25" s="46"/>
      <c r="R25" s="46"/>
      <c r="S25" s="143">
        <f>COUNTIFS('Master Leads'!D:D,"muthumali",'Master Leads'!G:G,10)</f>
        <v>0</v>
      </c>
      <c r="T25" s="46"/>
      <c r="U25" s="46"/>
      <c r="V25" s="143">
        <f>COUNTIFS('Master Leads'!D:D,"muthumali",'Master Leads'!G:G,11)</f>
        <v>0</v>
      </c>
      <c r="W25" s="46"/>
      <c r="X25" s="46"/>
      <c r="Y25" s="157">
        <f>COUNTIF('Master Leads'!D:D,"muthumali")</f>
        <v>1</v>
      </c>
      <c r="Z25" s="46"/>
      <c r="AA25" s="46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 spans="1:37" ht="19.95" customHeight="1" x14ac:dyDescent="0.3">
      <c r="A26" s="20"/>
      <c r="B26" s="169" t="s">
        <v>82</v>
      </c>
      <c r="C26" s="46"/>
      <c r="D26" s="46"/>
      <c r="E26" s="46"/>
      <c r="F26" s="46"/>
      <c r="G26" s="140">
        <f>COUNTIFS('Master Leads'!D:D,"shamali",'Master Leads'!G:G,6)</f>
        <v>0</v>
      </c>
      <c r="H26" s="46"/>
      <c r="I26" s="46"/>
      <c r="J26" s="140">
        <f>COUNTIFS('Master Leads'!D:D,"shamali",'Master Leads'!G:G,7)</f>
        <v>0</v>
      </c>
      <c r="K26" s="46"/>
      <c r="L26" s="46"/>
      <c r="M26" s="140">
        <f>COUNTIFS('Master Leads'!D:D,"shamali",'Master Leads'!G:G,8)</f>
        <v>0</v>
      </c>
      <c r="N26" s="46"/>
      <c r="O26" s="46"/>
      <c r="P26" s="140">
        <f>COUNTIFS('Master Leads'!D:D,"shamali",'Master Leads'!G:G,9)</f>
        <v>0</v>
      </c>
      <c r="Q26" s="46"/>
      <c r="R26" s="46"/>
      <c r="S26" s="140">
        <f>COUNTIFS('Master Leads'!D:D,"shamali",'Master Leads'!G:G,10)</f>
        <v>0</v>
      </c>
      <c r="T26" s="46"/>
      <c r="U26" s="46"/>
      <c r="V26" s="140">
        <f>COUNTIFS('Master Leads'!D:D,"shamali",'Master Leads'!G:G,11)</f>
        <v>0</v>
      </c>
      <c r="W26" s="46"/>
      <c r="X26" s="46"/>
      <c r="Y26" s="147">
        <f>COUNTIF('Master Leads'!D:D,"shamali")</f>
        <v>0</v>
      </c>
      <c r="Z26" s="46"/>
      <c r="AA26" s="46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spans="1:37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</row>
    <row r="28" spans="1:37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</row>
    <row r="29" spans="1:37" ht="25.95" customHeight="1" x14ac:dyDescent="0.3">
      <c r="A29" s="23"/>
      <c r="B29" s="56" t="s">
        <v>85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23"/>
    </row>
    <row r="30" spans="1:37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37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</row>
    <row r="32" spans="1:37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</row>
    <row r="33" spans="1:37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spans="1:37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spans="1:37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spans="1:37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spans="1:37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spans="1:37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spans="1:37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spans="1:37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spans="1:37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spans="1:37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ht="13.9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spans="1:37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spans="1:37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spans="1:37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spans="1:37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spans="1:37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spans="1:37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spans="1:37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spans="1:37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spans="1:37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spans="1:37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spans="1:37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spans="1:37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spans="1:37" ht="13.9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1:37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spans="1:37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spans="1:37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spans="1:37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spans="1:37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spans="1:37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spans="1:37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spans="1:37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spans="1:37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spans="1:37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spans="1:37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spans="1:37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spans="1:37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</row>
    <row r="71" spans="1:37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spans="1:37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</row>
    <row r="73" spans="1:37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spans="1:37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</row>
    <row r="75" spans="1:37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spans="1:37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</row>
    <row r="77" spans="1:37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spans="1:37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spans="1:37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spans="1:37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spans="1:37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spans="1:37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</row>
    <row r="83" spans="1:37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spans="1:37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</row>
    <row r="85" spans="1:37" ht="13.95" customHeight="1" x14ac:dyDescent="0.3"/>
    <row r="86" spans="1:37" ht="13.95" customHeight="1" x14ac:dyDescent="0.3"/>
    <row r="87" spans="1:37" ht="13.95" customHeight="1" x14ac:dyDescent="0.3"/>
    <row r="88" spans="1:37" ht="13.95" customHeight="1" x14ac:dyDescent="0.3"/>
    <row r="89" spans="1:37" ht="13.95" customHeight="1" x14ac:dyDescent="0.3"/>
  </sheetData>
  <mergeCells count="152">
    <mergeCell ref="B2:AJ2"/>
    <mergeCell ref="J21:L21"/>
    <mergeCell ref="G25:I25"/>
    <mergeCell ref="P24:R24"/>
    <mergeCell ref="S8:V8"/>
    <mergeCell ref="J23:L23"/>
    <mergeCell ref="S11:V11"/>
    <mergeCell ref="P26:R26"/>
    <mergeCell ref="B29:AJ29"/>
    <mergeCell ref="G6:J6"/>
    <mergeCell ref="B24:F24"/>
    <mergeCell ref="K12:N12"/>
    <mergeCell ref="AE12:AG12"/>
    <mergeCell ref="B26:F26"/>
    <mergeCell ref="G14:J14"/>
    <mergeCell ref="S6:V6"/>
    <mergeCell ref="Y21:AA21"/>
    <mergeCell ref="V19:X19"/>
    <mergeCell ref="G18:I18"/>
    <mergeCell ref="AE8:AG8"/>
    <mergeCell ref="B22:F22"/>
    <mergeCell ref="J20:L20"/>
    <mergeCell ref="B3:AJ3"/>
    <mergeCell ref="B12:F12"/>
    <mergeCell ref="S19:U19"/>
    <mergeCell ref="AE10:AG10"/>
    <mergeCell ref="J22:L22"/>
    <mergeCell ref="M18:O18"/>
    <mergeCell ref="W10:Z10"/>
    <mergeCell ref="Y18:AA18"/>
    <mergeCell ref="B14:F14"/>
    <mergeCell ref="O10:R10"/>
    <mergeCell ref="K6:N6"/>
    <mergeCell ref="G9:J9"/>
    <mergeCell ref="AA8:AD8"/>
    <mergeCell ref="V26:X26"/>
    <mergeCell ref="AE9:AG9"/>
    <mergeCell ref="B23:F23"/>
    <mergeCell ref="G20:I20"/>
    <mergeCell ref="G11:J11"/>
    <mergeCell ref="AA10:AD10"/>
    <mergeCell ref="K9:N9"/>
    <mergeCell ref="B13:F13"/>
    <mergeCell ref="S20:U20"/>
    <mergeCell ref="O9:R9"/>
    <mergeCell ref="M19:O19"/>
    <mergeCell ref="AE11:AG11"/>
    <mergeCell ref="G22:I22"/>
    <mergeCell ref="AA9:AD9"/>
    <mergeCell ref="J18:L18"/>
    <mergeCell ref="K11:N11"/>
    <mergeCell ref="S22:U22"/>
    <mergeCell ref="V18:X18"/>
    <mergeCell ref="G21:I21"/>
    <mergeCell ref="S14:V14"/>
    <mergeCell ref="G13:J13"/>
    <mergeCell ref="B5:AJ5"/>
    <mergeCell ref="S9:V9"/>
    <mergeCell ref="Y20:AA20"/>
    <mergeCell ref="J24:L24"/>
    <mergeCell ref="O8:R8"/>
    <mergeCell ref="M22:O22"/>
    <mergeCell ref="O11:R11"/>
    <mergeCell ref="Y22:AA22"/>
    <mergeCell ref="J26:L26"/>
    <mergeCell ref="AA11:AD11"/>
    <mergeCell ref="W14:Z14"/>
    <mergeCell ref="K13:N13"/>
    <mergeCell ref="AE13:AG13"/>
    <mergeCell ref="G12:J12"/>
    <mergeCell ref="P18:R18"/>
    <mergeCell ref="M26:O26"/>
    <mergeCell ref="B8:F8"/>
    <mergeCell ref="S12:V12"/>
    <mergeCell ref="K15:N15"/>
    <mergeCell ref="V25:X25"/>
    <mergeCell ref="AE6:AG6"/>
    <mergeCell ref="W6:Z6"/>
    <mergeCell ref="AA13:AD13"/>
    <mergeCell ref="M23:O23"/>
    <mergeCell ref="O6:R6"/>
    <mergeCell ref="M24:O24"/>
    <mergeCell ref="V22:X22"/>
    <mergeCell ref="G8:J8"/>
    <mergeCell ref="B17:AJ17"/>
    <mergeCell ref="S7:V7"/>
    <mergeCell ref="V21:X21"/>
    <mergeCell ref="S25:U25"/>
    <mergeCell ref="G10:J10"/>
    <mergeCell ref="B6:F6"/>
    <mergeCell ref="B20:F20"/>
    <mergeCell ref="B15:F15"/>
    <mergeCell ref="V23:X23"/>
    <mergeCell ref="M20:O20"/>
    <mergeCell ref="B10:F10"/>
    <mergeCell ref="Y23:AA23"/>
    <mergeCell ref="B19:F19"/>
    <mergeCell ref="G7:J7"/>
    <mergeCell ref="AA6:AD6"/>
    <mergeCell ref="B9:F9"/>
    <mergeCell ref="P20:R20"/>
    <mergeCell ref="AE7:AG7"/>
    <mergeCell ref="Y24:AA24"/>
    <mergeCell ref="P22:R22"/>
    <mergeCell ref="Y26:AA26"/>
    <mergeCell ref="B18:F18"/>
    <mergeCell ref="O14:R14"/>
    <mergeCell ref="M21:O21"/>
    <mergeCell ref="G24:I24"/>
    <mergeCell ref="J25:L25"/>
    <mergeCell ref="AA14:AD14"/>
    <mergeCell ref="W13:Z13"/>
    <mergeCell ref="O13:R13"/>
    <mergeCell ref="P19:R19"/>
    <mergeCell ref="S24:U24"/>
    <mergeCell ref="G26:I26"/>
    <mergeCell ref="S26:U26"/>
    <mergeCell ref="S18:U18"/>
    <mergeCell ref="V20:X20"/>
    <mergeCell ref="P21:R21"/>
    <mergeCell ref="G19:I19"/>
    <mergeCell ref="Y19:AA19"/>
    <mergeCell ref="P23:R23"/>
    <mergeCell ref="M25:O25"/>
    <mergeCell ref="Y25:AA25"/>
    <mergeCell ref="B21:F21"/>
    <mergeCell ref="S21:U21"/>
    <mergeCell ref="P25:R25"/>
    <mergeCell ref="W12:Z12"/>
    <mergeCell ref="B7:F7"/>
    <mergeCell ref="K14:N14"/>
    <mergeCell ref="V24:X24"/>
    <mergeCell ref="W9:Z9"/>
    <mergeCell ref="O12:R12"/>
    <mergeCell ref="S23:U23"/>
    <mergeCell ref="B25:F25"/>
    <mergeCell ref="AE14:AG14"/>
    <mergeCell ref="AA12:AD12"/>
    <mergeCell ref="K7:N7"/>
    <mergeCell ref="O7:R7"/>
    <mergeCell ref="B11:F11"/>
    <mergeCell ref="AA7:AD7"/>
    <mergeCell ref="S10:V10"/>
    <mergeCell ref="W8:Z8"/>
    <mergeCell ref="W11:Z11"/>
    <mergeCell ref="K10:N10"/>
    <mergeCell ref="S13:V13"/>
    <mergeCell ref="J19:L19"/>
    <mergeCell ref="G23:I23"/>
    <mergeCell ref="W7:Z7"/>
    <mergeCell ref="K8:N8"/>
    <mergeCell ref="G15:J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6534"/>
  </sheetPr>
  <dimension ref="A1:AK89"/>
  <sheetViews>
    <sheetView showGridLines="0" tabSelected="1" zoomScale="85" workbookViewId="0">
      <selection activeCell="AO8" sqref="AO8"/>
    </sheetView>
  </sheetViews>
  <sheetFormatPr defaultRowHeight="14.4" x14ac:dyDescent="0.3"/>
  <cols>
    <col min="1" max="1" width="1.44140625" customWidth="1"/>
    <col min="2" max="39" width="3.44140625" customWidth="1"/>
    <col min="40" max="79" width="13" customWidth="1"/>
  </cols>
  <sheetData>
    <row r="1" spans="1:37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ht="52.05" customHeight="1" x14ac:dyDescent="0.3">
      <c r="A2" s="27"/>
      <c r="B2" s="126" t="s">
        <v>86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27"/>
    </row>
    <row r="3" spans="1:37" ht="19.95" customHeight="1" x14ac:dyDescent="0.3">
      <c r="A3" s="28"/>
      <c r="B3" s="122" t="s">
        <v>87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28"/>
    </row>
    <row r="4" spans="1:37" ht="13.9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ht="25.95" customHeight="1" x14ac:dyDescent="0.3">
      <c r="A5" s="23"/>
      <c r="B5" s="56" t="s">
        <v>88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23"/>
    </row>
    <row r="6" spans="1:37" ht="22.05" customHeight="1" x14ac:dyDescent="0.3">
      <c r="A6" s="20"/>
      <c r="B6" s="96" t="s">
        <v>70</v>
      </c>
      <c r="C6" s="46"/>
      <c r="D6" s="46"/>
      <c r="E6" s="46"/>
      <c r="F6" s="46"/>
      <c r="G6" s="164" t="s">
        <v>33</v>
      </c>
      <c r="H6" s="46"/>
      <c r="I6" s="46"/>
      <c r="J6" s="162" t="s">
        <v>34</v>
      </c>
      <c r="K6" s="46"/>
      <c r="L6" s="46"/>
      <c r="M6" s="167" t="s">
        <v>35</v>
      </c>
      <c r="N6" s="46"/>
      <c r="O6" s="46"/>
      <c r="P6" s="153" t="s">
        <v>36</v>
      </c>
      <c r="Q6" s="46"/>
      <c r="R6" s="46"/>
      <c r="S6" s="161" t="s">
        <v>37</v>
      </c>
      <c r="T6" s="46"/>
      <c r="U6" s="46"/>
      <c r="V6" s="163" t="s">
        <v>38</v>
      </c>
      <c r="W6" s="46"/>
      <c r="X6" s="46"/>
      <c r="Y6" s="95" t="s">
        <v>89</v>
      </c>
      <c r="Z6" s="46"/>
      <c r="AA6" s="46"/>
      <c r="AB6" s="46"/>
      <c r="AC6" s="20"/>
      <c r="AD6" s="20"/>
      <c r="AE6" s="20"/>
      <c r="AF6" s="20"/>
      <c r="AG6" s="20"/>
      <c r="AH6" s="20"/>
      <c r="AI6" s="20"/>
      <c r="AJ6" s="20"/>
      <c r="AK6" s="20"/>
    </row>
    <row r="7" spans="1:37" ht="19.95" customHeight="1" x14ac:dyDescent="0.3">
      <c r="A7" s="20"/>
      <c r="B7" s="139" t="s">
        <v>75</v>
      </c>
      <c r="C7" s="46"/>
      <c r="D7" s="46"/>
      <c r="E7" s="46"/>
      <c r="F7" s="46"/>
      <c r="G7" s="171">
        <f>COUNTIFS('Master Leads'!D:D,"maheesha",'Master Leads'!G:G,6,'Master Leads'!O:O,"Yes")</f>
        <v>0</v>
      </c>
      <c r="H7" s="46"/>
      <c r="I7" s="46"/>
      <c r="J7" s="171">
        <f>COUNTIFS('Master Leads'!D:D,"maheesha",'Master Leads'!G:G,7,'Master Leads'!O:O,"Yes")</f>
        <v>0</v>
      </c>
      <c r="K7" s="46"/>
      <c r="L7" s="46"/>
      <c r="M7" s="171">
        <f>COUNTIFS('Master Leads'!D:D,"maheesha",'Master Leads'!G:G,8,'Master Leads'!O:O,"Yes")</f>
        <v>0</v>
      </c>
      <c r="N7" s="46"/>
      <c r="O7" s="46"/>
      <c r="P7" s="171">
        <f>COUNTIFS('Master Leads'!D:D,"maheesha",'Master Leads'!G:G,9,'Master Leads'!O:O,"Yes")</f>
        <v>0</v>
      </c>
      <c r="Q7" s="46"/>
      <c r="R7" s="46"/>
      <c r="S7" s="171">
        <f>COUNTIFS('Master Leads'!D:D,"maheesha",'Master Leads'!G:G,10,'Master Leads'!O:O,"Yes")</f>
        <v>0</v>
      </c>
      <c r="T7" s="46"/>
      <c r="U7" s="46"/>
      <c r="V7" s="171">
        <f>COUNTIFS('Master Leads'!D:D,"maheesha",'Master Leads'!G:G,11,'Master Leads'!O:O,"Yes")</f>
        <v>0</v>
      </c>
      <c r="W7" s="46"/>
      <c r="X7" s="46"/>
      <c r="Y7" s="172">
        <f>COUNTIFS('Master Leads'!D:D,"maheesha",'Master Leads'!O:O,"Yes")</f>
        <v>0</v>
      </c>
      <c r="Z7" s="46"/>
      <c r="AA7" s="46"/>
      <c r="AB7" s="46"/>
      <c r="AC7" s="20"/>
      <c r="AD7" s="20"/>
      <c r="AE7" s="20"/>
      <c r="AF7" s="20"/>
      <c r="AG7" s="20"/>
      <c r="AH7" s="20"/>
      <c r="AI7" s="20"/>
      <c r="AJ7" s="20"/>
      <c r="AK7" s="20"/>
    </row>
    <row r="8" spans="1:37" ht="19.95" customHeight="1" x14ac:dyDescent="0.3">
      <c r="A8" s="20"/>
      <c r="B8" s="151" t="s">
        <v>76</v>
      </c>
      <c r="C8" s="46"/>
      <c r="D8" s="46"/>
      <c r="E8" s="46"/>
      <c r="F8" s="46"/>
      <c r="G8" s="140">
        <f>COUNTIFS('Master Leads'!D:D,"menik",'Master Leads'!G:G,6,'Master Leads'!O:O,"Yes")</f>
        <v>0</v>
      </c>
      <c r="H8" s="46"/>
      <c r="I8" s="46"/>
      <c r="J8" s="140">
        <f>COUNTIFS('Master Leads'!D:D,"menik",'Master Leads'!G:G,7,'Master Leads'!O:O,"Yes")</f>
        <v>0</v>
      </c>
      <c r="K8" s="46"/>
      <c r="L8" s="46"/>
      <c r="M8" s="140">
        <f>COUNTIFS('Master Leads'!D:D,"menik",'Master Leads'!G:G,8,'Master Leads'!O:O,"Yes")</f>
        <v>0</v>
      </c>
      <c r="N8" s="46"/>
      <c r="O8" s="46"/>
      <c r="P8" s="140">
        <f>COUNTIFS('Master Leads'!D:D,"menik",'Master Leads'!G:G,9,'Master Leads'!O:O,"Yes")</f>
        <v>0</v>
      </c>
      <c r="Q8" s="46"/>
      <c r="R8" s="46"/>
      <c r="S8" s="140">
        <f>COUNTIFS('Master Leads'!D:D,"menik",'Master Leads'!G:G,10,'Master Leads'!O:O,"Yes")</f>
        <v>0</v>
      </c>
      <c r="T8" s="46"/>
      <c r="U8" s="46"/>
      <c r="V8" s="140">
        <f>COUNTIFS('Master Leads'!D:D,"menik",'Master Leads'!G:G,11,'Master Leads'!O:O,"Yes")</f>
        <v>0</v>
      </c>
      <c r="W8" s="46"/>
      <c r="X8" s="46"/>
      <c r="Y8" s="114">
        <f>COUNTIFS('Master Leads'!D:D,"menik",'Master Leads'!O:O,"Yes")</f>
        <v>0</v>
      </c>
      <c r="Z8" s="46"/>
      <c r="AA8" s="46"/>
      <c r="AB8" s="46"/>
      <c r="AC8" s="20"/>
      <c r="AD8" s="20"/>
      <c r="AE8" s="20"/>
      <c r="AF8" s="20"/>
      <c r="AG8" s="20"/>
      <c r="AH8" s="20"/>
      <c r="AI8" s="20"/>
      <c r="AJ8" s="20"/>
      <c r="AK8" s="20"/>
    </row>
    <row r="9" spans="1:37" ht="19.95" customHeight="1" x14ac:dyDescent="0.3">
      <c r="A9" s="20"/>
      <c r="B9" s="160" t="s">
        <v>77</v>
      </c>
      <c r="C9" s="46"/>
      <c r="D9" s="46"/>
      <c r="E9" s="46"/>
      <c r="F9" s="46"/>
      <c r="G9" s="171">
        <f>COUNTIFS('Master Leads'!D:D,"kavinda",'Master Leads'!G:G,6,'Master Leads'!O:O,"Yes")</f>
        <v>0</v>
      </c>
      <c r="H9" s="46"/>
      <c r="I9" s="46"/>
      <c r="J9" s="171">
        <f>COUNTIFS('Master Leads'!D:D,"kavinda",'Master Leads'!G:G,7,'Master Leads'!O:O,"Yes")</f>
        <v>0</v>
      </c>
      <c r="K9" s="46"/>
      <c r="L9" s="46"/>
      <c r="M9" s="171">
        <f>COUNTIFS('Master Leads'!D:D,"kavinda",'Master Leads'!G:G,8,'Master Leads'!O:O,"Yes")</f>
        <v>0</v>
      </c>
      <c r="N9" s="46"/>
      <c r="O9" s="46"/>
      <c r="P9" s="171">
        <f>COUNTIFS('Master Leads'!D:D,"kavinda",'Master Leads'!G:G,9,'Master Leads'!O:O,"Yes")</f>
        <v>0</v>
      </c>
      <c r="Q9" s="46"/>
      <c r="R9" s="46"/>
      <c r="S9" s="171">
        <f>COUNTIFS('Master Leads'!D:D,"kavinda",'Master Leads'!G:G,10,'Master Leads'!O:O,"Yes")</f>
        <v>0</v>
      </c>
      <c r="T9" s="46"/>
      <c r="U9" s="46"/>
      <c r="V9" s="171">
        <f>COUNTIFS('Master Leads'!D:D,"kavinda",'Master Leads'!G:G,11,'Master Leads'!O:O,"Yes")</f>
        <v>1</v>
      </c>
      <c r="W9" s="46"/>
      <c r="X9" s="46"/>
      <c r="Y9" s="172">
        <f>COUNTIFS('Master Leads'!D:D,"kavinda",'Master Leads'!O:O,"Yes")</f>
        <v>1</v>
      </c>
      <c r="Z9" s="46"/>
      <c r="AA9" s="46"/>
      <c r="AB9" s="46"/>
      <c r="AC9" s="20"/>
      <c r="AD9" s="20"/>
      <c r="AE9" s="20"/>
      <c r="AF9" s="20"/>
      <c r="AG9" s="20"/>
      <c r="AH9" s="20"/>
      <c r="AI9" s="20"/>
      <c r="AJ9" s="20"/>
      <c r="AK9" s="20"/>
    </row>
    <row r="10" spans="1:37" ht="19.95" customHeight="1" x14ac:dyDescent="0.3">
      <c r="A10" s="20"/>
      <c r="B10" s="156" t="s">
        <v>78</v>
      </c>
      <c r="C10" s="46"/>
      <c r="D10" s="46"/>
      <c r="E10" s="46"/>
      <c r="F10" s="46"/>
      <c r="G10" s="140">
        <f>COUNTIFS('Master Leads'!D:D,"umesh",'Master Leads'!G:G,6,'Master Leads'!O:O,"Yes")</f>
        <v>0</v>
      </c>
      <c r="H10" s="46"/>
      <c r="I10" s="46"/>
      <c r="J10" s="140">
        <f>COUNTIFS('Master Leads'!D:D,"umesh",'Master Leads'!G:G,7,'Master Leads'!O:O,"Yes")</f>
        <v>0</v>
      </c>
      <c r="K10" s="46"/>
      <c r="L10" s="46"/>
      <c r="M10" s="140">
        <f>COUNTIFS('Master Leads'!D:D,"umesh",'Master Leads'!G:G,8,'Master Leads'!O:O,"Yes")</f>
        <v>0</v>
      </c>
      <c r="N10" s="46"/>
      <c r="O10" s="46"/>
      <c r="P10" s="140">
        <f>COUNTIFS('Master Leads'!D:D,"umesh",'Master Leads'!G:G,9,'Master Leads'!O:O,"Yes")</f>
        <v>0</v>
      </c>
      <c r="Q10" s="46"/>
      <c r="R10" s="46"/>
      <c r="S10" s="140">
        <f>COUNTIFS('Master Leads'!D:D,"umesh",'Master Leads'!G:G,10,'Master Leads'!O:O,"Yes")</f>
        <v>0</v>
      </c>
      <c r="T10" s="46"/>
      <c r="U10" s="46"/>
      <c r="V10" s="140">
        <f>COUNTIFS('Master Leads'!D:D,"umesh",'Master Leads'!G:G,11,'Master Leads'!O:O,"Yes")</f>
        <v>0</v>
      </c>
      <c r="W10" s="46"/>
      <c r="X10" s="46"/>
      <c r="Y10" s="114">
        <f>COUNTIFS('Master Leads'!D:D,"umesh",'Master Leads'!O:O,"Yes")</f>
        <v>0</v>
      </c>
      <c r="Z10" s="46"/>
      <c r="AA10" s="46"/>
      <c r="AB10" s="46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37" ht="19.95" customHeight="1" x14ac:dyDescent="0.3">
      <c r="A11" s="20"/>
      <c r="B11" s="149" t="s">
        <v>79</v>
      </c>
      <c r="C11" s="46"/>
      <c r="D11" s="46"/>
      <c r="E11" s="46"/>
      <c r="F11" s="46"/>
      <c r="G11" s="171">
        <f>COUNTIFS('Master Leads'!D:D,"Avishka",'Master Leads'!G:G,6,'Master Leads'!O:O,"Yes")</f>
        <v>0</v>
      </c>
      <c r="H11" s="46"/>
      <c r="I11" s="46"/>
      <c r="J11" s="171">
        <f>COUNTIFS('Master Leads'!D:D,"Avishka",'Master Leads'!G:G,7,'Master Leads'!O:O,"Yes")</f>
        <v>0</v>
      </c>
      <c r="K11" s="46"/>
      <c r="L11" s="46"/>
      <c r="M11" s="171">
        <f>COUNTIFS('Master Leads'!D:D,"Avishka",'Master Leads'!G:G,8,'Master Leads'!O:O,"Yes")</f>
        <v>0</v>
      </c>
      <c r="N11" s="46"/>
      <c r="O11" s="46"/>
      <c r="P11" s="171">
        <f>COUNTIFS('Master Leads'!D:D,"Avishka",'Master Leads'!G:G,9,'Master Leads'!O:O,"Yes")</f>
        <v>0</v>
      </c>
      <c r="Q11" s="46"/>
      <c r="R11" s="46"/>
      <c r="S11" s="171">
        <f>COUNTIFS('Master Leads'!D:D,"Avishka",'Master Leads'!G:G,10,'Master Leads'!O:O,"Yes")</f>
        <v>0</v>
      </c>
      <c r="T11" s="46"/>
      <c r="U11" s="46"/>
      <c r="V11" s="171">
        <f>COUNTIFS('Master Leads'!D:D,"Avishka",'Master Leads'!G:G,11,'Master Leads'!O:O,"Yes")</f>
        <v>0</v>
      </c>
      <c r="W11" s="46"/>
      <c r="X11" s="46"/>
      <c r="Y11" s="172">
        <f>COUNTIFS('Master Leads'!D:D,"Avishka",'Master Leads'!O:O,"Yes")</f>
        <v>0</v>
      </c>
      <c r="Z11" s="46"/>
      <c r="AA11" s="46"/>
      <c r="AB11" s="46"/>
      <c r="AC11" s="20"/>
      <c r="AD11" s="20"/>
      <c r="AE11" s="20"/>
      <c r="AF11" s="20"/>
      <c r="AG11" s="20"/>
      <c r="AH11" s="20"/>
      <c r="AI11" s="20"/>
      <c r="AJ11" s="20"/>
      <c r="AK11" s="20"/>
    </row>
    <row r="12" spans="1:37" ht="19.95" customHeight="1" x14ac:dyDescent="0.3">
      <c r="A12" s="20"/>
      <c r="B12" s="166" t="s">
        <v>80</v>
      </c>
      <c r="C12" s="46"/>
      <c r="D12" s="46"/>
      <c r="E12" s="46"/>
      <c r="F12" s="46"/>
      <c r="G12" s="140">
        <f>COUNTIFS('Master Leads'!D:D,"Wihanga",'Master Leads'!G:G,6,'Master Leads'!O:O,"Yes")</f>
        <v>0</v>
      </c>
      <c r="H12" s="46"/>
      <c r="I12" s="46"/>
      <c r="J12" s="140">
        <f>COUNTIFS('Master Leads'!D:D,"Wihanga",'Master Leads'!G:G,7,'Master Leads'!O:O,"Yes")</f>
        <v>0</v>
      </c>
      <c r="K12" s="46"/>
      <c r="L12" s="46"/>
      <c r="M12" s="140">
        <f>COUNTIFS('Master Leads'!D:D,"Wihanga",'Master Leads'!G:G,8,'Master Leads'!O:O,"Yes")</f>
        <v>0</v>
      </c>
      <c r="N12" s="46"/>
      <c r="O12" s="46"/>
      <c r="P12" s="140">
        <f>COUNTIFS('Master Leads'!D:D,"Wihanga",'Master Leads'!G:G,9,'Master Leads'!O:O,"Yes")</f>
        <v>0</v>
      </c>
      <c r="Q12" s="46"/>
      <c r="R12" s="46"/>
      <c r="S12" s="140">
        <f>COUNTIFS('Master Leads'!D:D,"Wihanga",'Master Leads'!G:G,10,'Master Leads'!O:O,"Yes")</f>
        <v>0</v>
      </c>
      <c r="T12" s="46"/>
      <c r="U12" s="46"/>
      <c r="V12" s="140">
        <f>COUNTIFS('Master Leads'!D:D,"Wihanga",'Master Leads'!G:G,11,'Master Leads'!O:O,"Yes")</f>
        <v>0</v>
      </c>
      <c r="W12" s="46"/>
      <c r="X12" s="46"/>
      <c r="Y12" s="114">
        <f>COUNTIFS('Master Leads'!D:D,"Wihanga",'Master Leads'!O:O,"Yes")</f>
        <v>0</v>
      </c>
      <c r="Z12" s="46"/>
      <c r="AA12" s="46"/>
      <c r="AB12" s="46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ht="19.95" customHeight="1" x14ac:dyDescent="0.3">
      <c r="A13" s="20"/>
      <c r="B13" s="144" t="s">
        <v>81</v>
      </c>
      <c r="C13" s="46"/>
      <c r="D13" s="46"/>
      <c r="E13" s="46"/>
      <c r="F13" s="46"/>
      <c r="G13" s="171">
        <f>COUNTIFS('Master Leads'!D:D,"muthumali",'Master Leads'!G:G,6,'Master Leads'!O:O,"Yes")</f>
        <v>0</v>
      </c>
      <c r="H13" s="46"/>
      <c r="I13" s="46"/>
      <c r="J13" s="171">
        <f>COUNTIFS('Master Leads'!D:D,"muthumali",'Master Leads'!G:G,7,'Master Leads'!O:O,"Yes")</f>
        <v>0</v>
      </c>
      <c r="K13" s="46"/>
      <c r="L13" s="46"/>
      <c r="M13" s="171">
        <f>COUNTIFS('Master Leads'!D:D,"muthumali",'Master Leads'!G:G,8,'Master Leads'!O:O,"Yes")</f>
        <v>0</v>
      </c>
      <c r="N13" s="46"/>
      <c r="O13" s="46"/>
      <c r="P13" s="171">
        <f>COUNTIFS('Master Leads'!D:D,"muthumali",'Master Leads'!G:G,9,'Master Leads'!O:O,"Yes")</f>
        <v>0</v>
      </c>
      <c r="Q13" s="46"/>
      <c r="R13" s="46"/>
      <c r="S13" s="171">
        <f>COUNTIFS('Master Leads'!D:D,"muthumali",'Master Leads'!G:G,10,'Master Leads'!O:O,"Yes")</f>
        <v>0</v>
      </c>
      <c r="T13" s="46"/>
      <c r="U13" s="46"/>
      <c r="V13" s="171">
        <f>COUNTIFS('Master Leads'!D:D,"muthumali",'Master Leads'!G:G,11,'Master Leads'!O:O,"Yes")</f>
        <v>0</v>
      </c>
      <c r="W13" s="46"/>
      <c r="X13" s="46"/>
      <c r="Y13" s="172">
        <f>COUNTIFS('Master Leads'!D:D,"muthumali",'Master Leads'!O:O,"Yes")</f>
        <v>0</v>
      </c>
      <c r="Z13" s="46"/>
      <c r="AA13" s="46"/>
      <c r="AB13" s="46"/>
      <c r="AC13" s="20"/>
      <c r="AD13" s="20"/>
      <c r="AE13" s="20"/>
      <c r="AF13" s="20"/>
      <c r="AG13" s="20"/>
      <c r="AH13" s="20"/>
      <c r="AI13" s="20"/>
      <c r="AJ13" s="20"/>
      <c r="AK13" s="20"/>
    </row>
    <row r="14" spans="1:37" ht="19.95" customHeight="1" x14ac:dyDescent="0.3">
      <c r="A14" s="20"/>
      <c r="B14" s="169" t="s">
        <v>82</v>
      </c>
      <c r="C14" s="46"/>
      <c r="D14" s="46"/>
      <c r="E14" s="46"/>
      <c r="F14" s="46"/>
      <c r="G14" s="140">
        <f>COUNTIFS('Master Leads'!D:D,"shamali",'Master Leads'!G:G,6,'Master Leads'!O:O,"Yes")</f>
        <v>0</v>
      </c>
      <c r="H14" s="46"/>
      <c r="I14" s="46"/>
      <c r="J14" s="140">
        <f>COUNTIFS('Master Leads'!D:D,"shamali",'Master Leads'!G:G,7,'Master Leads'!O:O,"Yes")</f>
        <v>0</v>
      </c>
      <c r="K14" s="46"/>
      <c r="L14" s="46"/>
      <c r="M14" s="140">
        <f>COUNTIFS('Master Leads'!D:D,"shamali",'Master Leads'!G:G,8,'Master Leads'!O:O,"Yes")</f>
        <v>0</v>
      </c>
      <c r="N14" s="46"/>
      <c r="O14" s="46"/>
      <c r="P14" s="140">
        <f>COUNTIFS('Master Leads'!D:D,"shamali",'Master Leads'!G:G,9,'Master Leads'!O:O,"Yes")</f>
        <v>0</v>
      </c>
      <c r="Q14" s="46"/>
      <c r="R14" s="46"/>
      <c r="S14" s="140">
        <f>COUNTIFS('Master Leads'!D:D,"shamali",'Master Leads'!G:G,10,'Master Leads'!O:O,"Yes")</f>
        <v>0</v>
      </c>
      <c r="T14" s="46"/>
      <c r="U14" s="46"/>
      <c r="V14" s="140">
        <f>COUNTIFS('Master Leads'!D:D,"shamali",'Master Leads'!G:G,11,'Master Leads'!O:O,"Yes")</f>
        <v>0</v>
      </c>
      <c r="W14" s="46"/>
      <c r="X14" s="46"/>
      <c r="Y14" s="114">
        <f>COUNTIFS('Master Leads'!D:D,"shamali",'Master Leads'!O:O,"Yes")</f>
        <v>0</v>
      </c>
      <c r="Z14" s="46"/>
      <c r="AA14" s="46"/>
      <c r="AB14" s="46"/>
      <c r="AC14" s="20"/>
      <c r="AD14" s="20"/>
      <c r="AE14" s="20"/>
      <c r="AF14" s="20"/>
      <c r="AG14" s="20"/>
      <c r="AH14" s="20"/>
      <c r="AI14" s="20"/>
      <c r="AJ14" s="20"/>
      <c r="AK14" s="20"/>
    </row>
    <row r="15" spans="1:37" ht="22.05" customHeight="1" x14ac:dyDescent="0.3">
      <c r="A15" s="20"/>
      <c r="B15" s="132" t="s">
        <v>39</v>
      </c>
      <c r="C15" s="46"/>
      <c r="D15" s="46"/>
      <c r="E15" s="46"/>
      <c r="F15" s="46"/>
      <c r="G15" s="132">
        <f>COUNTIFS('Master Leads'!G:G,6,'Master Leads'!O:O,"Yes")</f>
        <v>0</v>
      </c>
      <c r="H15" s="46"/>
      <c r="I15" s="46"/>
      <c r="J15" s="132">
        <f>COUNTIFS('Master Leads'!G:G,7,'Master Leads'!O:O,"Yes")</f>
        <v>1</v>
      </c>
      <c r="K15" s="46"/>
      <c r="L15" s="46"/>
      <c r="M15" s="132">
        <f>COUNTIFS('Master Leads'!G:G,8,'Master Leads'!O:O,"Yes")</f>
        <v>0</v>
      </c>
      <c r="N15" s="46"/>
      <c r="O15" s="46"/>
      <c r="P15" s="132">
        <f>COUNTIFS('Master Leads'!G:G,9,'Master Leads'!O:O,"Yes")</f>
        <v>0</v>
      </c>
      <c r="Q15" s="46"/>
      <c r="R15" s="46"/>
      <c r="S15" s="132">
        <f>COUNTIFS('Master Leads'!G:G,10,'Master Leads'!O:O,"Yes")</f>
        <v>0</v>
      </c>
      <c r="T15" s="46"/>
      <c r="U15" s="46"/>
      <c r="V15" s="132">
        <f>COUNTIFS('Master Leads'!G:G,11,'Master Leads'!O:O,"Yes")</f>
        <v>1</v>
      </c>
      <c r="W15" s="46"/>
      <c r="X15" s="46"/>
      <c r="Y15" s="132">
        <f>COUNTIF('Master Leads'!O:O,"Yes")</f>
        <v>2</v>
      </c>
      <c r="Z15" s="46"/>
      <c r="AA15" s="46"/>
      <c r="AB15" s="46"/>
      <c r="AC15" s="21"/>
      <c r="AD15" s="21"/>
      <c r="AE15" s="21"/>
      <c r="AF15" s="21"/>
      <c r="AG15" s="21"/>
      <c r="AH15" s="21"/>
      <c r="AI15" s="21"/>
      <c r="AJ15" s="20"/>
      <c r="AK15" s="20"/>
    </row>
    <row r="16" spans="1:37" ht="13.9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spans="1:37" ht="25.95" customHeight="1" x14ac:dyDescent="0.3">
      <c r="A17" s="23"/>
      <c r="B17" s="56" t="s">
        <v>90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23"/>
    </row>
    <row r="18" spans="1:37" ht="13.9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spans="1:37" ht="13.9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</row>
    <row r="20" spans="1:37" ht="13.9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spans="1:37" ht="13.9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</row>
    <row r="22" spans="1:37" ht="13.9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</row>
    <row r="23" spans="1:37" ht="13.9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</row>
    <row r="24" spans="1:37" ht="13.9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spans="1:37" ht="13.9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 spans="1:37" ht="13.9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spans="1:37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</row>
    <row r="28" spans="1:37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</row>
    <row r="29" spans="1:37" ht="13.9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</row>
    <row r="30" spans="1:37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37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</row>
    <row r="32" spans="1:37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</row>
    <row r="33" spans="1:37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spans="1:37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spans="1:37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spans="1:37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spans="1:37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spans="1:37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spans="1:37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spans="1:37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spans="1:37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spans="1:37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ht="13.9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spans="1:37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spans="1:37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spans="1:37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spans="1:37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spans="1:37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spans="1:37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spans="1:37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spans="1:37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spans="1:37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spans="1:37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spans="1:37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spans="1:37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spans="1:37" ht="13.9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1:37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spans="1:37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spans="1:37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spans="1:37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spans="1:37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spans="1:37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spans="1:37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spans="1:37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spans="1:37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spans="1:37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spans="1:37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spans="1:37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spans="1:37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</row>
    <row r="71" spans="1:37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spans="1:37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</row>
    <row r="73" spans="1:37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spans="1:37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</row>
    <row r="75" spans="1:37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spans="1:37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</row>
    <row r="77" spans="1:37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spans="1:37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spans="1:37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spans="1:37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spans="1:37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spans="1:37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</row>
    <row r="83" spans="1:37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spans="1:37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</row>
    <row r="85" spans="1:37" ht="13.95" customHeight="1" x14ac:dyDescent="0.3"/>
    <row r="86" spans="1:37" ht="13.95" customHeight="1" x14ac:dyDescent="0.3"/>
    <row r="87" spans="1:37" ht="13.95" customHeight="1" x14ac:dyDescent="0.3"/>
    <row r="88" spans="1:37" ht="13.95" customHeight="1" x14ac:dyDescent="0.3"/>
    <row r="89" spans="1:37" ht="13.95" customHeight="1" x14ac:dyDescent="0.3"/>
  </sheetData>
  <mergeCells count="84">
    <mergeCell ref="B14:F14"/>
    <mergeCell ref="J12:L12"/>
    <mergeCell ref="B2:AJ2"/>
    <mergeCell ref="P15:R15"/>
    <mergeCell ref="G11:I11"/>
    <mergeCell ref="Y14:AB14"/>
    <mergeCell ref="P10:R10"/>
    <mergeCell ref="V8:X8"/>
    <mergeCell ref="Y6:AB6"/>
    <mergeCell ref="B3:AJ3"/>
    <mergeCell ref="V11:X11"/>
    <mergeCell ref="B12:F12"/>
    <mergeCell ref="P13:R13"/>
    <mergeCell ref="S9:U9"/>
    <mergeCell ref="M8:O8"/>
    <mergeCell ref="V9:X9"/>
    <mergeCell ref="M13:O13"/>
    <mergeCell ref="M7:O7"/>
    <mergeCell ref="V6:X6"/>
    <mergeCell ref="S10:U10"/>
    <mergeCell ref="B5:AJ5"/>
    <mergeCell ref="G6:I6"/>
    <mergeCell ref="M6:O6"/>
    <mergeCell ref="M15:O15"/>
    <mergeCell ref="J7:L7"/>
    <mergeCell ref="G14:I14"/>
    <mergeCell ref="B8:F8"/>
    <mergeCell ref="M14:O14"/>
    <mergeCell ref="B10:F10"/>
    <mergeCell ref="B9:F9"/>
    <mergeCell ref="J14:L14"/>
    <mergeCell ref="G8:I8"/>
    <mergeCell ref="Y7:AB7"/>
    <mergeCell ref="S8:U8"/>
    <mergeCell ref="P6:R6"/>
    <mergeCell ref="J6:L6"/>
    <mergeCell ref="Y15:AB15"/>
    <mergeCell ref="P14:R14"/>
    <mergeCell ref="B17:AJ17"/>
    <mergeCell ref="G9:I9"/>
    <mergeCell ref="V12:X12"/>
    <mergeCell ref="Y10:AB10"/>
    <mergeCell ref="V14:X14"/>
    <mergeCell ref="B15:F15"/>
    <mergeCell ref="J13:L13"/>
    <mergeCell ref="M9:O9"/>
    <mergeCell ref="V13:X13"/>
    <mergeCell ref="S11:U11"/>
    <mergeCell ref="J15:L15"/>
    <mergeCell ref="M11:O11"/>
    <mergeCell ref="G10:I10"/>
    <mergeCell ref="V15:X15"/>
    <mergeCell ref="G15:I15"/>
    <mergeCell ref="J11:L11"/>
    <mergeCell ref="S6:U6"/>
    <mergeCell ref="S15:U15"/>
    <mergeCell ref="B11:F11"/>
    <mergeCell ref="P12:R12"/>
    <mergeCell ref="B6:F6"/>
    <mergeCell ref="P8:R8"/>
    <mergeCell ref="P7:R7"/>
    <mergeCell ref="B13:F13"/>
    <mergeCell ref="J8:L8"/>
    <mergeCell ref="G12:I12"/>
    <mergeCell ref="S12:U12"/>
    <mergeCell ref="J10:L10"/>
    <mergeCell ref="P9:R9"/>
    <mergeCell ref="J9:L9"/>
    <mergeCell ref="V10:X10"/>
    <mergeCell ref="B7:F7"/>
    <mergeCell ref="S14:U14"/>
    <mergeCell ref="G13:I13"/>
    <mergeCell ref="Y12:AB12"/>
    <mergeCell ref="S13:U13"/>
    <mergeCell ref="M12:O12"/>
    <mergeCell ref="Y8:AB8"/>
    <mergeCell ref="V7:X7"/>
    <mergeCell ref="Y9:AB9"/>
    <mergeCell ref="Y11:AB11"/>
    <mergeCell ref="G7:I7"/>
    <mergeCell ref="S7:U7"/>
    <mergeCell ref="Y13:AB13"/>
    <mergeCell ref="M10:O10"/>
    <mergeCell ref="P11:R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A5E9"/>
  </sheetPr>
  <dimension ref="A1:AF89"/>
  <sheetViews>
    <sheetView showGridLines="0" zoomScale="85" workbookViewId="0">
      <selection activeCell="AJ21" sqref="AJ21"/>
    </sheetView>
  </sheetViews>
  <sheetFormatPr defaultRowHeight="14.4" x14ac:dyDescent="0.3"/>
  <cols>
    <col min="1" max="1" width="1.44140625" customWidth="1"/>
    <col min="2" max="34" width="3.6640625" customWidth="1"/>
    <col min="35" max="79" width="13" customWidth="1"/>
  </cols>
  <sheetData>
    <row r="1" spans="1:32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ht="52.05" customHeight="1" x14ac:dyDescent="0.3">
      <c r="A2" s="36"/>
      <c r="B2" s="197" t="s">
        <v>113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36"/>
    </row>
    <row r="3" spans="1:32" ht="19.95" customHeight="1" x14ac:dyDescent="0.3">
      <c r="A3" s="37"/>
      <c r="B3" s="213" t="s">
        <v>114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37"/>
    </row>
    <row r="4" spans="1:32" ht="13.9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2" ht="25.95" customHeight="1" x14ac:dyDescent="0.3">
      <c r="A5" s="23"/>
      <c r="B5" s="56" t="s">
        <v>115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23"/>
      <c r="AF5" s="20"/>
    </row>
    <row r="6" spans="1:32" ht="13.95" customHeight="1" x14ac:dyDescent="0.3">
      <c r="A6" s="20"/>
      <c r="B6" s="54" t="s">
        <v>116</v>
      </c>
      <c r="C6" s="194"/>
      <c r="D6" s="194"/>
      <c r="E6" s="195"/>
      <c r="F6" s="20"/>
      <c r="G6" s="63" t="s">
        <v>117</v>
      </c>
      <c r="H6" s="211"/>
      <c r="I6" s="211"/>
      <c r="J6" s="212"/>
      <c r="K6" s="20"/>
      <c r="L6" s="44" t="s">
        <v>118</v>
      </c>
      <c r="M6" s="199"/>
      <c r="N6" s="199"/>
      <c r="O6" s="200"/>
      <c r="P6" s="20"/>
      <c r="Q6" s="215" t="s">
        <v>119</v>
      </c>
      <c r="R6" s="216"/>
      <c r="S6" s="216"/>
      <c r="T6" s="217"/>
      <c r="U6" s="20"/>
      <c r="V6" s="69" t="s">
        <v>16</v>
      </c>
      <c r="W6" s="191"/>
      <c r="X6" s="191"/>
      <c r="Y6" s="192"/>
      <c r="Z6" s="20"/>
      <c r="AA6" s="20"/>
      <c r="AB6" s="20"/>
      <c r="AC6" s="20"/>
      <c r="AD6" s="20"/>
      <c r="AE6" s="20"/>
      <c r="AF6" s="20"/>
    </row>
    <row r="7" spans="1:32" ht="37.950000000000003" customHeight="1" x14ac:dyDescent="0.3">
      <c r="A7" s="20"/>
      <c r="B7" s="128">
        <f ca="1">COUNTIF('Master Leads'!E:E,TODAY())</f>
        <v>0</v>
      </c>
      <c r="C7" s="174"/>
      <c r="D7" s="174"/>
      <c r="E7" s="178"/>
      <c r="F7" s="20"/>
      <c r="G7" s="206">
        <f ca="1">COUNTIF('Master Leads'!E:E,TODAY()-1)</f>
        <v>0</v>
      </c>
      <c r="H7" s="174"/>
      <c r="I7" s="174"/>
      <c r="J7" s="178"/>
      <c r="K7" s="20"/>
      <c r="L7" s="204">
        <f ca="1">COUNTIFS('Master Leads'!E:E,"&gt;="&amp;TODAY()-6,'Master Leads'!E:E,"&lt;="&amp;TODAY())</f>
        <v>0</v>
      </c>
      <c r="M7" s="174"/>
      <c r="N7" s="174"/>
      <c r="O7" s="178"/>
      <c r="P7" s="20"/>
      <c r="Q7" s="202">
        <f ca="1">COUNTIFS('Master Leads'!E:E,"&gt;="&amp;TODAY()-WEEKDAY(TODAY(),2)+1,'Master Leads'!E:E,"&lt;="&amp;TODAY())</f>
        <v>0</v>
      </c>
      <c r="R7" s="174"/>
      <c r="S7" s="174"/>
      <c r="T7" s="178"/>
      <c r="U7" s="20"/>
      <c r="V7" s="177">
        <f ca="1">COUNTIFS('Master Leads'!E:E,"&gt;="&amp;DATE(YEAR(TODAY()),MONTH(TODAY()),1),'Master Leads'!E:E,"&lt;="&amp;TODAY())</f>
        <v>0</v>
      </c>
      <c r="W7" s="174"/>
      <c r="X7" s="174"/>
      <c r="Y7" s="178"/>
      <c r="Z7" s="20"/>
      <c r="AA7" s="20"/>
      <c r="AB7" s="20"/>
      <c r="AC7" s="20"/>
      <c r="AD7" s="20"/>
      <c r="AE7" s="20"/>
      <c r="AF7" s="20"/>
    </row>
    <row r="8" spans="1:32" ht="15" customHeight="1" x14ac:dyDescent="0.3">
      <c r="A8" s="20"/>
      <c r="B8" s="60" t="s">
        <v>120</v>
      </c>
      <c r="C8" s="181"/>
      <c r="D8" s="181"/>
      <c r="E8" s="182"/>
      <c r="F8" s="20"/>
      <c r="G8" s="50" t="s">
        <v>121</v>
      </c>
      <c r="H8" s="181"/>
      <c r="I8" s="181"/>
      <c r="J8" s="182"/>
      <c r="K8" s="20"/>
      <c r="L8" s="55" t="s">
        <v>122</v>
      </c>
      <c r="M8" s="181"/>
      <c r="N8" s="181"/>
      <c r="O8" s="182"/>
      <c r="P8" s="20"/>
      <c r="Q8" s="205" t="s">
        <v>123</v>
      </c>
      <c r="R8" s="181"/>
      <c r="S8" s="181"/>
      <c r="T8" s="182"/>
      <c r="U8" s="20"/>
      <c r="V8" s="61" t="s">
        <v>124</v>
      </c>
      <c r="W8" s="181"/>
      <c r="X8" s="181"/>
      <c r="Y8" s="182"/>
      <c r="Z8" s="20"/>
      <c r="AA8" s="20"/>
      <c r="AB8" s="20"/>
      <c r="AC8" s="20"/>
      <c r="AD8" s="20"/>
      <c r="AE8" s="20"/>
      <c r="AF8" s="20"/>
    </row>
    <row r="9" spans="1:32" ht="13.9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1:32" ht="13.95" customHeight="1" x14ac:dyDescent="0.3">
      <c r="A10" s="20"/>
      <c r="B10" s="66" t="s">
        <v>125</v>
      </c>
      <c r="C10" s="218"/>
      <c r="D10" s="218"/>
      <c r="E10" s="219"/>
      <c r="F10" s="20"/>
      <c r="G10" s="58" t="s">
        <v>126</v>
      </c>
      <c r="H10" s="188"/>
      <c r="I10" s="188"/>
      <c r="J10" s="189"/>
      <c r="K10" s="20"/>
      <c r="L10" s="58" t="s">
        <v>127</v>
      </c>
      <c r="M10" s="188"/>
      <c r="N10" s="188"/>
      <c r="O10" s="189"/>
      <c r="P10" s="20"/>
      <c r="Q10" s="43" t="s">
        <v>128</v>
      </c>
      <c r="R10" s="185"/>
      <c r="S10" s="185"/>
      <c r="T10" s="186"/>
      <c r="U10" s="20"/>
      <c r="V10" s="208" t="s">
        <v>2</v>
      </c>
      <c r="W10" s="209"/>
      <c r="X10" s="209"/>
      <c r="Y10" s="210"/>
      <c r="Z10" s="20"/>
      <c r="AA10" s="20"/>
      <c r="AB10" s="20"/>
      <c r="AC10" s="20"/>
      <c r="AD10" s="20"/>
      <c r="AE10" s="20"/>
      <c r="AF10" s="20"/>
    </row>
    <row r="11" spans="1:32" ht="37.950000000000003" customHeight="1" x14ac:dyDescent="0.3">
      <c r="A11" s="20"/>
      <c r="B11" s="207">
        <f ca="1">COUNTIFS('Master Leads'!E:E,"&gt;="&amp;DATE(YEAR(TODAY()),MONTH(TODAY())-1,1),'Master Leads'!E:E,"&lt;="&amp;EOMONTH(TODAY(),-1))</f>
        <v>0</v>
      </c>
      <c r="C11" s="174"/>
      <c r="D11" s="174"/>
      <c r="E11" s="178"/>
      <c r="F11" s="20"/>
      <c r="G11" s="108">
        <f ca="1">COUNTIFS('Master Leads'!E:E,"&gt;="&amp;TODAY()-WEEKDAY(TODAY(),2)+1,'Master Leads'!E:E,"&lt;="&amp;TODAY(),'Master Leads'!O:O,"Yes")</f>
        <v>0</v>
      </c>
      <c r="H11" s="174"/>
      <c r="I11" s="174"/>
      <c r="J11" s="178"/>
      <c r="K11" s="20"/>
      <c r="L11" s="108">
        <f ca="1">COUNTIFS('Master Leads'!E:E,"&gt;="&amp;DATE(YEAR(TODAY()),MONTH(TODAY()),1),'Master Leads'!E:E,"&lt;="&amp;TODAY(),'Master Leads'!O:O,"Yes")</f>
        <v>0</v>
      </c>
      <c r="M11" s="174"/>
      <c r="N11" s="174"/>
      <c r="O11" s="178"/>
      <c r="P11" s="20"/>
      <c r="Q11" s="190">
        <f ca="1">COUNTIFS('Master Leads'!E:E,TODAY(),'Master Leads'!F:F,"Converted")</f>
        <v>0</v>
      </c>
      <c r="R11" s="174"/>
      <c r="S11" s="174"/>
      <c r="T11" s="178"/>
      <c r="U11" s="20"/>
      <c r="V11" s="203">
        <f>COUNTA('Master Leads'!B:B)-1</f>
        <v>10</v>
      </c>
      <c r="W11" s="174"/>
      <c r="X11" s="174"/>
      <c r="Y11" s="178"/>
      <c r="Z11" s="20"/>
      <c r="AA11" s="20"/>
      <c r="AB11" s="20"/>
      <c r="AC11" s="20"/>
      <c r="AD11" s="20"/>
      <c r="AE11" s="20"/>
      <c r="AF11" s="20"/>
    </row>
    <row r="12" spans="1:32" ht="15" customHeight="1" x14ac:dyDescent="0.3">
      <c r="A12" s="20"/>
      <c r="B12" s="59" t="s">
        <v>129</v>
      </c>
      <c r="C12" s="181"/>
      <c r="D12" s="181"/>
      <c r="E12" s="182"/>
      <c r="F12" s="20"/>
      <c r="G12" s="62" t="s">
        <v>130</v>
      </c>
      <c r="H12" s="181"/>
      <c r="I12" s="181"/>
      <c r="J12" s="182"/>
      <c r="K12" s="20"/>
      <c r="L12" s="62" t="s">
        <v>131</v>
      </c>
      <c r="M12" s="181"/>
      <c r="N12" s="181"/>
      <c r="O12" s="182"/>
      <c r="P12" s="20"/>
      <c r="Q12" s="64" t="s">
        <v>132</v>
      </c>
      <c r="R12" s="181"/>
      <c r="S12" s="181"/>
      <c r="T12" s="182"/>
      <c r="U12" s="20"/>
      <c r="V12" s="201" t="s">
        <v>133</v>
      </c>
      <c r="W12" s="181"/>
      <c r="X12" s="181"/>
      <c r="Y12" s="182"/>
      <c r="Z12" s="20"/>
      <c r="AA12" s="20"/>
      <c r="AB12" s="20"/>
      <c r="AC12" s="20"/>
      <c r="AD12" s="20"/>
      <c r="AE12" s="20"/>
      <c r="AF12" s="20"/>
    </row>
    <row r="13" spans="1:32" ht="13.9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spans="1:32" ht="25.95" customHeight="1" x14ac:dyDescent="0.3">
      <c r="A14" s="23"/>
      <c r="B14" s="56" t="s">
        <v>134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23"/>
      <c r="AF14" s="20"/>
    </row>
    <row r="15" spans="1:32" ht="13.9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2" ht="13.9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1:32" ht="13.9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32" ht="13.9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2" ht="13.9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2" ht="13.9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spans="1:32" ht="13.9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spans="1:32" ht="13.9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2" ht="13.9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spans="1:32" ht="13.9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3.9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spans="1:32" ht="13.9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spans="1:32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2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3.9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2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3.9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3.9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spans="1:32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1:32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1:32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1:32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spans="1:32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spans="1:32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1:32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1:32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1:32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1:32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spans="1:32" ht="13.95" customHeight="1" x14ac:dyDescent="0.3"/>
    <row r="86" spans="1:32" ht="13.95" customHeight="1" x14ac:dyDescent="0.3"/>
    <row r="87" spans="1:32" ht="13.95" customHeight="1" x14ac:dyDescent="0.3"/>
    <row r="88" spans="1:32" ht="13.95" customHeight="1" x14ac:dyDescent="0.3"/>
    <row r="89" spans="1:32" ht="13.95" customHeight="1" x14ac:dyDescent="0.3"/>
  </sheetData>
  <mergeCells count="34">
    <mergeCell ref="B12:E12"/>
    <mergeCell ref="B14:AD14"/>
    <mergeCell ref="L12:O12"/>
    <mergeCell ref="G7:J7"/>
    <mergeCell ref="B11:E11"/>
    <mergeCell ref="V10:Y10"/>
    <mergeCell ref="Q10:T10"/>
    <mergeCell ref="G10:J10"/>
    <mergeCell ref="L8:O8"/>
    <mergeCell ref="B8:E8"/>
    <mergeCell ref="L10:O10"/>
    <mergeCell ref="B10:E10"/>
    <mergeCell ref="Q11:T11"/>
    <mergeCell ref="L11:O11"/>
    <mergeCell ref="V12:Y12"/>
    <mergeCell ref="Q7:T7"/>
    <mergeCell ref="G12:J12"/>
    <mergeCell ref="Q12:T12"/>
    <mergeCell ref="V11:Y11"/>
    <mergeCell ref="L7:O7"/>
    <mergeCell ref="G11:J11"/>
    <mergeCell ref="V8:Y8"/>
    <mergeCell ref="Q8:T8"/>
    <mergeCell ref="G8:J8"/>
    <mergeCell ref="B5:AD5"/>
    <mergeCell ref="B6:E6"/>
    <mergeCell ref="B2:AE2"/>
    <mergeCell ref="L6:O6"/>
    <mergeCell ref="V7:Y7"/>
    <mergeCell ref="B7:E7"/>
    <mergeCell ref="G6:J6"/>
    <mergeCell ref="V6:Y6"/>
    <mergeCell ref="B3:AE3"/>
    <mergeCell ref="Q6:T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12E81"/>
  </sheetPr>
  <dimension ref="A1:AF89"/>
  <sheetViews>
    <sheetView showGridLines="0" zoomScale="85" workbookViewId="0">
      <selection activeCell="AI11" sqref="AI11"/>
    </sheetView>
  </sheetViews>
  <sheetFormatPr defaultRowHeight="14.4" x14ac:dyDescent="0.3"/>
  <cols>
    <col min="1" max="1" width="1.44140625" customWidth="1"/>
    <col min="2" max="4" width="3.6640625" customWidth="1"/>
    <col min="5" max="5" width="13.6640625" customWidth="1"/>
    <col min="6" max="9" width="3.6640625" customWidth="1"/>
    <col min="10" max="10" width="11.6640625" customWidth="1"/>
    <col min="11" max="14" width="3.6640625" customWidth="1"/>
    <col min="15" max="15" width="10.44140625" customWidth="1"/>
    <col min="16" max="19" width="3.6640625" customWidth="1"/>
    <col min="20" max="20" width="13.44140625" customWidth="1"/>
    <col min="21" max="24" width="3.6640625" customWidth="1"/>
    <col min="25" max="25" width="15.21875" customWidth="1"/>
    <col min="26" max="34" width="3.6640625" customWidth="1"/>
    <col min="35" max="79" width="13" customWidth="1"/>
  </cols>
  <sheetData>
    <row r="1" spans="1:32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ht="52.05" customHeight="1" x14ac:dyDescent="0.3">
      <c r="A2" s="33"/>
      <c r="B2" s="170" t="s">
        <v>144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33"/>
    </row>
    <row r="3" spans="1:32" ht="19.95" customHeight="1" x14ac:dyDescent="0.3">
      <c r="A3" s="38"/>
      <c r="B3" s="231" t="s">
        <v>145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38"/>
    </row>
    <row r="4" spans="1:32" ht="13.9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2" ht="25.95" customHeight="1" x14ac:dyDescent="0.3">
      <c r="A5" s="23"/>
      <c r="B5" s="56" t="s">
        <v>146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23"/>
      <c r="AD5" s="20"/>
      <c r="AE5" s="20"/>
      <c r="AF5" s="20"/>
    </row>
    <row r="6" spans="1:32" ht="13.95" customHeight="1" x14ac:dyDescent="0.3">
      <c r="A6" s="20"/>
      <c r="B6" s="40" t="s">
        <v>5</v>
      </c>
      <c r="C6" s="226"/>
      <c r="D6" s="226"/>
      <c r="E6" s="227"/>
      <c r="F6" s="20"/>
      <c r="G6" s="58" t="s">
        <v>147</v>
      </c>
      <c r="H6" s="188"/>
      <c r="I6" s="188"/>
      <c r="J6" s="189"/>
      <c r="K6" s="20"/>
      <c r="L6" s="66" t="s">
        <v>148</v>
      </c>
      <c r="M6" s="218"/>
      <c r="N6" s="218"/>
      <c r="O6" s="219"/>
      <c r="P6" s="20"/>
      <c r="Q6" s="69" t="s">
        <v>149</v>
      </c>
      <c r="R6" s="191"/>
      <c r="S6" s="191"/>
      <c r="T6" s="192"/>
      <c r="U6" s="20"/>
      <c r="V6" s="43" t="s">
        <v>150</v>
      </c>
      <c r="W6" s="185"/>
      <c r="X6" s="185"/>
      <c r="Y6" s="186"/>
      <c r="Z6" s="20"/>
      <c r="AA6" s="20"/>
      <c r="AB6" s="20"/>
      <c r="AC6" s="20"/>
      <c r="AD6" s="20"/>
      <c r="AE6" s="20"/>
      <c r="AF6" s="20"/>
    </row>
    <row r="7" spans="1:32" ht="37.950000000000003" customHeight="1" x14ac:dyDescent="0.3">
      <c r="A7" s="20"/>
      <c r="B7" s="230">
        <f ca="1">COUNTIF('Master Leads'!M:M,"Yes*")</f>
        <v>13</v>
      </c>
      <c r="C7" s="174"/>
      <c r="D7" s="174"/>
      <c r="E7" s="178"/>
      <c r="F7" s="20"/>
      <c r="G7" s="108">
        <f ca="1">COUNTIF('Master Leads'!M:M,"No")</f>
        <v>8</v>
      </c>
      <c r="H7" s="174"/>
      <c r="I7" s="174"/>
      <c r="J7" s="178"/>
      <c r="K7" s="20"/>
      <c r="L7" s="109">
        <f ca="1">IFERROR(COUNTIF('Master Leads'!M:M,"Yes*")/(COUNTA('Master Leads'!B:B)-1),0)</f>
        <v>1.3</v>
      </c>
      <c r="M7" s="174"/>
      <c r="N7" s="174"/>
      <c r="O7" s="178"/>
      <c r="P7" s="20"/>
      <c r="Q7" s="177">
        <f ca="1">COUNTIFS('Master Leads'!M:M,"Yes*",'Master Leads'!O:O,"Yes")</f>
        <v>1</v>
      </c>
      <c r="R7" s="174"/>
      <c r="S7" s="174"/>
      <c r="T7" s="178"/>
      <c r="U7" s="20"/>
      <c r="V7" s="190">
        <f ca="1">COUNTIFS('Master Leads'!M:M,"Yes*",'Master Leads'!F:F,"Converted")</f>
        <v>0</v>
      </c>
      <c r="W7" s="174"/>
      <c r="X7" s="174"/>
      <c r="Y7" s="178"/>
      <c r="Z7" s="20"/>
      <c r="AA7" s="20"/>
      <c r="AB7" s="20"/>
      <c r="AC7" s="20"/>
      <c r="AD7" s="20"/>
      <c r="AE7" s="20"/>
      <c r="AF7" s="20"/>
    </row>
    <row r="8" spans="1:32" ht="15" customHeight="1" x14ac:dyDescent="0.3">
      <c r="A8" s="20"/>
      <c r="B8" s="53" t="s">
        <v>151</v>
      </c>
      <c r="C8" s="181"/>
      <c r="D8" s="181"/>
      <c r="E8" s="182"/>
      <c r="F8" s="20"/>
      <c r="G8" s="62" t="s">
        <v>152</v>
      </c>
      <c r="H8" s="181"/>
      <c r="I8" s="181"/>
      <c r="J8" s="182"/>
      <c r="K8" s="20"/>
      <c r="L8" s="59" t="s">
        <v>153</v>
      </c>
      <c r="M8" s="181"/>
      <c r="N8" s="181"/>
      <c r="O8" s="182"/>
      <c r="P8" s="20"/>
      <c r="Q8" s="61" t="s">
        <v>154</v>
      </c>
      <c r="R8" s="181"/>
      <c r="S8" s="181"/>
      <c r="T8" s="182"/>
      <c r="U8" s="20"/>
      <c r="V8" s="64" t="s">
        <v>155</v>
      </c>
      <c r="W8" s="181"/>
      <c r="X8" s="181"/>
      <c r="Y8" s="182"/>
      <c r="Z8" s="20"/>
      <c r="AA8" s="20"/>
      <c r="AB8" s="20"/>
      <c r="AC8" s="20"/>
      <c r="AD8" s="20"/>
      <c r="AE8" s="20"/>
      <c r="AF8" s="20"/>
    </row>
    <row r="9" spans="1:32" ht="13.9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1:32" ht="25.95" customHeight="1" x14ac:dyDescent="0.3">
      <c r="A10" s="23"/>
      <c r="B10" s="56" t="s">
        <v>156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23"/>
      <c r="AD10" s="20"/>
      <c r="AE10" s="20"/>
      <c r="AF10" s="20"/>
    </row>
    <row r="11" spans="1:32" ht="22.05" customHeight="1" x14ac:dyDescent="0.3">
      <c r="A11" s="20"/>
      <c r="B11" s="159" t="s">
        <v>91</v>
      </c>
      <c r="C11" s="229"/>
      <c r="D11" s="229"/>
      <c r="E11" s="229"/>
      <c r="F11" s="96" t="s">
        <v>28</v>
      </c>
      <c r="G11" s="193"/>
      <c r="H11" s="193"/>
      <c r="I11" s="193"/>
      <c r="J11" s="90" t="s">
        <v>157</v>
      </c>
      <c r="K11" s="184"/>
      <c r="L11" s="184"/>
      <c r="M11" s="184"/>
      <c r="N11" s="88" t="s">
        <v>158</v>
      </c>
      <c r="O11" s="183"/>
      <c r="P11" s="183"/>
      <c r="Q11" s="183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ht="18" customHeight="1" x14ac:dyDescent="0.3">
      <c r="A12" s="20"/>
      <c r="B12" s="228" t="s">
        <v>93</v>
      </c>
      <c r="C12" s="229"/>
      <c r="D12" s="229"/>
      <c r="E12" s="229"/>
      <c r="F12" s="158">
        <f>COUNTIF('Master Leads'!L:L,"B1")</f>
        <v>4</v>
      </c>
      <c r="G12" s="220"/>
      <c r="H12" s="220"/>
      <c r="I12" s="220"/>
      <c r="J12" s="152">
        <f ca="1">COUNTIFS('Master Leads'!L:L,"B1",'Master Leads'!M:M,"Yes*")</f>
        <v>1</v>
      </c>
      <c r="K12" s="220"/>
      <c r="L12" s="220"/>
      <c r="M12" s="220"/>
      <c r="N12" s="141">
        <f ca="1">IFERROR(COUNTIFS('Master Leads'!L:L,"B1",'Master Leads'!M:M,"Yes*")/COUNTIF('Master Leads'!L:L,"B1"),0)</f>
        <v>0.25</v>
      </c>
      <c r="O12" s="220"/>
      <c r="P12" s="220"/>
      <c r="Q12" s="2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spans="1:32" ht="18" customHeight="1" x14ac:dyDescent="0.3">
      <c r="A13" s="20"/>
      <c r="B13" s="228" t="s">
        <v>94</v>
      </c>
      <c r="C13" s="229"/>
      <c r="D13" s="229"/>
      <c r="E13" s="229"/>
      <c r="F13" s="104">
        <f>COUNTIF('Master Leads'!L:L,"B2")</f>
        <v>1</v>
      </c>
      <c r="G13" s="174"/>
      <c r="H13" s="174"/>
      <c r="I13" s="174"/>
      <c r="J13" s="145">
        <f ca="1">COUNTIFS('Master Leads'!L:L,"B2",'Master Leads'!M:M,"Yes*")</f>
        <v>1</v>
      </c>
      <c r="K13" s="174"/>
      <c r="L13" s="174"/>
      <c r="M13" s="174"/>
      <c r="N13" s="100">
        <f ca="1">IFERROR(COUNTIFS('Master Leads'!L:L,"B2",'Master Leads'!M:M,"Yes*")/COUNTIF('Master Leads'!L:L,"B2"),0)</f>
        <v>1</v>
      </c>
      <c r="O13" s="174"/>
      <c r="P13" s="174"/>
      <c r="Q13" s="174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spans="1:32" ht="18" customHeight="1" x14ac:dyDescent="0.3">
      <c r="A14" s="20"/>
      <c r="B14" s="228" t="s">
        <v>95</v>
      </c>
      <c r="C14" s="229"/>
      <c r="D14" s="229"/>
      <c r="E14" s="229"/>
      <c r="F14" s="158">
        <f>COUNTIF('Master Leads'!L:L,"B3")</f>
        <v>0</v>
      </c>
      <c r="G14" s="220"/>
      <c r="H14" s="220"/>
      <c r="I14" s="220"/>
      <c r="J14" s="152">
        <f>COUNTIFS('Master Leads'!L:L,"B3",'Master Leads'!M:M,"Yes*")</f>
        <v>0</v>
      </c>
      <c r="K14" s="220"/>
      <c r="L14" s="220"/>
      <c r="M14" s="220"/>
      <c r="N14" s="141">
        <f>IFERROR(COUNTIFS('Master Leads'!L:L,"B3",'Master Leads'!M:M,"Yes*")/COUNTIF('Master Leads'!L:L,"B3"),0)</f>
        <v>0</v>
      </c>
      <c r="O14" s="220"/>
      <c r="P14" s="220"/>
      <c r="Q14" s="2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 spans="1:32" ht="18" customHeight="1" x14ac:dyDescent="0.3">
      <c r="A15" s="20"/>
      <c r="B15" s="228" t="s">
        <v>96</v>
      </c>
      <c r="C15" s="229"/>
      <c r="D15" s="229"/>
      <c r="E15" s="229"/>
      <c r="F15" s="104">
        <f>COUNTIF('Master Leads'!L:L,"B4")</f>
        <v>0</v>
      </c>
      <c r="G15" s="174"/>
      <c r="H15" s="174"/>
      <c r="I15" s="174"/>
      <c r="J15" s="145">
        <f>COUNTIFS('Master Leads'!L:L,"B4",'Master Leads'!M:M,"Yes*")</f>
        <v>0</v>
      </c>
      <c r="K15" s="174"/>
      <c r="L15" s="174"/>
      <c r="M15" s="174"/>
      <c r="N15" s="100">
        <f>IFERROR(COUNTIFS('Master Leads'!L:L,"B4",'Master Leads'!M:M,"Yes*")/COUNTIF('Master Leads'!L:L,"B4"),0)</f>
        <v>0</v>
      </c>
      <c r="O15" s="174"/>
      <c r="P15" s="174"/>
      <c r="Q15" s="174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2" ht="18" customHeight="1" x14ac:dyDescent="0.3">
      <c r="A16" s="20"/>
      <c r="B16" s="228" t="s">
        <v>97</v>
      </c>
      <c r="C16" s="229"/>
      <c r="D16" s="229"/>
      <c r="E16" s="229"/>
      <c r="F16" s="158">
        <f>COUNTIF('Master Leads'!L:L,"B5")</f>
        <v>0</v>
      </c>
      <c r="G16" s="220"/>
      <c r="H16" s="220"/>
      <c r="I16" s="220"/>
      <c r="J16" s="152">
        <f>COUNTIFS('Master Leads'!L:L,"B5",'Master Leads'!M:M,"Yes*")</f>
        <v>0</v>
      </c>
      <c r="K16" s="220"/>
      <c r="L16" s="220"/>
      <c r="M16" s="220"/>
      <c r="N16" s="141">
        <f>IFERROR(COUNTIFS('Master Leads'!L:L,"B5",'Master Leads'!M:M,"Yes*")/COUNTIF('Master Leads'!L:L,"B5"),0)</f>
        <v>0</v>
      </c>
      <c r="O16" s="220"/>
      <c r="P16" s="220"/>
      <c r="Q16" s="2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1:32" ht="18" customHeight="1" x14ac:dyDescent="0.3">
      <c r="A17" s="20"/>
      <c r="B17" s="228" t="s">
        <v>98</v>
      </c>
      <c r="C17" s="229"/>
      <c r="D17" s="229"/>
      <c r="E17" s="229"/>
      <c r="F17" s="104">
        <f>COUNTIF('Master Leads'!L:L,"B6")</f>
        <v>0</v>
      </c>
      <c r="G17" s="174"/>
      <c r="H17" s="174"/>
      <c r="I17" s="174"/>
      <c r="J17" s="145">
        <f>COUNTIFS('Master Leads'!L:L,"B6",'Master Leads'!M:M,"Yes*")</f>
        <v>0</v>
      </c>
      <c r="K17" s="174"/>
      <c r="L17" s="174"/>
      <c r="M17" s="174"/>
      <c r="N17" s="100">
        <f>IFERROR(COUNTIFS('Master Leads'!L:L,"B6",'Master Leads'!M:M,"Yes*")/COUNTIF('Master Leads'!L:L,"B6"),0)</f>
        <v>0</v>
      </c>
      <c r="O17" s="174"/>
      <c r="P17" s="174"/>
      <c r="Q17" s="174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32" ht="18" customHeight="1" x14ac:dyDescent="0.3">
      <c r="A18" s="20"/>
      <c r="B18" s="228" t="s">
        <v>99</v>
      </c>
      <c r="C18" s="229"/>
      <c r="D18" s="229"/>
      <c r="E18" s="229"/>
      <c r="F18" s="158">
        <f>COUNTIF('Master Leads'!L:L,"B7")</f>
        <v>0</v>
      </c>
      <c r="G18" s="220"/>
      <c r="H18" s="220"/>
      <c r="I18" s="220"/>
      <c r="J18" s="152">
        <f>COUNTIFS('Master Leads'!L:L,"B7",'Master Leads'!M:M,"Yes*")</f>
        <v>0</v>
      </c>
      <c r="K18" s="220"/>
      <c r="L18" s="220"/>
      <c r="M18" s="220"/>
      <c r="N18" s="141">
        <f>IFERROR(COUNTIFS('Master Leads'!L:L,"B7",'Master Leads'!M:M,"Yes*")/COUNTIF('Master Leads'!L:L,"B7"),0)</f>
        <v>0</v>
      </c>
      <c r="O18" s="220"/>
      <c r="P18" s="220"/>
      <c r="Q18" s="2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2" ht="18" customHeight="1" x14ac:dyDescent="0.3">
      <c r="A19" s="20"/>
      <c r="B19" s="228" t="s">
        <v>100</v>
      </c>
      <c r="C19" s="229"/>
      <c r="D19" s="229"/>
      <c r="E19" s="229"/>
      <c r="F19" s="104">
        <f>COUNTIF('Master Leads'!L:L,"B8")</f>
        <v>0</v>
      </c>
      <c r="G19" s="174"/>
      <c r="H19" s="174"/>
      <c r="I19" s="174"/>
      <c r="J19" s="145">
        <f>COUNTIFS('Master Leads'!L:L,"B8",'Master Leads'!M:M,"Yes*")</f>
        <v>0</v>
      </c>
      <c r="K19" s="174"/>
      <c r="L19" s="174"/>
      <c r="M19" s="174"/>
      <c r="N19" s="100">
        <f>IFERROR(COUNTIFS('Master Leads'!L:L,"B8",'Master Leads'!M:M,"Yes*")/COUNTIF('Master Leads'!L:L,"B8"),0)</f>
        <v>0</v>
      </c>
      <c r="O19" s="174"/>
      <c r="P19" s="174"/>
      <c r="Q19" s="174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2" ht="13.9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spans="1:32" ht="13.9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spans="1:32" ht="13.9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2" ht="13.9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spans="1:32" ht="13.9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3.9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spans="1:32" ht="13.9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spans="1:32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2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3.9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2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3.9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3.9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spans="1:32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1:32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1:32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1:32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spans="1:32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spans="1:32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1:32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1:32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1:32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1:32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spans="1:32" ht="13.95" customHeight="1" x14ac:dyDescent="0.3"/>
    <row r="86" spans="1:32" ht="13.95" customHeight="1" x14ac:dyDescent="0.3"/>
    <row r="87" spans="1:32" ht="13.95" customHeight="1" x14ac:dyDescent="0.3"/>
    <row r="88" spans="1:32" ht="13.95" customHeight="1" x14ac:dyDescent="0.3"/>
    <row r="89" spans="1:32" ht="13.95" customHeight="1" x14ac:dyDescent="0.3"/>
  </sheetData>
  <mergeCells count="55">
    <mergeCell ref="B3:AE3"/>
    <mergeCell ref="J16:M16"/>
    <mergeCell ref="B19:E19"/>
    <mergeCell ref="Q6:T6"/>
    <mergeCell ref="N19:Q19"/>
    <mergeCell ref="B5:AB5"/>
    <mergeCell ref="F15:I15"/>
    <mergeCell ref="J15:M15"/>
    <mergeCell ref="B14:E14"/>
    <mergeCell ref="N18:Q18"/>
    <mergeCell ref="G6:J6"/>
    <mergeCell ref="B17:E17"/>
    <mergeCell ref="F18:I18"/>
    <mergeCell ref="L8:O8"/>
    <mergeCell ref="B8:E8"/>
    <mergeCell ref="N14:Q14"/>
    <mergeCell ref="F17:I17"/>
    <mergeCell ref="B13:E13"/>
    <mergeCell ref="N17:Q17"/>
    <mergeCell ref="V6:Y6"/>
    <mergeCell ref="J11:M11"/>
    <mergeCell ref="V8:Y8"/>
    <mergeCell ref="Q8:T8"/>
    <mergeCell ref="G8:J8"/>
    <mergeCell ref="B12:E12"/>
    <mergeCell ref="F12:I12"/>
    <mergeCell ref="B11:E11"/>
    <mergeCell ref="N12:Q12"/>
    <mergeCell ref="N16:Q16"/>
    <mergeCell ref="F19:I19"/>
    <mergeCell ref="J19:M19"/>
    <mergeCell ref="B18:E18"/>
    <mergeCell ref="J13:M13"/>
    <mergeCell ref="B2:AE2"/>
    <mergeCell ref="L6:O6"/>
    <mergeCell ref="V7:Y7"/>
    <mergeCell ref="N15:Q15"/>
    <mergeCell ref="J18:M18"/>
    <mergeCell ref="F14:I14"/>
    <mergeCell ref="J17:M17"/>
    <mergeCell ref="F11:I11"/>
    <mergeCell ref="Q7:T7"/>
    <mergeCell ref="B16:E16"/>
    <mergeCell ref="B7:E7"/>
    <mergeCell ref="B10:AB10"/>
    <mergeCell ref="N11:Q11"/>
    <mergeCell ref="F16:I16"/>
    <mergeCell ref="J14:M14"/>
    <mergeCell ref="L7:O7"/>
    <mergeCell ref="F13:I13"/>
    <mergeCell ref="N13:Q13"/>
    <mergeCell ref="B6:E6"/>
    <mergeCell ref="J12:M12"/>
    <mergeCell ref="B15:E15"/>
    <mergeCell ref="G7:J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A580C"/>
  </sheetPr>
  <dimension ref="A1:AI89"/>
  <sheetViews>
    <sheetView showGridLines="0" zoomScale="85" workbookViewId="0">
      <selection activeCell="AI9" sqref="AI9"/>
    </sheetView>
  </sheetViews>
  <sheetFormatPr defaultRowHeight="14.4" x14ac:dyDescent="0.3"/>
  <cols>
    <col min="1" max="1" width="1.44140625" customWidth="1"/>
    <col min="2" max="4" width="3.6640625" customWidth="1"/>
    <col min="5" max="5" width="13.88671875" customWidth="1"/>
    <col min="6" max="9" width="3.6640625" customWidth="1"/>
    <col min="10" max="10" width="14.5546875" customWidth="1"/>
    <col min="11" max="14" width="3.6640625" customWidth="1"/>
    <col min="15" max="15" width="8.33203125" customWidth="1"/>
    <col min="16" max="19" width="3.6640625" customWidth="1"/>
    <col min="20" max="20" width="13.88671875" customWidth="1"/>
    <col min="21" max="24" width="3.6640625" customWidth="1"/>
    <col min="25" max="25" width="9.33203125" customWidth="1"/>
    <col min="26" max="34" width="3.6640625" customWidth="1"/>
    <col min="35" max="79" width="13" customWidth="1"/>
  </cols>
  <sheetData>
    <row r="1" spans="1:35" ht="7.0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5" ht="52.05" customHeight="1" x14ac:dyDescent="0.3">
      <c r="A2" s="35"/>
      <c r="B2" s="235" t="s">
        <v>159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35"/>
    </row>
    <row r="3" spans="1:35" ht="19.95" customHeight="1" x14ac:dyDescent="0.3">
      <c r="A3" s="29"/>
      <c r="B3" s="250" t="s">
        <v>160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29"/>
    </row>
    <row r="4" spans="1:35" ht="13.9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5" ht="25.95" customHeight="1" x14ac:dyDescent="0.3">
      <c r="A5" s="23"/>
      <c r="B5" s="56" t="s">
        <v>161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23"/>
      <c r="AD5" s="20"/>
      <c r="AE5" s="20"/>
      <c r="AF5" s="20"/>
    </row>
    <row r="6" spans="1:35" ht="13.95" customHeight="1" x14ac:dyDescent="0.3">
      <c r="A6" s="20"/>
      <c r="B6" s="58" t="s">
        <v>162</v>
      </c>
      <c r="C6" s="188"/>
      <c r="D6" s="188"/>
      <c r="E6" s="189"/>
      <c r="F6" s="20"/>
      <c r="G6" s="43" t="s">
        <v>135</v>
      </c>
      <c r="H6" s="185"/>
      <c r="I6" s="185"/>
      <c r="J6" s="186"/>
      <c r="K6" s="20"/>
      <c r="L6" s="236" t="s">
        <v>163</v>
      </c>
      <c r="M6" s="237"/>
      <c r="N6" s="237"/>
      <c r="O6" s="238"/>
      <c r="P6" s="20"/>
      <c r="Q6" s="69" t="s">
        <v>164</v>
      </c>
      <c r="R6" s="191"/>
      <c r="S6" s="191"/>
      <c r="T6" s="192"/>
      <c r="U6" s="20"/>
      <c r="V6" s="54" t="s">
        <v>2</v>
      </c>
      <c r="W6" s="194"/>
      <c r="X6" s="194"/>
      <c r="Y6" s="195"/>
      <c r="Z6" s="20"/>
      <c r="AA6" s="20"/>
      <c r="AB6" s="20"/>
      <c r="AC6" s="20"/>
      <c r="AD6" s="20"/>
      <c r="AE6" s="20"/>
      <c r="AF6" s="20"/>
    </row>
    <row r="7" spans="1:35" ht="37.950000000000003" customHeight="1" x14ac:dyDescent="0.3">
      <c r="A7" s="20"/>
      <c r="B7" s="108">
        <f>COUNTIF('Master Leads'!I:I,"Yes")</f>
        <v>1</v>
      </c>
      <c r="C7" s="174"/>
      <c r="D7" s="174"/>
      <c r="E7" s="178"/>
      <c r="F7" s="20"/>
      <c r="G7" s="190">
        <f>COUNTIF('Master Leads'!I:I,"No")</f>
        <v>3</v>
      </c>
      <c r="H7" s="174"/>
      <c r="I7" s="174"/>
      <c r="J7" s="178"/>
      <c r="K7" s="20"/>
      <c r="L7" s="242">
        <f>COUNTBLANK('Master Leads'!I2:I10000)</f>
        <v>9995</v>
      </c>
      <c r="M7" s="174"/>
      <c r="N7" s="174"/>
      <c r="O7" s="178"/>
      <c r="P7" s="20"/>
      <c r="Q7" s="111">
        <f>IFERROR(COUNTIF('Master Leads'!I:I,"Yes")/(COUNTIF('Master Leads'!I:I,"Yes")+COUNTIF('Master Leads'!I:I,"No")),0)</f>
        <v>0.25</v>
      </c>
      <c r="R7" s="174"/>
      <c r="S7" s="174"/>
      <c r="T7" s="178"/>
      <c r="U7" s="20"/>
      <c r="V7" s="128">
        <f>COUNTA('Master Leads'!B:B)-1</f>
        <v>10</v>
      </c>
      <c r="W7" s="174"/>
      <c r="X7" s="174"/>
      <c r="Y7" s="178"/>
      <c r="Z7" s="20"/>
      <c r="AA7" s="20"/>
      <c r="AB7" s="20"/>
      <c r="AC7" s="20"/>
      <c r="AD7" s="20"/>
      <c r="AE7" s="20"/>
      <c r="AF7" s="20"/>
    </row>
    <row r="8" spans="1:35" ht="15" customHeight="1" x14ac:dyDescent="0.3">
      <c r="A8" s="20"/>
      <c r="B8" s="62" t="s">
        <v>165</v>
      </c>
      <c r="C8" s="181"/>
      <c r="D8" s="181"/>
      <c r="E8" s="182"/>
      <c r="F8" s="20"/>
      <c r="G8" s="64" t="s">
        <v>166</v>
      </c>
      <c r="H8" s="181"/>
      <c r="I8" s="181"/>
      <c r="J8" s="182"/>
      <c r="K8" s="20"/>
      <c r="L8" s="248" t="s">
        <v>167</v>
      </c>
      <c r="M8" s="181"/>
      <c r="N8" s="181"/>
      <c r="O8" s="182"/>
      <c r="P8" s="20"/>
      <c r="Q8" s="61" t="s">
        <v>168</v>
      </c>
      <c r="R8" s="181"/>
      <c r="S8" s="181"/>
      <c r="T8" s="182"/>
      <c r="U8" s="20"/>
      <c r="V8" s="60" t="s">
        <v>47</v>
      </c>
      <c r="W8" s="181"/>
      <c r="X8" s="181"/>
      <c r="Y8" s="182"/>
      <c r="Z8" s="20"/>
      <c r="AA8" s="20"/>
      <c r="AB8" s="20"/>
      <c r="AC8" s="20"/>
      <c r="AD8" s="20"/>
      <c r="AE8" s="20"/>
      <c r="AF8" s="20"/>
    </row>
    <row r="9" spans="1:35" ht="13.9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I9">
        <v>1</v>
      </c>
    </row>
    <row r="10" spans="1:35" ht="13.95" customHeight="1" x14ac:dyDescent="0.3">
      <c r="A10" s="20"/>
      <c r="B10" s="58" t="s">
        <v>169</v>
      </c>
      <c r="C10" s="188"/>
      <c r="D10" s="188"/>
      <c r="E10" s="189"/>
      <c r="F10" s="20"/>
      <c r="G10" s="69" t="s">
        <v>170</v>
      </c>
      <c r="H10" s="191"/>
      <c r="I10" s="191"/>
      <c r="J10" s="192"/>
      <c r="K10" s="20"/>
      <c r="L10" s="43" t="s">
        <v>171</v>
      </c>
      <c r="M10" s="185"/>
      <c r="N10" s="185"/>
      <c r="O10" s="186"/>
      <c r="P10" s="20"/>
      <c r="Q10" s="223" t="s">
        <v>172</v>
      </c>
      <c r="R10" s="224"/>
      <c r="S10" s="224"/>
      <c r="T10" s="225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5" ht="37.950000000000003" customHeight="1" x14ac:dyDescent="0.3">
      <c r="A11" s="20"/>
      <c r="B11" s="108">
        <f>COUNTIFS('Master Leads'!I:I,"Yes",'Master Leads'!F:F,"Converted")</f>
        <v>0</v>
      </c>
      <c r="C11" s="174"/>
      <c r="D11" s="174"/>
      <c r="E11" s="178"/>
      <c r="F11" s="20"/>
      <c r="G11" s="177">
        <f>COUNTIFS('Master Leads'!I:I,"Yes",'Master Leads'!O:O,"Yes")</f>
        <v>1</v>
      </c>
      <c r="H11" s="174"/>
      <c r="I11" s="174"/>
      <c r="J11" s="178"/>
      <c r="K11" s="20"/>
      <c r="L11" s="190">
        <f>COUNTIFS('Master Leads'!I:I,"No",'Master Leads'!F:F,"Interested")</f>
        <v>0</v>
      </c>
      <c r="M11" s="174"/>
      <c r="N11" s="174"/>
      <c r="O11" s="178"/>
      <c r="P11" s="20"/>
      <c r="Q11" s="222">
        <f>COUNTIFS('Master Leads'!I:I,"No",'Master Leads'!F:F,"No Answer")</f>
        <v>1</v>
      </c>
      <c r="R11" s="174"/>
      <c r="S11" s="174"/>
      <c r="T11" s="178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5" ht="15" customHeight="1" x14ac:dyDescent="0.3">
      <c r="A12" s="20"/>
      <c r="B12" s="62" t="s">
        <v>173</v>
      </c>
      <c r="C12" s="181"/>
      <c r="D12" s="181"/>
      <c r="E12" s="182"/>
      <c r="F12" s="20"/>
      <c r="G12" s="61" t="s">
        <v>174</v>
      </c>
      <c r="H12" s="181"/>
      <c r="I12" s="181"/>
      <c r="J12" s="182"/>
      <c r="K12" s="20"/>
      <c r="L12" s="64" t="s">
        <v>175</v>
      </c>
      <c r="M12" s="181"/>
      <c r="N12" s="181"/>
      <c r="O12" s="182"/>
      <c r="P12" s="20"/>
      <c r="Q12" s="221" t="s">
        <v>176</v>
      </c>
      <c r="R12" s="181"/>
      <c r="S12" s="181"/>
      <c r="T12" s="182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spans="1:35" ht="13.9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spans="1:35" ht="25.95" customHeight="1" x14ac:dyDescent="0.3">
      <c r="A14" s="23"/>
      <c r="B14" s="56" t="s">
        <v>177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23"/>
      <c r="AD14" s="20"/>
      <c r="AE14" s="20"/>
      <c r="AF14" s="20"/>
    </row>
    <row r="15" spans="1:35" ht="22.05" customHeight="1" x14ac:dyDescent="0.3">
      <c r="A15" s="20"/>
      <c r="B15" s="96" t="s">
        <v>70</v>
      </c>
      <c r="C15" s="193"/>
      <c r="D15" s="193"/>
      <c r="E15" s="193"/>
      <c r="F15" s="193"/>
      <c r="G15" s="95" t="s">
        <v>178</v>
      </c>
      <c r="H15" s="187"/>
      <c r="I15" s="187"/>
      <c r="J15" s="187"/>
      <c r="K15" s="93" t="s">
        <v>179</v>
      </c>
      <c r="L15" s="179"/>
      <c r="M15" s="179"/>
      <c r="N15" s="179"/>
      <c r="O15" s="244" t="s">
        <v>180</v>
      </c>
      <c r="P15" s="245"/>
      <c r="Q15" s="245"/>
      <c r="R15" s="245"/>
      <c r="S15" s="88" t="s">
        <v>181</v>
      </c>
      <c r="T15" s="183"/>
      <c r="U15" s="183"/>
      <c r="V15" s="183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5" ht="18" customHeight="1" x14ac:dyDescent="0.3">
      <c r="A16" s="20"/>
      <c r="B16" s="139" t="s">
        <v>75</v>
      </c>
      <c r="C16" s="233"/>
      <c r="D16" s="233"/>
      <c r="E16" s="233"/>
      <c r="F16" s="233"/>
      <c r="G16" s="176">
        <f>COUNTIFS('Master Leads'!D:D,"maheesha",'Master Leads'!I:I,"Yes")</f>
        <v>0</v>
      </c>
      <c r="H16" s="175"/>
      <c r="I16" s="175"/>
      <c r="J16" s="175"/>
      <c r="K16" s="241">
        <f>COUNTIFS('Master Leads'!D:D,"maheesha",'Master Leads'!I:I,"No")</f>
        <v>1</v>
      </c>
      <c r="L16" s="175"/>
      <c r="M16" s="175"/>
      <c r="N16" s="175"/>
      <c r="O16" s="246">
        <f>COUNTIFS('Master Leads'!D:D,"maheesha",'Master Leads'!I:I,"")</f>
        <v>0</v>
      </c>
      <c r="P16" s="175"/>
      <c r="Q16" s="175"/>
      <c r="R16" s="175"/>
      <c r="S16" s="180">
        <f>IFERROR(COUNTIFS('Master Leads'!D:D,"maheesha",'Master Leads'!I:I,"Yes")/(COUNTIFS('Master Leads'!D:D,"maheesha",'Master Leads'!I:I,"Yes")+COUNTIFS('Master Leads'!D:D,"maheesha",'Master Leads'!I:I,"No")),0)</f>
        <v>0</v>
      </c>
      <c r="T16" s="175"/>
      <c r="U16" s="175"/>
      <c r="V16" s="175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1:32" ht="18" customHeight="1" x14ac:dyDescent="0.3">
      <c r="A17" s="20"/>
      <c r="B17" s="151" t="s">
        <v>76</v>
      </c>
      <c r="C17" s="243"/>
      <c r="D17" s="243"/>
      <c r="E17" s="243"/>
      <c r="F17" s="243"/>
      <c r="G17" s="114">
        <f>COUNTIFS('Master Leads'!D:D,"menik",'Master Leads'!I:I,"Yes")</f>
        <v>0</v>
      </c>
      <c r="H17" s="174"/>
      <c r="I17" s="174"/>
      <c r="J17" s="174"/>
      <c r="K17" s="134">
        <f>COUNTIFS('Master Leads'!D:D,"menik",'Master Leads'!I:I,"No")</f>
        <v>0</v>
      </c>
      <c r="L17" s="174"/>
      <c r="M17" s="174"/>
      <c r="N17" s="174"/>
      <c r="O17" s="234">
        <f>COUNTIFS('Master Leads'!D:D,"menik",'Master Leads'!I:I,"")</f>
        <v>0</v>
      </c>
      <c r="P17" s="174"/>
      <c r="Q17" s="174"/>
      <c r="R17" s="174"/>
      <c r="S17" s="100">
        <f>IFERROR(COUNTIFS('Master Leads'!D:D,"menik",'Master Leads'!I:I,"Yes")/(COUNTIFS('Master Leads'!D:D,"menik",'Master Leads'!I:I,"Yes")+COUNTIFS('Master Leads'!D:D,"menik",'Master Leads'!I:I,"No")),0)</f>
        <v>0</v>
      </c>
      <c r="T17" s="174"/>
      <c r="U17" s="174"/>
      <c r="V17" s="174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32" ht="18" customHeight="1" x14ac:dyDescent="0.3">
      <c r="A18" s="20"/>
      <c r="B18" s="160" t="s">
        <v>77</v>
      </c>
      <c r="C18" s="239"/>
      <c r="D18" s="239"/>
      <c r="E18" s="239"/>
      <c r="F18" s="239"/>
      <c r="G18" s="176">
        <f>COUNTIFS('Master Leads'!D:D,"kavinda",'Master Leads'!I:I,"Yes")</f>
        <v>1</v>
      </c>
      <c r="H18" s="175"/>
      <c r="I18" s="175"/>
      <c r="J18" s="175"/>
      <c r="K18" s="241">
        <f>COUNTIFS('Master Leads'!D:D,"kavinda",'Master Leads'!I:I,"No")</f>
        <v>1</v>
      </c>
      <c r="L18" s="175"/>
      <c r="M18" s="175"/>
      <c r="N18" s="175"/>
      <c r="O18" s="246">
        <f>COUNTIFS('Master Leads'!D:D,"kavinda",'Master Leads'!I:I,"")</f>
        <v>0</v>
      </c>
      <c r="P18" s="175"/>
      <c r="Q18" s="175"/>
      <c r="R18" s="175"/>
      <c r="S18" s="180">
        <f>IFERROR(COUNTIFS('Master Leads'!D:D,"kavinda",'Master Leads'!I:I,"Yes")/(COUNTIFS('Master Leads'!D:D,"kavinda",'Master Leads'!I:I,"Yes")+COUNTIFS('Master Leads'!D:D,"kavinda",'Master Leads'!I:I,"No")),0)</f>
        <v>0.5</v>
      </c>
      <c r="T18" s="175"/>
      <c r="U18" s="175"/>
      <c r="V18" s="175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2" ht="18" customHeight="1" x14ac:dyDescent="0.3">
      <c r="A19" s="20"/>
      <c r="B19" s="156" t="s">
        <v>78</v>
      </c>
      <c r="C19" s="247"/>
      <c r="D19" s="247"/>
      <c r="E19" s="247"/>
      <c r="F19" s="247"/>
      <c r="G19" s="114">
        <f>COUNTIFS('Master Leads'!D:D,"umesh",'Master Leads'!I:I,"Yes")</f>
        <v>0</v>
      </c>
      <c r="H19" s="174"/>
      <c r="I19" s="174"/>
      <c r="J19" s="174"/>
      <c r="K19" s="134">
        <f>COUNTIFS('Master Leads'!D:D,"umesh",'Master Leads'!I:I,"No")</f>
        <v>1</v>
      </c>
      <c r="L19" s="174"/>
      <c r="M19" s="174"/>
      <c r="N19" s="174"/>
      <c r="O19" s="234">
        <f>COUNTIFS('Master Leads'!D:D,"umesh",'Master Leads'!I:I,"")</f>
        <v>3</v>
      </c>
      <c r="P19" s="174"/>
      <c r="Q19" s="174"/>
      <c r="R19" s="174"/>
      <c r="S19" s="100">
        <f>IFERROR(COUNTIFS('Master Leads'!D:D,"umesh",'Master Leads'!I:I,"Yes")/(COUNTIFS('Master Leads'!D:D,"umesh",'Master Leads'!I:I,"Yes")+COUNTIFS('Master Leads'!D:D,"umesh",'Master Leads'!I:I,"No")),0)</f>
        <v>0</v>
      </c>
      <c r="T19" s="174"/>
      <c r="U19" s="174"/>
      <c r="V19" s="174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2" ht="18" customHeight="1" x14ac:dyDescent="0.3">
      <c r="A20" s="20"/>
      <c r="B20" s="149" t="s">
        <v>79</v>
      </c>
      <c r="C20" s="249"/>
      <c r="D20" s="249"/>
      <c r="E20" s="249"/>
      <c r="F20" s="249"/>
      <c r="G20" s="176">
        <f>COUNTIFS('Master Leads'!D:D,"Avishka",'Master Leads'!I:I,"Yes")</f>
        <v>0</v>
      </c>
      <c r="H20" s="175"/>
      <c r="I20" s="175"/>
      <c r="J20" s="175"/>
      <c r="K20" s="241">
        <f>COUNTIFS('Master Leads'!D:D,"Avishka",'Master Leads'!I:I,"No")</f>
        <v>0</v>
      </c>
      <c r="L20" s="175"/>
      <c r="M20" s="175"/>
      <c r="N20" s="175"/>
      <c r="O20" s="246">
        <f>COUNTIFS('Master Leads'!D:D,"Avishka",'Master Leads'!I:I,"")</f>
        <v>0</v>
      </c>
      <c r="P20" s="175"/>
      <c r="Q20" s="175"/>
      <c r="R20" s="175"/>
      <c r="S20" s="180">
        <f>IFERROR(COUNTIFS('Master Leads'!D:D,"Avishka",'Master Leads'!I:I,"Yes")/(COUNTIFS('Master Leads'!D:D,"Avishka",'Master Leads'!I:I,"Yes")+COUNTIFS('Master Leads'!D:D,"Avishka",'Master Leads'!I:I,"No")),0)</f>
        <v>0</v>
      </c>
      <c r="T20" s="175"/>
      <c r="U20" s="175"/>
      <c r="V20" s="175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spans="1:32" ht="18" customHeight="1" x14ac:dyDescent="0.3">
      <c r="A21" s="20"/>
      <c r="B21" s="166" t="s">
        <v>80</v>
      </c>
      <c r="C21" s="240"/>
      <c r="D21" s="240"/>
      <c r="E21" s="240"/>
      <c r="F21" s="240"/>
      <c r="G21" s="114">
        <f>COUNTIFS('Master Leads'!D:D,"Wihanga",'Master Leads'!I:I,"Yes")</f>
        <v>0</v>
      </c>
      <c r="H21" s="174"/>
      <c r="I21" s="174"/>
      <c r="J21" s="174"/>
      <c r="K21" s="134">
        <f>COUNTIFS('Master Leads'!D:D,"Wihanga",'Master Leads'!I:I,"No")</f>
        <v>0</v>
      </c>
      <c r="L21" s="174"/>
      <c r="M21" s="174"/>
      <c r="N21" s="174"/>
      <c r="O21" s="234">
        <f>COUNTIFS('Master Leads'!D:D,"Wihanga",'Master Leads'!I:I,"")</f>
        <v>0</v>
      </c>
      <c r="P21" s="174"/>
      <c r="Q21" s="174"/>
      <c r="R21" s="174"/>
      <c r="S21" s="100">
        <f>IFERROR(COUNTIFS('Master Leads'!D:D,"Wihanga",'Master Leads'!I:I,"Yes")/(COUNTIFS('Master Leads'!D:D,"Wihanga",'Master Leads'!I:I,"Yes")+COUNTIFS('Master Leads'!D:D,"Wihanga",'Master Leads'!I:I,"No")),0)</f>
        <v>0</v>
      </c>
      <c r="T21" s="174"/>
      <c r="U21" s="174"/>
      <c r="V21" s="174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spans="1:32" ht="18" customHeight="1" x14ac:dyDescent="0.3">
      <c r="A22" s="20"/>
      <c r="B22" s="144" t="s">
        <v>81</v>
      </c>
      <c r="C22" s="187"/>
      <c r="D22" s="187"/>
      <c r="E22" s="187"/>
      <c r="F22" s="187"/>
      <c r="G22" s="176">
        <f>COUNTIFS('Master Leads'!D:D,"muthumali",'Master Leads'!I:I,"Yes")</f>
        <v>0</v>
      </c>
      <c r="H22" s="175"/>
      <c r="I22" s="175"/>
      <c r="J22" s="175"/>
      <c r="K22" s="241">
        <f>COUNTIFS('Master Leads'!D:D,"muthumali",'Master Leads'!I:I,"No")</f>
        <v>0</v>
      </c>
      <c r="L22" s="175"/>
      <c r="M22" s="175"/>
      <c r="N22" s="175"/>
      <c r="O22" s="246">
        <f>COUNTIFS('Master Leads'!D:D,"muthumali",'Master Leads'!I:I,"")</f>
        <v>1</v>
      </c>
      <c r="P22" s="175"/>
      <c r="Q22" s="175"/>
      <c r="R22" s="175"/>
      <c r="S22" s="180">
        <f>IFERROR(COUNTIFS('Master Leads'!D:D,"muthumali",'Master Leads'!I:I,"Yes")/(COUNTIFS('Master Leads'!D:D,"muthumali",'Master Leads'!I:I,"Yes")+COUNTIFS('Master Leads'!D:D,"muthumali",'Master Leads'!I:I,"No")),0)</f>
        <v>0</v>
      </c>
      <c r="T22" s="175"/>
      <c r="U22" s="175"/>
      <c r="V22" s="175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2" ht="18" customHeight="1" x14ac:dyDescent="0.3">
      <c r="A23" s="20"/>
      <c r="B23" s="169" t="s">
        <v>82</v>
      </c>
      <c r="C23" s="179"/>
      <c r="D23" s="179"/>
      <c r="E23" s="179"/>
      <c r="F23" s="179"/>
      <c r="G23" s="114">
        <f>COUNTIFS('Master Leads'!D:D,"shamali",'Master Leads'!I:I,"Yes")</f>
        <v>0</v>
      </c>
      <c r="H23" s="174"/>
      <c r="I23" s="174"/>
      <c r="J23" s="174"/>
      <c r="K23" s="134">
        <f>COUNTIFS('Master Leads'!D:D,"shamali",'Master Leads'!I:I,"No")</f>
        <v>0</v>
      </c>
      <c r="L23" s="174"/>
      <c r="M23" s="174"/>
      <c r="N23" s="174"/>
      <c r="O23" s="234">
        <f>COUNTIFS('Master Leads'!D:D,"shamali",'Master Leads'!I:I,"")</f>
        <v>0</v>
      </c>
      <c r="P23" s="174"/>
      <c r="Q23" s="174"/>
      <c r="R23" s="174"/>
      <c r="S23" s="100">
        <f>IFERROR(COUNTIFS('Master Leads'!D:D,"shamali",'Master Leads'!I:I,"Yes")/(COUNTIFS('Master Leads'!D:D,"shamali",'Master Leads'!I:I,"Yes")+COUNTIFS('Master Leads'!D:D,"shamali",'Master Leads'!I:I,"No")),0)</f>
        <v>0</v>
      </c>
      <c r="T23" s="174"/>
      <c r="U23" s="174"/>
      <c r="V23" s="174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spans="1:32" ht="13.9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3.9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spans="1:32" ht="13.9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spans="1:32" ht="13.9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2" ht="13.9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3.9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3.9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3.9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3.9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3.9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3.9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2" ht="13.9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3.9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3.9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3.9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3.9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3.9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3.9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3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3.9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3.9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3.9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3.9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3.9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3.9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3.9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3.9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ht="13.9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3.9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3.9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ht="13.9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ht="13.9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3.9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3.9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3.9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3.9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spans="1:32" ht="13.9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ht="13.9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ht="13.9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3.9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1:32" ht="13.9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ht="13.9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3.9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3.9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1:32" ht="13.9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ht="13.9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ht="13.9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ht="13.9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1:32" ht="13.9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 ht="13.9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spans="1:32" ht="13.9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ht="13.9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spans="1:32" ht="13.9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1:32" ht="13.9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1:32" ht="13.9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ht="13.9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1:32" ht="13.9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ht="13.9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1:32" ht="13.9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 ht="13.9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 ht="13.9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spans="1:32" ht="13.95" customHeight="1" x14ac:dyDescent="0.3"/>
    <row r="86" spans="1:32" ht="13.95" customHeight="1" x14ac:dyDescent="0.3"/>
    <row r="87" spans="1:32" ht="13.95" customHeight="1" x14ac:dyDescent="0.3"/>
    <row r="88" spans="1:32" ht="13.95" customHeight="1" x14ac:dyDescent="0.3"/>
    <row r="89" spans="1:32" ht="13.95" customHeight="1" x14ac:dyDescent="0.3"/>
  </sheetData>
  <mergeCells count="76">
    <mergeCell ref="S23:V23"/>
    <mergeCell ref="Q10:T10"/>
    <mergeCell ref="G10:J10"/>
    <mergeCell ref="G6:J6"/>
    <mergeCell ref="L8:O8"/>
    <mergeCell ref="G18:J18"/>
    <mergeCell ref="K22:N22"/>
    <mergeCell ref="O22:R22"/>
    <mergeCell ref="O16:R16"/>
    <mergeCell ref="V6:Y6"/>
    <mergeCell ref="O21:R21"/>
    <mergeCell ref="L10:O10"/>
    <mergeCell ref="G15:J15"/>
    <mergeCell ref="S19:V19"/>
    <mergeCell ref="Q6:T6"/>
    <mergeCell ref="S15:V15"/>
    <mergeCell ref="K20:N20"/>
    <mergeCell ref="G7:J7"/>
    <mergeCell ref="B11:E11"/>
    <mergeCell ref="O20:R20"/>
    <mergeCell ref="B5:AB5"/>
    <mergeCell ref="G19:J19"/>
    <mergeCell ref="B8:E8"/>
    <mergeCell ref="B20:F20"/>
    <mergeCell ref="B15:F15"/>
    <mergeCell ref="B10:E10"/>
    <mergeCell ref="S18:V18"/>
    <mergeCell ref="V8:Y8"/>
    <mergeCell ref="G17:J17"/>
    <mergeCell ref="Q8:T8"/>
    <mergeCell ref="G8:J8"/>
    <mergeCell ref="L12:O12"/>
    <mergeCell ref="S17:V17"/>
    <mergeCell ref="S20:V20"/>
    <mergeCell ref="B22:F22"/>
    <mergeCell ref="B18:F18"/>
    <mergeCell ref="L11:O11"/>
    <mergeCell ref="K19:N19"/>
    <mergeCell ref="B21:F21"/>
    <mergeCell ref="G22:J22"/>
    <mergeCell ref="K18:N18"/>
    <mergeCell ref="S22:V22"/>
    <mergeCell ref="G12:J12"/>
    <mergeCell ref="S16:V16"/>
    <mergeCell ref="K16:N16"/>
    <mergeCell ref="O19:R19"/>
    <mergeCell ref="Q12:T12"/>
    <mergeCell ref="G21:J21"/>
    <mergeCell ref="S21:V21"/>
    <mergeCell ref="B2:AE2"/>
    <mergeCell ref="L6:O6"/>
    <mergeCell ref="V7:Y7"/>
    <mergeCell ref="Q11:T11"/>
    <mergeCell ref="B14:AB14"/>
    <mergeCell ref="Q7:T7"/>
    <mergeCell ref="B7:E7"/>
    <mergeCell ref="L7:O7"/>
    <mergeCell ref="G11:J11"/>
    <mergeCell ref="B12:E12"/>
    <mergeCell ref="B3:AE3"/>
    <mergeCell ref="K23:N23"/>
    <mergeCell ref="B16:F16"/>
    <mergeCell ref="K17:N17"/>
    <mergeCell ref="B6:E6"/>
    <mergeCell ref="O17:R17"/>
    <mergeCell ref="G20:J20"/>
    <mergeCell ref="G16:J16"/>
    <mergeCell ref="O23:R23"/>
    <mergeCell ref="K15:N15"/>
    <mergeCell ref="B17:F17"/>
    <mergeCell ref="B23:F23"/>
    <mergeCell ref="O15:R15"/>
    <mergeCell ref="O18:R18"/>
    <mergeCell ref="K21:N21"/>
    <mergeCell ref="G23:J23"/>
    <mergeCell ref="B19:F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00"/>
  <sheetViews>
    <sheetView topLeftCell="A34" workbookViewId="0"/>
  </sheetViews>
  <sheetFormatPr defaultColWidth="14.44140625" defaultRowHeight="15" customHeight="1" x14ac:dyDescent="0.3"/>
  <cols>
    <col min="1" max="1" width="110" customWidth="1"/>
    <col min="2" max="26" width="8.6640625" customWidth="1"/>
  </cols>
  <sheetData>
    <row r="1" spans="1:1" ht="15" customHeight="1" x14ac:dyDescent="0.3">
      <c r="A1" s="1" t="s">
        <v>182</v>
      </c>
    </row>
    <row r="2" spans="1:1" ht="15" customHeight="1" x14ac:dyDescent="0.3">
      <c r="A2" s="3"/>
    </row>
    <row r="3" spans="1:1" ht="15" customHeight="1" x14ac:dyDescent="0.3">
      <c r="A3" s="3" t="s">
        <v>183</v>
      </c>
    </row>
    <row r="4" spans="1:1" ht="15" customHeight="1" x14ac:dyDescent="0.3">
      <c r="A4" s="3"/>
    </row>
    <row r="5" spans="1:1" ht="15" customHeight="1" x14ac:dyDescent="0.3">
      <c r="A5" s="1" t="s">
        <v>184</v>
      </c>
    </row>
    <row r="6" spans="1:1" ht="15" customHeight="1" x14ac:dyDescent="0.3">
      <c r="A6" s="3" t="s">
        <v>185</v>
      </c>
    </row>
    <row r="7" spans="1:1" ht="15" customHeight="1" x14ac:dyDescent="0.3">
      <c r="A7" s="3" t="s">
        <v>186</v>
      </c>
    </row>
    <row r="8" spans="1:1" ht="15" customHeight="1" x14ac:dyDescent="0.3">
      <c r="A8" s="3" t="s">
        <v>187</v>
      </c>
    </row>
    <row r="9" spans="1:1" ht="15" customHeight="1" x14ac:dyDescent="0.3">
      <c r="A9" s="3"/>
    </row>
    <row r="10" spans="1:1" ht="15" customHeight="1" x14ac:dyDescent="0.3">
      <c r="A10" s="3" t="s">
        <v>188</v>
      </c>
    </row>
    <row r="11" spans="1:1" ht="15" customHeight="1" x14ac:dyDescent="0.3">
      <c r="A11" s="3" t="s">
        <v>189</v>
      </c>
    </row>
    <row r="12" spans="1:1" ht="15" customHeight="1" x14ac:dyDescent="0.3">
      <c r="A12" s="3"/>
    </row>
    <row r="13" spans="1:1" ht="15" customHeight="1" x14ac:dyDescent="0.3">
      <c r="A13" s="1" t="s">
        <v>190</v>
      </c>
    </row>
    <row r="14" spans="1:1" ht="15" customHeight="1" x14ac:dyDescent="0.3">
      <c r="A14" s="3" t="s">
        <v>191</v>
      </c>
    </row>
    <row r="15" spans="1:1" ht="15" customHeight="1" x14ac:dyDescent="0.3">
      <c r="A15" s="3" t="s">
        <v>192</v>
      </c>
    </row>
    <row r="16" spans="1:1" ht="15" customHeight="1" x14ac:dyDescent="0.3">
      <c r="A16" s="3"/>
    </row>
    <row r="17" spans="1:1" ht="15" customHeight="1" x14ac:dyDescent="0.3">
      <c r="A17" s="1" t="s">
        <v>193</v>
      </c>
    </row>
    <row r="18" spans="1:1" ht="15" customHeight="1" x14ac:dyDescent="0.3">
      <c r="A18" s="3" t="s">
        <v>194</v>
      </c>
    </row>
    <row r="19" spans="1:1" ht="15" customHeight="1" x14ac:dyDescent="0.3">
      <c r="A19" s="3" t="s">
        <v>195</v>
      </c>
    </row>
    <row r="20" spans="1:1" ht="15" customHeight="1" x14ac:dyDescent="0.3">
      <c r="A20" s="3"/>
    </row>
    <row r="21" spans="1:1" ht="15" customHeight="1" x14ac:dyDescent="0.3">
      <c r="A21" s="3" t="s">
        <v>196</v>
      </c>
    </row>
    <row r="22" spans="1:1" ht="15" customHeight="1" x14ac:dyDescent="0.3">
      <c r="A22" s="3" t="s">
        <v>197</v>
      </c>
    </row>
    <row r="23" spans="1:1" ht="15" customHeight="1" x14ac:dyDescent="0.3">
      <c r="A23" s="3"/>
    </row>
    <row r="24" spans="1:1" ht="15" customHeight="1" x14ac:dyDescent="0.3">
      <c r="A24" s="3" t="s">
        <v>198</v>
      </c>
    </row>
    <row r="25" spans="1:1" ht="15" customHeight="1" x14ac:dyDescent="0.3">
      <c r="A25" s="3"/>
    </row>
    <row r="26" spans="1:1" ht="15" customHeight="1" x14ac:dyDescent="0.3">
      <c r="A26" s="1" t="s">
        <v>199</v>
      </c>
    </row>
    <row r="27" spans="1:1" ht="15" customHeight="1" x14ac:dyDescent="0.3">
      <c r="A27" s="3" t="s">
        <v>200</v>
      </c>
    </row>
    <row r="28" spans="1:1" ht="15" customHeight="1" x14ac:dyDescent="0.3">
      <c r="A28" s="3" t="s">
        <v>201</v>
      </c>
    </row>
    <row r="29" spans="1:1" ht="15" customHeight="1" x14ac:dyDescent="0.3">
      <c r="A29" s="3" t="s">
        <v>202</v>
      </c>
    </row>
    <row r="30" spans="1:1" ht="15" customHeight="1" x14ac:dyDescent="0.3">
      <c r="A30" s="3" t="s">
        <v>203</v>
      </c>
    </row>
    <row r="31" spans="1:1" ht="15" customHeight="1" x14ac:dyDescent="0.3">
      <c r="A31" s="3" t="s">
        <v>204</v>
      </c>
    </row>
    <row r="32" spans="1:1" ht="15" customHeight="1" x14ac:dyDescent="0.3">
      <c r="A32" s="3" t="s">
        <v>205</v>
      </c>
    </row>
    <row r="33" spans="1:1" ht="15" customHeight="1" x14ac:dyDescent="0.3">
      <c r="A33" s="3" t="s">
        <v>206</v>
      </c>
    </row>
    <row r="34" spans="1:1" ht="15.75" customHeight="1" x14ac:dyDescent="0.3">
      <c r="A34" s="3"/>
    </row>
    <row r="35" spans="1:1" ht="15.75" customHeight="1" x14ac:dyDescent="0.3">
      <c r="A35" s="1" t="s">
        <v>207</v>
      </c>
    </row>
    <row r="36" spans="1:1" ht="15.75" customHeight="1" x14ac:dyDescent="0.3">
      <c r="A36" s="3" t="s">
        <v>208</v>
      </c>
    </row>
    <row r="37" spans="1:1" ht="15.75" customHeight="1" x14ac:dyDescent="0.3">
      <c r="A37" s="3" t="s">
        <v>209</v>
      </c>
    </row>
    <row r="38" spans="1:1" ht="15.75" customHeight="1" x14ac:dyDescent="0.3">
      <c r="A38" s="3"/>
    </row>
    <row r="39" spans="1:1" ht="15.75" customHeight="1" x14ac:dyDescent="0.3">
      <c r="A39" s="1" t="s">
        <v>210</v>
      </c>
    </row>
    <row r="40" spans="1:1" ht="15.75" customHeight="1" x14ac:dyDescent="0.3">
      <c r="A40" s="3" t="s">
        <v>211</v>
      </c>
    </row>
    <row r="41" spans="1:1" ht="15.75" customHeight="1" x14ac:dyDescent="0.3">
      <c r="A41" s="3" t="s">
        <v>212</v>
      </c>
    </row>
    <row r="42" spans="1:1" ht="15.75" customHeight="1" x14ac:dyDescent="0.3">
      <c r="A42" s="3" t="s">
        <v>213</v>
      </c>
    </row>
    <row r="43" spans="1:1" ht="15.75" customHeight="1" x14ac:dyDescent="0.3">
      <c r="A43" s="3" t="s">
        <v>214</v>
      </c>
    </row>
    <row r="44" spans="1:1" ht="15.75" customHeight="1" x14ac:dyDescent="0.3">
      <c r="A44" s="3" t="s">
        <v>215</v>
      </c>
    </row>
    <row r="45" spans="1:1" ht="15.75" customHeight="1" x14ac:dyDescent="0.3">
      <c r="A45" s="3" t="s">
        <v>216</v>
      </c>
    </row>
    <row r="46" spans="1:1" ht="15.75" customHeight="1" x14ac:dyDescent="0.3">
      <c r="A46" s="3" t="s">
        <v>217</v>
      </c>
    </row>
    <row r="47" spans="1:1" ht="15.75" customHeight="1" x14ac:dyDescent="0.3">
      <c r="A47" s="3" t="s">
        <v>218</v>
      </c>
    </row>
    <row r="48" spans="1:1" ht="15.75" customHeight="1" x14ac:dyDescent="0.3">
      <c r="A48" s="6" t="s">
        <v>219</v>
      </c>
    </row>
    <row r="49" spans="1:1" ht="15.75" customHeight="1" x14ac:dyDescent="0.3">
      <c r="A49" s="5"/>
    </row>
    <row r="50" spans="1:1" ht="15.75" customHeight="1" x14ac:dyDescent="0.3">
      <c r="A50" s="5"/>
    </row>
    <row r="51" spans="1:1" ht="15.75" customHeight="1" x14ac:dyDescent="0.3">
      <c r="A51" s="5"/>
    </row>
    <row r="52" spans="1:1" ht="15.75" customHeight="1" x14ac:dyDescent="0.3">
      <c r="A52" s="5"/>
    </row>
    <row r="53" spans="1:1" ht="15.75" customHeight="1" x14ac:dyDescent="0.3">
      <c r="A53" s="5"/>
    </row>
    <row r="54" spans="1:1" ht="15.75" customHeight="1" x14ac:dyDescent="0.3">
      <c r="A54" s="5"/>
    </row>
    <row r="55" spans="1:1" ht="15.75" customHeight="1" x14ac:dyDescent="0.3">
      <c r="A55" s="5"/>
    </row>
    <row r="56" spans="1:1" ht="15.75" customHeight="1" x14ac:dyDescent="0.3">
      <c r="A56" s="5"/>
    </row>
    <row r="57" spans="1:1" ht="15.75" customHeight="1" x14ac:dyDescent="0.3">
      <c r="A57" s="5"/>
    </row>
    <row r="58" spans="1:1" ht="15.75" customHeight="1" x14ac:dyDescent="0.3">
      <c r="A58" s="5"/>
    </row>
    <row r="59" spans="1:1" ht="15.75" customHeight="1" x14ac:dyDescent="0.3">
      <c r="A59" s="5"/>
    </row>
    <row r="60" spans="1:1" ht="15.75" customHeight="1" x14ac:dyDescent="0.3">
      <c r="A60" s="5"/>
    </row>
    <row r="61" spans="1:1" ht="15.75" customHeight="1" x14ac:dyDescent="0.3">
      <c r="A61" s="5"/>
    </row>
    <row r="62" spans="1:1" ht="15.75" customHeight="1" x14ac:dyDescent="0.3">
      <c r="A62" s="5"/>
    </row>
    <row r="63" spans="1:1" ht="15.75" customHeight="1" x14ac:dyDescent="0.3">
      <c r="A63" s="5"/>
    </row>
    <row r="64" spans="1:1" ht="15.75" customHeight="1" x14ac:dyDescent="0.3">
      <c r="A64" s="5"/>
    </row>
    <row r="65" spans="1:1" ht="15.75" customHeight="1" x14ac:dyDescent="0.3">
      <c r="A65" s="5"/>
    </row>
    <row r="66" spans="1:1" ht="15.75" customHeight="1" x14ac:dyDescent="0.3">
      <c r="A66" s="5"/>
    </row>
    <row r="67" spans="1:1" ht="15.75" customHeight="1" x14ac:dyDescent="0.3">
      <c r="A67" s="5"/>
    </row>
    <row r="68" spans="1:1" ht="15.75" customHeight="1" x14ac:dyDescent="0.3">
      <c r="A68" s="5"/>
    </row>
    <row r="69" spans="1:1" ht="15.75" customHeight="1" x14ac:dyDescent="0.3">
      <c r="A69" s="5"/>
    </row>
    <row r="70" spans="1:1" ht="15.75" customHeight="1" x14ac:dyDescent="0.3">
      <c r="A70" s="5"/>
    </row>
    <row r="71" spans="1:1" ht="15.75" customHeight="1" x14ac:dyDescent="0.3">
      <c r="A71" s="5"/>
    </row>
    <row r="72" spans="1:1" ht="15.75" customHeight="1" x14ac:dyDescent="0.3">
      <c r="A72" s="5"/>
    </row>
    <row r="73" spans="1:1" ht="15.75" customHeight="1" x14ac:dyDescent="0.3">
      <c r="A73" s="5"/>
    </row>
    <row r="74" spans="1:1" ht="15.75" customHeight="1" x14ac:dyDescent="0.3">
      <c r="A74" s="5"/>
    </row>
    <row r="75" spans="1:1" ht="15.75" customHeight="1" x14ac:dyDescent="0.3">
      <c r="A75" s="5"/>
    </row>
    <row r="76" spans="1:1" ht="15.75" customHeight="1" x14ac:dyDescent="0.3">
      <c r="A76" s="5"/>
    </row>
    <row r="77" spans="1:1" ht="15.75" customHeight="1" x14ac:dyDescent="0.3">
      <c r="A77" s="5"/>
    </row>
    <row r="78" spans="1:1" ht="15.75" customHeight="1" x14ac:dyDescent="0.3">
      <c r="A78" s="5"/>
    </row>
    <row r="79" spans="1:1" ht="15.75" customHeight="1" x14ac:dyDescent="0.3">
      <c r="A79" s="5"/>
    </row>
    <row r="80" spans="1:1" ht="15.75" customHeight="1" x14ac:dyDescent="0.3">
      <c r="A80" s="5"/>
    </row>
    <row r="81" spans="1:1" ht="15.75" customHeight="1" x14ac:dyDescent="0.3">
      <c r="A81" s="5"/>
    </row>
    <row r="82" spans="1:1" ht="15.75" customHeight="1" x14ac:dyDescent="0.3">
      <c r="A82" s="5"/>
    </row>
    <row r="83" spans="1:1" ht="15.75" customHeight="1" x14ac:dyDescent="0.3">
      <c r="A83" s="5"/>
    </row>
    <row r="84" spans="1:1" ht="15.75" customHeight="1" x14ac:dyDescent="0.3">
      <c r="A84" s="5"/>
    </row>
    <row r="85" spans="1:1" ht="15.75" customHeight="1" x14ac:dyDescent="0.3">
      <c r="A85" s="5"/>
    </row>
    <row r="86" spans="1:1" ht="15.75" customHeight="1" x14ac:dyDescent="0.3">
      <c r="A86" s="5"/>
    </row>
    <row r="87" spans="1:1" ht="15.75" customHeight="1" x14ac:dyDescent="0.3">
      <c r="A87" s="5"/>
    </row>
    <row r="88" spans="1:1" ht="15.75" customHeight="1" x14ac:dyDescent="0.3">
      <c r="A88" s="5"/>
    </row>
    <row r="89" spans="1:1" ht="15.75" customHeight="1" x14ac:dyDescent="0.3">
      <c r="A89" s="5"/>
    </row>
    <row r="90" spans="1:1" ht="15.75" customHeight="1" x14ac:dyDescent="0.3">
      <c r="A90" s="5"/>
    </row>
    <row r="91" spans="1:1" ht="15.75" customHeight="1" x14ac:dyDescent="0.3">
      <c r="A91" s="5"/>
    </row>
    <row r="92" spans="1:1" ht="15.75" customHeight="1" x14ac:dyDescent="0.3">
      <c r="A92" s="5"/>
    </row>
    <row r="93" spans="1:1" ht="15.75" customHeight="1" x14ac:dyDescent="0.3">
      <c r="A93" s="5"/>
    </row>
    <row r="94" spans="1:1" ht="15.75" customHeight="1" x14ac:dyDescent="0.3">
      <c r="A94" s="5"/>
    </row>
    <row r="95" spans="1:1" ht="15.75" customHeight="1" x14ac:dyDescent="0.3">
      <c r="A95" s="5"/>
    </row>
    <row r="96" spans="1:1" ht="15.75" customHeight="1" x14ac:dyDescent="0.3">
      <c r="A96" s="5"/>
    </row>
    <row r="97" spans="1:1" ht="15.75" customHeight="1" x14ac:dyDescent="0.3">
      <c r="A97" s="5"/>
    </row>
    <row r="98" spans="1:1" ht="15.75" customHeight="1" x14ac:dyDescent="0.3">
      <c r="A98" s="5"/>
    </row>
    <row r="99" spans="1:1" ht="15.75" customHeight="1" x14ac:dyDescent="0.3">
      <c r="A99" s="5"/>
    </row>
    <row r="100" spans="1:1" ht="15.75" customHeight="1" x14ac:dyDescent="0.3">
      <c r="A100" s="5"/>
    </row>
    <row r="101" spans="1:1" ht="15.75" customHeight="1" x14ac:dyDescent="0.3">
      <c r="A101" s="5"/>
    </row>
    <row r="102" spans="1:1" ht="15.75" customHeight="1" x14ac:dyDescent="0.3">
      <c r="A102" s="5"/>
    </row>
    <row r="103" spans="1:1" ht="15.75" customHeight="1" x14ac:dyDescent="0.3">
      <c r="A103" s="5"/>
    </row>
    <row r="104" spans="1:1" ht="15.75" customHeight="1" x14ac:dyDescent="0.3">
      <c r="A104" s="5"/>
    </row>
    <row r="105" spans="1:1" ht="15.75" customHeight="1" x14ac:dyDescent="0.3">
      <c r="A105" s="5"/>
    </row>
    <row r="106" spans="1:1" ht="15.75" customHeight="1" x14ac:dyDescent="0.3">
      <c r="A106" s="5"/>
    </row>
    <row r="107" spans="1:1" ht="15.75" customHeight="1" x14ac:dyDescent="0.3">
      <c r="A107" s="5"/>
    </row>
    <row r="108" spans="1:1" ht="15.75" customHeight="1" x14ac:dyDescent="0.3">
      <c r="A108" s="5"/>
    </row>
    <row r="109" spans="1:1" ht="15.75" customHeight="1" x14ac:dyDescent="0.3">
      <c r="A109" s="5"/>
    </row>
    <row r="110" spans="1:1" ht="15.75" customHeight="1" x14ac:dyDescent="0.3">
      <c r="A110" s="5"/>
    </row>
    <row r="111" spans="1:1" ht="15.75" customHeight="1" x14ac:dyDescent="0.3">
      <c r="A111" s="5"/>
    </row>
    <row r="112" spans="1:1" ht="15.75" customHeight="1" x14ac:dyDescent="0.3">
      <c r="A112" s="5"/>
    </row>
    <row r="113" spans="1:1" ht="15.75" customHeight="1" x14ac:dyDescent="0.3">
      <c r="A113" s="5"/>
    </row>
    <row r="114" spans="1:1" ht="15.75" customHeight="1" x14ac:dyDescent="0.3">
      <c r="A114" s="5"/>
    </row>
    <row r="115" spans="1:1" ht="15.75" customHeight="1" x14ac:dyDescent="0.3">
      <c r="A115" s="5"/>
    </row>
    <row r="116" spans="1:1" ht="15.75" customHeight="1" x14ac:dyDescent="0.3">
      <c r="A116" s="5"/>
    </row>
    <row r="117" spans="1:1" ht="15.75" customHeight="1" x14ac:dyDescent="0.3">
      <c r="A117" s="5"/>
    </row>
    <row r="118" spans="1:1" ht="15.75" customHeight="1" x14ac:dyDescent="0.3">
      <c r="A118" s="5"/>
    </row>
    <row r="119" spans="1:1" ht="15.75" customHeight="1" x14ac:dyDescent="0.3">
      <c r="A119" s="5"/>
    </row>
    <row r="120" spans="1:1" ht="15.75" customHeight="1" x14ac:dyDescent="0.3">
      <c r="A120" s="5"/>
    </row>
    <row r="121" spans="1:1" ht="15.75" customHeight="1" x14ac:dyDescent="0.3">
      <c r="A121" s="5"/>
    </row>
    <row r="122" spans="1:1" ht="15.75" customHeight="1" x14ac:dyDescent="0.3">
      <c r="A122" s="5"/>
    </row>
    <row r="123" spans="1:1" ht="15.75" customHeight="1" x14ac:dyDescent="0.3">
      <c r="A123" s="5"/>
    </row>
    <row r="124" spans="1:1" ht="15.75" customHeight="1" x14ac:dyDescent="0.3">
      <c r="A124" s="5"/>
    </row>
    <row r="125" spans="1:1" ht="15.75" customHeight="1" x14ac:dyDescent="0.3">
      <c r="A125" s="5"/>
    </row>
    <row r="126" spans="1:1" ht="15.75" customHeight="1" x14ac:dyDescent="0.3">
      <c r="A126" s="5"/>
    </row>
    <row r="127" spans="1:1" ht="15.75" customHeight="1" x14ac:dyDescent="0.3">
      <c r="A127" s="5"/>
    </row>
    <row r="128" spans="1:1" ht="15.75" customHeight="1" x14ac:dyDescent="0.3">
      <c r="A128" s="5"/>
    </row>
    <row r="129" spans="1:1" ht="15.75" customHeight="1" x14ac:dyDescent="0.3">
      <c r="A129" s="5"/>
    </row>
    <row r="130" spans="1:1" ht="15.75" customHeight="1" x14ac:dyDescent="0.3">
      <c r="A130" s="5"/>
    </row>
    <row r="131" spans="1:1" ht="15.75" customHeight="1" x14ac:dyDescent="0.3">
      <c r="A131" s="5"/>
    </row>
    <row r="132" spans="1:1" ht="15.75" customHeight="1" x14ac:dyDescent="0.3">
      <c r="A132" s="5"/>
    </row>
    <row r="133" spans="1:1" ht="15.75" customHeight="1" x14ac:dyDescent="0.3">
      <c r="A133" s="5"/>
    </row>
    <row r="134" spans="1:1" ht="15.75" customHeight="1" x14ac:dyDescent="0.3">
      <c r="A134" s="5"/>
    </row>
    <row r="135" spans="1:1" ht="15.75" customHeight="1" x14ac:dyDescent="0.3">
      <c r="A135" s="5"/>
    </row>
    <row r="136" spans="1:1" ht="15.75" customHeight="1" x14ac:dyDescent="0.3">
      <c r="A136" s="5"/>
    </row>
    <row r="137" spans="1:1" ht="15.75" customHeight="1" x14ac:dyDescent="0.3">
      <c r="A137" s="5"/>
    </row>
    <row r="138" spans="1:1" ht="15.75" customHeight="1" x14ac:dyDescent="0.3">
      <c r="A138" s="5"/>
    </row>
    <row r="139" spans="1:1" ht="15.75" customHeight="1" x14ac:dyDescent="0.3">
      <c r="A139" s="5"/>
    </row>
    <row r="140" spans="1:1" ht="15.75" customHeight="1" x14ac:dyDescent="0.3">
      <c r="A140" s="5"/>
    </row>
    <row r="141" spans="1:1" ht="15.75" customHeight="1" x14ac:dyDescent="0.3">
      <c r="A141" s="5"/>
    </row>
    <row r="142" spans="1:1" ht="15.75" customHeight="1" x14ac:dyDescent="0.3">
      <c r="A142" s="5"/>
    </row>
    <row r="143" spans="1:1" ht="15.75" customHeight="1" x14ac:dyDescent="0.3">
      <c r="A143" s="5"/>
    </row>
    <row r="144" spans="1:1" ht="15.75" customHeight="1" x14ac:dyDescent="0.3">
      <c r="A144" s="5"/>
    </row>
    <row r="145" spans="1:1" ht="15.75" customHeight="1" x14ac:dyDescent="0.3">
      <c r="A145" s="5"/>
    </row>
    <row r="146" spans="1:1" ht="15.75" customHeight="1" x14ac:dyDescent="0.3">
      <c r="A146" s="5"/>
    </row>
    <row r="147" spans="1:1" ht="15.75" customHeight="1" x14ac:dyDescent="0.3">
      <c r="A147" s="5"/>
    </row>
    <row r="148" spans="1:1" ht="15.75" customHeight="1" x14ac:dyDescent="0.3">
      <c r="A148" s="5"/>
    </row>
    <row r="149" spans="1:1" ht="15.75" customHeight="1" x14ac:dyDescent="0.3">
      <c r="A149" s="5"/>
    </row>
    <row r="150" spans="1:1" ht="15.75" customHeight="1" x14ac:dyDescent="0.3">
      <c r="A150" s="5"/>
    </row>
    <row r="151" spans="1:1" ht="15.75" customHeight="1" x14ac:dyDescent="0.3">
      <c r="A151" s="5"/>
    </row>
    <row r="152" spans="1:1" ht="15.75" customHeight="1" x14ac:dyDescent="0.3">
      <c r="A152" s="5"/>
    </row>
    <row r="153" spans="1:1" ht="15.75" customHeight="1" x14ac:dyDescent="0.3">
      <c r="A153" s="5"/>
    </row>
    <row r="154" spans="1:1" ht="15.75" customHeight="1" x14ac:dyDescent="0.3">
      <c r="A154" s="5"/>
    </row>
    <row r="155" spans="1:1" ht="15.75" customHeight="1" x14ac:dyDescent="0.3">
      <c r="A155" s="5"/>
    </row>
    <row r="156" spans="1:1" ht="15.75" customHeight="1" x14ac:dyDescent="0.3">
      <c r="A156" s="5"/>
    </row>
    <row r="157" spans="1:1" ht="15.75" customHeight="1" x14ac:dyDescent="0.3">
      <c r="A157" s="5"/>
    </row>
    <row r="158" spans="1:1" ht="15.75" customHeight="1" x14ac:dyDescent="0.3">
      <c r="A158" s="5"/>
    </row>
    <row r="159" spans="1:1" ht="15.75" customHeight="1" x14ac:dyDescent="0.3">
      <c r="A159" s="5"/>
    </row>
    <row r="160" spans="1:1" ht="15.75" customHeight="1" x14ac:dyDescent="0.3">
      <c r="A160" s="5"/>
    </row>
    <row r="161" spans="1:1" ht="15.75" customHeight="1" x14ac:dyDescent="0.3">
      <c r="A161" s="5"/>
    </row>
    <row r="162" spans="1:1" ht="15.75" customHeight="1" x14ac:dyDescent="0.3">
      <c r="A162" s="5"/>
    </row>
    <row r="163" spans="1:1" ht="15.75" customHeight="1" x14ac:dyDescent="0.3">
      <c r="A163" s="5"/>
    </row>
    <row r="164" spans="1:1" ht="15.75" customHeight="1" x14ac:dyDescent="0.3">
      <c r="A164" s="5"/>
    </row>
    <row r="165" spans="1:1" ht="15.75" customHeight="1" x14ac:dyDescent="0.3">
      <c r="A165" s="5"/>
    </row>
    <row r="166" spans="1:1" ht="15.75" customHeight="1" x14ac:dyDescent="0.3">
      <c r="A166" s="5"/>
    </row>
    <row r="167" spans="1:1" ht="15.75" customHeight="1" x14ac:dyDescent="0.3">
      <c r="A167" s="5"/>
    </row>
    <row r="168" spans="1:1" ht="15.75" customHeight="1" x14ac:dyDescent="0.3">
      <c r="A168" s="5"/>
    </row>
    <row r="169" spans="1:1" ht="15.75" customHeight="1" x14ac:dyDescent="0.3">
      <c r="A169" s="5"/>
    </row>
    <row r="170" spans="1:1" ht="15.75" customHeight="1" x14ac:dyDescent="0.3">
      <c r="A170" s="5"/>
    </row>
    <row r="171" spans="1:1" ht="15.75" customHeight="1" x14ac:dyDescent="0.3">
      <c r="A171" s="5"/>
    </row>
    <row r="172" spans="1:1" ht="15.75" customHeight="1" x14ac:dyDescent="0.3">
      <c r="A172" s="5"/>
    </row>
    <row r="173" spans="1:1" ht="15.75" customHeight="1" x14ac:dyDescent="0.3">
      <c r="A173" s="5"/>
    </row>
    <row r="174" spans="1:1" ht="15.75" customHeight="1" x14ac:dyDescent="0.3">
      <c r="A174" s="5"/>
    </row>
    <row r="175" spans="1:1" ht="15.75" customHeight="1" x14ac:dyDescent="0.3">
      <c r="A175" s="5"/>
    </row>
    <row r="176" spans="1:1" ht="15.75" customHeight="1" x14ac:dyDescent="0.3">
      <c r="A176" s="5"/>
    </row>
    <row r="177" spans="1:1" ht="15.75" customHeight="1" x14ac:dyDescent="0.3">
      <c r="A177" s="5"/>
    </row>
    <row r="178" spans="1:1" ht="15.75" customHeight="1" x14ac:dyDescent="0.3">
      <c r="A178" s="5"/>
    </row>
    <row r="179" spans="1:1" ht="15.75" customHeight="1" x14ac:dyDescent="0.3">
      <c r="A179" s="5"/>
    </row>
    <row r="180" spans="1:1" ht="15.75" customHeight="1" x14ac:dyDescent="0.3">
      <c r="A180" s="5"/>
    </row>
    <row r="181" spans="1:1" ht="15.75" customHeight="1" x14ac:dyDescent="0.3">
      <c r="A181" s="5"/>
    </row>
    <row r="182" spans="1:1" ht="15.75" customHeight="1" x14ac:dyDescent="0.3">
      <c r="A182" s="5"/>
    </row>
    <row r="183" spans="1:1" ht="15.75" customHeight="1" x14ac:dyDescent="0.3">
      <c r="A183" s="5"/>
    </row>
    <row r="184" spans="1:1" ht="15.75" customHeight="1" x14ac:dyDescent="0.3">
      <c r="A184" s="5"/>
    </row>
    <row r="185" spans="1:1" ht="15.75" customHeight="1" x14ac:dyDescent="0.3">
      <c r="A185" s="5"/>
    </row>
    <row r="186" spans="1:1" ht="15.75" customHeight="1" x14ac:dyDescent="0.3">
      <c r="A186" s="5"/>
    </row>
    <row r="187" spans="1:1" ht="15.75" customHeight="1" x14ac:dyDescent="0.3">
      <c r="A187" s="5"/>
    </row>
    <row r="188" spans="1:1" ht="15.75" customHeight="1" x14ac:dyDescent="0.3">
      <c r="A188" s="5"/>
    </row>
    <row r="189" spans="1:1" ht="15.75" customHeight="1" x14ac:dyDescent="0.3">
      <c r="A189" s="5"/>
    </row>
    <row r="190" spans="1:1" ht="15.75" customHeight="1" x14ac:dyDescent="0.3">
      <c r="A190" s="5"/>
    </row>
    <row r="191" spans="1:1" ht="15.75" customHeight="1" x14ac:dyDescent="0.3">
      <c r="A191" s="5"/>
    </row>
    <row r="192" spans="1:1" ht="15.75" customHeight="1" x14ac:dyDescent="0.3">
      <c r="A192" s="5"/>
    </row>
    <row r="193" spans="1:1" ht="15.75" customHeight="1" x14ac:dyDescent="0.3">
      <c r="A193" s="5"/>
    </row>
    <row r="194" spans="1:1" ht="15.75" customHeight="1" x14ac:dyDescent="0.3">
      <c r="A194" s="5"/>
    </row>
    <row r="195" spans="1:1" ht="15.75" customHeight="1" x14ac:dyDescent="0.3">
      <c r="A195" s="5"/>
    </row>
    <row r="196" spans="1:1" ht="15.75" customHeight="1" x14ac:dyDescent="0.3">
      <c r="A196" s="5"/>
    </row>
    <row r="197" spans="1:1" ht="15.75" customHeight="1" x14ac:dyDescent="0.3">
      <c r="A197" s="5"/>
    </row>
    <row r="198" spans="1:1" ht="15.75" customHeight="1" x14ac:dyDescent="0.3">
      <c r="A198" s="5"/>
    </row>
    <row r="199" spans="1:1" ht="15.75" customHeight="1" x14ac:dyDescent="0.3">
      <c r="A199" s="5"/>
    </row>
    <row r="200" spans="1:1" ht="15.75" customHeight="1" x14ac:dyDescent="0.3">
      <c r="A200" s="5"/>
    </row>
    <row r="201" spans="1:1" ht="15.75" customHeight="1" x14ac:dyDescent="0.3">
      <c r="A201" s="5"/>
    </row>
    <row r="202" spans="1:1" ht="15.75" customHeight="1" x14ac:dyDescent="0.3">
      <c r="A202" s="5"/>
    </row>
    <row r="203" spans="1:1" ht="15.75" customHeight="1" x14ac:dyDescent="0.3">
      <c r="A203" s="5"/>
    </row>
    <row r="204" spans="1:1" ht="15.75" customHeight="1" x14ac:dyDescent="0.3">
      <c r="A204" s="5"/>
    </row>
    <row r="205" spans="1:1" ht="15.75" customHeight="1" x14ac:dyDescent="0.3">
      <c r="A205" s="5"/>
    </row>
    <row r="206" spans="1:1" ht="15.75" customHeight="1" x14ac:dyDescent="0.3">
      <c r="A206" s="5"/>
    </row>
    <row r="207" spans="1:1" ht="15.75" customHeight="1" x14ac:dyDescent="0.3">
      <c r="A207" s="5"/>
    </row>
    <row r="208" spans="1:1" ht="15.75" customHeight="1" x14ac:dyDescent="0.3">
      <c r="A208" s="5"/>
    </row>
    <row r="209" spans="1:1" ht="15.75" customHeight="1" x14ac:dyDescent="0.3">
      <c r="A209" s="5"/>
    </row>
    <row r="210" spans="1:1" ht="15.75" customHeight="1" x14ac:dyDescent="0.3">
      <c r="A210" s="5"/>
    </row>
    <row r="211" spans="1:1" ht="15.75" customHeight="1" x14ac:dyDescent="0.3">
      <c r="A211" s="5"/>
    </row>
    <row r="212" spans="1:1" ht="15.75" customHeight="1" x14ac:dyDescent="0.3">
      <c r="A212" s="5"/>
    </row>
    <row r="213" spans="1:1" ht="15.75" customHeight="1" x14ac:dyDescent="0.3">
      <c r="A213" s="5"/>
    </row>
    <row r="214" spans="1:1" ht="15.75" customHeight="1" x14ac:dyDescent="0.3">
      <c r="A214" s="5"/>
    </row>
    <row r="215" spans="1:1" ht="15.75" customHeight="1" x14ac:dyDescent="0.3">
      <c r="A215" s="5"/>
    </row>
    <row r="216" spans="1:1" ht="15.75" customHeight="1" x14ac:dyDescent="0.3">
      <c r="A216" s="5"/>
    </row>
    <row r="217" spans="1:1" ht="15.75" customHeight="1" x14ac:dyDescent="0.3">
      <c r="A217" s="5"/>
    </row>
    <row r="218" spans="1:1" ht="15.75" customHeight="1" x14ac:dyDescent="0.3">
      <c r="A218" s="5"/>
    </row>
    <row r="219" spans="1:1" ht="15.75" customHeight="1" x14ac:dyDescent="0.3">
      <c r="A219" s="5"/>
    </row>
    <row r="220" spans="1:1" ht="15.75" customHeight="1" x14ac:dyDescent="0.3">
      <c r="A220" s="5"/>
    </row>
    <row r="221" spans="1:1" ht="15.75" customHeight="1" x14ac:dyDescent="0.3">
      <c r="A221" s="5"/>
    </row>
    <row r="222" spans="1:1" ht="15.75" customHeight="1" x14ac:dyDescent="0.3">
      <c r="A222" s="5"/>
    </row>
    <row r="223" spans="1:1" ht="15.75" customHeight="1" x14ac:dyDescent="0.3">
      <c r="A223" s="5"/>
    </row>
    <row r="224" spans="1:1" ht="15.75" customHeight="1" x14ac:dyDescent="0.3">
      <c r="A224" s="5"/>
    </row>
    <row r="225" spans="1:1" ht="15.75" customHeight="1" x14ac:dyDescent="0.3">
      <c r="A225" s="5"/>
    </row>
    <row r="226" spans="1:1" ht="15.75" customHeight="1" x14ac:dyDescent="0.3">
      <c r="A226" s="5"/>
    </row>
    <row r="227" spans="1:1" ht="15.75" customHeight="1" x14ac:dyDescent="0.3">
      <c r="A227" s="5"/>
    </row>
    <row r="228" spans="1:1" ht="15.75" customHeight="1" x14ac:dyDescent="0.3">
      <c r="A228" s="5"/>
    </row>
    <row r="229" spans="1:1" ht="15.75" customHeight="1" x14ac:dyDescent="0.3">
      <c r="A229" s="5"/>
    </row>
    <row r="230" spans="1:1" ht="15.75" customHeight="1" x14ac:dyDescent="0.3">
      <c r="A230" s="5"/>
    </row>
    <row r="231" spans="1:1" ht="15.75" customHeight="1" x14ac:dyDescent="0.3">
      <c r="A231" s="5"/>
    </row>
    <row r="232" spans="1:1" ht="15.75" customHeight="1" x14ac:dyDescent="0.3">
      <c r="A232" s="5"/>
    </row>
    <row r="233" spans="1:1" ht="15.75" customHeight="1" x14ac:dyDescent="0.3">
      <c r="A233" s="5"/>
    </row>
    <row r="234" spans="1:1" ht="15.75" customHeight="1" x14ac:dyDescent="0.3">
      <c r="A234" s="5"/>
    </row>
    <row r="235" spans="1:1" ht="15.75" customHeight="1" x14ac:dyDescent="0.3">
      <c r="A235" s="5"/>
    </row>
    <row r="236" spans="1:1" ht="15.75" customHeight="1" x14ac:dyDescent="0.3">
      <c r="A236" s="5"/>
    </row>
    <row r="237" spans="1:1" ht="15.75" customHeight="1" x14ac:dyDescent="0.3">
      <c r="A237" s="5"/>
    </row>
    <row r="238" spans="1:1" ht="15.75" customHeight="1" x14ac:dyDescent="0.3">
      <c r="A238" s="5"/>
    </row>
    <row r="239" spans="1:1" ht="15.75" customHeight="1" x14ac:dyDescent="0.3">
      <c r="A239" s="5"/>
    </row>
    <row r="240" spans="1:1" ht="15.75" customHeight="1" x14ac:dyDescent="0.3">
      <c r="A240" s="5"/>
    </row>
    <row r="241" spans="1:1" ht="15.75" customHeight="1" x14ac:dyDescent="0.3">
      <c r="A241" s="5"/>
    </row>
    <row r="242" spans="1:1" ht="15.75" customHeight="1" x14ac:dyDescent="0.3">
      <c r="A242" s="5"/>
    </row>
    <row r="243" spans="1:1" ht="15.75" customHeight="1" x14ac:dyDescent="0.3">
      <c r="A243" s="5"/>
    </row>
    <row r="244" spans="1:1" ht="15.75" customHeight="1" x14ac:dyDescent="0.3">
      <c r="A244" s="5"/>
    </row>
    <row r="245" spans="1:1" ht="15.75" customHeight="1" x14ac:dyDescent="0.3">
      <c r="A245" s="5"/>
    </row>
    <row r="246" spans="1:1" ht="15.75" customHeight="1" x14ac:dyDescent="0.3">
      <c r="A246" s="5"/>
    </row>
    <row r="247" spans="1:1" ht="15.75" customHeight="1" x14ac:dyDescent="0.3">
      <c r="A247" s="5"/>
    </row>
    <row r="248" spans="1:1" ht="15.75" customHeight="1" x14ac:dyDescent="0.3">
      <c r="A248" s="5"/>
    </row>
    <row r="249" spans="1:1" ht="15.75" customHeight="1" x14ac:dyDescent="0.3">
      <c r="A249" s="5"/>
    </row>
    <row r="250" spans="1:1" ht="15.75" customHeight="1" x14ac:dyDescent="0.3">
      <c r="A250" s="5"/>
    </row>
    <row r="251" spans="1:1" ht="15.75" customHeight="1" x14ac:dyDescent="0.3">
      <c r="A251" s="5"/>
    </row>
    <row r="252" spans="1:1" ht="15.75" customHeight="1" x14ac:dyDescent="0.3">
      <c r="A252" s="5"/>
    </row>
    <row r="253" spans="1:1" ht="15.75" customHeight="1" x14ac:dyDescent="0.3">
      <c r="A253" s="5"/>
    </row>
    <row r="254" spans="1:1" ht="15.75" customHeight="1" x14ac:dyDescent="0.3">
      <c r="A254" s="5"/>
    </row>
    <row r="255" spans="1:1" ht="15.75" customHeight="1" x14ac:dyDescent="0.3">
      <c r="A255" s="5"/>
    </row>
    <row r="256" spans="1:1" ht="15.75" customHeight="1" x14ac:dyDescent="0.3">
      <c r="A256" s="5"/>
    </row>
    <row r="257" spans="1:1" ht="15.75" customHeight="1" x14ac:dyDescent="0.3">
      <c r="A257" s="5"/>
    </row>
    <row r="258" spans="1:1" ht="15.75" customHeight="1" x14ac:dyDescent="0.3">
      <c r="A258" s="5"/>
    </row>
    <row r="259" spans="1:1" ht="15.75" customHeight="1" x14ac:dyDescent="0.3">
      <c r="A259" s="5"/>
    </row>
    <row r="260" spans="1:1" ht="15.75" customHeight="1" x14ac:dyDescent="0.3">
      <c r="A260" s="5"/>
    </row>
    <row r="261" spans="1:1" ht="15.75" customHeight="1" x14ac:dyDescent="0.3">
      <c r="A261" s="5"/>
    </row>
    <row r="262" spans="1:1" ht="15.75" customHeight="1" x14ac:dyDescent="0.3">
      <c r="A262" s="5"/>
    </row>
    <row r="263" spans="1:1" ht="15.75" customHeight="1" x14ac:dyDescent="0.3">
      <c r="A263" s="5"/>
    </row>
    <row r="264" spans="1:1" ht="15.75" customHeight="1" x14ac:dyDescent="0.3">
      <c r="A264" s="5"/>
    </row>
    <row r="265" spans="1:1" ht="15.75" customHeight="1" x14ac:dyDescent="0.3">
      <c r="A265" s="5"/>
    </row>
    <row r="266" spans="1:1" ht="15.75" customHeight="1" x14ac:dyDescent="0.3">
      <c r="A266" s="5"/>
    </row>
    <row r="267" spans="1:1" ht="15.75" customHeight="1" x14ac:dyDescent="0.3">
      <c r="A267" s="5"/>
    </row>
    <row r="268" spans="1:1" ht="15.75" customHeight="1" x14ac:dyDescent="0.3">
      <c r="A268" s="5"/>
    </row>
    <row r="269" spans="1:1" ht="15.75" customHeight="1" x14ac:dyDescent="0.3">
      <c r="A269" s="5"/>
    </row>
    <row r="270" spans="1:1" ht="15.75" customHeight="1" x14ac:dyDescent="0.3">
      <c r="A270" s="5"/>
    </row>
    <row r="271" spans="1:1" ht="15.75" customHeight="1" x14ac:dyDescent="0.3">
      <c r="A271" s="5"/>
    </row>
    <row r="272" spans="1:1" ht="15.75" customHeight="1" x14ac:dyDescent="0.3">
      <c r="A272" s="5"/>
    </row>
    <row r="273" spans="1:1" ht="15.75" customHeight="1" x14ac:dyDescent="0.3">
      <c r="A273" s="5"/>
    </row>
    <row r="274" spans="1:1" ht="15.75" customHeight="1" x14ac:dyDescent="0.3">
      <c r="A274" s="5"/>
    </row>
    <row r="275" spans="1:1" ht="15.75" customHeight="1" x14ac:dyDescent="0.3">
      <c r="A275" s="5"/>
    </row>
    <row r="276" spans="1:1" ht="15.75" customHeight="1" x14ac:dyDescent="0.3">
      <c r="A276" s="5"/>
    </row>
    <row r="277" spans="1:1" ht="15.75" customHeight="1" x14ac:dyDescent="0.3">
      <c r="A277" s="5"/>
    </row>
    <row r="278" spans="1:1" ht="15.75" customHeight="1" x14ac:dyDescent="0.3">
      <c r="A278" s="5"/>
    </row>
    <row r="279" spans="1:1" ht="15.75" customHeight="1" x14ac:dyDescent="0.3">
      <c r="A279" s="5"/>
    </row>
    <row r="280" spans="1:1" ht="15.75" customHeight="1" x14ac:dyDescent="0.3">
      <c r="A280" s="5"/>
    </row>
    <row r="281" spans="1:1" ht="15.75" customHeight="1" x14ac:dyDescent="0.3">
      <c r="A281" s="5"/>
    </row>
    <row r="282" spans="1:1" ht="15.75" customHeight="1" x14ac:dyDescent="0.3">
      <c r="A282" s="5"/>
    </row>
    <row r="283" spans="1:1" ht="15.75" customHeight="1" x14ac:dyDescent="0.3">
      <c r="A283" s="5"/>
    </row>
    <row r="284" spans="1:1" ht="15.75" customHeight="1" x14ac:dyDescent="0.3">
      <c r="A284" s="5"/>
    </row>
    <row r="285" spans="1:1" ht="15.75" customHeight="1" x14ac:dyDescent="0.3">
      <c r="A285" s="5"/>
    </row>
    <row r="286" spans="1:1" ht="15.75" customHeight="1" x14ac:dyDescent="0.3">
      <c r="A286" s="5"/>
    </row>
    <row r="287" spans="1:1" ht="15.75" customHeight="1" x14ac:dyDescent="0.3">
      <c r="A287" s="5"/>
    </row>
    <row r="288" spans="1:1" ht="15.75" customHeight="1" x14ac:dyDescent="0.3">
      <c r="A288" s="5"/>
    </row>
    <row r="289" spans="1:1" ht="15.75" customHeight="1" x14ac:dyDescent="0.3">
      <c r="A289" s="5"/>
    </row>
    <row r="290" spans="1:1" ht="15.75" customHeight="1" x14ac:dyDescent="0.3">
      <c r="A290" s="5"/>
    </row>
    <row r="291" spans="1:1" ht="15.75" customHeight="1" x14ac:dyDescent="0.3">
      <c r="A291" s="5"/>
    </row>
    <row r="292" spans="1:1" ht="15.75" customHeight="1" x14ac:dyDescent="0.3">
      <c r="A292" s="5"/>
    </row>
    <row r="293" spans="1:1" ht="15.75" customHeight="1" x14ac:dyDescent="0.3">
      <c r="A293" s="5"/>
    </row>
    <row r="294" spans="1:1" ht="15.75" customHeight="1" x14ac:dyDescent="0.3">
      <c r="A294" s="5"/>
    </row>
    <row r="295" spans="1:1" ht="15.75" customHeight="1" x14ac:dyDescent="0.3">
      <c r="A295" s="5"/>
    </row>
    <row r="296" spans="1:1" ht="15.75" customHeight="1" x14ac:dyDescent="0.3">
      <c r="A296" s="5"/>
    </row>
    <row r="297" spans="1:1" ht="15.75" customHeight="1" x14ac:dyDescent="0.3">
      <c r="A297" s="5"/>
    </row>
    <row r="298" spans="1:1" ht="15.75" customHeight="1" x14ac:dyDescent="0.3">
      <c r="A298" s="5"/>
    </row>
    <row r="299" spans="1:1" ht="15.75" customHeight="1" x14ac:dyDescent="0.3">
      <c r="A299" s="5"/>
    </row>
    <row r="300" spans="1:1" ht="15.75" customHeight="1" x14ac:dyDescent="0.3">
      <c r="A300" s="5"/>
    </row>
    <row r="301" spans="1:1" ht="15.75" customHeight="1" x14ac:dyDescent="0.3">
      <c r="A301" s="5"/>
    </row>
    <row r="302" spans="1:1" ht="15.75" customHeight="1" x14ac:dyDescent="0.3">
      <c r="A302" s="5"/>
    </row>
    <row r="303" spans="1:1" ht="15.75" customHeight="1" x14ac:dyDescent="0.3">
      <c r="A303" s="5"/>
    </row>
    <row r="304" spans="1:1" ht="15.75" customHeight="1" x14ac:dyDescent="0.3">
      <c r="A304" s="5"/>
    </row>
    <row r="305" spans="1:1" ht="15.75" customHeight="1" x14ac:dyDescent="0.3">
      <c r="A305" s="5"/>
    </row>
    <row r="306" spans="1:1" ht="15.75" customHeight="1" x14ac:dyDescent="0.3">
      <c r="A306" s="5"/>
    </row>
    <row r="307" spans="1:1" ht="15.75" customHeight="1" x14ac:dyDescent="0.3">
      <c r="A307" s="5"/>
    </row>
    <row r="308" spans="1:1" ht="15.75" customHeight="1" x14ac:dyDescent="0.3">
      <c r="A308" s="5"/>
    </row>
    <row r="309" spans="1:1" ht="15.75" customHeight="1" x14ac:dyDescent="0.3">
      <c r="A309" s="5"/>
    </row>
    <row r="310" spans="1:1" ht="15.75" customHeight="1" x14ac:dyDescent="0.3">
      <c r="A310" s="5"/>
    </row>
    <row r="311" spans="1:1" ht="15.75" customHeight="1" x14ac:dyDescent="0.3">
      <c r="A311" s="5"/>
    </row>
    <row r="312" spans="1:1" ht="15.75" customHeight="1" x14ac:dyDescent="0.3">
      <c r="A312" s="5"/>
    </row>
    <row r="313" spans="1:1" ht="15.75" customHeight="1" x14ac:dyDescent="0.3">
      <c r="A313" s="5"/>
    </row>
    <row r="314" spans="1:1" ht="15.75" customHeight="1" x14ac:dyDescent="0.3">
      <c r="A314" s="5"/>
    </row>
    <row r="315" spans="1:1" ht="15.75" customHeight="1" x14ac:dyDescent="0.3">
      <c r="A315" s="5"/>
    </row>
    <row r="316" spans="1:1" ht="15.75" customHeight="1" x14ac:dyDescent="0.3">
      <c r="A316" s="5"/>
    </row>
    <row r="317" spans="1:1" ht="15.75" customHeight="1" x14ac:dyDescent="0.3">
      <c r="A317" s="5"/>
    </row>
    <row r="318" spans="1:1" ht="15.75" customHeight="1" x14ac:dyDescent="0.3">
      <c r="A318" s="5"/>
    </row>
    <row r="319" spans="1:1" ht="15.75" customHeight="1" x14ac:dyDescent="0.3">
      <c r="A319" s="5"/>
    </row>
    <row r="320" spans="1:1" ht="15.75" customHeight="1" x14ac:dyDescent="0.3">
      <c r="A320" s="5"/>
    </row>
    <row r="321" spans="1:1" ht="15.75" customHeight="1" x14ac:dyDescent="0.3">
      <c r="A321" s="5"/>
    </row>
    <row r="322" spans="1:1" ht="15.75" customHeight="1" x14ac:dyDescent="0.3">
      <c r="A322" s="5"/>
    </row>
    <row r="323" spans="1:1" ht="15.75" customHeight="1" x14ac:dyDescent="0.3">
      <c r="A323" s="5"/>
    </row>
    <row r="324" spans="1:1" ht="15.75" customHeight="1" x14ac:dyDescent="0.3">
      <c r="A324" s="5"/>
    </row>
    <row r="325" spans="1:1" ht="15.75" customHeight="1" x14ac:dyDescent="0.3">
      <c r="A325" s="5"/>
    </row>
    <row r="326" spans="1:1" ht="15.75" customHeight="1" x14ac:dyDescent="0.3">
      <c r="A326" s="5"/>
    </row>
    <row r="327" spans="1:1" ht="15.75" customHeight="1" x14ac:dyDescent="0.3">
      <c r="A327" s="5"/>
    </row>
    <row r="328" spans="1:1" ht="15.75" customHeight="1" x14ac:dyDescent="0.3">
      <c r="A328" s="5"/>
    </row>
    <row r="329" spans="1:1" ht="15.75" customHeight="1" x14ac:dyDescent="0.3">
      <c r="A329" s="5"/>
    </row>
    <row r="330" spans="1:1" ht="15.75" customHeight="1" x14ac:dyDescent="0.3">
      <c r="A330" s="5"/>
    </row>
    <row r="331" spans="1:1" ht="15.75" customHeight="1" x14ac:dyDescent="0.3">
      <c r="A331" s="5"/>
    </row>
    <row r="332" spans="1:1" ht="15.75" customHeight="1" x14ac:dyDescent="0.3">
      <c r="A332" s="5"/>
    </row>
    <row r="333" spans="1:1" ht="15.75" customHeight="1" x14ac:dyDescent="0.3">
      <c r="A333" s="5"/>
    </row>
    <row r="334" spans="1:1" ht="15.75" customHeight="1" x14ac:dyDescent="0.3">
      <c r="A334" s="5"/>
    </row>
    <row r="335" spans="1:1" ht="15.75" customHeight="1" x14ac:dyDescent="0.3">
      <c r="A335" s="5"/>
    </row>
    <row r="336" spans="1:1" ht="15.75" customHeight="1" x14ac:dyDescent="0.3">
      <c r="A336" s="5"/>
    </row>
    <row r="337" spans="1:1" ht="15.75" customHeight="1" x14ac:dyDescent="0.3">
      <c r="A337" s="5"/>
    </row>
    <row r="338" spans="1:1" ht="15.75" customHeight="1" x14ac:dyDescent="0.3">
      <c r="A338" s="5"/>
    </row>
    <row r="339" spans="1:1" ht="15.75" customHeight="1" x14ac:dyDescent="0.3">
      <c r="A339" s="5"/>
    </row>
    <row r="340" spans="1:1" ht="15.75" customHeight="1" x14ac:dyDescent="0.3">
      <c r="A340" s="5"/>
    </row>
    <row r="341" spans="1:1" ht="15.75" customHeight="1" x14ac:dyDescent="0.3">
      <c r="A341" s="5"/>
    </row>
    <row r="342" spans="1:1" ht="15.75" customHeight="1" x14ac:dyDescent="0.3">
      <c r="A342" s="5"/>
    </row>
    <row r="343" spans="1:1" ht="15.75" customHeight="1" x14ac:dyDescent="0.3">
      <c r="A343" s="5"/>
    </row>
    <row r="344" spans="1:1" ht="15.75" customHeight="1" x14ac:dyDescent="0.3">
      <c r="A344" s="5"/>
    </row>
    <row r="345" spans="1:1" ht="15.75" customHeight="1" x14ac:dyDescent="0.3">
      <c r="A345" s="5"/>
    </row>
    <row r="346" spans="1:1" ht="15.75" customHeight="1" x14ac:dyDescent="0.3">
      <c r="A346" s="5"/>
    </row>
    <row r="347" spans="1:1" ht="15.75" customHeight="1" x14ac:dyDescent="0.3">
      <c r="A347" s="5"/>
    </row>
    <row r="348" spans="1:1" ht="15.75" customHeight="1" x14ac:dyDescent="0.3">
      <c r="A348" s="5"/>
    </row>
    <row r="349" spans="1:1" ht="15.75" customHeight="1" x14ac:dyDescent="0.3">
      <c r="A349" s="5"/>
    </row>
    <row r="350" spans="1:1" ht="15.75" customHeight="1" x14ac:dyDescent="0.3">
      <c r="A350" s="5"/>
    </row>
    <row r="351" spans="1:1" ht="15.75" customHeight="1" x14ac:dyDescent="0.3">
      <c r="A351" s="5"/>
    </row>
    <row r="352" spans="1:1" ht="15.75" customHeight="1" x14ac:dyDescent="0.3">
      <c r="A352" s="5"/>
    </row>
    <row r="353" spans="1:1" ht="15.75" customHeight="1" x14ac:dyDescent="0.3">
      <c r="A353" s="5"/>
    </row>
    <row r="354" spans="1:1" ht="15.75" customHeight="1" x14ac:dyDescent="0.3">
      <c r="A354" s="5"/>
    </row>
    <row r="355" spans="1:1" ht="15.75" customHeight="1" x14ac:dyDescent="0.3">
      <c r="A355" s="5"/>
    </row>
    <row r="356" spans="1:1" ht="15.75" customHeight="1" x14ac:dyDescent="0.3">
      <c r="A356" s="5"/>
    </row>
    <row r="357" spans="1:1" ht="15.75" customHeight="1" x14ac:dyDescent="0.3">
      <c r="A357" s="5"/>
    </row>
    <row r="358" spans="1:1" ht="15.75" customHeight="1" x14ac:dyDescent="0.3">
      <c r="A358" s="5"/>
    </row>
    <row r="359" spans="1:1" ht="15.75" customHeight="1" x14ac:dyDescent="0.3">
      <c r="A359" s="5"/>
    </row>
    <row r="360" spans="1:1" ht="15.75" customHeight="1" x14ac:dyDescent="0.3">
      <c r="A360" s="5"/>
    </row>
    <row r="361" spans="1:1" ht="15.75" customHeight="1" x14ac:dyDescent="0.3">
      <c r="A361" s="5"/>
    </row>
    <row r="362" spans="1:1" ht="15.75" customHeight="1" x14ac:dyDescent="0.3">
      <c r="A362" s="5"/>
    </row>
    <row r="363" spans="1:1" ht="15.75" customHeight="1" x14ac:dyDescent="0.3">
      <c r="A363" s="5"/>
    </row>
    <row r="364" spans="1:1" ht="15.75" customHeight="1" x14ac:dyDescent="0.3">
      <c r="A364" s="5"/>
    </row>
    <row r="365" spans="1:1" ht="15.75" customHeight="1" x14ac:dyDescent="0.3">
      <c r="A365" s="5"/>
    </row>
    <row r="366" spans="1:1" ht="15.75" customHeight="1" x14ac:dyDescent="0.3">
      <c r="A366" s="5"/>
    </row>
    <row r="367" spans="1:1" ht="15.75" customHeight="1" x14ac:dyDescent="0.3">
      <c r="A367" s="5"/>
    </row>
    <row r="368" spans="1:1" ht="15.75" customHeight="1" x14ac:dyDescent="0.3">
      <c r="A368" s="5"/>
    </row>
    <row r="369" spans="1:1" ht="15.75" customHeight="1" x14ac:dyDescent="0.3">
      <c r="A369" s="5"/>
    </row>
    <row r="370" spans="1:1" ht="15.75" customHeight="1" x14ac:dyDescent="0.3">
      <c r="A370" s="5"/>
    </row>
    <row r="371" spans="1:1" ht="15.75" customHeight="1" x14ac:dyDescent="0.3">
      <c r="A371" s="5"/>
    </row>
    <row r="372" spans="1:1" ht="15.75" customHeight="1" x14ac:dyDescent="0.3">
      <c r="A372" s="5"/>
    </row>
    <row r="373" spans="1:1" ht="15.75" customHeight="1" x14ac:dyDescent="0.3">
      <c r="A373" s="5"/>
    </row>
    <row r="374" spans="1:1" ht="15.75" customHeight="1" x14ac:dyDescent="0.3">
      <c r="A374" s="5"/>
    </row>
    <row r="375" spans="1:1" ht="15.75" customHeight="1" x14ac:dyDescent="0.3">
      <c r="A375" s="5"/>
    </row>
    <row r="376" spans="1:1" ht="15.75" customHeight="1" x14ac:dyDescent="0.3">
      <c r="A376" s="5"/>
    </row>
    <row r="377" spans="1:1" ht="15.75" customHeight="1" x14ac:dyDescent="0.3">
      <c r="A377" s="5"/>
    </row>
    <row r="378" spans="1:1" ht="15.75" customHeight="1" x14ac:dyDescent="0.3">
      <c r="A378" s="5"/>
    </row>
    <row r="379" spans="1:1" ht="15.75" customHeight="1" x14ac:dyDescent="0.3">
      <c r="A379" s="5"/>
    </row>
    <row r="380" spans="1:1" ht="15.75" customHeight="1" x14ac:dyDescent="0.3">
      <c r="A380" s="5"/>
    </row>
    <row r="381" spans="1:1" ht="15.75" customHeight="1" x14ac:dyDescent="0.3">
      <c r="A381" s="5"/>
    </row>
    <row r="382" spans="1:1" ht="15.75" customHeight="1" x14ac:dyDescent="0.3">
      <c r="A382" s="5"/>
    </row>
    <row r="383" spans="1:1" ht="15.75" customHeight="1" x14ac:dyDescent="0.3">
      <c r="A383" s="5"/>
    </row>
    <row r="384" spans="1:1" ht="15.75" customHeight="1" x14ac:dyDescent="0.3">
      <c r="A384" s="5"/>
    </row>
    <row r="385" spans="1:1" ht="15.75" customHeight="1" x14ac:dyDescent="0.3">
      <c r="A385" s="5"/>
    </row>
    <row r="386" spans="1:1" ht="15.75" customHeight="1" x14ac:dyDescent="0.3">
      <c r="A386" s="5"/>
    </row>
    <row r="387" spans="1:1" ht="15.75" customHeight="1" x14ac:dyDescent="0.3">
      <c r="A387" s="5"/>
    </row>
    <row r="388" spans="1:1" ht="15.75" customHeight="1" x14ac:dyDescent="0.3">
      <c r="A388" s="5"/>
    </row>
    <row r="389" spans="1:1" ht="15.75" customHeight="1" x14ac:dyDescent="0.3">
      <c r="A389" s="5"/>
    </row>
    <row r="390" spans="1:1" ht="15.75" customHeight="1" x14ac:dyDescent="0.3">
      <c r="A390" s="5"/>
    </row>
    <row r="391" spans="1:1" ht="15.75" customHeight="1" x14ac:dyDescent="0.3">
      <c r="A391" s="5"/>
    </row>
    <row r="392" spans="1:1" ht="15.75" customHeight="1" x14ac:dyDescent="0.3">
      <c r="A392" s="5"/>
    </row>
    <row r="393" spans="1:1" ht="15.75" customHeight="1" x14ac:dyDescent="0.3">
      <c r="A393" s="5"/>
    </row>
    <row r="394" spans="1:1" ht="15.75" customHeight="1" x14ac:dyDescent="0.3">
      <c r="A394" s="5"/>
    </row>
    <row r="395" spans="1:1" ht="15.75" customHeight="1" x14ac:dyDescent="0.3">
      <c r="A395" s="5"/>
    </row>
    <row r="396" spans="1:1" ht="15.75" customHeight="1" x14ac:dyDescent="0.3">
      <c r="A396" s="5"/>
    </row>
    <row r="397" spans="1:1" ht="15.75" customHeight="1" x14ac:dyDescent="0.3">
      <c r="A397" s="5"/>
    </row>
    <row r="398" spans="1:1" ht="15.75" customHeight="1" x14ac:dyDescent="0.3">
      <c r="A398" s="5"/>
    </row>
    <row r="399" spans="1:1" ht="15.75" customHeight="1" x14ac:dyDescent="0.3">
      <c r="A399" s="5"/>
    </row>
    <row r="400" spans="1:1" ht="15.75" customHeight="1" x14ac:dyDescent="0.3">
      <c r="A400" s="5"/>
    </row>
    <row r="401" spans="1:1" ht="15.75" customHeight="1" x14ac:dyDescent="0.3">
      <c r="A401" s="5"/>
    </row>
    <row r="402" spans="1:1" ht="15.75" customHeight="1" x14ac:dyDescent="0.3">
      <c r="A402" s="5"/>
    </row>
    <row r="403" spans="1:1" ht="15.75" customHeight="1" x14ac:dyDescent="0.3">
      <c r="A403" s="5"/>
    </row>
    <row r="404" spans="1:1" ht="15.75" customHeight="1" x14ac:dyDescent="0.3">
      <c r="A404" s="5"/>
    </row>
    <row r="405" spans="1:1" ht="15.75" customHeight="1" x14ac:dyDescent="0.3">
      <c r="A405" s="5"/>
    </row>
    <row r="406" spans="1:1" ht="15.75" customHeight="1" x14ac:dyDescent="0.3">
      <c r="A406" s="5"/>
    </row>
    <row r="407" spans="1:1" ht="15.75" customHeight="1" x14ac:dyDescent="0.3">
      <c r="A407" s="5"/>
    </row>
    <row r="408" spans="1:1" ht="15.75" customHeight="1" x14ac:dyDescent="0.3">
      <c r="A408" s="5"/>
    </row>
    <row r="409" spans="1:1" ht="15.75" customHeight="1" x14ac:dyDescent="0.3">
      <c r="A409" s="5"/>
    </row>
    <row r="410" spans="1:1" ht="15.75" customHeight="1" x14ac:dyDescent="0.3">
      <c r="A410" s="5"/>
    </row>
    <row r="411" spans="1:1" ht="15.75" customHeight="1" x14ac:dyDescent="0.3">
      <c r="A411" s="5"/>
    </row>
    <row r="412" spans="1:1" ht="15.75" customHeight="1" x14ac:dyDescent="0.3">
      <c r="A412" s="5"/>
    </row>
    <row r="413" spans="1:1" ht="15.75" customHeight="1" x14ac:dyDescent="0.3">
      <c r="A413" s="5"/>
    </row>
    <row r="414" spans="1:1" ht="15.75" customHeight="1" x14ac:dyDescent="0.3">
      <c r="A414" s="5"/>
    </row>
    <row r="415" spans="1:1" ht="15.75" customHeight="1" x14ac:dyDescent="0.3">
      <c r="A415" s="5"/>
    </row>
    <row r="416" spans="1:1" ht="15.75" customHeight="1" x14ac:dyDescent="0.3">
      <c r="A416" s="5"/>
    </row>
    <row r="417" spans="1:1" ht="15.75" customHeight="1" x14ac:dyDescent="0.3">
      <c r="A417" s="5"/>
    </row>
    <row r="418" spans="1:1" ht="15.75" customHeight="1" x14ac:dyDescent="0.3">
      <c r="A418" s="5"/>
    </row>
    <row r="419" spans="1:1" ht="15.75" customHeight="1" x14ac:dyDescent="0.3">
      <c r="A419" s="5"/>
    </row>
    <row r="420" spans="1:1" ht="15.75" customHeight="1" x14ac:dyDescent="0.3">
      <c r="A420" s="5"/>
    </row>
    <row r="421" spans="1:1" ht="15.75" customHeight="1" x14ac:dyDescent="0.3">
      <c r="A421" s="5"/>
    </row>
    <row r="422" spans="1:1" ht="15.75" customHeight="1" x14ac:dyDescent="0.3">
      <c r="A422" s="5"/>
    </row>
    <row r="423" spans="1:1" ht="15.75" customHeight="1" x14ac:dyDescent="0.3">
      <c r="A423" s="5"/>
    </row>
    <row r="424" spans="1:1" ht="15.75" customHeight="1" x14ac:dyDescent="0.3">
      <c r="A424" s="5"/>
    </row>
    <row r="425" spans="1:1" ht="15.75" customHeight="1" x14ac:dyDescent="0.3">
      <c r="A425" s="5"/>
    </row>
    <row r="426" spans="1:1" ht="15.75" customHeight="1" x14ac:dyDescent="0.3">
      <c r="A426" s="5"/>
    </row>
    <row r="427" spans="1:1" ht="15.75" customHeight="1" x14ac:dyDescent="0.3">
      <c r="A427" s="5"/>
    </row>
    <row r="428" spans="1:1" ht="15.75" customHeight="1" x14ac:dyDescent="0.3">
      <c r="A428" s="5"/>
    </row>
    <row r="429" spans="1:1" ht="15.75" customHeight="1" x14ac:dyDescent="0.3">
      <c r="A429" s="5"/>
    </row>
    <row r="430" spans="1:1" ht="15.75" customHeight="1" x14ac:dyDescent="0.3">
      <c r="A430" s="5"/>
    </row>
    <row r="431" spans="1:1" ht="15.75" customHeight="1" x14ac:dyDescent="0.3">
      <c r="A431" s="5"/>
    </row>
    <row r="432" spans="1:1" ht="15.75" customHeight="1" x14ac:dyDescent="0.3">
      <c r="A432" s="5"/>
    </row>
    <row r="433" spans="1:1" ht="15.75" customHeight="1" x14ac:dyDescent="0.3">
      <c r="A433" s="5"/>
    </row>
    <row r="434" spans="1:1" ht="15.75" customHeight="1" x14ac:dyDescent="0.3">
      <c r="A434" s="5"/>
    </row>
    <row r="435" spans="1:1" ht="15.75" customHeight="1" x14ac:dyDescent="0.3">
      <c r="A435" s="5"/>
    </row>
    <row r="436" spans="1:1" ht="15.75" customHeight="1" x14ac:dyDescent="0.3">
      <c r="A436" s="5"/>
    </row>
    <row r="437" spans="1:1" ht="15.75" customHeight="1" x14ac:dyDescent="0.3">
      <c r="A437" s="5"/>
    </row>
    <row r="438" spans="1:1" ht="15.75" customHeight="1" x14ac:dyDescent="0.3">
      <c r="A438" s="5"/>
    </row>
    <row r="439" spans="1:1" ht="15.75" customHeight="1" x14ac:dyDescent="0.3">
      <c r="A439" s="5"/>
    </row>
    <row r="440" spans="1:1" ht="15.75" customHeight="1" x14ac:dyDescent="0.3">
      <c r="A440" s="5"/>
    </row>
    <row r="441" spans="1:1" ht="15.75" customHeight="1" x14ac:dyDescent="0.3">
      <c r="A441" s="5"/>
    </row>
    <row r="442" spans="1:1" ht="15.75" customHeight="1" x14ac:dyDescent="0.3">
      <c r="A442" s="5"/>
    </row>
    <row r="443" spans="1:1" ht="15.75" customHeight="1" x14ac:dyDescent="0.3">
      <c r="A443" s="5"/>
    </row>
    <row r="444" spans="1:1" ht="15.75" customHeight="1" x14ac:dyDescent="0.3">
      <c r="A444" s="5"/>
    </row>
    <row r="445" spans="1:1" ht="15.75" customHeight="1" x14ac:dyDescent="0.3">
      <c r="A445" s="5"/>
    </row>
    <row r="446" spans="1:1" ht="15.75" customHeight="1" x14ac:dyDescent="0.3">
      <c r="A446" s="5"/>
    </row>
    <row r="447" spans="1:1" ht="15.75" customHeight="1" x14ac:dyDescent="0.3">
      <c r="A447" s="5"/>
    </row>
    <row r="448" spans="1:1" ht="15.75" customHeight="1" x14ac:dyDescent="0.3">
      <c r="A448" s="5"/>
    </row>
    <row r="449" spans="1:1" ht="15.75" customHeight="1" x14ac:dyDescent="0.3">
      <c r="A449" s="5"/>
    </row>
    <row r="450" spans="1:1" ht="15.75" customHeight="1" x14ac:dyDescent="0.3">
      <c r="A450" s="5"/>
    </row>
    <row r="451" spans="1:1" ht="15.75" customHeight="1" x14ac:dyDescent="0.3">
      <c r="A451" s="5"/>
    </row>
    <row r="452" spans="1:1" ht="15.75" customHeight="1" x14ac:dyDescent="0.3">
      <c r="A452" s="5"/>
    </row>
    <row r="453" spans="1:1" ht="15.75" customHeight="1" x14ac:dyDescent="0.3">
      <c r="A453" s="5"/>
    </row>
    <row r="454" spans="1:1" ht="15.75" customHeight="1" x14ac:dyDescent="0.3">
      <c r="A454" s="5"/>
    </row>
    <row r="455" spans="1:1" ht="15.75" customHeight="1" x14ac:dyDescent="0.3">
      <c r="A455" s="5"/>
    </row>
    <row r="456" spans="1:1" ht="15.75" customHeight="1" x14ac:dyDescent="0.3">
      <c r="A456" s="5"/>
    </row>
    <row r="457" spans="1:1" ht="15.75" customHeight="1" x14ac:dyDescent="0.3">
      <c r="A457" s="5"/>
    </row>
    <row r="458" spans="1:1" ht="15.75" customHeight="1" x14ac:dyDescent="0.3">
      <c r="A458" s="5"/>
    </row>
    <row r="459" spans="1:1" ht="15.75" customHeight="1" x14ac:dyDescent="0.3">
      <c r="A459" s="5"/>
    </row>
    <row r="460" spans="1:1" ht="15.75" customHeight="1" x14ac:dyDescent="0.3">
      <c r="A460" s="5"/>
    </row>
    <row r="461" spans="1:1" ht="15.75" customHeight="1" x14ac:dyDescent="0.3">
      <c r="A461" s="5"/>
    </row>
    <row r="462" spans="1:1" ht="15.75" customHeight="1" x14ac:dyDescent="0.3">
      <c r="A462" s="5"/>
    </row>
    <row r="463" spans="1:1" ht="15.75" customHeight="1" x14ac:dyDescent="0.3">
      <c r="A463" s="5"/>
    </row>
    <row r="464" spans="1:1" ht="15.75" customHeight="1" x14ac:dyDescent="0.3">
      <c r="A464" s="5"/>
    </row>
    <row r="465" spans="1:1" ht="15.75" customHeight="1" x14ac:dyDescent="0.3">
      <c r="A465" s="5"/>
    </row>
    <row r="466" spans="1:1" ht="15.75" customHeight="1" x14ac:dyDescent="0.3">
      <c r="A466" s="5"/>
    </row>
    <row r="467" spans="1:1" ht="15.75" customHeight="1" x14ac:dyDescent="0.3">
      <c r="A467" s="5"/>
    </row>
    <row r="468" spans="1:1" ht="15.75" customHeight="1" x14ac:dyDescent="0.3">
      <c r="A468" s="5"/>
    </row>
    <row r="469" spans="1:1" ht="15.75" customHeight="1" x14ac:dyDescent="0.3">
      <c r="A469" s="5"/>
    </row>
    <row r="470" spans="1:1" ht="15.75" customHeight="1" x14ac:dyDescent="0.3">
      <c r="A470" s="5"/>
    </row>
    <row r="471" spans="1:1" ht="15.75" customHeight="1" x14ac:dyDescent="0.3">
      <c r="A471" s="5"/>
    </row>
    <row r="472" spans="1:1" ht="15.75" customHeight="1" x14ac:dyDescent="0.3">
      <c r="A472" s="5"/>
    </row>
    <row r="473" spans="1:1" ht="15.75" customHeight="1" x14ac:dyDescent="0.3">
      <c r="A473" s="5"/>
    </row>
    <row r="474" spans="1:1" ht="15.75" customHeight="1" x14ac:dyDescent="0.3">
      <c r="A474" s="5"/>
    </row>
    <row r="475" spans="1:1" ht="15.75" customHeight="1" x14ac:dyDescent="0.3">
      <c r="A475" s="5"/>
    </row>
    <row r="476" spans="1:1" ht="15.75" customHeight="1" x14ac:dyDescent="0.3">
      <c r="A476" s="5"/>
    </row>
    <row r="477" spans="1:1" ht="15.75" customHeight="1" x14ac:dyDescent="0.3">
      <c r="A477" s="5"/>
    </row>
    <row r="478" spans="1:1" ht="15.75" customHeight="1" x14ac:dyDescent="0.3">
      <c r="A478" s="5"/>
    </row>
    <row r="479" spans="1:1" ht="15.75" customHeight="1" x14ac:dyDescent="0.3">
      <c r="A479" s="5"/>
    </row>
    <row r="480" spans="1:1" ht="15.75" customHeight="1" x14ac:dyDescent="0.3">
      <c r="A480" s="5"/>
    </row>
    <row r="481" spans="1:1" ht="15.75" customHeight="1" x14ac:dyDescent="0.3">
      <c r="A481" s="5"/>
    </row>
    <row r="482" spans="1:1" ht="15.75" customHeight="1" x14ac:dyDescent="0.3">
      <c r="A482" s="5"/>
    </row>
    <row r="483" spans="1:1" ht="15.75" customHeight="1" x14ac:dyDescent="0.3">
      <c r="A483" s="5"/>
    </row>
    <row r="484" spans="1:1" ht="15.75" customHeight="1" x14ac:dyDescent="0.3">
      <c r="A484" s="5"/>
    </row>
    <row r="485" spans="1:1" ht="15.75" customHeight="1" x14ac:dyDescent="0.3">
      <c r="A485" s="5"/>
    </row>
    <row r="486" spans="1:1" ht="15.75" customHeight="1" x14ac:dyDescent="0.3">
      <c r="A486" s="5"/>
    </row>
    <row r="487" spans="1:1" ht="15.75" customHeight="1" x14ac:dyDescent="0.3">
      <c r="A487" s="5"/>
    </row>
    <row r="488" spans="1:1" ht="15.75" customHeight="1" x14ac:dyDescent="0.3">
      <c r="A488" s="5"/>
    </row>
    <row r="489" spans="1:1" ht="15.75" customHeight="1" x14ac:dyDescent="0.3">
      <c r="A489" s="5"/>
    </row>
    <row r="490" spans="1:1" ht="15.75" customHeight="1" x14ac:dyDescent="0.3">
      <c r="A490" s="5"/>
    </row>
    <row r="491" spans="1:1" ht="15.75" customHeight="1" x14ac:dyDescent="0.3">
      <c r="A491" s="5"/>
    </row>
    <row r="492" spans="1:1" ht="15.75" customHeight="1" x14ac:dyDescent="0.3">
      <c r="A492" s="5"/>
    </row>
    <row r="493" spans="1:1" ht="15.75" customHeight="1" x14ac:dyDescent="0.3">
      <c r="A493" s="5"/>
    </row>
    <row r="494" spans="1:1" ht="15.75" customHeight="1" x14ac:dyDescent="0.3">
      <c r="A494" s="5"/>
    </row>
    <row r="495" spans="1:1" ht="15.75" customHeight="1" x14ac:dyDescent="0.3">
      <c r="A495" s="5"/>
    </row>
    <row r="496" spans="1:1" ht="15.75" customHeight="1" x14ac:dyDescent="0.3">
      <c r="A496" s="5"/>
    </row>
    <row r="497" spans="1:1" ht="15.75" customHeight="1" x14ac:dyDescent="0.3">
      <c r="A497" s="5"/>
    </row>
    <row r="498" spans="1:1" ht="15.75" customHeight="1" x14ac:dyDescent="0.3">
      <c r="A498" s="5"/>
    </row>
    <row r="499" spans="1:1" ht="15.75" customHeight="1" x14ac:dyDescent="0.3">
      <c r="A499" s="5"/>
    </row>
    <row r="500" spans="1:1" ht="15.75" customHeight="1" x14ac:dyDescent="0.3">
      <c r="A500" s="5"/>
    </row>
    <row r="501" spans="1:1" ht="15.75" customHeight="1" x14ac:dyDescent="0.3">
      <c r="A501" s="5"/>
    </row>
    <row r="502" spans="1:1" ht="15.75" customHeight="1" x14ac:dyDescent="0.3">
      <c r="A502" s="5"/>
    </row>
    <row r="503" spans="1:1" ht="15.75" customHeight="1" x14ac:dyDescent="0.3">
      <c r="A503" s="5"/>
    </row>
    <row r="504" spans="1:1" ht="15.75" customHeight="1" x14ac:dyDescent="0.3">
      <c r="A504" s="5"/>
    </row>
    <row r="505" spans="1:1" ht="15.75" customHeight="1" x14ac:dyDescent="0.3">
      <c r="A505" s="5"/>
    </row>
    <row r="506" spans="1:1" ht="15.75" customHeight="1" x14ac:dyDescent="0.3">
      <c r="A506" s="5"/>
    </row>
    <row r="507" spans="1:1" ht="15.75" customHeight="1" x14ac:dyDescent="0.3">
      <c r="A507" s="5"/>
    </row>
    <row r="508" spans="1:1" ht="15.75" customHeight="1" x14ac:dyDescent="0.3">
      <c r="A508" s="5"/>
    </row>
    <row r="509" spans="1:1" ht="15.75" customHeight="1" x14ac:dyDescent="0.3">
      <c r="A509" s="5"/>
    </row>
    <row r="510" spans="1:1" ht="15.75" customHeight="1" x14ac:dyDescent="0.3">
      <c r="A510" s="5"/>
    </row>
    <row r="511" spans="1:1" ht="15.75" customHeight="1" x14ac:dyDescent="0.3">
      <c r="A511" s="5"/>
    </row>
    <row r="512" spans="1:1" ht="15.75" customHeight="1" x14ac:dyDescent="0.3">
      <c r="A512" s="5"/>
    </row>
    <row r="513" spans="1:1" ht="15.75" customHeight="1" x14ac:dyDescent="0.3">
      <c r="A513" s="5"/>
    </row>
    <row r="514" spans="1:1" ht="15.75" customHeight="1" x14ac:dyDescent="0.3">
      <c r="A514" s="5"/>
    </row>
    <row r="515" spans="1:1" ht="15.75" customHeight="1" x14ac:dyDescent="0.3">
      <c r="A515" s="5"/>
    </row>
    <row r="516" spans="1:1" ht="15.75" customHeight="1" x14ac:dyDescent="0.3">
      <c r="A516" s="5"/>
    </row>
    <row r="517" spans="1:1" ht="15.75" customHeight="1" x14ac:dyDescent="0.3">
      <c r="A517" s="5"/>
    </row>
    <row r="518" spans="1:1" ht="15.75" customHeight="1" x14ac:dyDescent="0.3">
      <c r="A518" s="5"/>
    </row>
    <row r="519" spans="1:1" ht="15.75" customHeight="1" x14ac:dyDescent="0.3">
      <c r="A519" s="5"/>
    </row>
    <row r="520" spans="1:1" ht="15.75" customHeight="1" x14ac:dyDescent="0.3">
      <c r="A520" s="5"/>
    </row>
    <row r="521" spans="1:1" ht="15.75" customHeight="1" x14ac:dyDescent="0.3">
      <c r="A521" s="5"/>
    </row>
    <row r="522" spans="1:1" ht="15.75" customHeight="1" x14ac:dyDescent="0.3">
      <c r="A522" s="5"/>
    </row>
    <row r="523" spans="1:1" ht="15.75" customHeight="1" x14ac:dyDescent="0.3">
      <c r="A523" s="5"/>
    </row>
    <row r="524" spans="1:1" ht="15.75" customHeight="1" x14ac:dyDescent="0.3">
      <c r="A524" s="5"/>
    </row>
    <row r="525" spans="1:1" ht="15.75" customHeight="1" x14ac:dyDescent="0.3">
      <c r="A525" s="5"/>
    </row>
    <row r="526" spans="1:1" ht="15.75" customHeight="1" x14ac:dyDescent="0.3">
      <c r="A526" s="5"/>
    </row>
    <row r="527" spans="1:1" ht="15.75" customHeight="1" x14ac:dyDescent="0.3">
      <c r="A527" s="5"/>
    </row>
    <row r="528" spans="1:1" ht="15.75" customHeight="1" x14ac:dyDescent="0.3">
      <c r="A528" s="5"/>
    </row>
    <row r="529" spans="1:1" ht="15.75" customHeight="1" x14ac:dyDescent="0.3">
      <c r="A529" s="5"/>
    </row>
    <row r="530" spans="1:1" ht="15.75" customHeight="1" x14ac:dyDescent="0.3">
      <c r="A530" s="5"/>
    </row>
    <row r="531" spans="1:1" ht="15.75" customHeight="1" x14ac:dyDescent="0.3">
      <c r="A531" s="5"/>
    </row>
    <row r="532" spans="1:1" ht="15.75" customHeight="1" x14ac:dyDescent="0.3">
      <c r="A532" s="5"/>
    </row>
    <row r="533" spans="1:1" ht="15.75" customHeight="1" x14ac:dyDescent="0.3">
      <c r="A533" s="5"/>
    </row>
    <row r="534" spans="1:1" ht="15.75" customHeight="1" x14ac:dyDescent="0.3">
      <c r="A534" s="5"/>
    </row>
    <row r="535" spans="1:1" ht="15.75" customHeight="1" x14ac:dyDescent="0.3">
      <c r="A535" s="5"/>
    </row>
    <row r="536" spans="1:1" ht="15.75" customHeight="1" x14ac:dyDescent="0.3">
      <c r="A536" s="5"/>
    </row>
    <row r="537" spans="1:1" ht="15.75" customHeight="1" x14ac:dyDescent="0.3">
      <c r="A537" s="5"/>
    </row>
    <row r="538" spans="1:1" ht="15.75" customHeight="1" x14ac:dyDescent="0.3">
      <c r="A538" s="5"/>
    </row>
    <row r="539" spans="1:1" ht="15.75" customHeight="1" x14ac:dyDescent="0.3">
      <c r="A539" s="5"/>
    </row>
    <row r="540" spans="1:1" ht="15.75" customHeight="1" x14ac:dyDescent="0.3">
      <c r="A540" s="5"/>
    </row>
    <row r="541" spans="1:1" ht="15.75" customHeight="1" x14ac:dyDescent="0.3">
      <c r="A541" s="5"/>
    </row>
    <row r="542" spans="1:1" ht="15.75" customHeight="1" x14ac:dyDescent="0.3">
      <c r="A542" s="5"/>
    </row>
    <row r="543" spans="1:1" ht="15.75" customHeight="1" x14ac:dyDescent="0.3">
      <c r="A543" s="5"/>
    </row>
    <row r="544" spans="1:1" ht="15.75" customHeight="1" x14ac:dyDescent="0.3">
      <c r="A544" s="5"/>
    </row>
    <row r="545" spans="1:1" ht="15.75" customHeight="1" x14ac:dyDescent="0.3">
      <c r="A545" s="5"/>
    </row>
    <row r="546" spans="1:1" ht="15.75" customHeight="1" x14ac:dyDescent="0.3">
      <c r="A546" s="5"/>
    </row>
    <row r="547" spans="1:1" ht="15.75" customHeight="1" x14ac:dyDescent="0.3">
      <c r="A547" s="5"/>
    </row>
    <row r="548" spans="1:1" ht="15.75" customHeight="1" x14ac:dyDescent="0.3">
      <c r="A548" s="5"/>
    </row>
    <row r="549" spans="1:1" ht="15.75" customHeight="1" x14ac:dyDescent="0.3">
      <c r="A549" s="5"/>
    </row>
    <row r="550" spans="1:1" ht="15.75" customHeight="1" x14ac:dyDescent="0.3">
      <c r="A550" s="5"/>
    </row>
    <row r="551" spans="1:1" ht="15.75" customHeight="1" x14ac:dyDescent="0.3">
      <c r="A551" s="5"/>
    </row>
    <row r="552" spans="1:1" ht="15.75" customHeight="1" x14ac:dyDescent="0.3">
      <c r="A552" s="5"/>
    </row>
    <row r="553" spans="1:1" ht="15.75" customHeight="1" x14ac:dyDescent="0.3">
      <c r="A553" s="5"/>
    </row>
    <row r="554" spans="1:1" ht="15.75" customHeight="1" x14ac:dyDescent="0.3">
      <c r="A554" s="5"/>
    </row>
    <row r="555" spans="1:1" ht="15.75" customHeight="1" x14ac:dyDescent="0.3">
      <c r="A555" s="5"/>
    </row>
    <row r="556" spans="1:1" ht="15.75" customHeight="1" x14ac:dyDescent="0.3">
      <c r="A556" s="5"/>
    </row>
    <row r="557" spans="1:1" ht="15.75" customHeight="1" x14ac:dyDescent="0.3">
      <c r="A557" s="5"/>
    </row>
    <row r="558" spans="1:1" ht="15.75" customHeight="1" x14ac:dyDescent="0.3">
      <c r="A558" s="5"/>
    </row>
    <row r="559" spans="1:1" ht="15.75" customHeight="1" x14ac:dyDescent="0.3">
      <c r="A559" s="5"/>
    </row>
    <row r="560" spans="1:1" ht="15.75" customHeight="1" x14ac:dyDescent="0.3">
      <c r="A560" s="5"/>
    </row>
    <row r="561" spans="1:1" ht="15.75" customHeight="1" x14ac:dyDescent="0.3">
      <c r="A561" s="5"/>
    </row>
    <row r="562" spans="1:1" ht="15.75" customHeight="1" x14ac:dyDescent="0.3">
      <c r="A562" s="5"/>
    </row>
    <row r="563" spans="1:1" ht="15.75" customHeight="1" x14ac:dyDescent="0.3">
      <c r="A563" s="5"/>
    </row>
    <row r="564" spans="1:1" ht="15.75" customHeight="1" x14ac:dyDescent="0.3">
      <c r="A564" s="5"/>
    </row>
    <row r="565" spans="1:1" ht="15.75" customHeight="1" x14ac:dyDescent="0.3">
      <c r="A565" s="5"/>
    </row>
    <row r="566" spans="1:1" ht="15.75" customHeight="1" x14ac:dyDescent="0.3">
      <c r="A566" s="5"/>
    </row>
    <row r="567" spans="1:1" ht="15.75" customHeight="1" x14ac:dyDescent="0.3">
      <c r="A567" s="5"/>
    </row>
    <row r="568" spans="1:1" ht="15.75" customHeight="1" x14ac:dyDescent="0.3">
      <c r="A568" s="5"/>
    </row>
    <row r="569" spans="1:1" ht="15.75" customHeight="1" x14ac:dyDescent="0.3">
      <c r="A569" s="5"/>
    </row>
    <row r="570" spans="1:1" ht="15.75" customHeight="1" x14ac:dyDescent="0.3">
      <c r="A570" s="5"/>
    </row>
    <row r="571" spans="1:1" ht="15.75" customHeight="1" x14ac:dyDescent="0.3">
      <c r="A571" s="5"/>
    </row>
    <row r="572" spans="1:1" ht="15.75" customHeight="1" x14ac:dyDescent="0.3">
      <c r="A572" s="5"/>
    </row>
    <row r="573" spans="1:1" ht="15.75" customHeight="1" x14ac:dyDescent="0.3">
      <c r="A573" s="5"/>
    </row>
    <row r="574" spans="1:1" ht="15.75" customHeight="1" x14ac:dyDescent="0.3">
      <c r="A574" s="5"/>
    </row>
    <row r="575" spans="1:1" ht="15.75" customHeight="1" x14ac:dyDescent="0.3">
      <c r="A575" s="5"/>
    </row>
    <row r="576" spans="1:1" ht="15.75" customHeight="1" x14ac:dyDescent="0.3">
      <c r="A576" s="5"/>
    </row>
    <row r="577" spans="1:1" ht="15.75" customHeight="1" x14ac:dyDescent="0.3">
      <c r="A577" s="5"/>
    </row>
    <row r="578" spans="1:1" ht="15.75" customHeight="1" x14ac:dyDescent="0.3">
      <c r="A578" s="5"/>
    </row>
    <row r="579" spans="1:1" ht="15.75" customHeight="1" x14ac:dyDescent="0.3">
      <c r="A579" s="5"/>
    </row>
    <row r="580" spans="1:1" ht="15.75" customHeight="1" x14ac:dyDescent="0.3">
      <c r="A580" s="5"/>
    </row>
    <row r="581" spans="1:1" ht="15.75" customHeight="1" x14ac:dyDescent="0.3">
      <c r="A581" s="5"/>
    </row>
    <row r="582" spans="1:1" ht="15.75" customHeight="1" x14ac:dyDescent="0.3">
      <c r="A582" s="5"/>
    </row>
    <row r="583" spans="1:1" ht="15.75" customHeight="1" x14ac:dyDescent="0.3">
      <c r="A583" s="5"/>
    </row>
    <row r="584" spans="1:1" ht="15.75" customHeight="1" x14ac:dyDescent="0.3">
      <c r="A584" s="5"/>
    </row>
    <row r="585" spans="1:1" ht="15.75" customHeight="1" x14ac:dyDescent="0.3">
      <c r="A585" s="5"/>
    </row>
    <row r="586" spans="1:1" ht="15.75" customHeight="1" x14ac:dyDescent="0.3">
      <c r="A586" s="5"/>
    </row>
    <row r="587" spans="1:1" ht="15.75" customHeight="1" x14ac:dyDescent="0.3">
      <c r="A587" s="5"/>
    </row>
    <row r="588" spans="1:1" ht="15.75" customHeight="1" x14ac:dyDescent="0.3">
      <c r="A588" s="5"/>
    </row>
    <row r="589" spans="1:1" ht="15.75" customHeight="1" x14ac:dyDescent="0.3">
      <c r="A589" s="5"/>
    </row>
    <row r="590" spans="1:1" ht="15.75" customHeight="1" x14ac:dyDescent="0.3">
      <c r="A590" s="5"/>
    </row>
    <row r="591" spans="1:1" ht="15.75" customHeight="1" x14ac:dyDescent="0.3">
      <c r="A591" s="5"/>
    </row>
    <row r="592" spans="1:1" ht="15.75" customHeight="1" x14ac:dyDescent="0.3">
      <c r="A592" s="5"/>
    </row>
    <row r="593" spans="1:1" ht="15.75" customHeight="1" x14ac:dyDescent="0.3">
      <c r="A593" s="5"/>
    </row>
    <row r="594" spans="1:1" ht="15.75" customHeight="1" x14ac:dyDescent="0.3">
      <c r="A594" s="5"/>
    </row>
    <row r="595" spans="1:1" ht="15.75" customHeight="1" x14ac:dyDescent="0.3">
      <c r="A595" s="5"/>
    </row>
    <row r="596" spans="1:1" ht="15.75" customHeight="1" x14ac:dyDescent="0.3">
      <c r="A596" s="5"/>
    </row>
    <row r="597" spans="1:1" ht="15.75" customHeight="1" x14ac:dyDescent="0.3">
      <c r="A597" s="5"/>
    </row>
    <row r="598" spans="1:1" ht="15.75" customHeight="1" x14ac:dyDescent="0.3">
      <c r="A598" s="5"/>
    </row>
    <row r="599" spans="1:1" ht="15.75" customHeight="1" x14ac:dyDescent="0.3">
      <c r="A599" s="5"/>
    </row>
    <row r="600" spans="1:1" ht="15.75" customHeight="1" x14ac:dyDescent="0.3">
      <c r="A600" s="5"/>
    </row>
    <row r="601" spans="1:1" ht="15.75" customHeight="1" x14ac:dyDescent="0.3">
      <c r="A601" s="5"/>
    </row>
    <row r="602" spans="1:1" ht="15.75" customHeight="1" x14ac:dyDescent="0.3">
      <c r="A602" s="5"/>
    </row>
    <row r="603" spans="1:1" ht="15.75" customHeight="1" x14ac:dyDescent="0.3">
      <c r="A603" s="5"/>
    </row>
    <row r="604" spans="1:1" ht="15.75" customHeight="1" x14ac:dyDescent="0.3">
      <c r="A604" s="5"/>
    </row>
    <row r="605" spans="1:1" ht="15.75" customHeight="1" x14ac:dyDescent="0.3">
      <c r="A605" s="5"/>
    </row>
    <row r="606" spans="1:1" ht="15.75" customHeight="1" x14ac:dyDescent="0.3">
      <c r="A606" s="5"/>
    </row>
    <row r="607" spans="1:1" ht="15.75" customHeight="1" x14ac:dyDescent="0.3">
      <c r="A607" s="5"/>
    </row>
    <row r="608" spans="1:1" ht="15.75" customHeight="1" x14ac:dyDescent="0.3">
      <c r="A608" s="5"/>
    </row>
    <row r="609" spans="1:1" ht="15.75" customHeight="1" x14ac:dyDescent="0.3">
      <c r="A609" s="5"/>
    </row>
    <row r="610" spans="1:1" ht="15.75" customHeight="1" x14ac:dyDescent="0.3">
      <c r="A610" s="5"/>
    </row>
    <row r="611" spans="1:1" ht="15.75" customHeight="1" x14ac:dyDescent="0.3">
      <c r="A611" s="5"/>
    </row>
    <row r="612" spans="1:1" ht="15.75" customHeight="1" x14ac:dyDescent="0.3">
      <c r="A612" s="5"/>
    </row>
    <row r="613" spans="1:1" ht="15.75" customHeight="1" x14ac:dyDescent="0.3">
      <c r="A613" s="5"/>
    </row>
    <row r="614" spans="1:1" ht="15.75" customHeight="1" x14ac:dyDescent="0.3">
      <c r="A614" s="5"/>
    </row>
    <row r="615" spans="1:1" ht="15.75" customHeight="1" x14ac:dyDescent="0.3">
      <c r="A615" s="5"/>
    </row>
    <row r="616" spans="1:1" ht="15.75" customHeight="1" x14ac:dyDescent="0.3">
      <c r="A616" s="5"/>
    </row>
    <row r="617" spans="1:1" ht="15.75" customHeight="1" x14ac:dyDescent="0.3">
      <c r="A617" s="5"/>
    </row>
    <row r="618" spans="1:1" ht="15.75" customHeight="1" x14ac:dyDescent="0.3">
      <c r="A618" s="5"/>
    </row>
    <row r="619" spans="1:1" ht="15.75" customHeight="1" x14ac:dyDescent="0.3">
      <c r="A619" s="5"/>
    </row>
    <row r="620" spans="1:1" ht="15.75" customHeight="1" x14ac:dyDescent="0.3">
      <c r="A620" s="5"/>
    </row>
    <row r="621" spans="1:1" ht="15.75" customHeight="1" x14ac:dyDescent="0.3">
      <c r="A621" s="5"/>
    </row>
    <row r="622" spans="1:1" ht="15.75" customHeight="1" x14ac:dyDescent="0.3">
      <c r="A622" s="5"/>
    </row>
    <row r="623" spans="1:1" ht="15.75" customHeight="1" x14ac:dyDescent="0.3">
      <c r="A623" s="5"/>
    </row>
    <row r="624" spans="1:1" ht="15.75" customHeight="1" x14ac:dyDescent="0.3">
      <c r="A624" s="5"/>
    </row>
    <row r="625" spans="1:1" ht="15.75" customHeight="1" x14ac:dyDescent="0.3">
      <c r="A625" s="5"/>
    </row>
    <row r="626" spans="1:1" ht="15.75" customHeight="1" x14ac:dyDescent="0.3">
      <c r="A626" s="5"/>
    </row>
    <row r="627" spans="1:1" ht="15.75" customHeight="1" x14ac:dyDescent="0.3">
      <c r="A627" s="5"/>
    </row>
    <row r="628" spans="1:1" ht="15.75" customHeight="1" x14ac:dyDescent="0.3">
      <c r="A628" s="5"/>
    </row>
    <row r="629" spans="1:1" ht="15.75" customHeight="1" x14ac:dyDescent="0.3">
      <c r="A629" s="5"/>
    </row>
    <row r="630" spans="1:1" ht="15.75" customHeight="1" x14ac:dyDescent="0.3">
      <c r="A630" s="5"/>
    </row>
    <row r="631" spans="1:1" ht="15.75" customHeight="1" x14ac:dyDescent="0.3">
      <c r="A631" s="5"/>
    </row>
    <row r="632" spans="1:1" ht="15.75" customHeight="1" x14ac:dyDescent="0.3">
      <c r="A632" s="5"/>
    </row>
    <row r="633" spans="1:1" ht="15.75" customHeight="1" x14ac:dyDescent="0.3">
      <c r="A633" s="5"/>
    </row>
    <row r="634" spans="1:1" ht="15.75" customHeight="1" x14ac:dyDescent="0.3">
      <c r="A634" s="5"/>
    </row>
    <row r="635" spans="1:1" ht="15.75" customHeight="1" x14ac:dyDescent="0.3">
      <c r="A635" s="5"/>
    </row>
    <row r="636" spans="1:1" ht="15.75" customHeight="1" x14ac:dyDescent="0.3">
      <c r="A636" s="5"/>
    </row>
    <row r="637" spans="1:1" ht="15.75" customHeight="1" x14ac:dyDescent="0.3">
      <c r="A637" s="5"/>
    </row>
    <row r="638" spans="1:1" ht="15.75" customHeight="1" x14ac:dyDescent="0.3">
      <c r="A638" s="5"/>
    </row>
    <row r="639" spans="1:1" ht="15.75" customHeight="1" x14ac:dyDescent="0.3">
      <c r="A639" s="5"/>
    </row>
    <row r="640" spans="1:1" ht="15.75" customHeight="1" x14ac:dyDescent="0.3">
      <c r="A640" s="5"/>
    </row>
    <row r="641" spans="1:1" ht="15.75" customHeight="1" x14ac:dyDescent="0.3">
      <c r="A641" s="5"/>
    </row>
    <row r="642" spans="1:1" ht="15.75" customHeight="1" x14ac:dyDescent="0.3">
      <c r="A642" s="5"/>
    </row>
    <row r="643" spans="1:1" ht="15.75" customHeight="1" x14ac:dyDescent="0.3">
      <c r="A643" s="5"/>
    </row>
    <row r="644" spans="1:1" ht="15.75" customHeight="1" x14ac:dyDescent="0.3">
      <c r="A644" s="5"/>
    </row>
    <row r="645" spans="1:1" ht="15.75" customHeight="1" x14ac:dyDescent="0.3">
      <c r="A645" s="5"/>
    </row>
    <row r="646" spans="1:1" ht="15.75" customHeight="1" x14ac:dyDescent="0.3">
      <c r="A646" s="5"/>
    </row>
    <row r="647" spans="1:1" ht="15.75" customHeight="1" x14ac:dyDescent="0.3">
      <c r="A647" s="5"/>
    </row>
    <row r="648" spans="1:1" ht="15.75" customHeight="1" x14ac:dyDescent="0.3">
      <c r="A648" s="5"/>
    </row>
    <row r="649" spans="1:1" ht="15.75" customHeight="1" x14ac:dyDescent="0.3">
      <c r="A649" s="5"/>
    </row>
    <row r="650" spans="1:1" ht="15.75" customHeight="1" x14ac:dyDescent="0.3">
      <c r="A650" s="5"/>
    </row>
    <row r="651" spans="1:1" ht="15.75" customHeight="1" x14ac:dyDescent="0.3">
      <c r="A651" s="5"/>
    </row>
    <row r="652" spans="1:1" ht="15.75" customHeight="1" x14ac:dyDescent="0.3">
      <c r="A652" s="5"/>
    </row>
    <row r="653" spans="1:1" ht="15.75" customHeight="1" x14ac:dyDescent="0.3">
      <c r="A653" s="5"/>
    </row>
    <row r="654" spans="1:1" ht="15.75" customHeight="1" x14ac:dyDescent="0.3">
      <c r="A654" s="5"/>
    </row>
    <row r="655" spans="1:1" ht="15.75" customHeight="1" x14ac:dyDescent="0.3">
      <c r="A655" s="5"/>
    </row>
    <row r="656" spans="1:1" ht="15.75" customHeight="1" x14ac:dyDescent="0.3">
      <c r="A656" s="5"/>
    </row>
    <row r="657" spans="1:1" ht="15.75" customHeight="1" x14ac:dyDescent="0.3">
      <c r="A657" s="5"/>
    </row>
    <row r="658" spans="1:1" ht="15.75" customHeight="1" x14ac:dyDescent="0.3">
      <c r="A658" s="5"/>
    </row>
    <row r="659" spans="1:1" ht="15.75" customHeight="1" x14ac:dyDescent="0.3">
      <c r="A659" s="5"/>
    </row>
    <row r="660" spans="1:1" ht="15.75" customHeight="1" x14ac:dyDescent="0.3">
      <c r="A660" s="5"/>
    </row>
    <row r="661" spans="1:1" ht="15.75" customHeight="1" x14ac:dyDescent="0.3">
      <c r="A661" s="5"/>
    </row>
    <row r="662" spans="1:1" ht="15.75" customHeight="1" x14ac:dyDescent="0.3">
      <c r="A662" s="5"/>
    </row>
    <row r="663" spans="1:1" ht="15.75" customHeight="1" x14ac:dyDescent="0.3">
      <c r="A663" s="5"/>
    </row>
    <row r="664" spans="1:1" ht="15.75" customHeight="1" x14ac:dyDescent="0.3">
      <c r="A664" s="5"/>
    </row>
    <row r="665" spans="1:1" ht="15.75" customHeight="1" x14ac:dyDescent="0.3">
      <c r="A665" s="5"/>
    </row>
    <row r="666" spans="1:1" ht="15.75" customHeight="1" x14ac:dyDescent="0.3">
      <c r="A666" s="5"/>
    </row>
    <row r="667" spans="1:1" ht="15.75" customHeight="1" x14ac:dyDescent="0.3">
      <c r="A667" s="5"/>
    </row>
    <row r="668" spans="1:1" ht="15.75" customHeight="1" x14ac:dyDescent="0.3">
      <c r="A668" s="5"/>
    </row>
    <row r="669" spans="1:1" ht="15.75" customHeight="1" x14ac:dyDescent="0.3">
      <c r="A669" s="5"/>
    </row>
    <row r="670" spans="1:1" ht="15.75" customHeight="1" x14ac:dyDescent="0.3">
      <c r="A670" s="5"/>
    </row>
    <row r="671" spans="1:1" ht="15.75" customHeight="1" x14ac:dyDescent="0.3">
      <c r="A671" s="5"/>
    </row>
    <row r="672" spans="1:1" ht="15.75" customHeight="1" x14ac:dyDescent="0.3">
      <c r="A672" s="5"/>
    </row>
    <row r="673" spans="1:1" ht="15.75" customHeight="1" x14ac:dyDescent="0.3">
      <c r="A673" s="5"/>
    </row>
    <row r="674" spans="1:1" ht="15.75" customHeight="1" x14ac:dyDescent="0.3">
      <c r="A674" s="5"/>
    </row>
    <row r="675" spans="1:1" ht="15.75" customHeight="1" x14ac:dyDescent="0.3">
      <c r="A675" s="5"/>
    </row>
    <row r="676" spans="1:1" ht="15.75" customHeight="1" x14ac:dyDescent="0.3">
      <c r="A676" s="5"/>
    </row>
    <row r="677" spans="1:1" ht="15.75" customHeight="1" x14ac:dyDescent="0.3">
      <c r="A677" s="5"/>
    </row>
    <row r="678" spans="1:1" ht="15.75" customHeight="1" x14ac:dyDescent="0.3">
      <c r="A678" s="5"/>
    </row>
    <row r="679" spans="1:1" ht="15.75" customHeight="1" x14ac:dyDescent="0.3">
      <c r="A679" s="5"/>
    </row>
    <row r="680" spans="1:1" ht="15.75" customHeight="1" x14ac:dyDescent="0.3">
      <c r="A680" s="5"/>
    </row>
    <row r="681" spans="1:1" ht="15.75" customHeight="1" x14ac:dyDescent="0.3">
      <c r="A681" s="5"/>
    </row>
    <row r="682" spans="1:1" ht="15.75" customHeight="1" x14ac:dyDescent="0.3">
      <c r="A682" s="5"/>
    </row>
    <row r="683" spans="1:1" ht="15.75" customHeight="1" x14ac:dyDescent="0.3">
      <c r="A683" s="5"/>
    </row>
    <row r="684" spans="1:1" ht="15.75" customHeight="1" x14ac:dyDescent="0.3">
      <c r="A684" s="5"/>
    </row>
    <row r="685" spans="1:1" ht="15.75" customHeight="1" x14ac:dyDescent="0.3">
      <c r="A685" s="5"/>
    </row>
    <row r="686" spans="1:1" ht="15.75" customHeight="1" x14ac:dyDescent="0.3">
      <c r="A686" s="5"/>
    </row>
    <row r="687" spans="1:1" ht="15.75" customHeight="1" x14ac:dyDescent="0.3">
      <c r="A687" s="5"/>
    </row>
    <row r="688" spans="1:1" ht="15.75" customHeight="1" x14ac:dyDescent="0.3">
      <c r="A688" s="5"/>
    </row>
    <row r="689" spans="1:1" ht="15.75" customHeight="1" x14ac:dyDescent="0.3">
      <c r="A689" s="5"/>
    </row>
    <row r="690" spans="1:1" ht="15.75" customHeight="1" x14ac:dyDescent="0.3">
      <c r="A690" s="5"/>
    </row>
    <row r="691" spans="1:1" ht="15.75" customHeight="1" x14ac:dyDescent="0.3">
      <c r="A691" s="5"/>
    </row>
    <row r="692" spans="1:1" ht="15.75" customHeight="1" x14ac:dyDescent="0.3">
      <c r="A692" s="5"/>
    </row>
    <row r="693" spans="1:1" ht="15.75" customHeight="1" x14ac:dyDescent="0.3">
      <c r="A693" s="5"/>
    </row>
    <row r="694" spans="1:1" ht="15.75" customHeight="1" x14ac:dyDescent="0.3">
      <c r="A694" s="5"/>
    </row>
    <row r="695" spans="1:1" ht="15.75" customHeight="1" x14ac:dyDescent="0.3">
      <c r="A695" s="5"/>
    </row>
    <row r="696" spans="1:1" ht="15.75" customHeight="1" x14ac:dyDescent="0.3">
      <c r="A696" s="5"/>
    </row>
    <row r="697" spans="1:1" ht="15.75" customHeight="1" x14ac:dyDescent="0.3">
      <c r="A697" s="5"/>
    </row>
    <row r="698" spans="1:1" ht="15.75" customHeight="1" x14ac:dyDescent="0.3">
      <c r="A698" s="5"/>
    </row>
    <row r="699" spans="1:1" ht="15.75" customHeight="1" x14ac:dyDescent="0.3">
      <c r="A699" s="5"/>
    </row>
    <row r="700" spans="1:1" ht="15.75" customHeight="1" x14ac:dyDescent="0.3">
      <c r="A700" s="5"/>
    </row>
    <row r="701" spans="1:1" ht="15.75" customHeight="1" x14ac:dyDescent="0.3">
      <c r="A701" s="5"/>
    </row>
    <row r="702" spans="1:1" ht="15.75" customHeight="1" x14ac:dyDescent="0.3">
      <c r="A702" s="5"/>
    </row>
    <row r="703" spans="1:1" ht="15.75" customHeight="1" x14ac:dyDescent="0.3">
      <c r="A703" s="5"/>
    </row>
    <row r="704" spans="1:1" ht="15.75" customHeight="1" x14ac:dyDescent="0.3">
      <c r="A704" s="5"/>
    </row>
    <row r="705" spans="1:1" ht="15.75" customHeight="1" x14ac:dyDescent="0.3">
      <c r="A705" s="5"/>
    </row>
    <row r="706" spans="1:1" ht="15.75" customHeight="1" x14ac:dyDescent="0.3">
      <c r="A706" s="5"/>
    </row>
    <row r="707" spans="1:1" ht="15.75" customHeight="1" x14ac:dyDescent="0.3">
      <c r="A707" s="5"/>
    </row>
    <row r="708" spans="1:1" ht="15.75" customHeight="1" x14ac:dyDescent="0.3">
      <c r="A708" s="5"/>
    </row>
    <row r="709" spans="1:1" ht="15.75" customHeight="1" x14ac:dyDescent="0.3">
      <c r="A709" s="5"/>
    </row>
    <row r="710" spans="1:1" ht="15.75" customHeight="1" x14ac:dyDescent="0.3">
      <c r="A710" s="5"/>
    </row>
    <row r="711" spans="1:1" ht="15.75" customHeight="1" x14ac:dyDescent="0.3">
      <c r="A711" s="5"/>
    </row>
    <row r="712" spans="1:1" ht="15.75" customHeight="1" x14ac:dyDescent="0.3">
      <c r="A712" s="5"/>
    </row>
    <row r="713" spans="1:1" ht="15.75" customHeight="1" x14ac:dyDescent="0.3">
      <c r="A713" s="5"/>
    </row>
    <row r="714" spans="1:1" ht="15.75" customHeight="1" x14ac:dyDescent="0.3">
      <c r="A714" s="5"/>
    </row>
    <row r="715" spans="1:1" ht="15.75" customHeight="1" x14ac:dyDescent="0.3">
      <c r="A715" s="5"/>
    </row>
    <row r="716" spans="1:1" ht="15.75" customHeight="1" x14ac:dyDescent="0.3">
      <c r="A716" s="5"/>
    </row>
    <row r="717" spans="1:1" ht="15.75" customHeight="1" x14ac:dyDescent="0.3">
      <c r="A717" s="5"/>
    </row>
    <row r="718" spans="1:1" ht="15.75" customHeight="1" x14ac:dyDescent="0.3">
      <c r="A718" s="5"/>
    </row>
    <row r="719" spans="1:1" ht="15.75" customHeight="1" x14ac:dyDescent="0.3">
      <c r="A719" s="5"/>
    </row>
    <row r="720" spans="1:1" ht="15.75" customHeight="1" x14ac:dyDescent="0.3">
      <c r="A720" s="5"/>
    </row>
    <row r="721" spans="1:1" ht="15.75" customHeight="1" x14ac:dyDescent="0.3">
      <c r="A721" s="5"/>
    </row>
    <row r="722" spans="1:1" ht="15.75" customHeight="1" x14ac:dyDescent="0.3">
      <c r="A722" s="5"/>
    </row>
    <row r="723" spans="1:1" ht="15.75" customHeight="1" x14ac:dyDescent="0.3">
      <c r="A723" s="5"/>
    </row>
    <row r="724" spans="1:1" ht="15.75" customHeight="1" x14ac:dyDescent="0.3">
      <c r="A724" s="5"/>
    </row>
    <row r="725" spans="1:1" ht="15.75" customHeight="1" x14ac:dyDescent="0.3">
      <c r="A725" s="5"/>
    </row>
    <row r="726" spans="1:1" ht="15.75" customHeight="1" x14ac:dyDescent="0.3">
      <c r="A726" s="5"/>
    </row>
    <row r="727" spans="1:1" ht="15.75" customHeight="1" x14ac:dyDescent="0.3">
      <c r="A727" s="5"/>
    </row>
    <row r="728" spans="1:1" ht="15.75" customHeight="1" x14ac:dyDescent="0.3">
      <c r="A728" s="5"/>
    </row>
    <row r="729" spans="1:1" ht="15.75" customHeight="1" x14ac:dyDescent="0.3">
      <c r="A729" s="5"/>
    </row>
    <row r="730" spans="1:1" ht="15.75" customHeight="1" x14ac:dyDescent="0.3">
      <c r="A730" s="5"/>
    </row>
    <row r="731" spans="1:1" ht="15.75" customHeight="1" x14ac:dyDescent="0.3">
      <c r="A731" s="5"/>
    </row>
    <row r="732" spans="1:1" ht="15.75" customHeight="1" x14ac:dyDescent="0.3">
      <c r="A732" s="5"/>
    </row>
    <row r="733" spans="1:1" ht="15.75" customHeight="1" x14ac:dyDescent="0.3">
      <c r="A733" s="5"/>
    </row>
    <row r="734" spans="1:1" ht="15.75" customHeight="1" x14ac:dyDescent="0.3">
      <c r="A734" s="5"/>
    </row>
    <row r="735" spans="1:1" ht="15.75" customHeight="1" x14ac:dyDescent="0.3">
      <c r="A735" s="5"/>
    </row>
    <row r="736" spans="1:1" ht="15.75" customHeight="1" x14ac:dyDescent="0.3">
      <c r="A736" s="5"/>
    </row>
    <row r="737" spans="1:1" ht="15.75" customHeight="1" x14ac:dyDescent="0.3">
      <c r="A737" s="5"/>
    </row>
    <row r="738" spans="1:1" ht="15.75" customHeight="1" x14ac:dyDescent="0.3">
      <c r="A738" s="5"/>
    </row>
    <row r="739" spans="1:1" ht="15.75" customHeight="1" x14ac:dyDescent="0.3">
      <c r="A739" s="5"/>
    </row>
    <row r="740" spans="1:1" ht="15.75" customHeight="1" x14ac:dyDescent="0.3">
      <c r="A740" s="5"/>
    </row>
    <row r="741" spans="1:1" ht="15.75" customHeight="1" x14ac:dyDescent="0.3">
      <c r="A741" s="5"/>
    </row>
    <row r="742" spans="1:1" ht="15.75" customHeight="1" x14ac:dyDescent="0.3">
      <c r="A742" s="5"/>
    </row>
    <row r="743" spans="1:1" ht="15.75" customHeight="1" x14ac:dyDescent="0.3">
      <c r="A743" s="5"/>
    </row>
    <row r="744" spans="1:1" ht="15.75" customHeight="1" x14ac:dyDescent="0.3">
      <c r="A744" s="5"/>
    </row>
    <row r="745" spans="1:1" ht="15.75" customHeight="1" x14ac:dyDescent="0.3">
      <c r="A745" s="5"/>
    </row>
    <row r="746" spans="1:1" ht="15.75" customHeight="1" x14ac:dyDescent="0.3">
      <c r="A746" s="5"/>
    </row>
    <row r="747" spans="1:1" ht="15.75" customHeight="1" x14ac:dyDescent="0.3">
      <c r="A747" s="5"/>
    </row>
    <row r="748" spans="1:1" ht="15.75" customHeight="1" x14ac:dyDescent="0.3">
      <c r="A748" s="5"/>
    </row>
    <row r="749" spans="1:1" ht="15.75" customHeight="1" x14ac:dyDescent="0.3">
      <c r="A749" s="5"/>
    </row>
    <row r="750" spans="1:1" ht="15.75" customHeight="1" x14ac:dyDescent="0.3">
      <c r="A750" s="5"/>
    </row>
    <row r="751" spans="1:1" ht="15.75" customHeight="1" x14ac:dyDescent="0.3">
      <c r="A751" s="5"/>
    </row>
    <row r="752" spans="1:1" ht="15.75" customHeight="1" x14ac:dyDescent="0.3">
      <c r="A752" s="5"/>
    </row>
    <row r="753" spans="1:1" ht="15.75" customHeight="1" x14ac:dyDescent="0.3">
      <c r="A753" s="5"/>
    </row>
    <row r="754" spans="1:1" ht="15.75" customHeight="1" x14ac:dyDescent="0.3">
      <c r="A754" s="5"/>
    </row>
    <row r="755" spans="1:1" ht="15.75" customHeight="1" x14ac:dyDescent="0.3">
      <c r="A755" s="5"/>
    </row>
    <row r="756" spans="1:1" ht="15.75" customHeight="1" x14ac:dyDescent="0.3">
      <c r="A756" s="5"/>
    </row>
    <row r="757" spans="1:1" ht="15.75" customHeight="1" x14ac:dyDescent="0.3">
      <c r="A757" s="5"/>
    </row>
    <row r="758" spans="1:1" ht="15.75" customHeight="1" x14ac:dyDescent="0.3">
      <c r="A758" s="5"/>
    </row>
    <row r="759" spans="1:1" ht="15.75" customHeight="1" x14ac:dyDescent="0.3">
      <c r="A759" s="5"/>
    </row>
    <row r="760" spans="1:1" ht="15.75" customHeight="1" x14ac:dyDescent="0.3">
      <c r="A760" s="5"/>
    </row>
    <row r="761" spans="1:1" ht="15.75" customHeight="1" x14ac:dyDescent="0.3">
      <c r="A761" s="5"/>
    </row>
    <row r="762" spans="1:1" ht="15.75" customHeight="1" x14ac:dyDescent="0.3">
      <c r="A762" s="5"/>
    </row>
    <row r="763" spans="1:1" ht="15.75" customHeight="1" x14ac:dyDescent="0.3">
      <c r="A763" s="5"/>
    </row>
    <row r="764" spans="1:1" ht="15.75" customHeight="1" x14ac:dyDescent="0.3">
      <c r="A764" s="5"/>
    </row>
    <row r="765" spans="1:1" ht="15.75" customHeight="1" x14ac:dyDescent="0.3">
      <c r="A765" s="5"/>
    </row>
    <row r="766" spans="1:1" ht="15.75" customHeight="1" x14ac:dyDescent="0.3">
      <c r="A766" s="5"/>
    </row>
    <row r="767" spans="1:1" ht="15.75" customHeight="1" x14ac:dyDescent="0.3">
      <c r="A767" s="5"/>
    </row>
    <row r="768" spans="1:1" ht="15.75" customHeight="1" x14ac:dyDescent="0.3">
      <c r="A768" s="5"/>
    </row>
    <row r="769" spans="1:1" ht="15.75" customHeight="1" x14ac:dyDescent="0.3">
      <c r="A769" s="5"/>
    </row>
    <row r="770" spans="1:1" ht="15.75" customHeight="1" x14ac:dyDescent="0.3">
      <c r="A770" s="5"/>
    </row>
    <row r="771" spans="1:1" ht="15.75" customHeight="1" x14ac:dyDescent="0.3">
      <c r="A771" s="5"/>
    </row>
    <row r="772" spans="1:1" ht="15.75" customHeight="1" x14ac:dyDescent="0.3">
      <c r="A772" s="5"/>
    </row>
    <row r="773" spans="1:1" ht="15.75" customHeight="1" x14ac:dyDescent="0.3">
      <c r="A773" s="5"/>
    </row>
    <row r="774" spans="1:1" ht="15.75" customHeight="1" x14ac:dyDescent="0.3">
      <c r="A774" s="5"/>
    </row>
    <row r="775" spans="1:1" ht="15.75" customHeight="1" x14ac:dyDescent="0.3">
      <c r="A775" s="5"/>
    </row>
    <row r="776" spans="1:1" ht="15.75" customHeight="1" x14ac:dyDescent="0.3">
      <c r="A776" s="5"/>
    </row>
    <row r="777" spans="1:1" ht="15.75" customHeight="1" x14ac:dyDescent="0.3">
      <c r="A777" s="5"/>
    </row>
    <row r="778" spans="1:1" ht="15.75" customHeight="1" x14ac:dyDescent="0.3">
      <c r="A778" s="5"/>
    </row>
    <row r="779" spans="1:1" ht="15.75" customHeight="1" x14ac:dyDescent="0.3">
      <c r="A779" s="5"/>
    </row>
    <row r="780" spans="1:1" ht="15.75" customHeight="1" x14ac:dyDescent="0.3">
      <c r="A780" s="5"/>
    </row>
    <row r="781" spans="1:1" ht="15.75" customHeight="1" x14ac:dyDescent="0.3">
      <c r="A781" s="5"/>
    </row>
    <row r="782" spans="1:1" ht="15.75" customHeight="1" x14ac:dyDescent="0.3">
      <c r="A782" s="5"/>
    </row>
    <row r="783" spans="1:1" ht="15.75" customHeight="1" x14ac:dyDescent="0.3">
      <c r="A783" s="5"/>
    </row>
    <row r="784" spans="1:1" ht="15.75" customHeight="1" x14ac:dyDescent="0.3">
      <c r="A784" s="5"/>
    </row>
    <row r="785" spans="1:1" ht="15.75" customHeight="1" x14ac:dyDescent="0.3">
      <c r="A785" s="5"/>
    </row>
    <row r="786" spans="1:1" ht="15.75" customHeight="1" x14ac:dyDescent="0.3">
      <c r="A786" s="5"/>
    </row>
    <row r="787" spans="1:1" ht="15.75" customHeight="1" x14ac:dyDescent="0.3">
      <c r="A787" s="5"/>
    </row>
    <row r="788" spans="1:1" ht="15.75" customHeight="1" x14ac:dyDescent="0.3">
      <c r="A788" s="5"/>
    </row>
    <row r="789" spans="1:1" ht="15.75" customHeight="1" x14ac:dyDescent="0.3">
      <c r="A789" s="5"/>
    </row>
    <row r="790" spans="1:1" ht="15.75" customHeight="1" x14ac:dyDescent="0.3">
      <c r="A790" s="5"/>
    </row>
    <row r="791" spans="1:1" ht="15.75" customHeight="1" x14ac:dyDescent="0.3">
      <c r="A791" s="5"/>
    </row>
    <row r="792" spans="1:1" ht="15.75" customHeight="1" x14ac:dyDescent="0.3">
      <c r="A792" s="5"/>
    </row>
    <row r="793" spans="1:1" ht="15.75" customHeight="1" x14ac:dyDescent="0.3">
      <c r="A793" s="5"/>
    </row>
    <row r="794" spans="1:1" ht="15.75" customHeight="1" x14ac:dyDescent="0.3">
      <c r="A794" s="5"/>
    </row>
    <row r="795" spans="1:1" ht="15.75" customHeight="1" x14ac:dyDescent="0.3">
      <c r="A795" s="5"/>
    </row>
    <row r="796" spans="1:1" ht="15.75" customHeight="1" x14ac:dyDescent="0.3">
      <c r="A796" s="5"/>
    </row>
    <row r="797" spans="1:1" ht="15.75" customHeight="1" x14ac:dyDescent="0.3">
      <c r="A797" s="5"/>
    </row>
    <row r="798" spans="1:1" ht="15.75" customHeight="1" x14ac:dyDescent="0.3">
      <c r="A798" s="5"/>
    </row>
    <row r="799" spans="1:1" ht="15.75" customHeight="1" x14ac:dyDescent="0.3">
      <c r="A799" s="5"/>
    </row>
    <row r="800" spans="1:1" ht="15.75" customHeight="1" x14ac:dyDescent="0.3">
      <c r="A800" s="5"/>
    </row>
    <row r="801" spans="1:1" ht="15.75" customHeight="1" x14ac:dyDescent="0.3">
      <c r="A801" s="5"/>
    </row>
    <row r="802" spans="1:1" ht="15.75" customHeight="1" x14ac:dyDescent="0.3">
      <c r="A802" s="5"/>
    </row>
    <row r="803" spans="1:1" ht="15.75" customHeight="1" x14ac:dyDescent="0.3">
      <c r="A803" s="5"/>
    </row>
    <row r="804" spans="1:1" ht="15.75" customHeight="1" x14ac:dyDescent="0.3">
      <c r="A804" s="5"/>
    </row>
    <row r="805" spans="1:1" ht="15.75" customHeight="1" x14ac:dyDescent="0.3">
      <c r="A805" s="5"/>
    </row>
    <row r="806" spans="1:1" ht="15.75" customHeight="1" x14ac:dyDescent="0.3">
      <c r="A806" s="5"/>
    </row>
    <row r="807" spans="1:1" ht="15.75" customHeight="1" x14ac:dyDescent="0.3">
      <c r="A807" s="5"/>
    </row>
    <row r="808" spans="1:1" ht="15.75" customHeight="1" x14ac:dyDescent="0.3">
      <c r="A808" s="5"/>
    </row>
    <row r="809" spans="1:1" ht="15.75" customHeight="1" x14ac:dyDescent="0.3">
      <c r="A809" s="5"/>
    </row>
    <row r="810" spans="1:1" ht="15.75" customHeight="1" x14ac:dyDescent="0.3">
      <c r="A810" s="5"/>
    </row>
    <row r="811" spans="1:1" ht="15.75" customHeight="1" x14ac:dyDescent="0.3">
      <c r="A811" s="5"/>
    </row>
    <row r="812" spans="1:1" ht="15.75" customHeight="1" x14ac:dyDescent="0.3">
      <c r="A812" s="5"/>
    </row>
    <row r="813" spans="1:1" ht="15.75" customHeight="1" x14ac:dyDescent="0.3">
      <c r="A813" s="5"/>
    </row>
    <row r="814" spans="1:1" ht="15.75" customHeight="1" x14ac:dyDescent="0.3">
      <c r="A814" s="5"/>
    </row>
    <row r="815" spans="1:1" ht="15.75" customHeight="1" x14ac:dyDescent="0.3">
      <c r="A815" s="5"/>
    </row>
    <row r="816" spans="1:1" ht="15.75" customHeight="1" x14ac:dyDescent="0.3">
      <c r="A816" s="5"/>
    </row>
    <row r="817" spans="1:1" ht="15.75" customHeight="1" x14ac:dyDescent="0.3">
      <c r="A817" s="5"/>
    </row>
    <row r="818" spans="1:1" ht="15.75" customHeight="1" x14ac:dyDescent="0.3">
      <c r="A818" s="5"/>
    </row>
    <row r="819" spans="1:1" ht="15.75" customHeight="1" x14ac:dyDescent="0.3">
      <c r="A819" s="5"/>
    </row>
    <row r="820" spans="1:1" ht="15.75" customHeight="1" x14ac:dyDescent="0.3">
      <c r="A820" s="5"/>
    </row>
    <row r="821" spans="1:1" ht="15.75" customHeight="1" x14ac:dyDescent="0.3">
      <c r="A821" s="5"/>
    </row>
    <row r="822" spans="1:1" ht="15.75" customHeight="1" x14ac:dyDescent="0.3">
      <c r="A822" s="5"/>
    </row>
    <row r="823" spans="1:1" ht="15.75" customHeight="1" x14ac:dyDescent="0.3">
      <c r="A823" s="5"/>
    </row>
    <row r="824" spans="1:1" ht="15.75" customHeight="1" x14ac:dyDescent="0.3">
      <c r="A824" s="5"/>
    </row>
    <row r="825" spans="1:1" ht="15.75" customHeight="1" x14ac:dyDescent="0.3">
      <c r="A825" s="5"/>
    </row>
    <row r="826" spans="1:1" ht="15.75" customHeight="1" x14ac:dyDescent="0.3">
      <c r="A826" s="5"/>
    </row>
    <row r="827" spans="1:1" ht="15.75" customHeight="1" x14ac:dyDescent="0.3">
      <c r="A827" s="5"/>
    </row>
    <row r="828" spans="1:1" ht="15.75" customHeight="1" x14ac:dyDescent="0.3">
      <c r="A828" s="5"/>
    </row>
    <row r="829" spans="1:1" ht="15.75" customHeight="1" x14ac:dyDescent="0.3">
      <c r="A829" s="5"/>
    </row>
    <row r="830" spans="1:1" ht="15.75" customHeight="1" x14ac:dyDescent="0.3">
      <c r="A830" s="5"/>
    </row>
    <row r="831" spans="1:1" ht="15.75" customHeight="1" x14ac:dyDescent="0.3">
      <c r="A831" s="5"/>
    </row>
    <row r="832" spans="1:1" ht="15.75" customHeight="1" x14ac:dyDescent="0.3">
      <c r="A832" s="5"/>
    </row>
    <row r="833" spans="1:1" ht="15.75" customHeight="1" x14ac:dyDescent="0.3">
      <c r="A833" s="5"/>
    </row>
    <row r="834" spans="1:1" ht="15.75" customHeight="1" x14ac:dyDescent="0.3">
      <c r="A834" s="5"/>
    </row>
    <row r="835" spans="1:1" ht="15.75" customHeight="1" x14ac:dyDescent="0.3">
      <c r="A835" s="5"/>
    </row>
    <row r="836" spans="1:1" ht="15.75" customHeight="1" x14ac:dyDescent="0.3">
      <c r="A836" s="5"/>
    </row>
    <row r="837" spans="1:1" ht="15.75" customHeight="1" x14ac:dyDescent="0.3">
      <c r="A837" s="5"/>
    </row>
    <row r="838" spans="1:1" ht="15.75" customHeight="1" x14ac:dyDescent="0.3">
      <c r="A838" s="5"/>
    </row>
    <row r="839" spans="1:1" ht="15.75" customHeight="1" x14ac:dyDescent="0.3">
      <c r="A839" s="5"/>
    </row>
    <row r="840" spans="1:1" ht="15.75" customHeight="1" x14ac:dyDescent="0.3">
      <c r="A840" s="5"/>
    </row>
    <row r="841" spans="1:1" ht="15.75" customHeight="1" x14ac:dyDescent="0.3">
      <c r="A841" s="5"/>
    </row>
    <row r="842" spans="1:1" ht="15.75" customHeight="1" x14ac:dyDescent="0.3">
      <c r="A842" s="5"/>
    </row>
    <row r="843" spans="1:1" ht="15.75" customHeight="1" x14ac:dyDescent="0.3">
      <c r="A843" s="5"/>
    </row>
    <row r="844" spans="1:1" ht="15.75" customHeight="1" x14ac:dyDescent="0.3">
      <c r="A844" s="5"/>
    </row>
    <row r="845" spans="1:1" ht="15.75" customHeight="1" x14ac:dyDescent="0.3">
      <c r="A845" s="5"/>
    </row>
    <row r="846" spans="1:1" ht="15.75" customHeight="1" x14ac:dyDescent="0.3">
      <c r="A846" s="5"/>
    </row>
    <row r="847" spans="1:1" ht="15.75" customHeight="1" x14ac:dyDescent="0.3">
      <c r="A847" s="5"/>
    </row>
    <row r="848" spans="1:1" ht="15.75" customHeight="1" x14ac:dyDescent="0.3">
      <c r="A848" s="5"/>
    </row>
    <row r="849" spans="1:1" ht="15.75" customHeight="1" x14ac:dyDescent="0.3">
      <c r="A849" s="5"/>
    </row>
    <row r="850" spans="1:1" ht="15.75" customHeight="1" x14ac:dyDescent="0.3">
      <c r="A850" s="5"/>
    </row>
    <row r="851" spans="1:1" ht="15.75" customHeight="1" x14ac:dyDescent="0.3">
      <c r="A851" s="5"/>
    </row>
    <row r="852" spans="1:1" ht="15.75" customHeight="1" x14ac:dyDescent="0.3">
      <c r="A852" s="5"/>
    </row>
    <row r="853" spans="1:1" ht="15.75" customHeight="1" x14ac:dyDescent="0.3">
      <c r="A853" s="5"/>
    </row>
    <row r="854" spans="1:1" ht="15.75" customHeight="1" x14ac:dyDescent="0.3">
      <c r="A854" s="5"/>
    </row>
    <row r="855" spans="1:1" ht="15.75" customHeight="1" x14ac:dyDescent="0.3">
      <c r="A855" s="5"/>
    </row>
    <row r="856" spans="1:1" ht="15.75" customHeight="1" x14ac:dyDescent="0.3">
      <c r="A856" s="5"/>
    </row>
    <row r="857" spans="1:1" ht="15.75" customHeight="1" x14ac:dyDescent="0.3">
      <c r="A857" s="5"/>
    </row>
    <row r="858" spans="1:1" ht="15.75" customHeight="1" x14ac:dyDescent="0.3">
      <c r="A858" s="5"/>
    </row>
    <row r="859" spans="1:1" ht="15.75" customHeight="1" x14ac:dyDescent="0.3">
      <c r="A859" s="5"/>
    </row>
    <row r="860" spans="1:1" ht="15.75" customHeight="1" x14ac:dyDescent="0.3">
      <c r="A860" s="5"/>
    </row>
    <row r="861" spans="1:1" ht="15.75" customHeight="1" x14ac:dyDescent="0.3">
      <c r="A861" s="5"/>
    </row>
    <row r="862" spans="1:1" ht="15.75" customHeight="1" x14ac:dyDescent="0.3">
      <c r="A862" s="5"/>
    </row>
    <row r="863" spans="1:1" ht="15.75" customHeight="1" x14ac:dyDescent="0.3">
      <c r="A863" s="5"/>
    </row>
    <row r="864" spans="1:1" ht="15.75" customHeight="1" x14ac:dyDescent="0.3">
      <c r="A864" s="5"/>
    </row>
    <row r="865" spans="1:1" ht="15.75" customHeight="1" x14ac:dyDescent="0.3">
      <c r="A865" s="5"/>
    </row>
    <row r="866" spans="1:1" ht="15.75" customHeight="1" x14ac:dyDescent="0.3">
      <c r="A866" s="5"/>
    </row>
    <row r="867" spans="1:1" ht="15.75" customHeight="1" x14ac:dyDescent="0.3">
      <c r="A867" s="5"/>
    </row>
    <row r="868" spans="1:1" ht="15.75" customHeight="1" x14ac:dyDescent="0.3">
      <c r="A868" s="5"/>
    </row>
    <row r="869" spans="1:1" ht="15.75" customHeight="1" x14ac:dyDescent="0.3">
      <c r="A869" s="5"/>
    </row>
    <row r="870" spans="1:1" ht="15.75" customHeight="1" x14ac:dyDescent="0.3">
      <c r="A870" s="5"/>
    </row>
    <row r="871" spans="1:1" ht="15.75" customHeight="1" x14ac:dyDescent="0.3">
      <c r="A871" s="5"/>
    </row>
    <row r="872" spans="1:1" ht="15.75" customHeight="1" x14ac:dyDescent="0.3">
      <c r="A872" s="5"/>
    </row>
    <row r="873" spans="1:1" ht="15.75" customHeight="1" x14ac:dyDescent="0.3">
      <c r="A873" s="5"/>
    </row>
    <row r="874" spans="1:1" ht="15.75" customHeight="1" x14ac:dyDescent="0.3">
      <c r="A874" s="5"/>
    </row>
    <row r="875" spans="1:1" ht="15.75" customHeight="1" x14ac:dyDescent="0.3">
      <c r="A875" s="5"/>
    </row>
    <row r="876" spans="1:1" ht="15.75" customHeight="1" x14ac:dyDescent="0.3">
      <c r="A876" s="5"/>
    </row>
    <row r="877" spans="1:1" ht="15.75" customHeight="1" x14ac:dyDescent="0.3">
      <c r="A877" s="5"/>
    </row>
    <row r="878" spans="1:1" ht="15.75" customHeight="1" x14ac:dyDescent="0.3">
      <c r="A878" s="5"/>
    </row>
    <row r="879" spans="1:1" ht="15.75" customHeight="1" x14ac:dyDescent="0.3">
      <c r="A879" s="5"/>
    </row>
    <row r="880" spans="1:1" ht="15.75" customHeight="1" x14ac:dyDescent="0.3">
      <c r="A880" s="5"/>
    </row>
    <row r="881" spans="1:1" ht="15.75" customHeight="1" x14ac:dyDescent="0.3">
      <c r="A881" s="5"/>
    </row>
    <row r="882" spans="1:1" ht="15.75" customHeight="1" x14ac:dyDescent="0.3">
      <c r="A882" s="5"/>
    </row>
    <row r="883" spans="1:1" ht="15.75" customHeight="1" x14ac:dyDescent="0.3">
      <c r="A883" s="5"/>
    </row>
    <row r="884" spans="1:1" ht="15.75" customHeight="1" x14ac:dyDescent="0.3">
      <c r="A884" s="5"/>
    </row>
    <row r="885" spans="1:1" ht="15.75" customHeight="1" x14ac:dyDescent="0.3">
      <c r="A885" s="5"/>
    </row>
    <row r="886" spans="1:1" ht="15.75" customHeight="1" x14ac:dyDescent="0.3">
      <c r="A886" s="5"/>
    </row>
    <row r="887" spans="1:1" ht="15.75" customHeight="1" x14ac:dyDescent="0.3">
      <c r="A887" s="5"/>
    </row>
    <row r="888" spans="1:1" ht="15.75" customHeight="1" x14ac:dyDescent="0.3">
      <c r="A888" s="5"/>
    </row>
    <row r="889" spans="1:1" ht="15.75" customHeight="1" x14ac:dyDescent="0.3">
      <c r="A889" s="5"/>
    </row>
    <row r="890" spans="1:1" ht="15.75" customHeight="1" x14ac:dyDescent="0.3">
      <c r="A890" s="5"/>
    </row>
    <row r="891" spans="1:1" ht="15.75" customHeight="1" x14ac:dyDescent="0.3">
      <c r="A891" s="5"/>
    </row>
    <row r="892" spans="1:1" ht="15.75" customHeight="1" x14ac:dyDescent="0.3">
      <c r="A892" s="5"/>
    </row>
    <row r="893" spans="1:1" ht="15.75" customHeight="1" x14ac:dyDescent="0.3">
      <c r="A893" s="5"/>
    </row>
    <row r="894" spans="1:1" ht="15.75" customHeight="1" x14ac:dyDescent="0.3">
      <c r="A894" s="5"/>
    </row>
    <row r="895" spans="1:1" ht="15.75" customHeight="1" x14ac:dyDescent="0.3">
      <c r="A895" s="5"/>
    </row>
    <row r="896" spans="1:1" ht="15.75" customHeight="1" x14ac:dyDescent="0.3">
      <c r="A896" s="5"/>
    </row>
    <row r="897" spans="1:1" ht="15.75" customHeight="1" x14ac:dyDescent="0.3">
      <c r="A897" s="5"/>
    </row>
    <row r="898" spans="1:1" ht="15.75" customHeight="1" x14ac:dyDescent="0.3">
      <c r="A898" s="5"/>
    </row>
    <row r="899" spans="1:1" ht="15.75" customHeight="1" x14ac:dyDescent="0.3">
      <c r="A899" s="5"/>
    </row>
    <row r="900" spans="1:1" ht="15.75" customHeight="1" x14ac:dyDescent="0.3">
      <c r="A900" s="5"/>
    </row>
    <row r="901" spans="1:1" ht="15.75" customHeight="1" x14ac:dyDescent="0.3">
      <c r="A901" s="5"/>
    </row>
    <row r="902" spans="1:1" ht="15.75" customHeight="1" x14ac:dyDescent="0.3">
      <c r="A902" s="5"/>
    </row>
    <row r="903" spans="1:1" ht="15.75" customHeight="1" x14ac:dyDescent="0.3">
      <c r="A903" s="5"/>
    </row>
    <row r="904" spans="1:1" ht="15.75" customHeight="1" x14ac:dyDescent="0.3">
      <c r="A904" s="5"/>
    </row>
    <row r="905" spans="1:1" ht="15.75" customHeight="1" x14ac:dyDescent="0.3">
      <c r="A905" s="5"/>
    </row>
    <row r="906" spans="1:1" ht="15.75" customHeight="1" x14ac:dyDescent="0.3">
      <c r="A906" s="5"/>
    </row>
    <row r="907" spans="1:1" ht="15.75" customHeight="1" x14ac:dyDescent="0.3">
      <c r="A907" s="5"/>
    </row>
    <row r="908" spans="1:1" ht="15.75" customHeight="1" x14ac:dyDescent="0.3">
      <c r="A908" s="5"/>
    </row>
    <row r="909" spans="1:1" ht="15.75" customHeight="1" x14ac:dyDescent="0.3">
      <c r="A909" s="5"/>
    </row>
    <row r="910" spans="1:1" ht="15.75" customHeight="1" x14ac:dyDescent="0.3">
      <c r="A910" s="5"/>
    </row>
    <row r="911" spans="1:1" ht="15.75" customHeight="1" x14ac:dyDescent="0.3">
      <c r="A911" s="5"/>
    </row>
    <row r="912" spans="1:1" ht="15.75" customHeight="1" x14ac:dyDescent="0.3">
      <c r="A912" s="5"/>
    </row>
    <row r="913" spans="1:1" ht="15.75" customHeight="1" x14ac:dyDescent="0.3">
      <c r="A913" s="5"/>
    </row>
    <row r="914" spans="1:1" ht="15.75" customHeight="1" x14ac:dyDescent="0.3">
      <c r="A914" s="5"/>
    </row>
    <row r="915" spans="1:1" ht="15.75" customHeight="1" x14ac:dyDescent="0.3">
      <c r="A915" s="5"/>
    </row>
    <row r="916" spans="1:1" ht="15.75" customHeight="1" x14ac:dyDescent="0.3">
      <c r="A916" s="5"/>
    </row>
    <row r="917" spans="1:1" ht="15.75" customHeight="1" x14ac:dyDescent="0.3">
      <c r="A917" s="5"/>
    </row>
    <row r="918" spans="1:1" ht="15.75" customHeight="1" x14ac:dyDescent="0.3">
      <c r="A918" s="5"/>
    </row>
    <row r="919" spans="1:1" ht="15.75" customHeight="1" x14ac:dyDescent="0.3">
      <c r="A919" s="5"/>
    </row>
    <row r="920" spans="1:1" ht="15.75" customHeight="1" x14ac:dyDescent="0.3">
      <c r="A920" s="5"/>
    </row>
    <row r="921" spans="1:1" ht="15.75" customHeight="1" x14ac:dyDescent="0.3">
      <c r="A921" s="5"/>
    </row>
    <row r="922" spans="1:1" ht="15.75" customHeight="1" x14ac:dyDescent="0.3">
      <c r="A922" s="5"/>
    </row>
    <row r="923" spans="1:1" ht="15.75" customHeight="1" x14ac:dyDescent="0.3">
      <c r="A923" s="5"/>
    </row>
    <row r="924" spans="1:1" ht="15.75" customHeight="1" x14ac:dyDescent="0.3">
      <c r="A924" s="5"/>
    </row>
    <row r="925" spans="1:1" ht="15.75" customHeight="1" x14ac:dyDescent="0.3">
      <c r="A925" s="5"/>
    </row>
    <row r="926" spans="1:1" ht="15.75" customHeight="1" x14ac:dyDescent="0.3">
      <c r="A926" s="5"/>
    </row>
    <row r="927" spans="1:1" ht="15.75" customHeight="1" x14ac:dyDescent="0.3">
      <c r="A927" s="5"/>
    </row>
    <row r="928" spans="1:1" ht="15.75" customHeight="1" x14ac:dyDescent="0.3">
      <c r="A928" s="5"/>
    </row>
    <row r="929" spans="1:1" ht="15.75" customHeight="1" x14ac:dyDescent="0.3">
      <c r="A929" s="5"/>
    </row>
    <row r="930" spans="1:1" ht="15.75" customHeight="1" x14ac:dyDescent="0.3">
      <c r="A930" s="5"/>
    </row>
    <row r="931" spans="1:1" ht="15.75" customHeight="1" x14ac:dyDescent="0.3">
      <c r="A931" s="5"/>
    </row>
    <row r="932" spans="1:1" ht="15.75" customHeight="1" x14ac:dyDescent="0.3">
      <c r="A932" s="5"/>
    </row>
    <row r="933" spans="1:1" ht="15.75" customHeight="1" x14ac:dyDescent="0.3">
      <c r="A933" s="5"/>
    </row>
    <row r="934" spans="1:1" ht="15.75" customHeight="1" x14ac:dyDescent="0.3">
      <c r="A934" s="5"/>
    </row>
    <row r="935" spans="1:1" ht="15.75" customHeight="1" x14ac:dyDescent="0.3">
      <c r="A935" s="5"/>
    </row>
    <row r="936" spans="1:1" ht="15.75" customHeight="1" x14ac:dyDescent="0.3">
      <c r="A936" s="5"/>
    </row>
    <row r="937" spans="1:1" ht="15.75" customHeight="1" x14ac:dyDescent="0.3">
      <c r="A937" s="5"/>
    </row>
    <row r="938" spans="1:1" ht="15.75" customHeight="1" x14ac:dyDescent="0.3">
      <c r="A938" s="5"/>
    </row>
    <row r="939" spans="1:1" ht="15.75" customHeight="1" x14ac:dyDescent="0.3">
      <c r="A939" s="5"/>
    </row>
    <row r="940" spans="1:1" ht="15.75" customHeight="1" x14ac:dyDescent="0.3">
      <c r="A940" s="5"/>
    </row>
    <row r="941" spans="1:1" ht="15.75" customHeight="1" x14ac:dyDescent="0.3">
      <c r="A941" s="5"/>
    </row>
    <row r="942" spans="1:1" ht="15.75" customHeight="1" x14ac:dyDescent="0.3">
      <c r="A942" s="5"/>
    </row>
    <row r="943" spans="1:1" ht="15.75" customHeight="1" x14ac:dyDescent="0.3">
      <c r="A943" s="5"/>
    </row>
    <row r="944" spans="1:1" ht="15.75" customHeight="1" x14ac:dyDescent="0.3">
      <c r="A944" s="5"/>
    </row>
    <row r="945" spans="1:1" ht="15.75" customHeight="1" x14ac:dyDescent="0.3">
      <c r="A945" s="5"/>
    </row>
    <row r="946" spans="1:1" ht="15.75" customHeight="1" x14ac:dyDescent="0.3">
      <c r="A946" s="5"/>
    </row>
    <row r="947" spans="1:1" ht="15.75" customHeight="1" x14ac:dyDescent="0.3">
      <c r="A947" s="5"/>
    </row>
    <row r="948" spans="1:1" ht="15.75" customHeight="1" x14ac:dyDescent="0.3">
      <c r="A948" s="5"/>
    </row>
    <row r="949" spans="1:1" ht="15.75" customHeight="1" x14ac:dyDescent="0.3">
      <c r="A949" s="5"/>
    </row>
    <row r="950" spans="1:1" ht="15.75" customHeight="1" x14ac:dyDescent="0.3">
      <c r="A950" s="5"/>
    </row>
    <row r="951" spans="1:1" ht="15.75" customHeight="1" x14ac:dyDescent="0.3">
      <c r="A951" s="5"/>
    </row>
    <row r="952" spans="1:1" ht="15.75" customHeight="1" x14ac:dyDescent="0.3">
      <c r="A952" s="5"/>
    </row>
    <row r="953" spans="1:1" ht="15.75" customHeight="1" x14ac:dyDescent="0.3">
      <c r="A953" s="5"/>
    </row>
    <row r="954" spans="1:1" ht="15.75" customHeight="1" x14ac:dyDescent="0.3">
      <c r="A954" s="5"/>
    </row>
    <row r="955" spans="1:1" ht="15.75" customHeight="1" x14ac:dyDescent="0.3">
      <c r="A955" s="5"/>
    </row>
    <row r="956" spans="1:1" ht="15.75" customHeight="1" x14ac:dyDescent="0.3">
      <c r="A956" s="5"/>
    </row>
    <row r="957" spans="1:1" ht="15.75" customHeight="1" x14ac:dyDescent="0.3">
      <c r="A957" s="5"/>
    </row>
    <row r="958" spans="1:1" ht="15.75" customHeight="1" x14ac:dyDescent="0.3">
      <c r="A958" s="5"/>
    </row>
    <row r="959" spans="1:1" ht="15.75" customHeight="1" x14ac:dyDescent="0.3">
      <c r="A959" s="5"/>
    </row>
    <row r="960" spans="1:1" ht="15.75" customHeight="1" x14ac:dyDescent="0.3">
      <c r="A960" s="5"/>
    </row>
    <row r="961" spans="1:1" ht="15.75" customHeight="1" x14ac:dyDescent="0.3">
      <c r="A961" s="5"/>
    </row>
    <row r="962" spans="1:1" ht="15.75" customHeight="1" x14ac:dyDescent="0.3">
      <c r="A962" s="5"/>
    </row>
    <row r="963" spans="1:1" ht="15.75" customHeight="1" x14ac:dyDescent="0.3">
      <c r="A963" s="5"/>
    </row>
    <row r="964" spans="1:1" ht="15.75" customHeight="1" x14ac:dyDescent="0.3">
      <c r="A964" s="5"/>
    </row>
    <row r="965" spans="1:1" ht="15.75" customHeight="1" x14ac:dyDescent="0.3">
      <c r="A965" s="5"/>
    </row>
    <row r="966" spans="1:1" ht="15.75" customHeight="1" x14ac:dyDescent="0.3">
      <c r="A966" s="5"/>
    </row>
    <row r="967" spans="1:1" ht="15.75" customHeight="1" x14ac:dyDescent="0.3">
      <c r="A967" s="5"/>
    </row>
    <row r="968" spans="1:1" ht="15.75" customHeight="1" x14ac:dyDescent="0.3">
      <c r="A968" s="5"/>
    </row>
    <row r="969" spans="1:1" ht="15.75" customHeight="1" x14ac:dyDescent="0.3">
      <c r="A969" s="5"/>
    </row>
    <row r="970" spans="1:1" ht="15.75" customHeight="1" x14ac:dyDescent="0.3">
      <c r="A970" s="5"/>
    </row>
    <row r="971" spans="1:1" ht="15.75" customHeight="1" x14ac:dyDescent="0.3">
      <c r="A971" s="5"/>
    </row>
    <row r="972" spans="1:1" ht="15.75" customHeight="1" x14ac:dyDescent="0.3">
      <c r="A972" s="5"/>
    </row>
    <row r="973" spans="1:1" ht="15.75" customHeight="1" x14ac:dyDescent="0.3">
      <c r="A973" s="5"/>
    </row>
    <row r="974" spans="1:1" ht="15.75" customHeight="1" x14ac:dyDescent="0.3">
      <c r="A974" s="5"/>
    </row>
    <row r="975" spans="1:1" ht="15.75" customHeight="1" x14ac:dyDescent="0.3">
      <c r="A975" s="5"/>
    </row>
    <row r="976" spans="1:1" ht="15.75" customHeight="1" x14ac:dyDescent="0.3">
      <c r="A976" s="5"/>
    </row>
    <row r="977" spans="1:1" ht="15.75" customHeight="1" x14ac:dyDescent="0.3">
      <c r="A977" s="5"/>
    </row>
    <row r="978" spans="1:1" ht="15.75" customHeight="1" x14ac:dyDescent="0.3">
      <c r="A978" s="5"/>
    </row>
    <row r="979" spans="1:1" ht="15.75" customHeight="1" x14ac:dyDescent="0.3">
      <c r="A979" s="5"/>
    </row>
    <row r="980" spans="1:1" ht="15.75" customHeight="1" x14ac:dyDescent="0.3">
      <c r="A980" s="5"/>
    </row>
    <row r="981" spans="1:1" ht="15.75" customHeight="1" x14ac:dyDescent="0.3">
      <c r="A981" s="5"/>
    </row>
    <row r="982" spans="1:1" ht="15.75" customHeight="1" x14ac:dyDescent="0.3">
      <c r="A982" s="5"/>
    </row>
    <row r="983" spans="1:1" ht="15.75" customHeight="1" x14ac:dyDescent="0.3">
      <c r="A983" s="5"/>
    </row>
    <row r="984" spans="1:1" ht="15.75" customHeight="1" x14ac:dyDescent="0.3">
      <c r="A984" s="5"/>
    </row>
    <row r="985" spans="1:1" ht="15.75" customHeight="1" x14ac:dyDescent="0.3">
      <c r="A985" s="5"/>
    </row>
    <row r="986" spans="1:1" ht="15.75" customHeight="1" x14ac:dyDescent="0.3">
      <c r="A986" s="5"/>
    </row>
    <row r="987" spans="1:1" ht="15.75" customHeight="1" x14ac:dyDescent="0.3">
      <c r="A987" s="5"/>
    </row>
    <row r="988" spans="1:1" ht="15.75" customHeight="1" x14ac:dyDescent="0.3">
      <c r="A988" s="5"/>
    </row>
    <row r="989" spans="1:1" ht="15.75" customHeight="1" x14ac:dyDescent="0.3">
      <c r="A989" s="5"/>
    </row>
    <row r="990" spans="1:1" ht="15.75" customHeight="1" x14ac:dyDescent="0.3">
      <c r="A990" s="5"/>
    </row>
    <row r="991" spans="1:1" ht="15.75" customHeight="1" x14ac:dyDescent="0.3">
      <c r="A991" s="5"/>
    </row>
    <row r="992" spans="1:1" ht="15.75" customHeight="1" x14ac:dyDescent="0.3">
      <c r="A992" s="5"/>
    </row>
    <row r="993" spans="1:1" ht="15.75" customHeight="1" x14ac:dyDescent="0.3">
      <c r="A993" s="5"/>
    </row>
    <row r="994" spans="1:1" ht="15.75" customHeight="1" x14ac:dyDescent="0.3">
      <c r="A994" s="5"/>
    </row>
    <row r="995" spans="1:1" ht="15.75" customHeight="1" x14ac:dyDescent="0.3">
      <c r="A995" s="5"/>
    </row>
    <row r="996" spans="1:1" ht="15.75" customHeight="1" x14ac:dyDescent="0.3">
      <c r="A996" s="5"/>
    </row>
    <row r="997" spans="1:1" ht="15.75" customHeight="1" x14ac:dyDescent="0.3">
      <c r="A997" s="5"/>
    </row>
    <row r="998" spans="1:1" ht="15.75" customHeight="1" x14ac:dyDescent="0.3">
      <c r="A998" s="5"/>
    </row>
    <row r="999" spans="1:1" ht="15.75" customHeight="1" x14ac:dyDescent="0.3">
      <c r="A999" s="5"/>
    </row>
    <row r="1000" spans="1:1" ht="15.75" customHeight="1" x14ac:dyDescent="0.3">
      <c r="A1000" s="5"/>
    </row>
  </sheetData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8" customWidth="1"/>
    <col min="3" max="3" width="20" customWidth="1"/>
    <col min="4" max="26" width="8.6640625" customWidth="1"/>
  </cols>
  <sheetData>
    <row r="1" spans="1:3" ht="23.25" customHeight="1" x14ac:dyDescent="0.3">
      <c r="A1" s="2" t="s">
        <v>220</v>
      </c>
      <c r="B1" s="2" t="s">
        <v>221</v>
      </c>
      <c r="C1" s="2" t="s">
        <v>222</v>
      </c>
    </row>
    <row r="2" spans="1:3" ht="15" customHeight="1" x14ac:dyDescent="0.3">
      <c r="A2" s="4" t="s">
        <v>75</v>
      </c>
      <c r="B2" s="5">
        <f>COUNTIF('Master Leads'!$D$2:$D$1000,A2)</f>
        <v>1</v>
      </c>
      <c r="C2" s="5">
        <f>COUNTIFS('Master Leads'!$D$2:$D$1000,A2,'Master Leads'!$F$2:$F$1000,"Converted")</f>
        <v>1</v>
      </c>
    </row>
    <row r="3" spans="1:3" ht="15" customHeight="1" x14ac:dyDescent="0.3">
      <c r="A3" s="4" t="s">
        <v>76</v>
      </c>
      <c r="B3" s="5">
        <f>COUNTIF('Master Leads'!$D$2:$D$1000,A3)</f>
        <v>0</v>
      </c>
      <c r="C3" s="5">
        <f>COUNTIFS('Master Leads'!$D$2:$D$1000,A3,'Master Leads'!$F$2:$F$1000,"Converted")</f>
        <v>0</v>
      </c>
    </row>
    <row r="4" spans="1:3" ht="15" customHeight="1" x14ac:dyDescent="0.3">
      <c r="A4" s="4" t="s">
        <v>77</v>
      </c>
      <c r="B4" s="5">
        <f>COUNTIF('Master Leads'!$D$2:$D$1000,A4)</f>
        <v>2</v>
      </c>
      <c r="C4" s="5">
        <f>COUNTIFS('Master Leads'!$D$2:$D$1000,A4,'Master Leads'!$F$2:$F$1000,"Converted")</f>
        <v>0</v>
      </c>
    </row>
    <row r="5" spans="1:3" ht="15" customHeight="1" x14ac:dyDescent="0.3">
      <c r="A5" s="4" t="s">
        <v>78</v>
      </c>
      <c r="B5" s="5">
        <f>COUNTIF('Master Leads'!$D$2:$D$1000,A5)</f>
        <v>4</v>
      </c>
      <c r="C5" s="5">
        <f>COUNTIFS('Master Leads'!$D$2:$D$1000,A5,'Master Leads'!$F$2:$F$1000,"Converted")</f>
        <v>1</v>
      </c>
    </row>
    <row r="6" spans="1:3" ht="15" customHeight="1" x14ac:dyDescent="0.3">
      <c r="A6" s="4" t="s">
        <v>79</v>
      </c>
      <c r="B6" s="5">
        <f>COUNTIF('Master Leads'!$D$2:$D$1000,A6)</f>
        <v>0</v>
      </c>
      <c r="C6" s="5">
        <f>COUNTIFS('Master Leads'!$D$2:$D$1000,A6,'Master Leads'!$F$2:$F$1000,"Converted")</f>
        <v>0</v>
      </c>
    </row>
    <row r="7" spans="1:3" ht="15" customHeight="1" x14ac:dyDescent="0.3">
      <c r="A7" s="4" t="s">
        <v>80</v>
      </c>
      <c r="B7" s="5">
        <f>COUNTIF('Master Leads'!$D$2:$D$1000,A7)</f>
        <v>0</v>
      </c>
      <c r="C7" s="5">
        <f>COUNTIFS('Master Leads'!$D$2:$D$1000,A7,'Master Leads'!$F$2:$F$1000,"Converted")</f>
        <v>0</v>
      </c>
    </row>
    <row r="8" spans="1:3" ht="15" customHeight="1" x14ac:dyDescent="0.3">
      <c r="A8" s="4" t="s">
        <v>81</v>
      </c>
      <c r="B8" s="5">
        <f>COUNTIF('Master Leads'!$D$2:$D$1000,A8)</f>
        <v>1</v>
      </c>
      <c r="C8" s="5">
        <f>COUNTIFS('Master Leads'!$D$2:$D$1000,A8,'Master Leads'!$F$2:$F$1000,"Converted")</f>
        <v>0</v>
      </c>
    </row>
    <row r="9" spans="1:3" ht="15" customHeight="1" x14ac:dyDescent="0.3">
      <c r="A9" s="4" t="s">
        <v>82</v>
      </c>
      <c r="B9" s="5">
        <f>COUNTIF('Master Leads'!$D$2:$D$1000,A9)</f>
        <v>0</v>
      </c>
      <c r="C9" s="5">
        <f>COUNTIFS('Master Leads'!$D$2:$D$1000,A9,'Master Leads'!$F$2:$F$1000,"Converted")</f>
        <v>0</v>
      </c>
    </row>
    <row r="10" spans="1:3" ht="14.4" x14ac:dyDescent="0.3">
      <c r="A10" s="5"/>
      <c r="B10" s="5"/>
      <c r="C10" s="5"/>
    </row>
    <row r="11" spans="1:3" ht="14.4" x14ac:dyDescent="0.3">
      <c r="A11" s="5"/>
      <c r="B11" s="5"/>
      <c r="C11" s="5"/>
    </row>
    <row r="12" spans="1:3" ht="14.4" x14ac:dyDescent="0.3">
      <c r="A12" s="5"/>
      <c r="B12" s="5"/>
      <c r="C12" s="5"/>
    </row>
    <row r="13" spans="1:3" ht="14.4" x14ac:dyDescent="0.3">
      <c r="A13" s="5"/>
      <c r="B13" s="5"/>
      <c r="C13" s="5"/>
    </row>
    <row r="14" spans="1:3" ht="14.4" x14ac:dyDescent="0.3">
      <c r="A14" s="5"/>
      <c r="B14" s="5"/>
      <c r="C14" s="5"/>
    </row>
    <row r="15" spans="1:3" ht="14.4" x14ac:dyDescent="0.3">
      <c r="A15" s="5"/>
      <c r="B15" s="5"/>
      <c r="C15" s="5"/>
    </row>
    <row r="16" spans="1:3" ht="14.4" x14ac:dyDescent="0.3">
      <c r="A16" s="5"/>
      <c r="B16" s="5"/>
      <c r="C16" s="5"/>
    </row>
    <row r="17" spans="1:3" ht="14.4" x14ac:dyDescent="0.3">
      <c r="A17" s="5"/>
      <c r="B17" s="5"/>
      <c r="C17" s="5"/>
    </row>
    <row r="18" spans="1:3" ht="14.4" x14ac:dyDescent="0.3">
      <c r="A18" s="5"/>
      <c r="B18" s="5"/>
      <c r="C18" s="5"/>
    </row>
    <row r="19" spans="1:3" ht="14.4" x14ac:dyDescent="0.3">
      <c r="A19" s="5"/>
      <c r="B19" s="5"/>
      <c r="C19" s="5"/>
    </row>
    <row r="20" spans="1:3" ht="14.4" x14ac:dyDescent="0.3">
      <c r="A20" s="5"/>
      <c r="B20" s="5"/>
      <c r="C20" s="5"/>
    </row>
    <row r="21" spans="1:3" ht="15.75" customHeight="1" x14ac:dyDescent="0.3">
      <c r="A21" s="5"/>
      <c r="B21" s="5"/>
      <c r="C21" s="5"/>
    </row>
    <row r="22" spans="1:3" ht="15.75" customHeight="1" x14ac:dyDescent="0.3">
      <c r="A22" s="5"/>
      <c r="B22" s="5"/>
      <c r="C22" s="5"/>
    </row>
    <row r="23" spans="1:3" ht="15.75" customHeight="1" x14ac:dyDescent="0.3">
      <c r="A23" s="5"/>
      <c r="B23" s="5"/>
      <c r="C23" s="5"/>
    </row>
    <row r="24" spans="1:3" ht="15.75" customHeight="1" x14ac:dyDescent="0.3">
      <c r="A24" s="5"/>
      <c r="B24" s="5"/>
      <c r="C24" s="5"/>
    </row>
    <row r="25" spans="1:3" ht="15.75" customHeight="1" x14ac:dyDescent="0.3">
      <c r="A25" s="5"/>
      <c r="B25" s="5"/>
      <c r="C25" s="5"/>
    </row>
    <row r="26" spans="1:3" ht="15.75" customHeight="1" x14ac:dyDescent="0.3">
      <c r="A26" s="5"/>
      <c r="B26" s="5"/>
      <c r="C26" s="5"/>
    </row>
    <row r="27" spans="1:3" ht="15.75" customHeight="1" x14ac:dyDescent="0.3">
      <c r="A27" s="5"/>
      <c r="B27" s="5"/>
      <c r="C27" s="5"/>
    </row>
    <row r="28" spans="1:3" ht="15.75" customHeight="1" x14ac:dyDescent="0.3">
      <c r="A28" s="5"/>
      <c r="B28" s="5"/>
      <c r="C28" s="5"/>
    </row>
    <row r="29" spans="1:3" ht="15.75" customHeight="1" x14ac:dyDescent="0.3">
      <c r="A29" s="5"/>
      <c r="B29" s="5"/>
      <c r="C29" s="5"/>
    </row>
    <row r="30" spans="1:3" ht="15.75" customHeight="1" x14ac:dyDescent="0.3">
      <c r="A30" s="5"/>
      <c r="B30" s="5"/>
      <c r="C30" s="5"/>
    </row>
    <row r="31" spans="1:3" ht="15.75" customHeight="1" x14ac:dyDescent="0.3">
      <c r="A31" s="5"/>
      <c r="B31" s="5"/>
      <c r="C31" s="5"/>
    </row>
    <row r="32" spans="1:3" ht="15.75" customHeight="1" x14ac:dyDescent="0.3">
      <c r="A32" s="5"/>
      <c r="B32" s="5"/>
      <c r="C32" s="5"/>
    </row>
    <row r="33" spans="1:3" ht="15.75" customHeight="1" x14ac:dyDescent="0.3">
      <c r="A33" s="5"/>
      <c r="B33" s="5"/>
      <c r="C33" s="5"/>
    </row>
    <row r="34" spans="1:3" ht="15.75" customHeight="1" x14ac:dyDescent="0.3">
      <c r="A34" s="5"/>
      <c r="B34" s="5"/>
      <c r="C34" s="5"/>
    </row>
    <row r="35" spans="1:3" ht="15.75" customHeight="1" x14ac:dyDescent="0.3">
      <c r="A35" s="5"/>
      <c r="B35" s="5"/>
      <c r="C35" s="5"/>
    </row>
    <row r="36" spans="1:3" ht="15.75" customHeight="1" x14ac:dyDescent="0.3">
      <c r="A36" s="5"/>
      <c r="B36" s="5"/>
      <c r="C36" s="5"/>
    </row>
    <row r="37" spans="1:3" ht="15.75" customHeight="1" x14ac:dyDescent="0.3">
      <c r="A37" s="5"/>
      <c r="B37" s="5"/>
      <c r="C37" s="5"/>
    </row>
    <row r="38" spans="1:3" ht="15.75" customHeight="1" x14ac:dyDescent="0.3">
      <c r="A38" s="5"/>
      <c r="B38" s="5"/>
      <c r="C38" s="5"/>
    </row>
    <row r="39" spans="1:3" ht="15.75" customHeight="1" x14ac:dyDescent="0.3">
      <c r="A39" s="5"/>
      <c r="B39" s="5"/>
      <c r="C39" s="5"/>
    </row>
    <row r="40" spans="1:3" ht="15.75" customHeight="1" x14ac:dyDescent="0.3">
      <c r="A40" s="5"/>
      <c r="B40" s="5"/>
      <c r="C40" s="5"/>
    </row>
    <row r="41" spans="1:3" ht="15.75" customHeight="1" x14ac:dyDescent="0.3">
      <c r="A41" s="5"/>
      <c r="B41" s="5"/>
      <c r="C41" s="5"/>
    </row>
    <row r="42" spans="1:3" ht="15.75" customHeight="1" x14ac:dyDescent="0.3">
      <c r="A42" s="5"/>
      <c r="B42" s="5"/>
      <c r="C42" s="5"/>
    </row>
    <row r="43" spans="1:3" ht="15.75" customHeight="1" x14ac:dyDescent="0.3">
      <c r="A43" s="5"/>
      <c r="B43" s="5"/>
      <c r="C43" s="5"/>
    </row>
    <row r="44" spans="1:3" ht="15.75" customHeight="1" x14ac:dyDescent="0.3">
      <c r="A44" s="5"/>
      <c r="B44" s="5"/>
      <c r="C44" s="5"/>
    </row>
    <row r="45" spans="1:3" ht="15.75" customHeight="1" x14ac:dyDescent="0.3">
      <c r="A45" s="5"/>
      <c r="B45" s="5"/>
      <c r="C45" s="5"/>
    </row>
    <row r="46" spans="1:3" ht="15.75" customHeight="1" x14ac:dyDescent="0.3">
      <c r="A46" s="5"/>
      <c r="B46" s="5"/>
      <c r="C46" s="5"/>
    </row>
    <row r="47" spans="1:3" ht="15.75" customHeight="1" x14ac:dyDescent="0.3">
      <c r="A47" s="5"/>
      <c r="B47" s="5"/>
      <c r="C47" s="5"/>
    </row>
    <row r="48" spans="1:3" ht="15.75" customHeight="1" x14ac:dyDescent="0.3">
      <c r="A48" s="5"/>
      <c r="B48" s="5"/>
      <c r="C48" s="5"/>
    </row>
    <row r="49" spans="1:3" ht="15.75" customHeight="1" x14ac:dyDescent="0.3">
      <c r="A49" s="5"/>
      <c r="B49" s="5"/>
      <c r="C49" s="5"/>
    </row>
    <row r="50" spans="1:3" ht="15.75" customHeight="1" x14ac:dyDescent="0.3">
      <c r="A50" s="5"/>
      <c r="B50" s="5"/>
      <c r="C50" s="5"/>
    </row>
    <row r="51" spans="1:3" ht="15.75" customHeight="1" x14ac:dyDescent="0.3">
      <c r="A51" s="5"/>
      <c r="B51" s="5"/>
      <c r="C51" s="5"/>
    </row>
    <row r="52" spans="1:3" ht="15.75" customHeight="1" x14ac:dyDescent="0.3">
      <c r="A52" s="5"/>
      <c r="B52" s="5"/>
      <c r="C52" s="5"/>
    </row>
    <row r="53" spans="1:3" ht="15.75" customHeight="1" x14ac:dyDescent="0.3">
      <c r="A53" s="5"/>
      <c r="B53" s="5"/>
      <c r="C53" s="5"/>
    </row>
    <row r="54" spans="1:3" ht="15.75" customHeight="1" x14ac:dyDescent="0.3">
      <c r="A54" s="5"/>
      <c r="B54" s="5"/>
      <c r="C54" s="5"/>
    </row>
    <row r="55" spans="1:3" ht="15.75" customHeight="1" x14ac:dyDescent="0.3">
      <c r="A55" s="5"/>
      <c r="B55" s="5"/>
      <c r="C55" s="5"/>
    </row>
    <row r="56" spans="1:3" ht="15.75" customHeight="1" x14ac:dyDescent="0.3">
      <c r="A56" s="5"/>
      <c r="B56" s="5"/>
      <c r="C56" s="5"/>
    </row>
    <row r="57" spans="1:3" ht="15.75" customHeight="1" x14ac:dyDescent="0.3">
      <c r="A57" s="5"/>
      <c r="B57" s="5"/>
      <c r="C57" s="5"/>
    </row>
    <row r="58" spans="1:3" ht="15.75" customHeight="1" x14ac:dyDescent="0.3">
      <c r="A58" s="5"/>
      <c r="B58" s="5"/>
      <c r="C58" s="5"/>
    </row>
    <row r="59" spans="1:3" ht="15.75" customHeight="1" x14ac:dyDescent="0.3">
      <c r="A59" s="5"/>
      <c r="B59" s="5"/>
      <c r="C59" s="5"/>
    </row>
    <row r="60" spans="1:3" ht="15.75" customHeight="1" x14ac:dyDescent="0.3">
      <c r="A60" s="5"/>
      <c r="B60" s="5"/>
      <c r="C60" s="5"/>
    </row>
    <row r="61" spans="1:3" ht="15.75" customHeight="1" x14ac:dyDescent="0.3">
      <c r="A61" s="5"/>
      <c r="B61" s="5"/>
      <c r="C61" s="5"/>
    </row>
    <row r="62" spans="1:3" ht="15.75" customHeight="1" x14ac:dyDescent="0.3">
      <c r="A62" s="5"/>
      <c r="B62" s="5"/>
      <c r="C62" s="5"/>
    </row>
    <row r="63" spans="1:3" ht="15.75" customHeight="1" x14ac:dyDescent="0.3">
      <c r="A63" s="5"/>
      <c r="B63" s="5"/>
      <c r="C63" s="5"/>
    </row>
    <row r="64" spans="1:3" ht="15.75" customHeight="1" x14ac:dyDescent="0.3">
      <c r="A64" s="5"/>
      <c r="B64" s="5"/>
      <c r="C64" s="5"/>
    </row>
    <row r="65" spans="1:3" ht="15.75" customHeight="1" x14ac:dyDescent="0.3">
      <c r="A65" s="5"/>
      <c r="B65" s="5"/>
      <c r="C65" s="5"/>
    </row>
    <row r="66" spans="1:3" ht="15.75" customHeight="1" x14ac:dyDescent="0.3">
      <c r="A66" s="5"/>
      <c r="B66" s="5"/>
      <c r="C66" s="5"/>
    </row>
    <row r="67" spans="1:3" ht="15.75" customHeight="1" x14ac:dyDescent="0.3">
      <c r="A67" s="5"/>
      <c r="B67" s="5"/>
      <c r="C67" s="5"/>
    </row>
    <row r="68" spans="1:3" ht="15.75" customHeight="1" x14ac:dyDescent="0.3">
      <c r="A68" s="5"/>
      <c r="B68" s="5"/>
      <c r="C68" s="5"/>
    </row>
    <row r="69" spans="1:3" ht="15.75" customHeight="1" x14ac:dyDescent="0.3">
      <c r="A69" s="5"/>
      <c r="B69" s="5"/>
      <c r="C69" s="5"/>
    </row>
    <row r="70" spans="1:3" ht="15.75" customHeight="1" x14ac:dyDescent="0.3">
      <c r="A70" s="5"/>
      <c r="B70" s="5"/>
      <c r="C70" s="5"/>
    </row>
    <row r="71" spans="1:3" ht="15.75" customHeight="1" x14ac:dyDescent="0.3">
      <c r="A71" s="5"/>
      <c r="B71" s="5"/>
      <c r="C71" s="5"/>
    </row>
    <row r="72" spans="1:3" ht="15.75" customHeight="1" x14ac:dyDescent="0.3">
      <c r="A72" s="5"/>
      <c r="B72" s="5"/>
      <c r="C72" s="5"/>
    </row>
    <row r="73" spans="1:3" ht="15.75" customHeight="1" x14ac:dyDescent="0.3">
      <c r="A73" s="5"/>
      <c r="B73" s="5"/>
      <c r="C73" s="5"/>
    </row>
    <row r="74" spans="1:3" ht="15.75" customHeight="1" x14ac:dyDescent="0.3">
      <c r="A74" s="5"/>
      <c r="B74" s="5"/>
      <c r="C74" s="5"/>
    </row>
    <row r="75" spans="1:3" ht="15.75" customHeight="1" x14ac:dyDescent="0.3">
      <c r="A75" s="5"/>
      <c r="B75" s="5"/>
      <c r="C75" s="5"/>
    </row>
    <row r="76" spans="1:3" ht="15.75" customHeight="1" x14ac:dyDescent="0.3">
      <c r="A76" s="5"/>
      <c r="B76" s="5"/>
      <c r="C76" s="5"/>
    </row>
    <row r="77" spans="1:3" ht="15.75" customHeight="1" x14ac:dyDescent="0.3">
      <c r="A77" s="5"/>
      <c r="B77" s="5"/>
      <c r="C77" s="5"/>
    </row>
    <row r="78" spans="1:3" ht="15.75" customHeight="1" x14ac:dyDescent="0.3">
      <c r="A78" s="5"/>
      <c r="B78" s="5"/>
      <c r="C78" s="5"/>
    </row>
    <row r="79" spans="1:3" ht="15.75" customHeight="1" x14ac:dyDescent="0.3">
      <c r="A79" s="5"/>
      <c r="B79" s="5"/>
      <c r="C79" s="5"/>
    </row>
    <row r="80" spans="1:3" ht="15.75" customHeight="1" x14ac:dyDescent="0.3">
      <c r="A80" s="5"/>
      <c r="B80" s="5"/>
      <c r="C80" s="5"/>
    </row>
    <row r="81" spans="1:3" ht="15.75" customHeight="1" x14ac:dyDescent="0.3">
      <c r="A81" s="5"/>
      <c r="B81" s="5"/>
      <c r="C81" s="5"/>
    </row>
    <row r="82" spans="1:3" ht="15.75" customHeight="1" x14ac:dyDescent="0.3">
      <c r="A82" s="5"/>
      <c r="B82" s="5"/>
      <c r="C82" s="5"/>
    </row>
    <row r="83" spans="1:3" ht="15.75" customHeight="1" x14ac:dyDescent="0.3">
      <c r="A83" s="5"/>
      <c r="B83" s="5"/>
      <c r="C83" s="5"/>
    </row>
    <row r="84" spans="1:3" ht="15.75" customHeight="1" x14ac:dyDescent="0.3">
      <c r="A84" s="5"/>
      <c r="B84" s="5"/>
      <c r="C84" s="5"/>
    </row>
    <row r="85" spans="1:3" ht="15.75" customHeight="1" x14ac:dyDescent="0.3">
      <c r="A85" s="5"/>
      <c r="B85" s="5"/>
      <c r="C85" s="5"/>
    </row>
    <row r="86" spans="1:3" ht="15.75" customHeight="1" x14ac:dyDescent="0.3">
      <c r="A86" s="5"/>
      <c r="B86" s="5"/>
      <c r="C86" s="5"/>
    </row>
    <row r="87" spans="1:3" ht="15.75" customHeight="1" x14ac:dyDescent="0.3">
      <c r="A87" s="5"/>
      <c r="B87" s="5"/>
      <c r="C87" s="5"/>
    </row>
    <row r="88" spans="1:3" ht="15.75" customHeight="1" x14ac:dyDescent="0.3">
      <c r="A88" s="5"/>
      <c r="B88" s="5"/>
      <c r="C88" s="5"/>
    </row>
    <row r="89" spans="1:3" ht="15.75" customHeight="1" x14ac:dyDescent="0.3">
      <c r="A89" s="5"/>
      <c r="B89" s="5"/>
      <c r="C89" s="5"/>
    </row>
    <row r="90" spans="1:3" ht="15.75" customHeight="1" x14ac:dyDescent="0.3">
      <c r="A90" s="5"/>
      <c r="B90" s="5"/>
      <c r="C90" s="5"/>
    </row>
    <row r="91" spans="1:3" ht="15.75" customHeight="1" x14ac:dyDescent="0.3">
      <c r="A91" s="5"/>
      <c r="B91" s="5"/>
      <c r="C91" s="5"/>
    </row>
    <row r="92" spans="1:3" ht="15.75" customHeight="1" x14ac:dyDescent="0.3">
      <c r="A92" s="5"/>
      <c r="B92" s="5"/>
      <c r="C92" s="5"/>
    </row>
    <row r="93" spans="1:3" ht="15.75" customHeight="1" x14ac:dyDescent="0.3">
      <c r="A93" s="5"/>
      <c r="B93" s="5"/>
      <c r="C93" s="5"/>
    </row>
    <row r="94" spans="1:3" ht="15.75" customHeight="1" x14ac:dyDescent="0.3">
      <c r="A94" s="5"/>
      <c r="B94" s="5"/>
      <c r="C94" s="5"/>
    </row>
    <row r="95" spans="1:3" ht="15.75" customHeight="1" x14ac:dyDescent="0.3">
      <c r="A95" s="5"/>
      <c r="B95" s="5"/>
      <c r="C95" s="5"/>
    </row>
    <row r="96" spans="1:3" ht="15.75" customHeight="1" x14ac:dyDescent="0.3">
      <c r="A96" s="5"/>
      <c r="B96" s="5"/>
      <c r="C96" s="5"/>
    </row>
    <row r="97" spans="1:3" ht="15.75" customHeight="1" x14ac:dyDescent="0.3">
      <c r="A97" s="5"/>
      <c r="B97" s="5"/>
      <c r="C97" s="5"/>
    </row>
    <row r="98" spans="1:3" ht="15.75" customHeight="1" x14ac:dyDescent="0.3">
      <c r="A98" s="5"/>
      <c r="B98" s="5"/>
      <c r="C98" s="5"/>
    </row>
    <row r="99" spans="1:3" ht="15.75" customHeight="1" x14ac:dyDescent="0.3">
      <c r="A99" s="5"/>
      <c r="B99" s="5"/>
      <c r="C99" s="5"/>
    </row>
    <row r="100" spans="1:3" ht="15.75" customHeight="1" x14ac:dyDescent="0.3">
      <c r="A100" s="5"/>
      <c r="B100" s="5"/>
      <c r="C100" s="5"/>
    </row>
    <row r="101" spans="1:3" ht="15.75" customHeight="1" x14ac:dyDescent="0.3">
      <c r="A101" s="5"/>
      <c r="B101" s="5"/>
      <c r="C101" s="5"/>
    </row>
    <row r="102" spans="1:3" ht="15.75" customHeight="1" x14ac:dyDescent="0.3">
      <c r="A102" s="5"/>
      <c r="B102" s="5"/>
      <c r="C102" s="5"/>
    </row>
    <row r="103" spans="1:3" ht="15.75" customHeight="1" x14ac:dyDescent="0.3">
      <c r="A103" s="5"/>
      <c r="B103" s="5"/>
      <c r="C103" s="5"/>
    </row>
    <row r="104" spans="1:3" ht="15.75" customHeight="1" x14ac:dyDescent="0.3">
      <c r="A104" s="5"/>
      <c r="B104" s="5"/>
      <c r="C104" s="5"/>
    </row>
    <row r="105" spans="1:3" ht="15.75" customHeight="1" x14ac:dyDescent="0.3">
      <c r="A105" s="5"/>
      <c r="B105" s="5"/>
      <c r="C105" s="5"/>
    </row>
    <row r="106" spans="1:3" ht="15.75" customHeight="1" x14ac:dyDescent="0.3">
      <c r="A106" s="5"/>
      <c r="B106" s="5"/>
      <c r="C106" s="5"/>
    </row>
    <row r="107" spans="1:3" ht="15.75" customHeight="1" x14ac:dyDescent="0.3">
      <c r="A107" s="5"/>
      <c r="B107" s="5"/>
      <c r="C107" s="5"/>
    </row>
    <row r="108" spans="1:3" ht="15.75" customHeight="1" x14ac:dyDescent="0.3">
      <c r="A108" s="5"/>
      <c r="B108" s="5"/>
      <c r="C108" s="5"/>
    </row>
    <row r="109" spans="1:3" ht="15.75" customHeight="1" x14ac:dyDescent="0.3">
      <c r="A109" s="5"/>
      <c r="B109" s="5"/>
      <c r="C109" s="5"/>
    </row>
    <row r="110" spans="1:3" ht="15.75" customHeight="1" x14ac:dyDescent="0.3">
      <c r="A110" s="5"/>
      <c r="B110" s="5"/>
      <c r="C110" s="5"/>
    </row>
    <row r="111" spans="1:3" ht="15.75" customHeight="1" x14ac:dyDescent="0.3">
      <c r="A111" s="5"/>
      <c r="B111" s="5"/>
      <c r="C111" s="5"/>
    </row>
    <row r="112" spans="1:3" ht="15.75" customHeight="1" x14ac:dyDescent="0.3">
      <c r="A112" s="5"/>
      <c r="B112" s="5"/>
      <c r="C112" s="5"/>
    </row>
    <row r="113" spans="1:3" ht="15.75" customHeight="1" x14ac:dyDescent="0.3">
      <c r="A113" s="5"/>
      <c r="B113" s="5"/>
      <c r="C113" s="5"/>
    </row>
    <row r="114" spans="1:3" ht="15.75" customHeight="1" x14ac:dyDescent="0.3">
      <c r="A114" s="5"/>
      <c r="B114" s="5"/>
      <c r="C114" s="5"/>
    </row>
    <row r="115" spans="1:3" ht="15.75" customHeight="1" x14ac:dyDescent="0.3">
      <c r="A115" s="5"/>
      <c r="B115" s="5"/>
      <c r="C115" s="5"/>
    </row>
    <row r="116" spans="1:3" ht="15.75" customHeight="1" x14ac:dyDescent="0.3">
      <c r="A116" s="5"/>
      <c r="B116" s="5"/>
      <c r="C116" s="5"/>
    </row>
    <row r="117" spans="1:3" ht="15.75" customHeight="1" x14ac:dyDescent="0.3">
      <c r="A117" s="5"/>
      <c r="B117" s="5"/>
      <c r="C117" s="5"/>
    </row>
    <row r="118" spans="1:3" ht="15.75" customHeight="1" x14ac:dyDescent="0.3">
      <c r="A118" s="5"/>
      <c r="B118" s="5"/>
      <c r="C118" s="5"/>
    </row>
    <row r="119" spans="1:3" ht="15.75" customHeight="1" x14ac:dyDescent="0.3">
      <c r="A119" s="5"/>
      <c r="B119" s="5"/>
      <c r="C119" s="5"/>
    </row>
    <row r="120" spans="1:3" ht="15.75" customHeight="1" x14ac:dyDescent="0.3">
      <c r="A120" s="5"/>
      <c r="B120" s="5"/>
      <c r="C120" s="5"/>
    </row>
    <row r="121" spans="1:3" ht="15.75" customHeight="1" x14ac:dyDescent="0.3">
      <c r="A121" s="5"/>
      <c r="B121" s="5"/>
      <c r="C121" s="5"/>
    </row>
    <row r="122" spans="1:3" ht="15.75" customHeight="1" x14ac:dyDescent="0.3">
      <c r="A122" s="5"/>
      <c r="B122" s="5"/>
      <c r="C122" s="5"/>
    </row>
    <row r="123" spans="1:3" ht="15.75" customHeight="1" x14ac:dyDescent="0.3">
      <c r="A123" s="5"/>
      <c r="B123" s="5"/>
      <c r="C123" s="5"/>
    </row>
    <row r="124" spans="1:3" ht="15.75" customHeight="1" x14ac:dyDescent="0.3">
      <c r="A124" s="5"/>
      <c r="B124" s="5"/>
      <c r="C124" s="5"/>
    </row>
    <row r="125" spans="1:3" ht="15.75" customHeight="1" x14ac:dyDescent="0.3">
      <c r="A125" s="5"/>
      <c r="B125" s="5"/>
      <c r="C125" s="5"/>
    </row>
    <row r="126" spans="1:3" ht="15.75" customHeight="1" x14ac:dyDescent="0.3">
      <c r="A126" s="5"/>
      <c r="B126" s="5"/>
      <c r="C126" s="5"/>
    </row>
    <row r="127" spans="1:3" ht="15.75" customHeight="1" x14ac:dyDescent="0.3">
      <c r="A127" s="5"/>
      <c r="B127" s="5"/>
      <c r="C127" s="5"/>
    </row>
    <row r="128" spans="1:3" ht="15.75" customHeight="1" x14ac:dyDescent="0.3">
      <c r="A128" s="5"/>
      <c r="B128" s="5"/>
      <c r="C128" s="5"/>
    </row>
    <row r="129" spans="1:3" ht="15.75" customHeight="1" x14ac:dyDescent="0.3">
      <c r="A129" s="5"/>
      <c r="B129" s="5"/>
      <c r="C129" s="5"/>
    </row>
    <row r="130" spans="1:3" ht="15.75" customHeight="1" x14ac:dyDescent="0.3">
      <c r="A130" s="5"/>
      <c r="B130" s="5"/>
      <c r="C130" s="5"/>
    </row>
    <row r="131" spans="1:3" ht="15.75" customHeight="1" x14ac:dyDescent="0.3">
      <c r="A131" s="5"/>
      <c r="B131" s="5"/>
      <c r="C131" s="5"/>
    </row>
    <row r="132" spans="1:3" ht="15.75" customHeight="1" x14ac:dyDescent="0.3">
      <c r="A132" s="5"/>
      <c r="B132" s="5"/>
      <c r="C132" s="5"/>
    </row>
    <row r="133" spans="1:3" ht="15.75" customHeight="1" x14ac:dyDescent="0.3">
      <c r="A133" s="5"/>
      <c r="B133" s="5"/>
      <c r="C133" s="5"/>
    </row>
    <row r="134" spans="1:3" ht="15.75" customHeight="1" x14ac:dyDescent="0.3">
      <c r="A134" s="5"/>
      <c r="B134" s="5"/>
      <c r="C134" s="5"/>
    </row>
    <row r="135" spans="1:3" ht="15.75" customHeight="1" x14ac:dyDescent="0.3">
      <c r="A135" s="5"/>
      <c r="B135" s="5"/>
      <c r="C135" s="5"/>
    </row>
    <row r="136" spans="1:3" ht="15.75" customHeight="1" x14ac:dyDescent="0.3">
      <c r="A136" s="5"/>
      <c r="B136" s="5"/>
      <c r="C136" s="5"/>
    </row>
    <row r="137" spans="1:3" ht="15.75" customHeight="1" x14ac:dyDescent="0.3">
      <c r="A137" s="5"/>
      <c r="B137" s="5"/>
      <c r="C137" s="5"/>
    </row>
    <row r="138" spans="1:3" ht="15.75" customHeight="1" x14ac:dyDescent="0.3">
      <c r="A138" s="5"/>
      <c r="B138" s="5"/>
      <c r="C138" s="5"/>
    </row>
    <row r="139" spans="1:3" ht="15.75" customHeight="1" x14ac:dyDescent="0.3">
      <c r="A139" s="5"/>
      <c r="B139" s="5"/>
      <c r="C139" s="5"/>
    </row>
    <row r="140" spans="1:3" ht="15.75" customHeight="1" x14ac:dyDescent="0.3">
      <c r="A140" s="5"/>
      <c r="B140" s="5"/>
      <c r="C140" s="5"/>
    </row>
    <row r="141" spans="1:3" ht="15.75" customHeight="1" x14ac:dyDescent="0.3">
      <c r="A141" s="5"/>
      <c r="B141" s="5"/>
      <c r="C141" s="5"/>
    </row>
    <row r="142" spans="1:3" ht="15.75" customHeight="1" x14ac:dyDescent="0.3">
      <c r="A142" s="5"/>
      <c r="B142" s="5"/>
      <c r="C142" s="5"/>
    </row>
    <row r="143" spans="1:3" ht="15.75" customHeight="1" x14ac:dyDescent="0.3">
      <c r="A143" s="5"/>
      <c r="B143" s="5"/>
      <c r="C143" s="5"/>
    </row>
    <row r="144" spans="1:3" ht="15.75" customHeight="1" x14ac:dyDescent="0.3">
      <c r="A144" s="5"/>
      <c r="B144" s="5"/>
      <c r="C144" s="5"/>
    </row>
    <row r="145" spans="1:3" ht="15.75" customHeight="1" x14ac:dyDescent="0.3">
      <c r="A145" s="5"/>
      <c r="B145" s="5"/>
      <c r="C145" s="5"/>
    </row>
    <row r="146" spans="1:3" ht="15.75" customHeight="1" x14ac:dyDescent="0.3">
      <c r="A146" s="5"/>
      <c r="B146" s="5"/>
      <c r="C146" s="5"/>
    </row>
    <row r="147" spans="1:3" ht="15.75" customHeight="1" x14ac:dyDescent="0.3">
      <c r="A147" s="5"/>
      <c r="B147" s="5"/>
      <c r="C147" s="5"/>
    </row>
    <row r="148" spans="1:3" ht="15.75" customHeight="1" x14ac:dyDescent="0.3">
      <c r="A148" s="5"/>
      <c r="B148" s="5"/>
      <c r="C148" s="5"/>
    </row>
    <row r="149" spans="1:3" ht="15.75" customHeight="1" x14ac:dyDescent="0.3">
      <c r="A149" s="5"/>
      <c r="B149" s="5"/>
      <c r="C149" s="5"/>
    </row>
    <row r="150" spans="1:3" ht="15.75" customHeight="1" x14ac:dyDescent="0.3">
      <c r="A150" s="5"/>
      <c r="B150" s="5"/>
      <c r="C150" s="5"/>
    </row>
    <row r="151" spans="1:3" ht="15.75" customHeight="1" x14ac:dyDescent="0.3">
      <c r="A151" s="5"/>
      <c r="B151" s="5"/>
      <c r="C151" s="5"/>
    </row>
    <row r="152" spans="1:3" ht="15.75" customHeight="1" x14ac:dyDescent="0.3">
      <c r="A152" s="5"/>
      <c r="B152" s="5"/>
      <c r="C152" s="5"/>
    </row>
    <row r="153" spans="1:3" ht="15.75" customHeight="1" x14ac:dyDescent="0.3">
      <c r="A153" s="5"/>
      <c r="B153" s="5"/>
      <c r="C153" s="5"/>
    </row>
    <row r="154" spans="1:3" ht="15.75" customHeight="1" x14ac:dyDescent="0.3">
      <c r="A154" s="5"/>
      <c r="B154" s="5"/>
      <c r="C154" s="5"/>
    </row>
    <row r="155" spans="1:3" ht="15.75" customHeight="1" x14ac:dyDescent="0.3">
      <c r="A155" s="5"/>
      <c r="B155" s="5"/>
      <c r="C155" s="5"/>
    </row>
    <row r="156" spans="1:3" ht="15.75" customHeight="1" x14ac:dyDescent="0.3">
      <c r="A156" s="5"/>
      <c r="B156" s="5"/>
      <c r="C156" s="5"/>
    </row>
    <row r="157" spans="1:3" ht="15.75" customHeight="1" x14ac:dyDescent="0.3">
      <c r="A157" s="5"/>
      <c r="B157" s="5"/>
      <c r="C157" s="5"/>
    </row>
    <row r="158" spans="1:3" ht="15.75" customHeight="1" x14ac:dyDescent="0.3">
      <c r="A158" s="5"/>
      <c r="B158" s="5"/>
      <c r="C158" s="5"/>
    </row>
    <row r="159" spans="1:3" ht="15.75" customHeight="1" x14ac:dyDescent="0.3">
      <c r="A159" s="5"/>
      <c r="B159" s="5"/>
      <c r="C159" s="5"/>
    </row>
    <row r="160" spans="1:3" ht="15.75" customHeight="1" x14ac:dyDescent="0.3">
      <c r="A160" s="5"/>
      <c r="B160" s="5"/>
      <c r="C160" s="5"/>
    </row>
    <row r="161" spans="1:3" ht="15.75" customHeight="1" x14ac:dyDescent="0.3">
      <c r="A161" s="5"/>
      <c r="B161" s="5"/>
      <c r="C161" s="5"/>
    </row>
    <row r="162" spans="1:3" ht="15.75" customHeight="1" x14ac:dyDescent="0.3">
      <c r="A162" s="5"/>
      <c r="B162" s="5"/>
      <c r="C162" s="5"/>
    </row>
    <row r="163" spans="1:3" ht="15.75" customHeight="1" x14ac:dyDescent="0.3">
      <c r="A163" s="5"/>
      <c r="B163" s="5"/>
      <c r="C163" s="5"/>
    </row>
    <row r="164" spans="1:3" ht="15.75" customHeight="1" x14ac:dyDescent="0.3">
      <c r="A164" s="5"/>
      <c r="B164" s="5"/>
      <c r="C164" s="5"/>
    </row>
    <row r="165" spans="1:3" ht="15.75" customHeight="1" x14ac:dyDescent="0.3">
      <c r="A165" s="5"/>
      <c r="B165" s="5"/>
      <c r="C165" s="5"/>
    </row>
    <row r="166" spans="1:3" ht="15.75" customHeight="1" x14ac:dyDescent="0.3">
      <c r="A166" s="5"/>
      <c r="B166" s="5"/>
      <c r="C166" s="5"/>
    </row>
    <row r="167" spans="1:3" ht="15.75" customHeight="1" x14ac:dyDescent="0.3">
      <c r="A167" s="5"/>
      <c r="B167" s="5"/>
      <c r="C167" s="5"/>
    </row>
    <row r="168" spans="1:3" ht="15.75" customHeight="1" x14ac:dyDescent="0.3">
      <c r="A168" s="5"/>
      <c r="B168" s="5"/>
      <c r="C168" s="5"/>
    </row>
    <row r="169" spans="1:3" ht="15.75" customHeight="1" x14ac:dyDescent="0.3">
      <c r="A169" s="5"/>
      <c r="B169" s="5"/>
      <c r="C169" s="5"/>
    </row>
    <row r="170" spans="1:3" ht="15.75" customHeight="1" x14ac:dyDescent="0.3">
      <c r="A170" s="5"/>
      <c r="B170" s="5"/>
      <c r="C170" s="5"/>
    </row>
    <row r="171" spans="1:3" ht="15.75" customHeight="1" x14ac:dyDescent="0.3">
      <c r="A171" s="5"/>
      <c r="B171" s="5"/>
      <c r="C171" s="5"/>
    </row>
    <row r="172" spans="1:3" ht="15.75" customHeight="1" x14ac:dyDescent="0.3">
      <c r="A172" s="5"/>
      <c r="B172" s="5"/>
      <c r="C172" s="5"/>
    </row>
    <row r="173" spans="1:3" ht="15.75" customHeight="1" x14ac:dyDescent="0.3">
      <c r="A173" s="5"/>
      <c r="B173" s="5"/>
      <c r="C173" s="5"/>
    </row>
    <row r="174" spans="1:3" ht="15.75" customHeight="1" x14ac:dyDescent="0.3">
      <c r="A174" s="5"/>
      <c r="B174" s="5"/>
      <c r="C174" s="5"/>
    </row>
    <row r="175" spans="1:3" ht="15.75" customHeight="1" x14ac:dyDescent="0.3">
      <c r="A175" s="5"/>
      <c r="B175" s="5"/>
      <c r="C175" s="5"/>
    </row>
    <row r="176" spans="1:3" ht="15.75" customHeight="1" x14ac:dyDescent="0.3">
      <c r="A176" s="5"/>
      <c r="B176" s="5"/>
      <c r="C176" s="5"/>
    </row>
    <row r="177" spans="1:3" ht="15.75" customHeight="1" x14ac:dyDescent="0.3">
      <c r="A177" s="5"/>
      <c r="B177" s="5"/>
      <c r="C177" s="5"/>
    </row>
    <row r="178" spans="1:3" ht="15.75" customHeight="1" x14ac:dyDescent="0.3">
      <c r="A178" s="5"/>
      <c r="B178" s="5"/>
      <c r="C178" s="5"/>
    </row>
    <row r="179" spans="1:3" ht="15.75" customHeight="1" x14ac:dyDescent="0.3">
      <c r="A179" s="5"/>
      <c r="B179" s="5"/>
      <c r="C179" s="5"/>
    </row>
    <row r="180" spans="1:3" ht="15.75" customHeight="1" x14ac:dyDescent="0.3">
      <c r="A180" s="5"/>
      <c r="B180" s="5"/>
      <c r="C180" s="5"/>
    </row>
    <row r="181" spans="1:3" ht="15.75" customHeight="1" x14ac:dyDescent="0.3">
      <c r="A181" s="5"/>
      <c r="B181" s="5"/>
      <c r="C181" s="5"/>
    </row>
    <row r="182" spans="1:3" ht="15.75" customHeight="1" x14ac:dyDescent="0.3">
      <c r="A182" s="5"/>
      <c r="B182" s="5"/>
      <c r="C182" s="5"/>
    </row>
    <row r="183" spans="1:3" ht="15.75" customHeight="1" x14ac:dyDescent="0.3">
      <c r="A183" s="5"/>
      <c r="B183" s="5"/>
      <c r="C183" s="5"/>
    </row>
    <row r="184" spans="1:3" ht="15.75" customHeight="1" x14ac:dyDescent="0.3">
      <c r="A184" s="5"/>
      <c r="B184" s="5"/>
      <c r="C184" s="5"/>
    </row>
    <row r="185" spans="1:3" ht="15.75" customHeight="1" x14ac:dyDescent="0.3">
      <c r="A185" s="5"/>
      <c r="B185" s="5"/>
      <c r="C185" s="5"/>
    </row>
    <row r="186" spans="1:3" ht="15.75" customHeight="1" x14ac:dyDescent="0.3">
      <c r="A186" s="5"/>
      <c r="B186" s="5"/>
      <c r="C186" s="5"/>
    </row>
    <row r="187" spans="1:3" ht="15.75" customHeight="1" x14ac:dyDescent="0.3">
      <c r="A187" s="5"/>
      <c r="B187" s="5"/>
      <c r="C187" s="5"/>
    </row>
    <row r="188" spans="1:3" ht="15.75" customHeight="1" x14ac:dyDescent="0.3">
      <c r="A188" s="5"/>
      <c r="B188" s="5"/>
      <c r="C188" s="5"/>
    </row>
    <row r="189" spans="1:3" ht="15.75" customHeight="1" x14ac:dyDescent="0.3">
      <c r="A189" s="5"/>
      <c r="B189" s="5"/>
      <c r="C189" s="5"/>
    </row>
    <row r="190" spans="1:3" ht="15.75" customHeight="1" x14ac:dyDescent="0.3">
      <c r="A190" s="5"/>
      <c r="B190" s="5"/>
      <c r="C190" s="5"/>
    </row>
    <row r="191" spans="1:3" ht="15.75" customHeight="1" x14ac:dyDescent="0.3">
      <c r="A191" s="5"/>
      <c r="B191" s="5"/>
      <c r="C191" s="5"/>
    </row>
    <row r="192" spans="1:3" ht="15.75" customHeight="1" x14ac:dyDescent="0.3">
      <c r="A192" s="5"/>
      <c r="B192" s="5"/>
      <c r="C192" s="5"/>
    </row>
    <row r="193" spans="1:3" ht="15.75" customHeight="1" x14ac:dyDescent="0.3">
      <c r="A193" s="5"/>
      <c r="B193" s="5"/>
      <c r="C193" s="5"/>
    </row>
    <row r="194" spans="1:3" ht="15.75" customHeight="1" x14ac:dyDescent="0.3">
      <c r="A194" s="5"/>
      <c r="B194" s="5"/>
      <c r="C194" s="5"/>
    </row>
    <row r="195" spans="1:3" ht="15.75" customHeight="1" x14ac:dyDescent="0.3">
      <c r="A195" s="5"/>
      <c r="B195" s="5"/>
      <c r="C195" s="5"/>
    </row>
    <row r="196" spans="1:3" ht="15.75" customHeight="1" x14ac:dyDescent="0.3">
      <c r="A196" s="5"/>
      <c r="B196" s="5"/>
      <c r="C196" s="5"/>
    </row>
    <row r="197" spans="1:3" ht="15.75" customHeight="1" x14ac:dyDescent="0.3">
      <c r="A197" s="5"/>
      <c r="B197" s="5"/>
      <c r="C197" s="5"/>
    </row>
    <row r="198" spans="1:3" ht="15.75" customHeight="1" x14ac:dyDescent="0.3">
      <c r="A198" s="5"/>
      <c r="B198" s="5"/>
      <c r="C198" s="5"/>
    </row>
    <row r="199" spans="1:3" ht="15.75" customHeight="1" x14ac:dyDescent="0.3">
      <c r="A199" s="5"/>
      <c r="B199" s="5"/>
      <c r="C199" s="5"/>
    </row>
    <row r="200" spans="1:3" ht="15.75" customHeight="1" x14ac:dyDescent="0.3">
      <c r="A200" s="5"/>
      <c r="B200" s="5"/>
      <c r="C200" s="5"/>
    </row>
    <row r="201" spans="1:3" ht="15.75" customHeight="1" x14ac:dyDescent="0.3">
      <c r="A201" s="5"/>
      <c r="B201" s="5"/>
      <c r="C201" s="5"/>
    </row>
    <row r="202" spans="1:3" ht="15.75" customHeight="1" x14ac:dyDescent="0.3">
      <c r="A202" s="5"/>
      <c r="B202" s="5"/>
      <c r="C202" s="5"/>
    </row>
    <row r="203" spans="1:3" ht="15.75" customHeight="1" x14ac:dyDescent="0.3">
      <c r="A203" s="5"/>
      <c r="B203" s="5"/>
      <c r="C203" s="5"/>
    </row>
    <row r="204" spans="1:3" ht="15.75" customHeight="1" x14ac:dyDescent="0.3">
      <c r="A204" s="5"/>
      <c r="B204" s="5"/>
      <c r="C204" s="5"/>
    </row>
    <row r="205" spans="1:3" ht="15.75" customHeight="1" x14ac:dyDescent="0.3">
      <c r="A205" s="5"/>
      <c r="B205" s="5"/>
      <c r="C205" s="5"/>
    </row>
    <row r="206" spans="1:3" ht="15.75" customHeight="1" x14ac:dyDescent="0.3">
      <c r="A206" s="5"/>
      <c r="B206" s="5"/>
      <c r="C206" s="5"/>
    </row>
    <row r="207" spans="1:3" ht="15.75" customHeight="1" x14ac:dyDescent="0.3">
      <c r="A207" s="5"/>
      <c r="B207" s="5"/>
      <c r="C207" s="5"/>
    </row>
    <row r="208" spans="1:3" ht="15.75" customHeight="1" x14ac:dyDescent="0.3">
      <c r="A208" s="5"/>
      <c r="B208" s="5"/>
      <c r="C208" s="5"/>
    </row>
    <row r="209" spans="1:3" ht="15.75" customHeight="1" x14ac:dyDescent="0.3">
      <c r="A209" s="5"/>
      <c r="B209" s="5"/>
      <c r="C209" s="5"/>
    </row>
    <row r="210" spans="1:3" ht="15.75" customHeight="1" x14ac:dyDescent="0.3">
      <c r="A210" s="5"/>
      <c r="B210" s="5"/>
      <c r="C210" s="5"/>
    </row>
    <row r="211" spans="1:3" ht="15.75" customHeight="1" x14ac:dyDescent="0.3">
      <c r="A211" s="5"/>
      <c r="B211" s="5"/>
      <c r="C211" s="5"/>
    </row>
    <row r="212" spans="1:3" ht="15.75" customHeight="1" x14ac:dyDescent="0.3">
      <c r="A212" s="5"/>
      <c r="B212" s="5"/>
      <c r="C212" s="5"/>
    </row>
    <row r="213" spans="1:3" ht="15.75" customHeight="1" x14ac:dyDescent="0.3">
      <c r="A213" s="5"/>
      <c r="B213" s="5"/>
      <c r="C213" s="5"/>
    </row>
    <row r="214" spans="1:3" ht="15.75" customHeight="1" x14ac:dyDescent="0.3">
      <c r="A214" s="5"/>
      <c r="B214" s="5"/>
      <c r="C214" s="5"/>
    </row>
    <row r="215" spans="1:3" ht="15.75" customHeight="1" x14ac:dyDescent="0.3">
      <c r="A215" s="5"/>
      <c r="B215" s="5"/>
      <c r="C215" s="5"/>
    </row>
    <row r="216" spans="1:3" ht="15.75" customHeight="1" x14ac:dyDescent="0.3">
      <c r="A216" s="5"/>
      <c r="B216" s="5"/>
      <c r="C216" s="5"/>
    </row>
    <row r="217" spans="1:3" ht="15.75" customHeight="1" x14ac:dyDescent="0.3">
      <c r="A217" s="5"/>
      <c r="B217" s="5"/>
      <c r="C217" s="5"/>
    </row>
    <row r="218" spans="1:3" ht="15.75" customHeight="1" x14ac:dyDescent="0.3">
      <c r="A218" s="5"/>
      <c r="B218" s="5"/>
      <c r="C218" s="5"/>
    </row>
    <row r="219" spans="1:3" ht="15.75" customHeight="1" x14ac:dyDescent="0.3">
      <c r="A219" s="5"/>
      <c r="B219" s="5"/>
      <c r="C219" s="5"/>
    </row>
    <row r="220" spans="1:3" ht="15.75" customHeight="1" x14ac:dyDescent="0.3">
      <c r="A220" s="5"/>
      <c r="B220" s="5"/>
      <c r="C220" s="5"/>
    </row>
    <row r="221" spans="1:3" ht="15.75" customHeight="1" x14ac:dyDescent="0.3">
      <c r="A221" s="5"/>
      <c r="B221" s="5"/>
      <c r="C221" s="5"/>
    </row>
    <row r="222" spans="1:3" ht="15.75" customHeight="1" x14ac:dyDescent="0.3">
      <c r="A222" s="5"/>
      <c r="B222" s="5"/>
      <c r="C222" s="5"/>
    </row>
    <row r="223" spans="1:3" ht="15.75" customHeight="1" x14ac:dyDescent="0.3">
      <c r="A223" s="5"/>
      <c r="B223" s="5"/>
      <c r="C223" s="5"/>
    </row>
    <row r="224" spans="1:3" ht="15.75" customHeight="1" x14ac:dyDescent="0.3">
      <c r="A224" s="5"/>
      <c r="B224" s="5"/>
      <c r="C224" s="5"/>
    </row>
    <row r="225" spans="1:3" ht="15.75" customHeight="1" x14ac:dyDescent="0.3">
      <c r="A225" s="5"/>
      <c r="B225" s="5"/>
      <c r="C225" s="5"/>
    </row>
    <row r="226" spans="1:3" ht="15.75" customHeight="1" x14ac:dyDescent="0.3">
      <c r="A226" s="5"/>
      <c r="B226" s="5"/>
      <c r="C226" s="5"/>
    </row>
    <row r="227" spans="1:3" ht="15.75" customHeight="1" x14ac:dyDescent="0.3">
      <c r="A227" s="5"/>
      <c r="B227" s="5"/>
      <c r="C227" s="5"/>
    </row>
    <row r="228" spans="1:3" ht="15.75" customHeight="1" x14ac:dyDescent="0.3">
      <c r="A228" s="5"/>
      <c r="B228" s="5"/>
      <c r="C228" s="5"/>
    </row>
    <row r="229" spans="1:3" ht="15.75" customHeight="1" x14ac:dyDescent="0.3">
      <c r="A229" s="5"/>
      <c r="B229" s="5"/>
      <c r="C229" s="5"/>
    </row>
    <row r="230" spans="1:3" ht="15.75" customHeight="1" x14ac:dyDescent="0.3">
      <c r="A230" s="5"/>
      <c r="B230" s="5"/>
      <c r="C230" s="5"/>
    </row>
    <row r="231" spans="1:3" ht="15.75" customHeight="1" x14ac:dyDescent="0.3">
      <c r="A231" s="5"/>
      <c r="B231" s="5"/>
      <c r="C231" s="5"/>
    </row>
    <row r="232" spans="1:3" ht="15.75" customHeight="1" x14ac:dyDescent="0.3">
      <c r="A232" s="5"/>
      <c r="B232" s="5"/>
      <c r="C232" s="5"/>
    </row>
    <row r="233" spans="1:3" ht="15.75" customHeight="1" x14ac:dyDescent="0.3">
      <c r="A233" s="5"/>
      <c r="B233" s="5"/>
      <c r="C233" s="5"/>
    </row>
    <row r="234" spans="1:3" ht="15.75" customHeight="1" x14ac:dyDescent="0.3">
      <c r="A234" s="5"/>
      <c r="B234" s="5"/>
      <c r="C234" s="5"/>
    </row>
    <row r="235" spans="1:3" ht="15.75" customHeight="1" x14ac:dyDescent="0.3">
      <c r="A235" s="5"/>
      <c r="B235" s="5"/>
      <c r="C235" s="5"/>
    </row>
    <row r="236" spans="1:3" ht="15.75" customHeight="1" x14ac:dyDescent="0.3">
      <c r="A236" s="5"/>
      <c r="B236" s="5"/>
      <c r="C236" s="5"/>
    </row>
    <row r="237" spans="1:3" ht="15.75" customHeight="1" x14ac:dyDescent="0.3">
      <c r="A237" s="5"/>
      <c r="B237" s="5"/>
      <c r="C237" s="5"/>
    </row>
    <row r="238" spans="1:3" ht="15.75" customHeight="1" x14ac:dyDescent="0.3">
      <c r="A238" s="5"/>
      <c r="B238" s="5"/>
      <c r="C238" s="5"/>
    </row>
    <row r="239" spans="1:3" ht="15.75" customHeight="1" x14ac:dyDescent="0.3">
      <c r="A239" s="5"/>
      <c r="B239" s="5"/>
      <c r="C239" s="5"/>
    </row>
    <row r="240" spans="1:3" ht="15.75" customHeight="1" x14ac:dyDescent="0.3">
      <c r="A240" s="5"/>
      <c r="B240" s="5"/>
      <c r="C240" s="5"/>
    </row>
    <row r="241" spans="1:3" ht="15.75" customHeight="1" x14ac:dyDescent="0.3">
      <c r="A241" s="5"/>
      <c r="B241" s="5"/>
      <c r="C241" s="5"/>
    </row>
    <row r="242" spans="1:3" ht="15.75" customHeight="1" x14ac:dyDescent="0.3">
      <c r="A242" s="5"/>
      <c r="B242" s="5"/>
      <c r="C242" s="5"/>
    </row>
    <row r="243" spans="1:3" ht="15.75" customHeight="1" x14ac:dyDescent="0.3">
      <c r="A243" s="5"/>
      <c r="B243" s="5"/>
      <c r="C243" s="5"/>
    </row>
    <row r="244" spans="1:3" ht="15.75" customHeight="1" x14ac:dyDescent="0.3">
      <c r="A244" s="5"/>
      <c r="B244" s="5"/>
      <c r="C244" s="5"/>
    </row>
    <row r="245" spans="1:3" ht="15.75" customHeight="1" x14ac:dyDescent="0.3">
      <c r="A245" s="5"/>
      <c r="B245" s="5"/>
      <c r="C245" s="5"/>
    </row>
    <row r="246" spans="1:3" ht="15.75" customHeight="1" x14ac:dyDescent="0.3">
      <c r="A246" s="5"/>
      <c r="B246" s="5"/>
      <c r="C246" s="5"/>
    </row>
    <row r="247" spans="1:3" ht="15.75" customHeight="1" x14ac:dyDescent="0.3">
      <c r="A247" s="5"/>
      <c r="B247" s="5"/>
      <c r="C247" s="5"/>
    </row>
    <row r="248" spans="1:3" ht="15.75" customHeight="1" x14ac:dyDescent="0.3">
      <c r="A248" s="5"/>
      <c r="B248" s="5"/>
      <c r="C248" s="5"/>
    </row>
    <row r="249" spans="1:3" ht="15.75" customHeight="1" x14ac:dyDescent="0.3">
      <c r="A249" s="5"/>
      <c r="B249" s="5"/>
      <c r="C249" s="5"/>
    </row>
    <row r="250" spans="1:3" ht="15.75" customHeight="1" x14ac:dyDescent="0.3">
      <c r="A250" s="5"/>
      <c r="B250" s="5"/>
      <c r="C250" s="5"/>
    </row>
    <row r="251" spans="1:3" ht="15.75" customHeight="1" x14ac:dyDescent="0.3">
      <c r="A251" s="5"/>
      <c r="B251" s="5"/>
      <c r="C251" s="5"/>
    </row>
    <row r="252" spans="1:3" ht="15.75" customHeight="1" x14ac:dyDescent="0.3">
      <c r="A252" s="5"/>
      <c r="B252" s="5"/>
      <c r="C252" s="5"/>
    </row>
    <row r="253" spans="1:3" ht="15.75" customHeight="1" x14ac:dyDescent="0.3">
      <c r="A253" s="5"/>
      <c r="B253" s="5"/>
      <c r="C253" s="5"/>
    </row>
    <row r="254" spans="1:3" ht="15.75" customHeight="1" x14ac:dyDescent="0.3">
      <c r="A254" s="5"/>
      <c r="B254" s="5"/>
      <c r="C254" s="5"/>
    </row>
    <row r="255" spans="1:3" ht="15.75" customHeight="1" x14ac:dyDescent="0.3">
      <c r="A255" s="5"/>
      <c r="B255" s="5"/>
      <c r="C255" s="5"/>
    </row>
    <row r="256" spans="1:3" ht="15.75" customHeight="1" x14ac:dyDescent="0.3">
      <c r="A256" s="5"/>
      <c r="B256" s="5"/>
      <c r="C256" s="5"/>
    </row>
    <row r="257" spans="1:3" ht="15.75" customHeight="1" x14ac:dyDescent="0.3">
      <c r="A257" s="5"/>
      <c r="B257" s="5"/>
      <c r="C257" s="5"/>
    </row>
    <row r="258" spans="1:3" ht="15.75" customHeight="1" x14ac:dyDescent="0.3">
      <c r="A258" s="5"/>
      <c r="B258" s="5"/>
      <c r="C258" s="5"/>
    </row>
    <row r="259" spans="1:3" ht="15.75" customHeight="1" x14ac:dyDescent="0.3">
      <c r="A259" s="5"/>
      <c r="B259" s="5"/>
      <c r="C259" s="5"/>
    </row>
    <row r="260" spans="1:3" ht="15.75" customHeight="1" x14ac:dyDescent="0.3">
      <c r="A260" s="5"/>
      <c r="B260" s="5"/>
      <c r="C260" s="5"/>
    </row>
    <row r="261" spans="1:3" ht="15.75" customHeight="1" x14ac:dyDescent="0.3">
      <c r="A261" s="5"/>
      <c r="B261" s="5"/>
      <c r="C261" s="5"/>
    </row>
    <row r="262" spans="1:3" ht="15.75" customHeight="1" x14ac:dyDescent="0.3">
      <c r="A262" s="5"/>
      <c r="B262" s="5"/>
      <c r="C262" s="5"/>
    </row>
    <row r="263" spans="1:3" ht="15.75" customHeight="1" x14ac:dyDescent="0.3">
      <c r="A263" s="5"/>
      <c r="B263" s="5"/>
      <c r="C263" s="5"/>
    </row>
    <row r="264" spans="1:3" ht="15.75" customHeight="1" x14ac:dyDescent="0.3">
      <c r="A264" s="5"/>
      <c r="B264" s="5"/>
      <c r="C264" s="5"/>
    </row>
    <row r="265" spans="1:3" ht="15.75" customHeight="1" x14ac:dyDescent="0.3">
      <c r="A265" s="5"/>
      <c r="B265" s="5"/>
      <c r="C265" s="5"/>
    </row>
    <row r="266" spans="1:3" ht="15.75" customHeight="1" x14ac:dyDescent="0.3">
      <c r="A266" s="5"/>
      <c r="B266" s="5"/>
      <c r="C266" s="5"/>
    </row>
    <row r="267" spans="1:3" ht="15.75" customHeight="1" x14ac:dyDescent="0.3">
      <c r="A267" s="5"/>
      <c r="B267" s="5"/>
      <c r="C267" s="5"/>
    </row>
    <row r="268" spans="1:3" ht="15.75" customHeight="1" x14ac:dyDescent="0.3">
      <c r="A268" s="5"/>
      <c r="B268" s="5"/>
      <c r="C268" s="5"/>
    </row>
    <row r="269" spans="1:3" ht="15.75" customHeight="1" x14ac:dyDescent="0.3">
      <c r="A269" s="5"/>
      <c r="B269" s="5"/>
      <c r="C269" s="5"/>
    </row>
    <row r="270" spans="1:3" ht="15.75" customHeight="1" x14ac:dyDescent="0.3">
      <c r="A270" s="5"/>
      <c r="B270" s="5"/>
      <c r="C270" s="5"/>
    </row>
    <row r="271" spans="1:3" ht="15.75" customHeight="1" x14ac:dyDescent="0.3">
      <c r="A271" s="5"/>
      <c r="B271" s="5"/>
      <c r="C271" s="5"/>
    </row>
    <row r="272" spans="1:3" ht="15.75" customHeight="1" x14ac:dyDescent="0.3">
      <c r="A272" s="5"/>
      <c r="B272" s="5"/>
      <c r="C272" s="5"/>
    </row>
    <row r="273" spans="1:3" ht="15.75" customHeight="1" x14ac:dyDescent="0.3">
      <c r="A273" s="5"/>
      <c r="B273" s="5"/>
      <c r="C273" s="5"/>
    </row>
    <row r="274" spans="1:3" ht="15.75" customHeight="1" x14ac:dyDescent="0.3">
      <c r="A274" s="5"/>
      <c r="B274" s="5"/>
      <c r="C274" s="5"/>
    </row>
    <row r="275" spans="1:3" ht="15.75" customHeight="1" x14ac:dyDescent="0.3">
      <c r="A275" s="5"/>
      <c r="B275" s="5"/>
      <c r="C275" s="5"/>
    </row>
    <row r="276" spans="1:3" ht="15.75" customHeight="1" x14ac:dyDescent="0.3">
      <c r="A276" s="5"/>
      <c r="B276" s="5"/>
      <c r="C276" s="5"/>
    </row>
    <row r="277" spans="1:3" ht="15.75" customHeight="1" x14ac:dyDescent="0.3">
      <c r="A277" s="5"/>
      <c r="B277" s="5"/>
      <c r="C277" s="5"/>
    </row>
    <row r="278" spans="1:3" ht="15.75" customHeight="1" x14ac:dyDescent="0.3">
      <c r="A278" s="5"/>
      <c r="B278" s="5"/>
      <c r="C278" s="5"/>
    </row>
    <row r="279" spans="1:3" ht="15.75" customHeight="1" x14ac:dyDescent="0.3">
      <c r="A279" s="5"/>
      <c r="B279" s="5"/>
      <c r="C279" s="5"/>
    </row>
    <row r="280" spans="1:3" ht="15.75" customHeight="1" x14ac:dyDescent="0.3">
      <c r="A280" s="5"/>
      <c r="B280" s="5"/>
      <c r="C280" s="5"/>
    </row>
    <row r="281" spans="1:3" ht="15.75" customHeight="1" x14ac:dyDescent="0.3">
      <c r="A281" s="5"/>
      <c r="B281" s="5"/>
      <c r="C281" s="5"/>
    </row>
    <row r="282" spans="1:3" ht="15.75" customHeight="1" x14ac:dyDescent="0.3">
      <c r="A282" s="5"/>
      <c r="B282" s="5"/>
      <c r="C282" s="5"/>
    </row>
    <row r="283" spans="1:3" ht="15.75" customHeight="1" x14ac:dyDescent="0.3">
      <c r="A283" s="5"/>
      <c r="B283" s="5"/>
      <c r="C283" s="5"/>
    </row>
    <row r="284" spans="1:3" ht="15.75" customHeight="1" x14ac:dyDescent="0.3">
      <c r="A284" s="5"/>
      <c r="B284" s="5"/>
      <c r="C284" s="5"/>
    </row>
    <row r="285" spans="1:3" ht="15.75" customHeight="1" x14ac:dyDescent="0.3">
      <c r="A285" s="5"/>
      <c r="B285" s="5"/>
      <c r="C285" s="5"/>
    </row>
    <row r="286" spans="1:3" ht="15.75" customHeight="1" x14ac:dyDescent="0.3">
      <c r="A286" s="5"/>
      <c r="B286" s="5"/>
      <c r="C286" s="5"/>
    </row>
    <row r="287" spans="1:3" ht="15.75" customHeight="1" x14ac:dyDescent="0.3">
      <c r="A287" s="5"/>
      <c r="B287" s="5"/>
      <c r="C287" s="5"/>
    </row>
    <row r="288" spans="1:3" ht="15.75" customHeight="1" x14ac:dyDescent="0.3">
      <c r="A288" s="5"/>
      <c r="B288" s="5"/>
      <c r="C288" s="5"/>
    </row>
    <row r="289" spans="1:3" ht="15.75" customHeight="1" x14ac:dyDescent="0.3">
      <c r="A289" s="5"/>
      <c r="B289" s="5"/>
      <c r="C289" s="5"/>
    </row>
    <row r="290" spans="1:3" ht="15.75" customHeight="1" x14ac:dyDescent="0.3">
      <c r="A290" s="5"/>
      <c r="B290" s="5"/>
      <c r="C290" s="5"/>
    </row>
    <row r="291" spans="1:3" ht="15.75" customHeight="1" x14ac:dyDescent="0.3">
      <c r="A291" s="5"/>
      <c r="B291" s="5"/>
      <c r="C291" s="5"/>
    </row>
    <row r="292" spans="1:3" ht="15.75" customHeight="1" x14ac:dyDescent="0.3">
      <c r="A292" s="5"/>
      <c r="B292" s="5"/>
      <c r="C292" s="5"/>
    </row>
    <row r="293" spans="1:3" ht="15.75" customHeight="1" x14ac:dyDescent="0.3">
      <c r="A293" s="5"/>
      <c r="B293" s="5"/>
      <c r="C293" s="5"/>
    </row>
    <row r="294" spans="1:3" ht="15.75" customHeight="1" x14ac:dyDescent="0.3">
      <c r="A294" s="5"/>
      <c r="B294" s="5"/>
      <c r="C294" s="5"/>
    </row>
    <row r="295" spans="1:3" ht="15.75" customHeight="1" x14ac:dyDescent="0.3">
      <c r="A295" s="5"/>
      <c r="B295" s="5"/>
      <c r="C295" s="5"/>
    </row>
    <row r="296" spans="1:3" ht="15.75" customHeight="1" x14ac:dyDescent="0.3">
      <c r="A296" s="5"/>
      <c r="B296" s="5"/>
      <c r="C296" s="5"/>
    </row>
    <row r="297" spans="1:3" ht="15.75" customHeight="1" x14ac:dyDescent="0.3">
      <c r="A297" s="5"/>
      <c r="B297" s="5"/>
      <c r="C297" s="5"/>
    </row>
    <row r="298" spans="1:3" ht="15.75" customHeight="1" x14ac:dyDescent="0.3">
      <c r="A298" s="5"/>
      <c r="B298" s="5"/>
      <c r="C298" s="5"/>
    </row>
    <row r="299" spans="1:3" ht="15.75" customHeight="1" x14ac:dyDescent="0.3">
      <c r="A299" s="5"/>
      <c r="B299" s="5"/>
      <c r="C299" s="5"/>
    </row>
    <row r="300" spans="1:3" ht="15.75" customHeight="1" x14ac:dyDescent="0.3">
      <c r="A300" s="5"/>
      <c r="B300" s="5"/>
      <c r="C300" s="5"/>
    </row>
    <row r="301" spans="1:3" ht="15.75" customHeight="1" x14ac:dyDescent="0.3">
      <c r="A301" s="5"/>
      <c r="B301" s="5"/>
      <c r="C301" s="5"/>
    </row>
    <row r="302" spans="1:3" ht="15.75" customHeight="1" x14ac:dyDescent="0.3">
      <c r="A302" s="5"/>
      <c r="B302" s="5"/>
      <c r="C302" s="5"/>
    </row>
    <row r="303" spans="1:3" ht="15.75" customHeight="1" x14ac:dyDescent="0.3">
      <c r="A303" s="5"/>
      <c r="B303" s="5"/>
      <c r="C303" s="5"/>
    </row>
    <row r="304" spans="1:3" ht="15.75" customHeight="1" x14ac:dyDescent="0.3">
      <c r="A304" s="5"/>
      <c r="B304" s="5"/>
      <c r="C304" s="5"/>
    </row>
    <row r="305" spans="1:3" ht="15.75" customHeight="1" x14ac:dyDescent="0.3">
      <c r="A305" s="5"/>
      <c r="B305" s="5"/>
      <c r="C305" s="5"/>
    </row>
    <row r="306" spans="1:3" ht="15.75" customHeight="1" x14ac:dyDescent="0.3">
      <c r="A306" s="5"/>
      <c r="B306" s="5"/>
      <c r="C306" s="5"/>
    </row>
    <row r="307" spans="1:3" ht="15.75" customHeight="1" x14ac:dyDescent="0.3">
      <c r="A307" s="5"/>
      <c r="B307" s="5"/>
      <c r="C307" s="5"/>
    </row>
    <row r="308" spans="1:3" ht="15.75" customHeight="1" x14ac:dyDescent="0.3">
      <c r="A308" s="5"/>
      <c r="B308" s="5"/>
      <c r="C308" s="5"/>
    </row>
    <row r="309" spans="1:3" ht="15.75" customHeight="1" x14ac:dyDescent="0.3">
      <c r="A309" s="5"/>
      <c r="B309" s="5"/>
      <c r="C309" s="5"/>
    </row>
    <row r="310" spans="1:3" ht="15.75" customHeight="1" x14ac:dyDescent="0.3">
      <c r="A310" s="5"/>
      <c r="B310" s="5"/>
      <c r="C310" s="5"/>
    </row>
    <row r="311" spans="1:3" ht="15.75" customHeight="1" x14ac:dyDescent="0.3">
      <c r="A311" s="5"/>
      <c r="B311" s="5"/>
      <c r="C311" s="5"/>
    </row>
    <row r="312" spans="1:3" ht="15.75" customHeight="1" x14ac:dyDescent="0.3">
      <c r="A312" s="5"/>
      <c r="B312" s="5"/>
      <c r="C312" s="5"/>
    </row>
    <row r="313" spans="1:3" ht="15.75" customHeight="1" x14ac:dyDescent="0.3">
      <c r="A313" s="5"/>
      <c r="B313" s="5"/>
      <c r="C313" s="5"/>
    </row>
    <row r="314" spans="1:3" ht="15.75" customHeight="1" x14ac:dyDescent="0.3">
      <c r="A314" s="5"/>
      <c r="B314" s="5"/>
      <c r="C314" s="5"/>
    </row>
    <row r="315" spans="1:3" ht="15.75" customHeight="1" x14ac:dyDescent="0.3">
      <c r="A315" s="5"/>
      <c r="B315" s="5"/>
      <c r="C315" s="5"/>
    </row>
    <row r="316" spans="1:3" ht="15.75" customHeight="1" x14ac:dyDescent="0.3">
      <c r="A316" s="5"/>
      <c r="B316" s="5"/>
      <c r="C316" s="5"/>
    </row>
    <row r="317" spans="1:3" ht="15.75" customHeight="1" x14ac:dyDescent="0.3">
      <c r="A317" s="5"/>
      <c r="B317" s="5"/>
      <c r="C317" s="5"/>
    </row>
    <row r="318" spans="1:3" ht="15.75" customHeight="1" x14ac:dyDescent="0.3">
      <c r="A318" s="5"/>
      <c r="B318" s="5"/>
      <c r="C318" s="5"/>
    </row>
    <row r="319" spans="1:3" ht="15.75" customHeight="1" x14ac:dyDescent="0.3">
      <c r="A319" s="5"/>
      <c r="B319" s="5"/>
      <c r="C319" s="5"/>
    </row>
    <row r="320" spans="1:3" ht="15.75" customHeight="1" x14ac:dyDescent="0.3">
      <c r="A320" s="5"/>
      <c r="B320" s="5"/>
      <c r="C320" s="5"/>
    </row>
    <row r="321" spans="1:3" ht="15.75" customHeight="1" x14ac:dyDescent="0.3">
      <c r="A321" s="5"/>
      <c r="B321" s="5"/>
      <c r="C321" s="5"/>
    </row>
    <row r="322" spans="1:3" ht="15.75" customHeight="1" x14ac:dyDescent="0.3">
      <c r="A322" s="5"/>
      <c r="B322" s="5"/>
      <c r="C322" s="5"/>
    </row>
    <row r="323" spans="1:3" ht="15.75" customHeight="1" x14ac:dyDescent="0.3">
      <c r="A323" s="5"/>
      <c r="B323" s="5"/>
      <c r="C323" s="5"/>
    </row>
    <row r="324" spans="1:3" ht="15.75" customHeight="1" x14ac:dyDescent="0.3">
      <c r="A324" s="5"/>
      <c r="B324" s="5"/>
      <c r="C324" s="5"/>
    </row>
    <row r="325" spans="1:3" ht="15.75" customHeight="1" x14ac:dyDescent="0.3">
      <c r="A325" s="5"/>
      <c r="B325" s="5"/>
      <c r="C325" s="5"/>
    </row>
    <row r="326" spans="1:3" ht="15.75" customHeight="1" x14ac:dyDescent="0.3">
      <c r="A326" s="5"/>
      <c r="B326" s="5"/>
      <c r="C326" s="5"/>
    </row>
    <row r="327" spans="1:3" ht="15.75" customHeight="1" x14ac:dyDescent="0.3">
      <c r="A327" s="5"/>
      <c r="B327" s="5"/>
      <c r="C327" s="5"/>
    </row>
    <row r="328" spans="1:3" ht="15.75" customHeight="1" x14ac:dyDescent="0.3">
      <c r="A328" s="5"/>
      <c r="B328" s="5"/>
      <c r="C328" s="5"/>
    </row>
    <row r="329" spans="1:3" ht="15.75" customHeight="1" x14ac:dyDescent="0.3">
      <c r="A329" s="5"/>
      <c r="B329" s="5"/>
      <c r="C329" s="5"/>
    </row>
    <row r="330" spans="1:3" ht="15.75" customHeight="1" x14ac:dyDescent="0.3">
      <c r="A330" s="5"/>
      <c r="B330" s="5"/>
      <c r="C330" s="5"/>
    </row>
    <row r="331" spans="1:3" ht="15.75" customHeight="1" x14ac:dyDescent="0.3">
      <c r="A331" s="5"/>
      <c r="B331" s="5"/>
      <c r="C331" s="5"/>
    </row>
    <row r="332" spans="1:3" ht="15.75" customHeight="1" x14ac:dyDescent="0.3">
      <c r="A332" s="5"/>
      <c r="B332" s="5"/>
      <c r="C332" s="5"/>
    </row>
    <row r="333" spans="1:3" ht="15.75" customHeight="1" x14ac:dyDescent="0.3">
      <c r="A333" s="5"/>
      <c r="B333" s="5"/>
      <c r="C333" s="5"/>
    </row>
    <row r="334" spans="1:3" ht="15.75" customHeight="1" x14ac:dyDescent="0.3">
      <c r="A334" s="5"/>
      <c r="B334" s="5"/>
      <c r="C334" s="5"/>
    </row>
    <row r="335" spans="1:3" ht="15.75" customHeight="1" x14ac:dyDescent="0.3">
      <c r="A335" s="5"/>
      <c r="B335" s="5"/>
      <c r="C335" s="5"/>
    </row>
    <row r="336" spans="1:3" ht="15.75" customHeight="1" x14ac:dyDescent="0.3">
      <c r="A336" s="5"/>
      <c r="B336" s="5"/>
      <c r="C336" s="5"/>
    </row>
    <row r="337" spans="1:3" ht="15.75" customHeight="1" x14ac:dyDescent="0.3">
      <c r="A337" s="5"/>
      <c r="B337" s="5"/>
      <c r="C337" s="5"/>
    </row>
    <row r="338" spans="1:3" ht="15.75" customHeight="1" x14ac:dyDescent="0.3">
      <c r="A338" s="5"/>
      <c r="B338" s="5"/>
      <c r="C338" s="5"/>
    </row>
    <row r="339" spans="1:3" ht="15.75" customHeight="1" x14ac:dyDescent="0.3">
      <c r="A339" s="5"/>
      <c r="B339" s="5"/>
      <c r="C339" s="5"/>
    </row>
    <row r="340" spans="1:3" ht="15.75" customHeight="1" x14ac:dyDescent="0.3">
      <c r="A340" s="5"/>
      <c r="B340" s="5"/>
      <c r="C340" s="5"/>
    </row>
    <row r="341" spans="1:3" ht="15.75" customHeight="1" x14ac:dyDescent="0.3">
      <c r="A341" s="5"/>
      <c r="B341" s="5"/>
      <c r="C341" s="5"/>
    </row>
    <row r="342" spans="1:3" ht="15.75" customHeight="1" x14ac:dyDescent="0.3">
      <c r="A342" s="5"/>
      <c r="B342" s="5"/>
      <c r="C342" s="5"/>
    </row>
    <row r="343" spans="1:3" ht="15.75" customHeight="1" x14ac:dyDescent="0.3">
      <c r="A343" s="5"/>
      <c r="B343" s="5"/>
      <c r="C343" s="5"/>
    </row>
    <row r="344" spans="1:3" ht="15.75" customHeight="1" x14ac:dyDescent="0.3">
      <c r="A344" s="5"/>
      <c r="B344" s="5"/>
      <c r="C344" s="5"/>
    </row>
    <row r="345" spans="1:3" ht="15.75" customHeight="1" x14ac:dyDescent="0.3">
      <c r="A345" s="5"/>
      <c r="B345" s="5"/>
      <c r="C345" s="5"/>
    </row>
    <row r="346" spans="1:3" ht="15.75" customHeight="1" x14ac:dyDescent="0.3">
      <c r="A346" s="5"/>
      <c r="B346" s="5"/>
      <c r="C346" s="5"/>
    </row>
    <row r="347" spans="1:3" ht="15.75" customHeight="1" x14ac:dyDescent="0.3">
      <c r="A347" s="5"/>
      <c r="B347" s="5"/>
      <c r="C347" s="5"/>
    </row>
    <row r="348" spans="1:3" ht="15.75" customHeight="1" x14ac:dyDescent="0.3">
      <c r="A348" s="5"/>
      <c r="B348" s="5"/>
      <c r="C348" s="5"/>
    </row>
    <row r="349" spans="1:3" ht="15.75" customHeight="1" x14ac:dyDescent="0.3">
      <c r="A349" s="5"/>
      <c r="B349" s="5"/>
      <c r="C349" s="5"/>
    </row>
    <row r="350" spans="1:3" ht="15.75" customHeight="1" x14ac:dyDescent="0.3">
      <c r="A350" s="5"/>
      <c r="B350" s="5"/>
      <c r="C350" s="5"/>
    </row>
    <row r="351" spans="1:3" ht="15.75" customHeight="1" x14ac:dyDescent="0.3">
      <c r="A351" s="5"/>
      <c r="B351" s="5"/>
      <c r="C351" s="5"/>
    </row>
    <row r="352" spans="1:3" ht="15.75" customHeight="1" x14ac:dyDescent="0.3">
      <c r="A352" s="5"/>
      <c r="B352" s="5"/>
      <c r="C352" s="5"/>
    </row>
    <row r="353" spans="1:3" ht="15.75" customHeight="1" x14ac:dyDescent="0.3">
      <c r="A353" s="5"/>
      <c r="B353" s="5"/>
      <c r="C353" s="5"/>
    </row>
    <row r="354" spans="1:3" ht="15.75" customHeight="1" x14ac:dyDescent="0.3">
      <c r="A354" s="5"/>
      <c r="B354" s="5"/>
      <c r="C354" s="5"/>
    </row>
    <row r="355" spans="1:3" ht="15.75" customHeight="1" x14ac:dyDescent="0.3">
      <c r="A355" s="5"/>
      <c r="B355" s="5"/>
      <c r="C355" s="5"/>
    </row>
    <row r="356" spans="1:3" ht="15.75" customHeight="1" x14ac:dyDescent="0.3">
      <c r="A356" s="5"/>
      <c r="B356" s="5"/>
      <c r="C356" s="5"/>
    </row>
    <row r="357" spans="1:3" ht="15.75" customHeight="1" x14ac:dyDescent="0.3">
      <c r="A357" s="5"/>
      <c r="B357" s="5"/>
      <c r="C357" s="5"/>
    </row>
    <row r="358" spans="1:3" ht="15.75" customHeight="1" x14ac:dyDescent="0.3">
      <c r="A358" s="5"/>
      <c r="B358" s="5"/>
      <c r="C358" s="5"/>
    </row>
    <row r="359" spans="1:3" ht="15.75" customHeight="1" x14ac:dyDescent="0.3">
      <c r="A359" s="5"/>
      <c r="B359" s="5"/>
      <c r="C359" s="5"/>
    </row>
    <row r="360" spans="1:3" ht="15.75" customHeight="1" x14ac:dyDescent="0.3">
      <c r="A360" s="5"/>
      <c r="B360" s="5"/>
      <c r="C360" s="5"/>
    </row>
    <row r="361" spans="1:3" ht="15.75" customHeight="1" x14ac:dyDescent="0.3">
      <c r="A361" s="5"/>
      <c r="B361" s="5"/>
      <c r="C361" s="5"/>
    </row>
    <row r="362" spans="1:3" ht="15.75" customHeight="1" x14ac:dyDescent="0.3">
      <c r="A362" s="5"/>
      <c r="B362" s="5"/>
      <c r="C362" s="5"/>
    </row>
    <row r="363" spans="1:3" ht="15.75" customHeight="1" x14ac:dyDescent="0.3">
      <c r="A363" s="5"/>
      <c r="B363" s="5"/>
      <c r="C363" s="5"/>
    </row>
    <row r="364" spans="1:3" ht="15.75" customHeight="1" x14ac:dyDescent="0.3">
      <c r="A364" s="5"/>
      <c r="B364" s="5"/>
      <c r="C364" s="5"/>
    </row>
    <row r="365" spans="1:3" ht="15.75" customHeight="1" x14ac:dyDescent="0.3">
      <c r="A365" s="5"/>
      <c r="B365" s="5"/>
      <c r="C365" s="5"/>
    </row>
    <row r="366" spans="1:3" ht="15.75" customHeight="1" x14ac:dyDescent="0.3">
      <c r="A366" s="5"/>
      <c r="B366" s="5"/>
      <c r="C366" s="5"/>
    </row>
    <row r="367" spans="1:3" ht="15.75" customHeight="1" x14ac:dyDescent="0.3">
      <c r="A367" s="5"/>
      <c r="B367" s="5"/>
      <c r="C367" s="5"/>
    </row>
    <row r="368" spans="1:3" ht="15.75" customHeight="1" x14ac:dyDescent="0.3">
      <c r="A368" s="5"/>
      <c r="B368" s="5"/>
      <c r="C368" s="5"/>
    </row>
    <row r="369" spans="1:3" ht="15.75" customHeight="1" x14ac:dyDescent="0.3">
      <c r="A369" s="5"/>
      <c r="B369" s="5"/>
      <c r="C369" s="5"/>
    </row>
    <row r="370" spans="1:3" ht="15.75" customHeight="1" x14ac:dyDescent="0.3">
      <c r="A370" s="5"/>
      <c r="B370" s="5"/>
      <c r="C370" s="5"/>
    </row>
    <row r="371" spans="1:3" ht="15.75" customHeight="1" x14ac:dyDescent="0.3">
      <c r="A371" s="5"/>
      <c r="B371" s="5"/>
      <c r="C371" s="5"/>
    </row>
    <row r="372" spans="1:3" ht="15.75" customHeight="1" x14ac:dyDescent="0.3">
      <c r="A372" s="5"/>
      <c r="B372" s="5"/>
      <c r="C372" s="5"/>
    </row>
    <row r="373" spans="1:3" ht="15.75" customHeight="1" x14ac:dyDescent="0.3">
      <c r="A373" s="5"/>
      <c r="B373" s="5"/>
      <c r="C373" s="5"/>
    </row>
    <row r="374" spans="1:3" ht="15.75" customHeight="1" x14ac:dyDescent="0.3">
      <c r="A374" s="5"/>
      <c r="B374" s="5"/>
      <c r="C374" s="5"/>
    </row>
    <row r="375" spans="1:3" ht="15.75" customHeight="1" x14ac:dyDescent="0.3">
      <c r="A375" s="5"/>
      <c r="B375" s="5"/>
      <c r="C375" s="5"/>
    </row>
    <row r="376" spans="1:3" ht="15.75" customHeight="1" x14ac:dyDescent="0.3">
      <c r="A376" s="5"/>
      <c r="B376" s="5"/>
      <c r="C376" s="5"/>
    </row>
    <row r="377" spans="1:3" ht="15.75" customHeight="1" x14ac:dyDescent="0.3">
      <c r="A377" s="5"/>
      <c r="B377" s="5"/>
      <c r="C377" s="5"/>
    </row>
    <row r="378" spans="1:3" ht="15.75" customHeight="1" x14ac:dyDescent="0.3">
      <c r="A378" s="5"/>
      <c r="B378" s="5"/>
      <c r="C378" s="5"/>
    </row>
    <row r="379" spans="1:3" ht="15.75" customHeight="1" x14ac:dyDescent="0.3">
      <c r="A379" s="5"/>
      <c r="B379" s="5"/>
      <c r="C379" s="5"/>
    </row>
    <row r="380" spans="1:3" ht="15.75" customHeight="1" x14ac:dyDescent="0.3">
      <c r="A380" s="5"/>
      <c r="B380" s="5"/>
      <c r="C380" s="5"/>
    </row>
    <row r="381" spans="1:3" ht="15.75" customHeight="1" x14ac:dyDescent="0.3">
      <c r="A381" s="5"/>
      <c r="B381" s="5"/>
      <c r="C381" s="5"/>
    </row>
    <row r="382" spans="1:3" ht="15.75" customHeight="1" x14ac:dyDescent="0.3">
      <c r="A382" s="5"/>
      <c r="B382" s="5"/>
      <c r="C382" s="5"/>
    </row>
    <row r="383" spans="1:3" ht="15.75" customHeight="1" x14ac:dyDescent="0.3">
      <c r="A383" s="5"/>
      <c r="B383" s="5"/>
      <c r="C383" s="5"/>
    </row>
    <row r="384" spans="1:3" ht="15.75" customHeight="1" x14ac:dyDescent="0.3">
      <c r="A384" s="5"/>
      <c r="B384" s="5"/>
      <c r="C384" s="5"/>
    </row>
    <row r="385" spans="1:3" ht="15.75" customHeight="1" x14ac:dyDescent="0.3">
      <c r="A385" s="5"/>
      <c r="B385" s="5"/>
      <c r="C385" s="5"/>
    </row>
    <row r="386" spans="1:3" ht="15.75" customHeight="1" x14ac:dyDescent="0.3">
      <c r="A386" s="5"/>
      <c r="B386" s="5"/>
      <c r="C386" s="5"/>
    </row>
    <row r="387" spans="1:3" ht="15.75" customHeight="1" x14ac:dyDescent="0.3">
      <c r="A387" s="5"/>
      <c r="B387" s="5"/>
      <c r="C387" s="5"/>
    </row>
    <row r="388" spans="1:3" ht="15.75" customHeight="1" x14ac:dyDescent="0.3">
      <c r="A388" s="5"/>
      <c r="B388" s="5"/>
      <c r="C388" s="5"/>
    </row>
    <row r="389" spans="1:3" ht="15.75" customHeight="1" x14ac:dyDescent="0.3">
      <c r="A389" s="5"/>
      <c r="B389" s="5"/>
      <c r="C389" s="5"/>
    </row>
    <row r="390" spans="1:3" ht="15.75" customHeight="1" x14ac:dyDescent="0.3">
      <c r="A390" s="5"/>
      <c r="B390" s="5"/>
      <c r="C390" s="5"/>
    </row>
    <row r="391" spans="1:3" ht="15.75" customHeight="1" x14ac:dyDescent="0.3">
      <c r="A391" s="5"/>
      <c r="B391" s="5"/>
      <c r="C391" s="5"/>
    </row>
    <row r="392" spans="1:3" ht="15.75" customHeight="1" x14ac:dyDescent="0.3">
      <c r="A392" s="5"/>
      <c r="B392" s="5"/>
      <c r="C392" s="5"/>
    </row>
    <row r="393" spans="1:3" ht="15.75" customHeight="1" x14ac:dyDescent="0.3">
      <c r="A393" s="5"/>
      <c r="B393" s="5"/>
      <c r="C393" s="5"/>
    </row>
    <row r="394" spans="1:3" ht="15.75" customHeight="1" x14ac:dyDescent="0.3">
      <c r="A394" s="5"/>
      <c r="B394" s="5"/>
      <c r="C394" s="5"/>
    </row>
    <row r="395" spans="1:3" ht="15.75" customHeight="1" x14ac:dyDescent="0.3">
      <c r="A395" s="5"/>
      <c r="B395" s="5"/>
      <c r="C395" s="5"/>
    </row>
    <row r="396" spans="1:3" ht="15.75" customHeight="1" x14ac:dyDescent="0.3">
      <c r="A396" s="5"/>
      <c r="B396" s="5"/>
      <c r="C396" s="5"/>
    </row>
    <row r="397" spans="1:3" ht="15.75" customHeight="1" x14ac:dyDescent="0.3">
      <c r="A397" s="5"/>
      <c r="B397" s="5"/>
      <c r="C397" s="5"/>
    </row>
    <row r="398" spans="1:3" ht="15.75" customHeight="1" x14ac:dyDescent="0.3">
      <c r="A398" s="5"/>
      <c r="B398" s="5"/>
      <c r="C398" s="5"/>
    </row>
    <row r="399" spans="1:3" ht="15.75" customHeight="1" x14ac:dyDescent="0.3">
      <c r="A399" s="5"/>
      <c r="B399" s="5"/>
      <c r="C399" s="5"/>
    </row>
    <row r="400" spans="1:3" ht="15.75" customHeight="1" x14ac:dyDescent="0.3">
      <c r="A400" s="5"/>
      <c r="B400" s="5"/>
      <c r="C400" s="5"/>
    </row>
    <row r="401" spans="1:3" ht="15.75" customHeight="1" x14ac:dyDescent="0.3">
      <c r="A401" s="5"/>
      <c r="B401" s="5"/>
      <c r="C401" s="5"/>
    </row>
    <row r="402" spans="1:3" ht="15.75" customHeight="1" x14ac:dyDescent="0.3">
      <c r="A402" s="5"/>
      <c r="B402" s="5"/>
      <c r="C402" s="5"/>
    </row>
    <row r="403" spans="1:3" ht="15.75" customHeight="1" x14ac:dyDescent="0.3">
      <c r="A403" s="5"/>
      <c r="B403" s="5"/>
      <c r="C403" s="5"/>
    </row>
    <row r="404" spans="1:3" ht="15.75" customHeight="1" x14ac:dyDescent="0.3">
      <c r="A404" s="5"/>
      <c r="B404" s="5"/>
      <c r="C404" s="5"/>
    </row>
    <row r="405" spans="1:3" ht="15.75" customHeight="1" x14ac:dyDescent="0.3">
      <c r="A405" s="5"/>
      <c r="B405" s="5"/>
      <c r="C405" s="5"/>
    </row>
    <row r="406" spans="1:3" ht="15.75" customHeight="1" x14ac:dyDescent="0.3">
      <c r="A406" s="5"/>
      <c r="B406" s="5"/>
      <c r="C406" s="5"/>
    </row>
    <row r="407" spans="1:3" ht="15.75" customHeight="1" x14ac:dyDescent="0.3">
      <c r="A407" s="5"/>
      <c r="B407" s="5"/>
      <c r="C407" s="5"/>
    </row>
    <row r="408" spans="1:3" ht="15.75" customHeight="1" x14ac:dyDescent="0.3">
      <c r="A408" s="5"/>
      <c r="B408" s="5"/>
      <c r="C408" s="5"/>
    </row>
    <row r="409" spans="1:3" ht="15.75" customHeight="1" x14ac:dyDescent="0.3">
      <c r="A409" s="5"/>
      <c r="B409" s="5"/>
      <c r="C409" s="5"/>
    </row>
    <row r="410" spans="1:3" ht="15.75" customHeight="1" x14ac:dyDescent="0.3">
      <c r="A410" s="5"/>
      <c r="B410" s="5"/>
      <c r="C410" s="5"/>
    </row>
    <row r="411" spans="1:3" ht="15.75" customHeight="1" x14ac:dyDescent="0.3">
      <c r="A411" s="5"/>
      <c r="B411" s="5"/>
      <c r="C411" s="5"/>
    </row>
    <row r="412" spans="1:3" ht="15.75" customHeight="1" x14ac:dyDescent="0.3">
      <c r="A412" s="5"/>
      <c r="B412" s="5"/>
      <c r="C412" s="5"/>
    </row>
    <row r="413" spans="1:3" ht="15.75" customHeight="1" x14ac:dyDescent="0.3">
      <c r="A413" s="5"/>
      <c r="B413" s="5"/>
      <c r="C413" s="5"/>
    </row>
    <row r="414" spans="1:3" ht="15.75" customHeight="1" x14ac:dyDescent="0.3">
      <c r="A414" s="5"/>
      <c r="B414" s="5"/>
      <c r="C414" s="5"/>
    </row>
    <row r="415" spans="1:3" ht="15.75" customHeight="1" x14ac:dyDescent="0.3">
      <c r="A415" s="5"/>
      <c r="B415" s="5"/>
      <c r="C415" s="5"/>
    </row>
    <row r="416" spans="1:3" ht="15.75" customHeight="1" x14ac:dyDescent="0.3">
      <c r="A416" s="5"/>
      <c r="B416" s="5"/>
      <c r="C416" s="5"/>
    </row>
    <row r="417" spans="1:3" ht="15.75" customHeight="1" x14ac:dyDescent="0.3">
      <c r="A417" s="5"/>
      <c r="B417" s="5"/>
      <c r="C417" s="5"/>
    </row>
    <row r="418" spans="1:3" ht="15.75" customHeight="1" x14ac:dyDescent="0.3">
      <c r="A418" s="5"/>
      <c r="B418" s="5"/>
      <c r="C418" s="5"/>
    </row>
    <row r="419" spans="1:3" ht="15.75" customHeight="1" x14ac:dyDescent="0.3">
      <c r="A419" s="5"/>
      <c r="B419" s="5"/>
      <c r="C419" s="5"/>
    </row>
    <row r="420" spans="1:3" ht="15.75" customHeight="1" x14ac:dyDescent="0.3">
      <c r="A420" s="5"/>
      <c r="B420" s="5"/>
      <c r="C420" s="5"/>
    </row>
    <row r="421" spans="1:3" ht="15.75" customHeight="1" x14ac:dyDescent="0.3">
      <c r="A421" s="5"/>
      <c r="B421" s="5"/>
      <c r="C421" s="5"/>
    </row>
    <row r="422" spans="1:3" ht="15.75" customHeight="1" x14ac:dyDescent="0.3">
      <c r="A422" s="5"/>
      <c r="B422" s="5"/>
      <c r="C422" s="5"/>
    </row>
    <row r="423" spans="1:3" ht="15.75" customHeight="1" x14ac:dyDescent="0.3">
      <c r="A423" s="5"/>
      <c r="B423" s="5"/>
      <c r="C423" s="5"/>
    </row>
    <row r="424" spans="1:3" ht="15.75" customHeight="1" x14ac:dyDescent="0.3">
      <c r="A424" s="5"/>
      <c r="B424" s="5"/>
      <c r="C424" s="5"/>
    </row>
    <row r="425" spans="1:3" ht="15.75" customHeight="1" x14ac:dyDescent="0.3">
      <c r="A425" s="5"/>
      <c r="B425" s="5"/>
      <c r="C425" s="5"/>
    </row>
    <row r="426" spans="1:3" ht="15.75" customHeight="1" x14ac:dyDescent="0.3">
      <c r="A426" s="5"/>
      <c r="B426" s="5"/>
      <c r="C426" s="5"/>
    </row>
    <row r="427" spans="1:3" ht="15.75" customHeight="1" x14ac:dyDescent="0.3">
      <c r="A427" s="5"/>
      <c r="B427" s="5"/>
      <c r="C427" s="5"/>
    </row>
    <row r="428" spans="1:3" ht="15.75" customHeight="1" x14ac:dyDescent="0.3">
      <c r="A428" s="5"/>
      <c r="B428" s="5"/>
      <c r="C428" s="5"/>
    </row>
    <row r="429" spans="1:3" ht="15.75" customHeight="1" x14ac:dyDescent="0.3">
      <c r="A429" s="5"/>
      <c r="B429" s="5"/>
      <c r="C429" s="5"/>
    </row>
    <row r="430" spans="1:3" ht="15.75" customHeight="1" x14ac:dyDescent="0.3">
      <c r="A430" s="5"/>
      <c r="B430" s="5"/>
      <c r="C430" s="5"/>
    </row>
    <row r="431" spans="1:3" ht="15.75" customHeight="1" x14ac:dyDescent="0.3">
      <c r="A431" s="5"/>
      <c r="B431" s="5"/>
      <c r="C431" s="5"/>
    </row>
    <row r="432" spans="1:3" ht="15.75" customHeight="1" x14ac:dyDescent="0.3">
      <c r="A432" s="5"/>
      <c r="B432" s="5"/>
      <c r="C432" s="5"/>
    </row>
    <row r="433" spans="1:3" ht="15.75" customHeight="1" x14ac:dyDescent="0.3">
      <c r="A433" s="5"/>
      <c r="B433" s="5"/>
      <c r="C433" s="5"/>
    </row>
    <row r="434" spans="1:3" ht="15.75" customHeight="1" x14ac:dyDescent="0.3">
      <c r="A434" s="5"/>
      <c r="B434" s="5"/>
      <c r="C434" s="5"/>
    </row>
    <row r="435" spans="1:3" ht="15.75" customHeight="1" x14ac:dyDescent="0.3">
      <c r="A435" s="5"/>
      <c r="B435" s="5"/>
      <c r="C435" s="5"/>
    </row>
    <row r="436" spans="1:3" ht="15.75" customHeight="1" x14ac:dyDescent="0.3">
      <c r="A436" s="5"/>
      <c r="B436" s="5"/>
      <c r="C436" s="5"/>
    </row>
    <row r="437" spans="1:3" ht="15.75" customHeight="1" x14ac:dyDescent="0.3">
      <c r="A437" s="5"/>
      <c r="B437" s="5"/>
      <c r="C437" s="5"/>
    </row>
    <row r="438" spans="1:3" ht="15.75" customHeight="1" x14ac:dyDescent="0.3">
      <c r="A438" s="5"/>
      <c r="B438" s="5"/>
      <c r="C438" s="5"/>
    </row>
    <row r="439" spans="1:3" ht="15.75" customHeight="1" x14ac:dyDescent="0.3">
      <c r="A439" s="5"/>
      <c r="B439" s="5"/>
      <c r="C439" s="5"/>
    </row>
    <row r="440" spans="1:3" ht="15.75" customHeight="1" x14ac:dyDescent="0.3">
      <c r="A440" s="5"/>
      <c r="B440" s="5"/>
      <c r="C440" s="5"/>
    </row>
    <row r="441" spans="1:3" ht="15.75" customHeight="1" x14ac:dyDescent="0.3">
      <c r="A441" s="5"/>
      <c r="B441" s="5"/>
      <c r="C441" s="5"/>
    </row>
    <row r="442" spans="1:3" ht="15.75" customHeight="1" x14ac:dyDescent="0.3">
      <c r="A442" s="5"/>
      <c r="B442" s="5"/>
      <c r="C442" s="5"/>
    </row>
    <row r="443" spans="1:3" ht="15.75" customHeight="1" x14ac:dyDescent="0.3">
      <c r="A443" s="5"/>
      <c r="B443" s="5"/>
      <c r="C443" s="5"/>
    </row>
    <row r="444" spans="1:3" ht="15.75" customHeight="1" x14ac:dyDescent="0.3">
      <c r="A444" s="5"/>
      <c r="B444" s="5"/>
      <c r="C444" s="5"/>
    </row>
    <row r="445" spans="1:3" ht="15.75" customHeight="1" x14ac:dyDescent="0.3">
      <c r="A445" s="5"/>
      <c r="B445" s="5"/>
      <c r="C445" s="5"/>
    </row>
    <row r="446" spans="1:3" ht="15.75" customHeight="1" x14ac:dyDescent="0.3">
      <c r="A446" s="5"/>
      <c r="B446" s="5"/>
      <c r="C446" s="5"/>
    </row>
    <row r="447" spans="1:3" ht="15.75" customHeight="1" x14ac:dyDescent="0.3">
      <c r="A447" s="5"/>
      <c r="B447" s="5"/>
      <c r="C447" s="5"/>
    </row>
    <row r="448" spans="1:3" ht="15.75" customHeight="1" x14ac:dyDescent="0.3">
      <c r="A448" s="5"/>
      <c r="B448" s="5"/>
      <c r="C448" s="5"/>
    </row>
    <row r="449" spans="1:3" ht="15.75" customHeight="1" x14ac:dyDescent="0.3">
      <c r="A449" s="5"/>
      <c r="B449" s="5"/>
      <c r="C449" s="5"/>
    </row>
    <row r="450" spans="1:3" ht="15.75" customHeight="1" x14ac:dyDescent="0.3">
      <c r="A450" s="5"/>
      <c r="B450" s="5"/>
      <c r="C450" s="5"/>
    </row>
    <row r="451" spans="1:3" ht="15.75" customHeight="1" x14ac:dyDescent="0.3">
      <c r="A451" s="5"/>
      <c r="B451" s="5"/>
      <c r="C451" s="5"/>
    </row>
    <row r="452" spans="1:3" ht="15.75" customHeight="1" x14ac:dyDescent="0.3">
      <c r="A452" s="5"/>
      <c r="B452" s="5"/>
      <c r="C452" s="5"/>
    </row>
    <row r="453" spans="1:3" ht="15.75" customHeight="1" x14ac:dyDescent="0.3">
      <c r="A453" s="5"/>
      <c r="B453" s="5"/>
      <c r="C453" s="5"/>
    </row>
    <row r="454" spans="1:3" ht="15.75" customHeight="1" x14ac:dyDescent="0.3">
      <c r="A454" s="5"/>
      <c r="B454" s="5"/>
      <c r="C454" s="5"/>
    </row>
    <row r="455" spans="1:3" ht="15.75" customHeight="1" x14ac:dyDescent="0.3">
      <c r="A455" s="5"/>
      <c r="B455" s="5"/>
      <c r="C455" s="5"/>
    </row>
    <row r="456" spans="1:3" ht="15.75" customHeight="1" x14ac:dyDescent="0.3">
      <c r="A456" s="5"/>
      <c r="B456" s="5"/>
      <c r="C456" s="5"/>
    </row>
    <row r="457" spans="1:3" ht="15.75" customHeight="1" x14ac:dyDescent="0.3">
      <c r="A457" s="5"/>
      <c r="B457" s="5"/>
      <c r="C457" s="5"/>
    </row>
    <row r="458" spans="1:3" ht="15.75" customHeight="1" x14ac:dyDescent="0.3">
      <c r="A458" s="5"/>
      <c r="B458" s="5"/>
      <c r="C458" s="5"/>
    </row>
    <row r="459" spans="1:3" ht="15.75" customHeight="1" x14ac:dyDescent="0.3">
      <c r="A459" s="5"/>
      <c r="B459" s="5"/>
      <c r="C459" s="5"/>
    </row>
    <row r="460" spans="1:3" ht="15.75" customHeight="1" x14ac:dyDescent="0.3">
      <c r="A460" s="5"/>
      <c r="B460" s="5"/>
      <c r="C460" s="5"/>
    </row>
    <row r="461" spans="1:3" ht="15.75" customHeight="1" x14ac:dyDescent="0.3">
      <c r="A461" s="5"/>
      <c r="B461" s="5"/>
      <c r="C461" s="5"/>
    </row>
    <row r="462" spans="1:3" ht="15.75" customHeight="1" x14ac:dyDescent="0.3">
      <c r="A462" s="5"/>
      <c r="B462" s="5"/>
      <c r="C462" s="5"/>
    </row>
    <row r="463" spans="1:3" ht="15.75" customHeight="1" x14ac:dyDescent="0.3">
      <c r="A463" s="5"/>
      <c r="B463" s="5"/>
      <c r="C463" s="5"/>
    </row>
    <row r="464" spans="1:3" ht="15.75" customHeight="1" x14ac:dyDescent="0.3">
      <c r="A464" s="5"/>
      <c r="B464" s="5"/>
      <c r="C464" s="5"/>
    </row>
    <row r="465" spans="1:3" ht="15.75" customHeight="1" x14ac:dyDescent="0.3">
      <c r="A465" s="5"/>
      <c r="B465" s="5"/>
      <c r="C465" s="5"/>
    </row>
    <row r="466" spans="1:3" ht="15.75" customHeight="1" x14ac:dyDescent="0.3">
      <c r="A466" s="5"/>
      <c r="B466" s="5"/>
      <c r="C466" s="5"/>
    </row>
    <row r="467" spans="1:3" ht="15.75" customHeight="1" x14ac:dyDescent="0.3">
      <c r="A467" s="5"/>
      <c r="B467" s="5"/>
      <c r="C467" s="5"/>
    </row>
    <row r="468" spans="1:3" ht="15.75" customHeight="1" x14ac:dyDescent="0.3">
      <c r="A468" s="5"/>
      <c r="B468" s="5"/>
      <c r="C468" s="5"/>
    </row>
    <row r="469" spans="1:3" ht="15.75" customHeight="1" x14ac:dyDescent="0.3">
      <c r="A469" s="5"/>
      <c r="B469" s="5"/>
      <c r="C469" s="5"/>
    </row>
    <row r="470" spans="1:3" ht="15.75" customHeight="1" x14ac:dyDescent="0.3">
      <c r="A470" s="5"/>
      <c r="B470" s="5"/>
      <c r="C470" s="5"/>
    </row>
    <row r="471" spans="1:3" ht="15.75" customHeight="1" x14ac:dyDescent="0.3">
      <c r="A471" s="5"/>
      <c r="B471" s="5"/>
      <c r="C471" s="5"/>
    </row>
    <row r="472" spans="1:3" ht="15.75" customHeight="1" x14ac:dyDescent="0.3">
      <c r="A472" s="5"/>
      <c r="B472" s="5"/>
      <c r="C472" s="5"/>
    </row>
    <row r="473" spans="1:3" ht="15.75" customHeight="1" x14ac:dyDescent="0.3">
      <c r="A473" s="5"/>
      <c r="B473" s="5"/>
      <c r="C473" s="5"/>
    </row>
    <row r="474" spans="1:3" ht="15.75" customHeight="1" x14ac:dyDescent="0.3">
      <c r="A474" s="5"/>
      <c r="B474" s="5"/>
      <c r="C474" s="5"/>
    </row>
    <row r="475" spans="1:3" ht="15.75" customHeight="1" x14ac:dyDescent="0.3">
      <c r="A475" s="5"/>
      <c r="B475" s="5"/>
      <c r="C475" s="5"/>
    </row>
    <row r="476" spans="1:3" ht="15.75" customHeight="1" x14ac:dyDescent="0.3">
      <c r="A476" s="5"/>
      <c r="B476" s="5"/>
      <c r="C476" s="5"/>
    </row>
    <row r="477" spans="1:3" ht="15.75" customHeight="1" x14ac:dyDescent="0.3">
      <c r="A477" s="5"/>
      <c r="B477" s="5"/>
      <c r="C477" s="5"/>
    </row>
    <row r="478" spans="1:3" ht="15.75" customHeight="1" x14ac:dyDescent="0.3">
      <c r="A478" s="5"/>
      <c r="B478" s="5"/>
      <c r="C478" s="5"/>
    </row>
    <row r="479" spans="1:3" ht="15.75" customHeight="1" x14ac:dyDescent="0.3">
      <c r="A479" s="5"/>
      <c r="B479" s="5"/>
      <c r="C479" s="5"/>
    </row>
    <row r="480" spans="1:3" ht="15.75" customHeight="1" x14ac:dyDescent="0.3">
      <c r="A480" s="5"/>
      <c r="B480" s="5"/>
      <c r="C480" s="5"/>
    </row>
    <row r="481" spans="1:3" ht="15.75" customHeight="1" x14ac:dyDescent="0.3">
      <c r="A481" s="5"/>
      <c r="B481" s="5"/>
      <c r="C481" s="5"/>
    </row>
    <row r="482" spans="1:3" ht="15.75" customHeight="1" x14ac:dyDescent="0.3">
      <c r="A482" s="5"/>
      <c r="B482" s="5"/>
      <c r="C482" s="5"/>
    </row>
    <row r="483" spans="1:3" ht="15.75" customHeight="1" x14ac:dyDescent="0.3">
      <c r="A483" s="5"/>
      <c r="B483" s="5"/>
      <c r="C483" s="5"/>
    </row>
    <row r="484" spans="1:3" ht="15.75" customHeight="1" x14ac:dyDescent="0.3">
      <c r="A484" s="5"/>
      <c r="B484" s="5"/>
      <c r="C484" s="5"/>
    </row>
    <row r="485" spans="1:3" ht="15.75" customHeight="1" x14ac:dyDescent="0.3">
      <c r="A485" s="5"/>
      <c r="B485" s="5"/>
      <c r="C485" s="5"/>
    </row>
    <row r="486" spans="1:3" ht="15.75" customHeight="1" x14ac:dyDescent="0.3">
      <c r="A486" s="5"/>
      <c r="B486" s="5"/>
      <c r="C486" s="5"/>
    </row>
    <row r="487" spans="1:3" ht="15.75" customHeight="1" x14ac:dyDescent="0.3">
      <c r="A487" s="5"/>
      <c r="B487" s="5"/>
      <c r="C487" s="5"/>
    </row>
    <row r="488" spans="1:3" ht="15.75" customHeight="1" x14ac:dyDescent="0.3">
      <c r="A488" s="5"/>
      <c r="B488" s="5"/>
      <c r="C488" s="5"/>
    </row>
    <row r="489" spans="1:3" ht="15.75" customHeight="1" x14ac:dyDescent="0.3">
      <c r="A489" s="5"/>
      <c r="B489" s="5"/>
      <c r="C489" s="5"/>
    </row>
    <row r="490" spans="1:3" ht="15.75" customHeight="1" x14ac:dyDescent="0.3">
      <c r="A490" s="5"/>
      <c r="B490" s="5"/>
      <c r="C490" s="5"/>
    </row>
    <row r="491" spans="1:3" ht="15.75" customHeight="1" x14ac:dyDescent="0.3">
      <c r="A491" s="5"/>
      <c r="B491" s="5"/>
      <c r="C491" s="5"/>
    </row>
    <row r="492" spans="1:3" ht="15.75" customHeight="1" x14ac:dyDescent="0.3">
      <c r="A492" s="5"/>
      <c r="B492" s="5"/>
      <c r="C492" s="5"/>
    </row>
    <row r="493" spans="1:3" ht="15.75" customHeight="1" x14ac:dyDescent="0.3">
      <c r="A493" s="5"/>
      <c r="B493" s="5"/>
      <c r="C493" s="5"/>
    </row>
    <row r="494" spans="1:3" ht="15.75" customHeight="1" x14ac:dyDescent="0.3">
      <c r="A494" s="5"/>
      <c r="B494" s="5"/>
      <c r="C494" s="5"/>
    </row>
    <row r="495" spans="1:3" ht="15.75" customHeight="1" x14ac:dyDescent="0.3">
      <c r="A495" s="5"/>
      <c r="B495" s="5"/>
      <c r="C495" s="5"/>
    </row>
    <row r="496" spans="1:3" ht="15.75" customHeight="1" x14ac:dyDescent="0.3">
      <c r="A496" s="5"/>
      <c r="B496" s="5"/>
      <c r="C496" s="5"/>
    </row>
    <row r="497" spans="1:3" ht="15.75" customHeight="1" x14ac:dyDescent="0.3">
      <c r="A497" s="5"/>
      <c r="B497" s="5"/>
      <c r="C497" s="5"/>
    </row>
    <row r="498" spans="1:3" ht="15.75" customHeight="1" x14ac:dyDescent="0.3">
      <c r="A498" s="5"/>
      <c r="B498" s="5"/>
      <c r="C498" s="5"/>
    </row>
    <row r="499" spans="1:3" ht="15.75" customHeight="1" x14ac:dyDescent="0.3">
      <c r="A499" s="5"/>
      <c r="B499" s="5"/>
      <c r="C499" s="5"/>
    </row>
    <row r="500" spans="1:3" ht="15.75" customHeight="1" x14ac:dyDescent="0.3">
      <c r="A500" s="5"/>
      <c r="B500" s="5"/>
      <c r="C500" s="5"/>
    </row>
    <row r="501" spans="1:3" ht="15.75" customHeight="1" x14ac:dyDescent="0.3">
      <c r="A501" s="5"/>
      <c r="B501" s="5"/>
      <c r="C501" s="5"/>
    </row>
    <row r="502" spans="1:3" ht="15.75" customHeight="1" x14ac:dyDescent="0.3">
      <c r="A502" s="5"/>
      <c r="B502" s="5"/>
      <c r="C502" s="5"/>
    </row>
    <row r="503" spans="1:3" ht="15.75" customHeight="1" x14ac:dyDescent="0.3">
      <c r="A503" s="5"/>
      <c r="B503" s="5"/>
      <c r="C503" s="5"/>
    </row>
    <row r="504" spans="1:3" ht="15.75" customHeight="1" x14ac:dyDescent="0.3">
      <c r="A504" s="5"/>
      <c r="B504" s="5"/>
      <c r="C504" s="5"/>
    </row>
    <row r="505" spans="1:3" ht="15.75" customHeight="1" x14ac:dyDescent="0.3">
      <c r="A505" s="5"/>
      <c r="B505" s="5"/>
      <c r="C505" s="5"/>
    </row>
    <row r="506" spans="1:3" ht="15.75" customHeight="1" x14ac:dyDescent="0.3">
      <c r="A506" s="5"/>
      <c r="B506" s="5"/>
      <c r="C506" s="5"/>
    </row>
    <row r="507" spans="1:3" ht="15.75" customHeight="1" x14ac:dyDescent="0.3">
      <c r="A507" s="5"/>
      <c r="B507" s="5"/>
      <c r="C507" s="5"/>
    </row>
    <row r="508" spans="1:3" ht="15.75" customHeight="1" x14ac:dyDescent="0.3">
      <c r="A508" s="5"/>
      <c r="B508" s="5"/>
      <c r="C508" s="5"/>
    </row>
    <row r="509" spans="1:3" ht="15.75" customHeight="1" x14ac:dyDescent="0.3">
      <c r="A509" s="5"/>
      <c r="B509" s="5"/>
      <c r="C509" s="5"/>
    </row>
    <row r="510" spans="1:3" ht="15.75" customHeight="1" x14ac:dyDescent="0.3">
      <c r="A510" s="5"/>
      <c r="B510" s="5"/>
      <c r="C510" s="5"/>
    </row>
    <row r="511" spans="1:3" ht="15.75" customHeight="1" x14ac:dyDescent="0.3">
      <c r="A511" s="5"/>
      <c r="B511" s="5"/>
      <c r="C511" s="5"/>
    </row>
    <row r="512" spans="1:3" ht="15.75" customHeight="1" x14ac:dyDescent="0.3">
      <c r="A512" s="5"/>
      <c r="B512" s="5"/>
      <c r="C512" s="5"/>
    </row>
    <row r="513" spans="1:3" ht="15.75" customHeight="1" x14ac:dyDescent="0.3">
      <c r="A513" s="5"/>
      <c r="B513" s="5"/>
      <c r="C513" s="5"/>
    </row>
    <row r="514" spans="1:3" ht="15.75" customHeight="1" x14ac:dyDescent="0.3">
      <c r="A514" s="5"/>
      <c r="B514" s="5"/>
      <c r="C514" s="5"/>
    </row>
    <row r="515" spans="1:3" ht="15.75" customHeight="1" x14ac:dyDescent="0.3">
      <c r="A515" s="5"/>
      <c r="B515" s="5"/>
      <c r="C515" s="5"/>
    </row>
    <row r="516" spans="1:3" ht="15.75" customHeight="1" x14ac:dyDescent="0.3">
      <c r="A516" s="5"/>
      <c r="B516" s="5"/>
      <c r="C516" s="5"/>
    </row>
    <row r="517" spans="1:3" ht="15.75" customHeight="1" x14ac:dyDescent="0.3">
      <c r="A517" s="5"/>
      <c r="B517" s="5"/>
      <c r="C517" s="5"/>
    </row>
    <row r="518" spans="1:3" ht="15.75" customHeight="1" x14ac:dyDescent="0.3">
      <c r="A518" s="5"/>
      <c r="B518" s="5"/>
      <c r="C518" s="5"/>
    </row>
    <row r="519" spans="1:3" ht="15.75" customHeight="1" x14ac:dyDescent="0.3">
      <c r="A519" s="5"/>
      <c r="B519" s="5"/>
      <c r="C519" s="5"/>
    </row>
    <row r="520" spans="1:3" ht="15.75" customHeight="1" x14ac:dyDescent="0.3">
      <c r="A520" s="5"/>
      <c r="B520" s="5"/>
      <c r="C520" s="5"/>
    </row>
    <row r="521" spans="1:3" ht="15.75" customHeight="1" x14ac:dyDescent="0.3">
      <c r="A521" s="5"/>
      <c r="B521" s="5"/>
      <c r="C521" s="5"/>
    </row>
    <row r="522" spans="1:3" ht="15.75" customHeight="1" x14ac:dyDescent="0.3">
      <c r="A522" s="5"/>
      <c r="B522" s="5"/>
      <c r="C522" s="5"/>
    </row>
    <row r="523" spans="1:3" ht="15.75" customHeight="1" x14ac:dyDescent="0.3">
      <c r="A523" s="5"/>
      <c r="B523" s="5"/>
      <c r="C523" s="5"/>
    </row>
    <row r="524" spans="1:3" ht="15.75" customHeight="1" x14ac:dyDescent="0.3">
      <c r="A524" s="5"/>
      <c r="B524" s="5"/>
      <c r="C524" s="5"/>
    </row>
    <row r="525" spans="1:3" ht="15.75" customHeight="1" x14ac:dyDescent="0.3">
      <c r="A525" s="5"/>
      <c r="B525" s="5"/>
      <c r="C525" s="5"/>
    </row>
    <row r="526" spans="1:3" ht="15.75" customHeight="1" x14ac:dyDescent="0.3">
      <c r="A526" s="5"/>
      <c r="B526" s="5"/>
      <c r="C526" s="5"/>
    </row>
    <row r="527" spans="1:3" ht="15.75" customHeight="1" x14ac:dyDescent="0.3">
      <c r="A527" s="5"/>
      <c r="B527" s="5"/>
      <c r="C527" s="5"/>
    </row>
    <row r="528" spans="1:3" ht="15.75" customHeight="1" x14ac:dyDescent="0.3">
      <c r="A528" s="5"/>
      <c r="B528" s="5"/>
      <c r="C528" s="5"/>
    </row>
    <row r="529" spans="1:3" ht="15.75" customHeight="1" x14ac:dyDescent="0.3">
      <c r="A529" s="5"/>
      <c r="B529" s="5"/>
      <c r="C529" s="5"/>
    </row>
    <row r="530" spans="1:3" ht="15.75" customHeight="1" x14ac:dyDescent="0.3">
      <c r="A530" s="5"/>
      <c r="B530" s="5"/>
      <c r="C530" s="5"/>
    </row>
    <row r="531" spans="1:3" ht="15.75" customHeight="1" x14ac:dyDescent="0.3">
      <c r="A531" s="5"/>
      <c r="B531" s="5"/>
      <c r="C531" s="5"/>
    </row>
    <row r="532" spans="1:3" ht="15.75" customHeight="1" x14ac:dyDescent="0.3">
      <c r="A532" s="5"/>
      <c r="B532" s="5"/>
      <c r="C532" s="5"/>
    </row>
    <row r="533" spans="1:3" ht="15.75" customHeight="1" x14ac:dyDescent="0.3">
      <c r="A533" s="5"/>
      <c r="B533" s="5"/>
      <c r="C533" s="5"/>
    </row>
    <row r="534" spans="1:3" ht="15.75" customHeight="1" x14ac:dyDescent="0.3">
      <c r="A534" s="5"/>
      <c r="B534" s="5"/>
      <c r="C534" s="5"/>
    </row>
    <row r="535" spans="1:3" ht="15.75" customHeight="1" x14ac:dyDescent="0.3">
      <c r="A535" s="5"/>
      <c r="B535" s="5"/>
      <c r="C535" s="5"/>
    </row>
    <row r="536" spans="1:3" ht="15.75" customHeight="1" x14ac:dyDescent="0.3">
      <c r="A536" s="5"/>
      <c r="B536" s="5"/>
      <c r="C536" s="5"/>
    </row>
    <row r="537" spans="1:3" ht="15.75" customHeight="1" x14ac:dyDescent="0.3">
      <c r="A537" s="5"/>
      <c r="B537" s="5"/>
      <c r="C537" s="5"/>
    </row>
    <row r="538" spans="1:3" ht="15.75" customHeight="1" x14ac:dyDescent="0.3">
      <c r="A538" s="5"/>
      <c r="B538" s="5"/>
      <c r="C538" s="5"/>
    </row>
    <row r="539" spans="1:3" ht="15.75" customHeight="1" x14ac:dyDescent="0.3">
      <c r="A539" s="5"/>
      <c r="B539" s="5"/>
      <c r="C539" s="5"/>
    </row>
    <row r="540" spans="1:3" ht="15.75" customHeight="1" x14ac:dyDescent="0.3">
      <c r="A540" s="5"/>
      <c r="B540" s="5"/>
      <c r="C540" s="5"/>
    </row>
    <row r="541" spans="1:3" ht="15.75" customHeight="1" x14ac:dyDescent="0.3">
      <c r="A541" s="5"/>
      <c r="B541" s="5"/>
      <c r="C541" s="5"/>
    </row>
    <row r="542" spans="1:3" ht="15.75" customHeight="1" x14ac:dyDescent="0.3">
      <c r="A542" s="5"/>
      <c r="B542" s="5"/>
      <c r="C542" s="5"/>
    </row>
    <row r="543" spans="1:3" ht="15.75" customHeight="1" x14ac:dyDescent="0.3">
      <c r="A543" s="5"/>
      <c r="B543" s="5"/>
      <c r="C543" s="5"/>
    </row>
    <row r="544" spans="1:3" ht="15.75" customHeight="1" x14ac:dyDescent="0.3">
      <c r="A544" s="5"/>
      <c r="B544" s="5"/>
      <c r="C544" s="5"/>
    </row>
    <row r="545" spans="1:3" ht="15.75" customHeight="1" x14ac:dyDescent="0.3">
      <c r="A545" s="5"/>
      <c r="B545" s="5"/>
      <c r="C545" s="5"/>
    </row>
    <row r="546" spans="1:3" ht="15.75" customHeight="1" x14ac:dyDescent="0.3">
      <c r="A546" s="5"/>
      <c r="B546" s="5"/>
      <c r="C546" s="5"/>
    </row>
    <row r="547" spans="1:3" ht="15.75" customHeight="1" x14ac:dyDescent="0.3">
      <c r="A547" s="5"/>
      <c r="B547" s="5"/>
      <c r="C547" s="5"/>
    </row>
    <row r="548" spans="1:3" ht="15.75" customHeight="1" x14ac:dyDescent="0.3">
      <c r="A548" s="5"/>
      <c r="B548" s="5"/>
      <c r="C548" s="5"/>
    </row>
    <row r="549" spans="1:3" ht="15.75" customHeight="1" x14ac:dyDescent="0.3">
      <c r="A549" s="5"/>
      <c r="B549" s="5"/>
      <c r="C549" s="5"/>
    </row>
    <row r="550" spans="1:3" ht="15.75" customHeight="1" x14ac:dyDescent="0.3">
      <c r="A550" s="5"/>
      <c r="B550" s="5"/>
      <c r="C550" s="5"/>
    </row>
    <row r="551" spans="1:3" ht="15.75" customHeight="1" x14ac:dyDescent="0.3">
      <c r="A551" s="5"/>
      <c r="B551" s="5"/>
      <c r="C551" s="5"/>
    </row>
    <row r="552" spans="1:3" ht="15.75" customHeight="1" x14ac:dyDescent="0.3">
      <c r="A552" s="5"/>
      <c r="B552" s="5"/>
      <c r="C552" s="5"/>
    </row>
    <row r="553" spans="1:3" ht="15.75" customHeight="1" x14ac:dyDescent="0.3">
      <c r="A553" s="5"/>
      <c r="B553" s="5"/>
      <c r="C553" s="5"/>
    </row>
    <row r="554" spans="1:3" ht="15.75" customHeight="1" x14ac:dyDescent="0.3">
      <c r="A554" s="5"/>
      <c r="B554" s="5"/>
      <c r="C554" s="5"/>
    </row>
    <row r="555" spans="1:3" ht="15.75" customHeight="1" x14ac:dyDescent="0.3">
      <c r="A555" s="5"/>
      <c r="B555" s="5"/>
      <c r="C555" s="5"/>
    </row>
    <row r="556" spans="1:3" ht="15.75" customHeight="1" x14ac:dyDescent="0.3">
      <c r="A556" s="5"/>
      <c r="B556" s="5"/>
      <c r="C556" s="5"/>
    </row>
    <row r="557" spans="1:3" ht="15.75" customHeight="1" x14ac:dyDescent="0.3">
      <c r="A557" s="5"/>
      <c r="B557" s="5"/>
      <c r="C557" s="5"/>
    </row>
    <row r="558" spans="1:3" ht="15.75" customHeight="1" x14ac:dyDescent="0.3">
      <c r="A558" s="5"/>
      <c r="B558" s="5"/>
      <c r="C558" s="5"/>
    </row>
    <row r="559" spans="1:3" ht="15.75" customHeight="1" x14ac:dyDescent="0.3">
      <c r="A559" s="5"/>
      <c r="B559" s="5"/>
      <c r="C559" s="5"/>
    </row>
    <row r="560" spans="1:3" ht="15.75" customHeight="1" x14ac:dyDescent="0.3">
      <c r="A560" s="5"/>
      <c r="B560" s="5"/>
      <c r="C560" s="5"/>
    </row>
    <row r="561" spans="1:3" ht="15.75" customHeight="1" x14ac:dyDescent="0.3">
      <c r="A561" s="5"/>
      <c r="B561" s="5"/>
      <c r="C561" s="5"/>
    </row>
    <row r="562" spans="1:3" ht="15.75" customHeight="1" x14ac:dyDescent="0.3">
      <c r="A562" s="5"/>
      <c r="B562" s="5"/>
      <c r="C562" s="5"/>
    </row>
    <row r="563" spans="1:3" ht="15.75" customHeight="1" x14ac:dyDescent="0.3">
      <c r="A563" s="5"/>
      <c r="B563" s="5"/>
      <c r="C563" s="5"/>
    </row>
    <row r="564" spans="1:3" ht="15.75" customHeight="1" x14ac:dyDescent="0.3">
      <c r="A564" s="5"/>
      <c r="B564" s="5"/>
      <c r="C564" s="5"/>
    </row>
    <row r="565" spans="1:3" ht="15.75" customHeight="1" x14ac:dyDescent="0.3">
      <c r="A565" s="5"/>
      <c r="B565" s="5"/>
      <c r="C565" s="5"/>
    </row>
    <row r="566" spans="1:3" ht="15.75" customHeight="1" x14ac:dyDescent="0.3">
      <c r="A566" s="5"/>
      <c r="B566" s="5"/>
      <c r="C566" s="5"/>
    </row>
    <row r="567" spans="1:3" ht="15.75" customHeight="1" x14ac:dyDescent="0.3">
      <c r="A567" s="5"/>
      <c r="B567" s="5"/>
      <c r="C567" s="5"/>
    </row>
    <row r="568" spans="1:3" ht="15.75" customHeight="1" x14ac:dyDescent="0.3">
      <c r="A568" s="5"/>
      <c r="B568" s="5"/>
      <c r="C568" s="5"/>
    </row>
    <row r="569" spans="1:3" ht="15.75" customHeight="1" x14ac:dyDescent="0.3">
      <c r="A569" s="5"/>
      <c r="B569" s="5"/>
      <c r="C569" s="5"/>
    </row>
    <row r="570" spans="1:3" ht="15.75" customHeight="1" x14ac:dyDescent="0.3">
      <c r="A570" s="5"/>
      <c r="B570" s="5"/>
      <c r="C570" s="5"/>
    </row>
    <row r="571" spans="1:3" ht="15.75" customHeight="1" x14ac:dyDescent="0.3">
      <c r="A571" s="5"/>
      <c r="B571" s="5"/>
      <c r="C571" s="5"/>
    </row>
    <row r="572" spans="1:3" ht="15.75" customHeight="1" x14ac:dyDescent="0.3">
      <c r="A572" s="5"/>
      <c r="B572" s="5"/>
      <c r="C572" s="5"/>
    </row>
    <row r="573" spans="1:3" ht="15.75" customHeight="1" x14ac:dyDescent="0.3">
      <c r="A573" s="5"/>
      <c r="B573" s="5"/>
      <c r="C573" s="5"/>
    </row>
    <row r="574" spans="1:3" ht="15.75" customHeight="1" x14ac:dyDescent="0.3">
      <c r="A574" s="5"/>
      <c r="B574" s="5"/>
      <c r="C574" s="5"/>
    </row>
    <row r="575" spans="1:3" ht="15.75" customHeight="1" x14ac:dyDescent="0.3">
      <c r="A575" s="5"/>
      <c r="B575" s="5"/>
      <c r="C575" s="5"/>
    </row>
    <row r="576" spans="1:3" ht="15.75" customHeight="1" x14ac:dyDescent="0.3">
      <c r="A576" s="5"/>
      <c r="B576" s="5"/>
      <c r="C576" s="5"/>
    </row>
    <row r="577" spans="1:3" ht="15.75" customHeight="1" x14ac:dyDescent="0.3">
      <c r="A577" s="5"/>
      <c r="B577" s="5"/>
      <c r="C577" s="5"/>
    </row>
    <row r="578" spans="1:3" ht="15.75" customHeight="1" x14ac:dyDescent="0.3">
      <c r="A578" s="5"/>
      <c r="B578" s="5"/>
      <c r="C578" s="5"/>
    </row>
    <row r="579" spans="1:3" ht="15.75" customHeight="1" x14ac:dyDescent="0.3">
      <c r="A579" s="5"/>
      <c r="B579" s="5"/>
      <c r="C579" s="5"/>
    </row>
    <row r="580" spans="1:3" ht="15.75" customHeight="1" x14ac:dyDescent="0.3">
      <c r="A580" s="5"/>
      <c r="B580" s="5"/>
      <c r="C580" s="5"/>
    </row>
    <row r="581" spans="1:3" ht="15.75" customHeight="1" x14ac:dyDescent="0.3">
      <c r="A581" s="5"/>
      <c r="B581" s="5"/>
      <c r="C581" s="5"/>
    </row>
    <row r="582" spans="1:3" ht="15.75" customHeight="1" x14ac:dyDescent="0.3">
      <c r="A582" s="5"/>
      <c r="B582" s="5"/>
      <c r="C582" s="5"/>
    </row>
    <row r="583" spans="1:3" ht="15.75" customHeight="1" x14ac:dyDescent="0.3">
      <c r="A583" s="5"/>
      <c r="B583" s="5"/>
      <c r="C583" s="5"/>
    </row>
    <row r="584" spans="1:3" ht="15.75" customHeight="1" x14ac:dyDescent="0.3">
      <c r="A584" s="5"/>
      <c r="B584" s="5"/>
      <c r="C584" s="5"/>
    </row>
    <row r="585" spans="1:3" ht="15.75" customHeight="1" x14ac:dyDescent="0.3">
      <c r="A585" s="5"/>
      <c r="B585" s="5"/>
      <c r="C585" s="5"/>
    </row>
    <row r="586" spans="1:3" ht="15.75" customHeight="1" x14ac:dyDescent="0.3">
      <c r="A586" s="5"/>
      <c r="B586" s="5"/>
      <c r="C586" s="5"/>
    </row>
    <row r="587" spans="1:3" ht="15.75" customHeight="1" x14ac:dyDescent="0.3">
      <c r="A587" s="5"/>
      <c r="B587" s="5"/>
      <c r="C587" s="5"/>
    </row>
    <row r="588" spans="1:3" ht="15.75" customHeight="1" x14ac:dyDescent="0.3">
      <c r="A588" s="5"/>
      <c r="B588" s="5"/>
      <c r="C588" s="5"/>
    </row>
    <row r="589" spans="1:3" ht="15.75" customHeight="1" x14ac:dyDescent="0.3">
      <c r="A589" s="5"/>
      <c r="B589" s="5"/>
      <c r="C589" s="5"/>
    </row>
    <row r="590" spans="1:3" ht="15.75" customHeight="1" x14ac:dyDescent="0.3">
      <c r="A590" s="5"/>
      <c r="B590" s="5"/>
      <c r="C590" s="5"/>
    </row>
    <row r="591" spans="1:3" ht="15.75" customHeight="1" x14ac:dyDescent="0.3">
      <c r="A591" s="5"/>
      <c r="B591" s="5"/>
      <c r="C591" s="5"/>
    </row>
    <row r="592" spans="1:3" ht="15.75" customHeight="1" x14ac:dyDescent="0.3">
      <c r="A592" s="5"/>
      <c r="B592" s="5"/>
      <c r="C592" s="5"/>
    </row>
    <row r="593" spans="1:3" ht="15.75" customHeight="1" x14ac:dyDescent="0.3">
      <c r="A593" s="5"/>
      <c r="B593" s="5"/>
      <c r="C593" s="5"/>
    </row>
    <row r="594" spans="1:3" ht="15.75" customHeight="1" x14ac:dyDescent="0.3">
      <c r="A594" s="5"/>
      <c r="B594" s="5"/>
      <c r="C594" s="5"/>
    </row>
    <row r="595" spans="1:3" ht="15.75" customHeight="1" x14ac:dyDescent="0.3">
      <c r="A595" s="5"/>
      <c r="B595" s="5"/>
      <c r="C595" s="5"/>
    </row>
    <row r="596" spans="1:3" ht="15.75" customHeight="1" x14ac:dyDescent="0.3">
      <c r="A596" s="5"/>
      <c r="B596" s="5"/>
      <c r="C596" s="5"/>
    </row>
    <row r="597" spans="1:3" ht="15.75" customHeight="1" x14ac:dyDescent="0.3">
      <c r="A597" s="5"/>
      <c r="B597" s="5"/>
      <c r="C597" s="5"/>
    </row>
    <row r="598" spans="1:3" ht="15.75" customHeight="1" x14ac:dyDescent="0.3">
      <c r="A598" s="5"/>
      <c r="B598" s="5"/>
      <c r="C598" s="5"/>
    </row>
    <row r="599" spans="1:3" ht="15.75" customHeight="1" x14ac:dyDescent="0.3">
      <c r="A599" s="5"/>
      <c r="B599" s="5"/>
      <c r="C599" s="5"/>
    </row>
    <row r="600" spans="1:3" ht="15.75" customHeight="1" x14ac:dyDescent="0.3">
      <c r="A600" s="5"/>
      <c r="B600" s="5"/>
      <c r="C600" s="5"/>
    </row>
    <row r="601" spans="1:3" ht="15.75" customHeight="1" x14ac:dyDescent="0.3">
      <c r="A601" s="5"/>
      <c r="B601" s="5"/>
      <c r="C601" s="5"/>
    </row>
    <row r="602" spans="1:3" ht="15.75" customHeight="1" x14ac:dyDescent="0.3">
      <c r="A602" s="5"/>
      <c r="B602" s="5"/>
      <c r="C602" s="5"/>
    </row>
    <row r="603" spans="1:3" ht="15.75" customHeight="1" x14ac:dyDescent="0.3">
      <c r="A603" s="5"/>
      <c r="B603" s="5"/>
      <c r="C603" s="5"/>
    </row>
    <row r="604" spans="1:3" ht="15.75" customHeight="1" x14ac:dyDescent="0.3">
      <c r="A604" s="5"/>
      <c r="B604" s="5"/>
      <c r="C604" s="5"/>
    </row>
    <row r="605" spans="1:3" ht="15.75" customHeight="1" x14ac:dyDescent="0.3">
      <c r="A605" s="5"/>
      <c r="B605" s="5"/>
      <c r="C605" s="5"/>
    </row>
    <row r="606" spans="1:3" ht="15.75" customHeight="1" x14ac:dyDescent="0.3">
      <c r="A606" s="5"/>
      <c r="B606" s="5"/>
      <c r="C606" s="5"/>
    </row>
    <row r="607" spans="1:3" ht="15.75" customHeight="1" x14ac:dyDescent="0.3">
      <c r="A607" s="5"/>
      <c r="B607" s="5"/>
      <c r="C607" s="5"/>
    </row>
    <row r="608" spans="1:3" ht="15.75" customHeight="1" x14ac:dyDescent="0.3">
      <c r="A608" s="5"/>
      <c r="B608" s="5"/>
      <c r="C608" s="5"/>
    </row>
    <row r="609" spans="1:3" ht="15.75" customHeight="1" x14ac:dyDescent="0.3">
      <c r="A609" s="5"/>
      <c r="B609" s="5"/>
      <c r="C609" s="5"/>
    </row>
    <row r="610" spans="1:3" ht="15.75" customHeight="1" x14ac:dyDescent="0.3">
      <c r="A610" s="5"/>
      <c r="B610" s="5"/>
      <c r="C610" s="5"/>
    </row>
    <row r="611" spans="1:3" ht="15.75" customHeight="1" x14ac:dyDescent="0.3">
      <c r="A611" s="5"/>
      <c r="B611" s="5"/>
      <c r="C611" s="5"/>
    </row>
    <row r="612" spans="1:3" ht="15.75" customHeight="1" x14ac:dyDescent="0.3">
      <c r="A612" s="5"/>
      <c r="B612" s="5"/>
      <c r="C612" s="5"/>
    </row>
    <row r="613" spans="1:3" ht="15.75" customHeight="1" x14ac:dyDescent="0.3">
      <c r="A613" s="5"/>
      <c r="B613" s="5"/>
      <c r="C613" s="5"/>
    </row>
    <row r="614" spans="1:3" ht="15.75" customHeight="1" x14ac:dyDescent="0.3">
      <c r="A614" s="5"/>
      <c r="B614" s="5"/>
      <c r="C614" s="5"/>
    </row>
    <row r="615" spans="1:3" ht="15.75" customHeight="1" x14ac:dyDescent="0.3">
      <c r="A615" s="5"/>
      <c r="B615" s="5"/>
      <c r="C615" s="5"/>
    </row>
    <row r="616" spans="1:3" ht="15.75" customHeight="1" x14ac:dyDescent="0.3">
      <c r="A616" s="5"/>
      <c r="B616" s="5"/>
      <c r="C616" s="5"/>
    </row>
    <row r="617" spans="1:3" ht="15.75" customHeight="1" x14ac:dyDescent="0.3">
      <c r="A617" s="5"/>
      <c r="B617" s="5"/>
      <c r="C617" s="5"/>
    </row>
    <row r="618" spans="1:3" ht="15.75" customHeight="1" x14ac:dyDescent="0.3">
      <c r="A618" s="5"/>
      <c r="B618" s="5"/>
      <c r="C618" s="5"/>
    </row>
    <row r="619" spans="1:3" ht="15.75" customHeight="1" x14ac:dyDescent="0.3">
      <c r="A619" s="5"/>
      <c r="B619" s="5"/>
      <c r="C619" s="5"/>
    </row>
    <row r="620" spans="1:3" ht="15.75" customHeight="1" x14ac:dyDescent="0.3">
      <c r="A620" s="5"/>
      <c r="B620" s="5"/>
      <c r="C620" s="5"/>
    </row>
    <row r="621" spans="1:3" ht="15.75" customHeight="1" x14ac:dyDescent="0.3">
      <c r="A621" s="5"/>
      <c r="B621" s="5"/>
      <c r="C621" s="5"/>
    </row>
    <row r="622" spans="1:3" ht="15.75" customHeight="1" x14ac:dyDescent="0.3">
      <c r="A622" s="5"/>
      <c r="B622" s="5"/>
      <c r="C622" s="5"/>
    </row>
    <row r="623" spans="1:3" ht="15.75" customHeight="1" x14ac:dyDescent="0.3">
      <c r="A623" s="5"/>
      <c r="B623" s="5"/>
      <c r="C623" s="5"/>
    </row>
    <row r="624" spans="1:3" ht="15.75" customHeight="1" x14ac:dyDescent="0.3">
      <c r="A624" s="5"/>
      <c r="B624" s="5"/>
      <c r="C624" s="5"/>
    </row>
    <row r="625" spans="1:3" ht="15.75" customHeight="1" x14ac:dyDescent="0.3">
      <c r="A625" s="5"/>
      <c r="B625" s="5"/>
      <c r="C625" s="5"/>
    </row>
    <row r="626" spans="1:3" ht="15.75" customHeight="1" x14ac:dyDescent="0.3">
      <c r="A626" s="5"/>
      <c r="B626" s="5"/>
      <c r="C626" s="5"/>
    </row>
    <row r="627" spans="1:3" ht="15.75" customHeight="1" x14ac:dyDescent="0.3">
      <c r="A627" s="5"/>
      <c r="B627" s="5"/>
      <c r="C627" s="5"/>
    </row>
    <row r="628" spans="1:3" ht="15.75" customHeight="1" x14ac:dyDescent="0.3">
      <c r="A628" s="5"/>
      <c r="B628" s="5"/>
      <c r="C628" s="5"/>
    </row>
    <row r="629" spans="1:3" ht="15.75" customHeight="1" x14ac:dyDescent="0.3">
      <c r="A629" s="5"/>
      <c r="B629" s="5"/>
      <c r="C629" s="5"/>
    </row>
    <row r="630" spans="1:3" ht="15.75" customHeight="1" x14ac:dyDescent="0.3">
      <c r="A630" s="5"/>
      <c r="B630" s="5"/>
      <c r="C630" s="5"/>
    </row>
    <row r="631" spans="1:3" ht="15.75" customHeight="1" x14ac:dyDescent="0.3">
      <c r="A631" s="5"/>
      <c r="B631" s="5"/>
      <c r="C631" s="5"/>
    </row>
    <row r="632" spans="1:3" ht="15.75" customHeight="1" x14ac:dyDescent="0.3">
      <c r="A632" s="5"/>
      <c r="B632" s="5"/>
      <c r="C632" s="5"/>
    </row>
    <row r="633" spans="1:3" ht="15.75" customHeight="1" x14ac:dyDescent="0.3">
      <c r="A633" s="5"/>
      <c r="B633" s="5"/>
      <c r="C633" s="5"/>
    </row>
    <row r="634" spans="1:3" ht="15.75" customHeight="1" x14ac:dyDescent="0.3">
      <c r="A634" s="5"/>
      <c r="B634" s="5"/>
      <c r="C634" s="5"/>
    </row>
    <row r="635" spans="1:3" ht="15.75" customHeight="1" x14ac:dyDescent="0.3">
      <c r="A635" s="5"/>
      <c r="B635" s="5"/>
      <c r="C635" s="5"/>
    </row>
    <row r="636" spans="1:3" ht="15.75" customHeight="1" x14ac:dyDescent="0.3">
      <c r="A636" s="5"/>
      <c r="B636" s="5"/>
      <c r="C636" s="5"/>
    </row>
    <row r="637" spans="1:3" ht="15.75" customHeight="1" x14ac:dyDescent="0.3">
      <c r="A637" s="5"/>
      <c r="B637" s="5"/>
      <c r="C637" s="5"/>
    </row>
    <row r="638" spans="1:3" ht="15.75" customHeight="1" x14ac:dyDescent="0.3">
      <c r="A638" s="5"/>
      <c r="B638" s="5"/>
      <c r="C638" s="5"/>
    </row>
    <row r="639" spans="1:3" ht="15.75" customHeight="1" x14ac:dyDescent="0.3">
      <c r="A639" s="5"/>
      <c r="B639" s="5"/>
      <c r="C639" s="5"/>
    </row>
    <row r="640" spans="1:3" ht="15.75" customHeight="1" x14ac:dyDescent="0.3">
      <c r="A640" s="5"/>
      <c r="B640" s="5"/>
      <c r="C640" s="5"/>
    </row>
    <row r="641" spans="1:3" ht="15.75" customHeight="1" x14ac:dyDescent="0.3">
      <c r="A641" s="5"/>
      <c r="B641" s="5"/>
      <c r="C641" s="5"/>
    </row>
    <row r="642" spans="1:3" ht="15.75" customHeight="1" x14ac:dyDescent="0.3">
      <c r="A642" s="5"/>
      <c r="B642" s="5"/>
      <c r="C642" s="5"/>
    </row>
    <row r="643" spans="1:3" ht="15.75" customHeight="1" x14ac:dyDescent="0.3">
      <c r="A643" s="5"/>
      <c r="B643" s="5"/>
      <c r="C643" s="5"/>
    </row>
    <row r="644" spans="1:3" ht="15.75" customHeight="1" x14ac:dyDescent="0.3">
      <c r="A644" s="5"/>
      <c r="B644" s="5"/>
      <c r="C644" s="5"/>
    </row>
    <row r="645" spans="1:3" ht="15.75" customHeight="1" x14ac:dyDescent="0.3">
      <c r="A645" s="5"/>
      <c r="B645" s="5"/>
      <c r="C645" s="5"/>
    </row>
    <row r="646" spans="1:3" ht="15.75" customHeight="1" x14ac:dyDescent="0.3">
      <c r="A646" s="5"/>
      <c r="B646" s="5"/>
      <c r="C646" s="5"/>
    </row>
    <row r="647" spans="1:3" ht="15.75" customHeight="1" x14ac:dyDescent="0.3">
      <c r="A647" s="5"/>
      <c r="B647" s="5"/>
      <c r="C647" s="5"/>
    </row>
    <row r="648" spans="1:3" ht="15.75" customHeight="1" x14ac:dyDescent="0.3">
      <c r="A648" s="5"/>
      <c r="B648" s="5"/>
      <c r="C648" s="5"/>
    </row>
    <row r="649" spans="1:3" ht="15.75" customHeight="1" x14ac:dyDescent="0.3">
      <c r="A649" s="5"/>
      <c r="B649" s="5"/>
      <c r="C649" s="5"/>
    </row>
    <row r="650" spans="1:3" ht="15.75" customHeight="1" x14ac:dyDescent="0.3">
      <c r="A650" s="5"/>
      <c r="B650" s="5"/>
      <c r="C650" s="5"/>
    </row>
    <row r="651" spans="1:3" ht="15.75" customHeight="1" x14ac:dyDescent="0.3">
      <c r="A651" s="5"/>
      <c r="B651" s="5"/>
      <c r="C651" s="5"/>
    </row>
    <row r="652" spans="1:3" ht="15.75" customHeight="1" x14ac:dyDescent="0.3">
      <c r="A652" s="5"/>
      <c r="B652" s="5"/>
      <c r="C652" s="5"/>
    </row>
    <row r="653" spans="1:3" ht="15.75" customHeight="1" x14ac:dyDescent="0.3">
      <c r="A653" s="5"/>
      <c r="B653" s="5"/>
      <c r="C653" s="5"/>
    </row>
    <row r="654" spans="1:3" ht="15.75" customHeight="1" x14ac:dyDescent="0.3">
      <c r="A654" s="5"/>
      <c r="B654" s="5"/>
      <c r="C654" s="5"/>
    </row>
    <row r="655" spans="1:3" ht="15.75" customHeight="1" x14ac:dyDescent="0.3">
      <c r="A655" s="5"/>
      <c r="B655" s="5"/>
      <c r="C655" s="5"/>
    </row>
    <row r="656" spans="1:3" ht="15.75" customHeight="1" x14ac:dyDescent="0.3">
      <c r="A656" s="5"/>
      <c r="B656" s="5"/>
      <c r="C656" s="5"/>
    </row>
    <row r="657" spans="1:3" ht="15.75" customHeight="1" x14ac:dyDescent="0.3">
      <c r="A657" s="5"/>
      <c r="B657" s="5"/>
      <c r="C657" s="5"/>
    </row>
    <row r="658" spans="1:3" ht="15.75" customHeight="1" x14ac:dyDescent="0.3">
      <c r="A658" s="5"/>
      <c r="B658" s="5"/>
      <c r="C658" s="5"/>
    </row>
    <row r="659" spans="1:3" ht="15.75" customHeight="1" x14ac:dyDescent="0.3">
      <c r="A659" s="5"/>
      <c r="B659" s="5"/>
      <c r="C659" s="5"/>
    </row>
    <row r="660" spans="1:3" ht="15.75" customHeight="1" x14ac:dyDescent="0.3">
      <c r="A660" s="5"/>
      <c r="B660" s="5"/>
      <c r="C660" s="5"/>
    </row>
    <row r="661" spans="1:3" ht="15.75" customHeight="1" x14ac:dyDescent="0.3">
      <c r="A661" s="5"/>
      <c r="B661" s="5"/>
      <c r="C661" s="5"/>
    </row>
    <row r="662" spans="1:3" ht="15.75" customHeight="1" x14ac:dyDescent="0.3">
      <c r="A662" s="5"/>
      <c r="B662" s="5"/>
      <c r="C662" s="5"/>
    </row>
    <row r="663" spans="1:3" ht="15.75" customHeight="1" x14ac:dyDescent="0.3">
      <c r="A663" s="5"/>
      <c r="B663" s="5"/>
      <c r="C663" s="5"/>
    </row>
    <row r="664" spans="1:3" ht="15.75" customHeight="1" x14ac:dyDescent="0.3">
      <c r="A664" s="5"/>
      <c r="B664" s="5"/>
      <c r="C664" s="5"/>
    </row>
    <row r="665" spans="1:3" ht="15.75" customHeight="1" x14ac:dyDescent="0.3">
      <c r="A665" s="5"/>
      <c r="B665" s="5"/>
      <c r="C665" s="5"/>
    </row>
    <row r="666" spans="1:3" ht="15.75" customHeight="1" x14ac:dyDescent="0.3">
      <c r="A666" s="5"/>
      <c r="B666" s="5"/>
      <c r="C666" s="5"/>
    </row>
    <row r="667" spans="1:3" ht="15.75" customHeight="1" x14ac:dyDescent="0.3">
      <c r="A667" s="5"/>
      <c r="B667" s="5"/>
      <c r="C667" s="5"/>
    </row>
    <row r="668" spans="1:3" ht="15.75" customHeight="1" x14ac:dyDescent="0.3">
      <c r="A668" s="5"/>
      <c r="B668" s="5"/>
      <c r="C668" s="5"/>
    </row>
    <row r="669" spans="1:3" ht="15.75" customHeight="1" x14ac:dyDescent="0.3">
      <c r="A669" s="5"/>
      <c r="B669" s="5"/>
      <c r="C669" s="5"/>
    </row>
    <row r="670" spans="1:3" ht="15.75" customHeight="1" x14ac:dyDescent="0.3">
      <c r="A670" s="5"/>
      <c r="B670" s="5"/>
      <c r="C670" s="5"/>
    </row>
    <row r="671" spans="1:3" ht="15.75" customHeight="1" x14ac:dyDescent="0.3">
      <c r="A671" s="5"/>
      <c r="B671" s="5"/>
      <c r="C671" s="5"/>
    </row>
    <row r="672" spans="1:3" ht="15.75" customHeight="1" x14ac:dyDescent="0.3">
      <c r="A672" s="5"/>
      <c r="B672" s="5"/>
      <c r="C672" s="5"/>
    </row>
    <row r="673" spans="1:3" ht="15.75" customHeight="1" x14ac:dyDescent="0.3">
      <c r="A673" s="5"/>
      <c r="B673" s="5"/>
      <c r="C673" s="5"/>
    </row>
    <row r="674" spans="1:3" ht="15.75" customHeight="1" x14ac:dyDescent="0.3">
      <c r="A674" s="5"/>
      <c r="B674" s="5"/>
      <c r="C674" s="5"/>
    </row>
    <row r="675" spans="1:3" ht="15.75" customHeight="1" x14ac:dyDescent="0.3">
      <c r="A675" s="5"/>
      <c r="B675" s="5"/>
      <c r="C675" s="5"/>
    </row>
    <row r="676" spans="1:3" ht="15.75" customHeight="1" x14ac:dyDescent="0.3">
      <c r="A676" s="5"/>
      <c r="B676" s="5"/>
      <c r="C676" s="5"/>
    </row>
    <row r="677" spans="1:3" ht="15.75" customHeight="1" x14ac:dyDescent="0.3">
      <c r="A677" s="5"/>
      <c r="B677" s="5"/>
      <c r="C677" s="5"/>
    </row>
    <row r="678" spans="1:3" ht="15.75" customHeight="1" x14ac:dyDescent="0.3">
      <c r="A678" s="5"/>
      <c r="B678" s="5"/>
      <c r="C678" s="5"/>
    </row>
    <row r="679" spans="1:3" ht="15.75" customHeight="1" x14ac:dyDescent="0.3">
      <c r="A679" s="5"/>
      <c r="B679" s="5"/>
      <c r="C679" s="5"/>
    </row>
    <row r="680" spans="1:3" ht="15.75" customHeight="1" x14ac:dyDescent="0.3">
      <c r="A680" s="5"/>
      <c r="B680" s="5"/>
      <c r="C680" s="5"/>
    </row>
    <row r="681" spans="1:3" ht="15.75" customHeight="1" x14ac:dyDescent="0.3">
      <c r="A681" s="5"/>
      <c r="B681" s="5"/>
      <c r="C681" s="5"/>
    </row>
    <row r="682" spans="1:3" ht="15.75" customHeight="1" x14ac:dyDescent="0.3">
      <c r="A682" s="5"/>
      <c r="B682" s="5"/>
      <c r="C682" s="5"/>
    </row>
    <row r="683" spans="1:3" ht="15.75" customHeight="1" x14ac:dyDescent="0.3">
      <c r="A683" s="5"/>
      <c r="B683" s="5"/>
      <c r="C683" s="5"/>
    </row>
    <row r="684" spans="1:3" ht="15.75" customHeight="1" x14ac:dyDescent="0.3">
      <c r="A684" s="5"/>
      <c r="B684" s="5"/>
      <c r="C684" s="5"/>
    </row>
    <row r="685" spans="1:3" ht="15.75" customHeight="1" x14ac:dyDescent="0.3">
      <c r="A685" s="5"/>
      <c r="B685" s="5"/>
      <c r="C685" s="5"/>
    </row>
    <row r="686" spans="1:3" ht="15.75" customHeight="1" x14ac:dyDescent="0.3">
      <c r="A686" s="5"/>
      <c r="B686" s="5"/>
      <c r="C686" s="5"/>
    </row>
    <row r="687" spans="1:3" ht="15.75" customHeight="1" x14ac:dyDescent="0.3">
      <c r="A687" s="5"/>
      <c r="B687" s="5"/>
      <c r="C687" s="5"/>
    </row>
    <row r="688" spans="1:3" ht="15.75" customHeight="1" x14ac:dyDescent="0.3">
      <c r="A688" s="5"/>
      <c r="B688" s="5"/>
      <c r="C688" s="5"/>
    </row>
    <row r="689" spans="1:3" ht="15.75" customHeight="1" x14ac:dyDescent="0.3">
      <c r="A689" s="5"/>
      <c r="B689" s="5"/>
      <c r="C689" s="5"/>
    </row>
    <row r="690" spans="1:3" ht="15.75" customHeight="1" x14ac:dyDescent="0.3">
      <c r="A690" s="5"/>
      <c r="B690" s="5"/>
      <c r="C690" s="5"/>
    </row>
    <row r="691" spans="1:3" ht="15.75" customHeight="1" x14ac:dyDescent="0.3">
      <c r="A691" s="5"/>
      <c r="B691" s="5"/>
      <c r="C691" s="5"/>
    </row>
    <row r="692" spans="1:3" ht="15.75" customHeight="1" x14ac:dyDescent="0.3">
      <c r="A692" s="5"/>
      <c r="B692" s="5"/>
      <c r="C692" s="5"/>
    </row>
    <row r="693" spans="1:3" ht="15.75" customHeight="1" x14ac:dyDescent="0.3">
      <c r="A693" s="5"/>
      <c r="B693" s="5"/>
      <c r="C693" s="5"/>
    </row>
    <row r="694" spans="1:3" ht="15.75" customHeight="1" x14ac:dyDescent="0.3">
      <c r="A694" s="5"/>
      <c r="B694" s="5"/>
      <c r="C694" s="5"/>
    </row>
    <row r="695" spans="1:3" ht="15.75" customHeight="1" x14ac:dyDescent="0.3">
      <c r="A695" s="5"/>
      <c r="B695" s="5"/>
      <c r="C695" s="5"/>
    </row>
    <row r="696" spans="1:3" ht="15.75" customHeight="1" x14ac:dyDescent="0.3">
      <c r="A696" s="5"/>
      <c r="B696" s="5"/>
      <c r="C696" s="5"/>
    </row>
    <row r="697" spans="1:3" ht="15.75" customHeight="1" x14ac:dyDescent="0.3">
      <c r="A697" s="5"/>
      <c r="B697" s="5"/>
      <c r="C697" s="5"/>
    </row>
    <row r="698" spans="1:3" ht="15.75" customHeight="1" x14ac:dyDescent="0.3">
      <c r="A698" s="5"/>
      <c r="B698" s="5"/>
      <c r="C698" s="5"/>
    </row>
    <row r="699" spans="1:3" ht="15.75" customHeight="1" x14ac:dyDescent="0.3">
      <c r="A699" s="5"/>
      <c r="B699" s="5"/>
      <c r="C699" s="5"/>
    </row>
    <row r="700" spans="1:3" ht="15.75" customHeight="1" x14ac:dyDescent="0.3">
      <c r="A700" s="5"/>
      <c r="B700" s="5"/>
      <c r="C700" s="5"/>
    </row>
    <row r="701" spans="1:3" ht="15.75" customHeight="1" x14ac:dyDescent="0.3">
      <c r="A701" s="5"/>
      <c r="B701" s="5"/>
      <c r="C701" s="5"/>
    </row>
    <row r="702" spans="1:3" ht="15.75" customHeight="1" x14ac:dyDescent="0.3">
      <c r="A702" s="5"/>
      <c r="B702" s="5"/>
      <c r="C702" s="5"/>
    </row>
    <row r="703" spans="1:3" ht="15.75" customHeight="1" x14ac:dyDescent="0.3">
      <c r="A703" s="5"/>
      <c r="B703" s="5"/>
      <c r="C703" s="5"/>
    </row>
    <row r="704" spans="1:3" ht="15.75" customHeight="1" x14ac:dyDescent="0.3">
      <c r="A704" s="5"/>
      <c r="B704" s="5"/>
      <c r="C704" s="5"/>
    </row>
    <row r="705" spans="1:3" ht="15.75" customHeight="1" x14ac:dyDescent="0.3">
      <c r="A705" s="5"/>
      <c r="B705" s="5"/>
      <c r="C705" s="5"/>
    </row>
    <row r="706" spans="1:3" ht="15.75" customHeight="1" x14ac:dyDescent="0.3">
      <c r="A706" s="5"/>
      <c r="B706" s="5"/>
      <c r="C706" s="5"/>
    </row>
    <row r="707" spans="1:3" ht="15.75" customHeight="1" x14ac:dyDescent="0.3">
      <c r="A707" s="5"/>
      <c r="B707" s="5"/>
      <c r="C707" s="5"/>
    </row>
    <row r="708" spans="1:3" ht="15.75" customHeight="1" x14ac:dyDescent="0.3">
      <c r="A708" s="5"/>
      <c r="B708" s="5"/>
      <c r="C708" s="5"/>
    </row>
    <row r="709" spans="1:3" ht="15.75" customHeight="1" x14ac:dyDescent="0.3">
      <c r="A709" s="5"/>
      <c r="B709" s="5"/>
      <c r="C709" s="5"/>
    </row>
    <row r="710" spans="1:3" ht="15.75" customHeight="1" x14ac:dyDescent="0.3">
      <c r="A710" s="5"/>
      <c r="B710" s="5"/>
      <c r="C710" s="5"/>
    </row>
    <row r="711" spans="1:3" ht="15.75" customHeight="1" x14ac:dyDescent="0.3">
      <c r="A711" s="5"/>
      <c r="B711" s="5"/>
      <c r="C711" s="5"/>
    </row>
    <row r="712" spans="1:3" ht="15.75" customHeight="1" x14ac:dyDescent="0.3">
      <c r="A712" s="5"/>
      <c r="B712" s="5"/>
      <c r="C712" s="5"/>
    </row>
    <row r="713" spans="1:3" ht="15.75" customHeight="1" x14ac:dyDescent="0.3">
      <c r="A713" s="5"/>
      <c r="B713" s="5"/>
      <c r="C713" s="5"/>
    </row>
    <row r="714" spans="1:3" ht="15.75" customHeight="1" x14ac:dyDescent="0.3">
      <c r="A714" s="5"/>
      <c r="B714" s="5"/>
      <c r="C714" s="5"/>
    </row>
    <row r="715" spans="1:3" ht="15.75" customHeight="1" x14ac:dyDescent="0.3">
      <c r="A715" s="5"/>
      <c r="B715" s="5"/>
      <c r="C715" s="5"/>
    </row>
    <row r="716" spans="1:3" ht="15.75" customHeight="1" x14ac:dyDescent="0.3">
      <c r="A716" s="5"/>
      <c r="B716" s="5"/>
      <c r="C716" s="5"/>
    </row>
    <row r="717" spans="1:3" ht="15.75" customHeight="1" x14ac:dyDescent="0.3">
      <c r="A717" s="5"/>
      <c r="B717" s="5"/>
      <c r="C717" s="5"/>
    </row>
    <row r="718" spans="1:3" ht="15.75" customHeight="1" x14ac:dyDescent="0.3">
      <c r="A718" s="5"/>
      <c r="B718" s="5"/>
      <c r="C718" s="5"/>
    </row>
    <row r="719" spans="1:3" ht="15.75" customHeight="1" x14ac:dyDescent="0.3">
      <c r="A719" s="5"/>
      <c r="B719" s="5"/>
      <c r="C719" s="5"/>
    </row>
    <row r="720" spans="1:3" ht="15.75" customHeight="1" x14ac:dyDescent="0.3">
      <c r="A720" s="5"/>
      <c r="B720" s="5"/>
      <c r="C720" s="5"/>
    </row>
    <row r="721" spans="1:3" ht="15.75" customHeight="1" x14ac:dyDescent="0.3">
      <c r="A721" s="5"/>
      <c r="B721" s="5"/>
      <c r="C721" s="5"/>
    </row>
    <row r="722" spans="1:3" ht="15.75" customHeight="1" x14ac:dyDescent="0.3">
      <c r="A722" s="5"/>
      <c r="B722" s="5"/>
      <c r="C722" s="5"/>
    </row>
    <row r="723" spans="1:3" ht="15.75" customHeight="1" x14ac:dyDescent="0.3">
      <c r="A723" s="5"/>
      <c r="B723" s="5"/>
      <c r="C723" s="5"/>
    </row>
    <row r="724" spans="1:3" ht="15.75" customHeight="1" x14ac:dyDescent="0.3">
      <c r="A724" s="5"/>
      <c r="B724" s="5"/>
      <c r="C724" s="5"/>
    </row>
    <row r="725" spans="1:3" ht="15.75" customHeight="1" x14ac:dyDescent="0.3">
      <c r="A725" s="5"/>
      <c r="B725" s="5"/>
      <c r="C725" s="5"/>
    </row>
    <row r="726" spans="1:3" ht="15.75" customHeight="1" x14ac:dyDescent="0.3">
      <c r="A726" s="5"/>
      <c r="B726" s="5"/>
      <c r="C726" s="5"/>
    </row>
    <row r="727" spans="1:3" ht="15.75" customHeight="1" x14ac:dyDescent="0.3">
      <c r="A727" s="5"/>
      <c r="B727" s="5"/>
      <c r="C727" s="5"/>
    </row>
    <row r="728" spans="1:3" ht="15.75" customHeight="1" x14ac:dyDescent="0.3">
      <c r="A728" s="5"/>
      <c r="B728" s="5"/>
      <c r="C728" s="5"/>
    </row>
    <row r="729" spans="1:3" ht="15.75" customHeight="1" x14ac:dyDescent="0.3">
      <c r="A729" s="5"/>
      <c r="B729" s="5"/>
      <c r="C729" s="5"/>
    </row>
    <row r="730" spans="1:3" ht="15.75" customHeight="1" x14ac:dyDescent="0.3">
      <c r="A730" s="5"/>
      <c r="B730" s="5"/>
      <c r="C730" s="5"/>
    </row>
    <row r="731" spans="1:3" ht="15.75" customHeight="1" x14ac:dyDescent="0.3">
      <c r="A731" s="5"/>
      <c r="B731" s="5"/>
      <c r="C731" s="5"/>
    </row>
    <row r="732" spans="1:3" ht="15.75" customHeight="1" x14ac:dyDescent="0.3">
      <c r="A732" s="5"/>
      <c r="B732" s="5"/>
      <c r="C732" s="5"/>
    </row>
    <row r="733" spans="1:3" ht="15.75" customHeight="1" x14ac:dyDescent="0.3">
      <c r="A733" s="5"/>
      <c r="B733" s="5"/>
      <c r="C733" s="5"/>
    </row>
    <row r="734" spans="1:3" ht="15.75" customHeight="1" x14ac:dyDescent="0.3">
      <c r="A734" s="5"/>
      <c r="B734" s="5"/>
      <c r="C734" s="5"/>
    </row>
    <row r="735" spans="1:3" ht="15.75" customHeight="1" x14ac:dyDescent="0.3">
      <c r="A735" s="5"/>
      <c r="B735" s="5"/>
      <c r="C735" s="5"/>
    </row>
    <row r="736" spans="1:3" ht="15.75" customHeight="1" x14ac:dyDescent="0.3">
      <c r="A736" s="5"/>
      <c r="B736" s="5"/>
      <c r="C736" s="5"/>
    </row>
    <row r="737" spans="1:3" ht="15.75" customHeight="1" x14ac:dyDescent="0.3">
      <c r="A737" s="5"/>
      <c r="B737" s="5"/>
      <c r="C737" s="5"/>
    </row>
    <row r="738" spans="1:3" ht="15.75" customHeight="1" x14ac:dyDescent="0.3">
      <c r="A738" s="5"/>
      <c r="B738" s="5"/>
      <c r="C738" s="5"/>
    </row>
    <row r="739" spans="1:3" ht="15.75" customHeight="1" x14ac:dyDescent="0.3">
      <c r="A739" s="5"/>
      <c r="B739" s="5"/>
      <c r="C739" s="5"/>
    </row>
    <row r="740" spans="1:3" ht="15.75" customHeight="1" x14ac:dyDescent="0.3">
      <c r="A740" s="5"/>
      <c r="B740" s="5"/>
      <c r="C740" s="5"/>
    </row>
    <row r="741" spans="1:3" ht="15.75" customHeight="1" x14ac:dyDescent="0.3">
      <c r="A741" s="5"/>
      <c r="B741" s="5"/>
      <c r="C741" s="5"/>
    </row>
    <row r="742" spans="1:3" ht="15.75" customHeight="1" x14ac:dyDescent="0.3">
      <c r="A742" s="5"/>
      <c r="B742" s="5"/>
      <c r="C742" s="5"/>
    </row>
    <row r="743" spans="1:3" ht="15.75" customHeight="1" x14ac:dyDescent="0.3">
      <c r="A743" s="5"/>
      <c r="B743" s="5"/>
      <c r="C743" s="5"/>
    </row>
    <row r="744" spans="1:3" ht="15.75" customHeight="1" x14ac:dyDescent="0.3">
      <c r="A744" s="5"/>
      <c r="B744" s="5"/>
      <c r="C744" s="5"/>
    </row>
    <row r="745" spans="1:3" ht="15.75" customHeight="1" x14ac:dyDescent="0.3">
      <c r="A745" s="5"/>
      <c r="B745" s="5"/>
      <c r="C745" s="5"/>
    </row>
    <row r="746" spans="1:3" ht="15.75" customHeight="1" x14ac:dyDescent="0.3">
      <c r="A746" s="5"/>
      <c r="B746" s="5"/>
      <c r="C746" s="5"/>
    </row>
    <row r="747" spans="1:3" ht="15.75" customHeight="1" x14ac:dyDescent="0.3">
      <c r="A747" s="5"/>
      <c r="B747" s="5"/>
      <c r="C747" s="5"/>
    </row>
    <row r="748" spans="1:3" ht="15.75" customHeight="1" x14ac:dyDescent="0.3">
      <c r="A748" s="5"/>
      <c r="B748" s="5"/>
      <c r="C748" s="5"/>
    </row>
    <row r="749" spans="1:3" ht="15.75" customHeight="1" x14ac:dyDescent="0.3">
      <c r="A749" s="5"/>
      <c r="B749" s="5"/>
      <c r="C749" s="5"/>
    </row>
    <row r="750" spans="1:3" ht="15.75" customHeight="1" x14ac:dyDescent="0.3">
      <c r="A750" s="5"/>
      <c r="B750" s="5"/>
      <c r="C750" s="5"/>
    </row>
    <row r="751" spans="1:3" ht="15.75" customHeight="1" x14ac:dyDescent="0.3">
      <c r="A751" s="5"/>
      <c r="B751" s="5"/>
      <c r="C751" s="5"/>
    </row>
    <row r="752" spans="1:3" ht="15.75" customHeight="1" x14ac:dyDescent="0.3">
      <c r="A752" s="5"/>
      <c r="B752" s="5"/>
      <c r="C752" s="5"/>
    </row>
    <row r="753" spans="1:3" ht="15.75" customHeight="1" x14ac:dyDescent="0.3">
      <c r="A753" s="5"/>
      <c r="B753" s="5"/>
      <c r="C753" s="5"/>
    </row>
    <row r="754" spans="1:3" ht="15.75" customHeight="1" x14ac:dyDescent="0.3">
      <c r="A754" s="5"/>
      <c r="B754" s="5"/>
      <c r="C754" s="5"/>
    </row>
    <row r="755" spans="1:3" ht="15.75" customHeight="1" x14ac:dyDescent="0.3">
      <c r="A755" s="5"/>
      <c r="B755" s="5"/>
      <c r="C755" s="5"/>
    </row>
    <row r="756" spans="1:3" ht="15.75" customHeight="1" x14ac:dyDescent="0.3">
      <c r="A756" s="5"/>
      <c r="B756" s="5"/>
      <c r="C756" s="5"/>
    </row>
    <row r="757" spans="1:3" ht="15.75" customHeight="1" x14ac:dyDescent="0.3">
      <c r="A757" s="5"/>
      <c r="B757" s="5"/>
      <c r="C757" s="5"/>
    </row>
    <row r="758" spans="1:3" ht="15.75" customHeight="1" x14ac:dyDescent="0.3">
      <c r="A758" s="5"/>
      <c r="B758" s="5"/>
      <c r="C758" s="5"/>
    </row>
    <row r="759" spans="1:3" ht="15.75" customHeight="1" x14ac:dyDescent="0.3">
      <c r="A759" s="5"/>
      <c r="B759" s="5"/>
      <c r="C759" s="5"/>
    </row>
    <row r="760" spans="1:3" ht="15.75" customHeight="1" x14ac:dyDescent="0.3">
      <c r="A760" s="5"/>
      <c r="B760" s="5"/>
      <c r="C760" s="5"/>
    </row>
    <row r="761" spans="1:3" ht="15.75" customHeight="1" x14ac:dyDescent="0.3">
      <c r="A761" s="5"/>
      <c r="B761" s="5"/>
      <c r="C761" s="5"/>
    </row>
    <row r="762" spans="1:3" ht="15.75" customHeight="1" x14ac:dyDescent="0.3">
      <c r="A762" s="5"/>
      <c r="B762" s="5"/>
      <c r="C762" s="5"/>
    </row>
    <row r="763" spans="1:3" ht="15.75" customHeight="1" x14ac:dyDescent="0.3">
      <c r="A763" s="5"/>
      <c r="B763" s="5"/>
      <c r="C763" s="5"/>
    </row>
    <row r="764" spans="1:3" ht="15.75" customHeight="1" x14ac:dyDescent="0.3">
      <c r="A764" s="5"/>
      <c r="B764" s="5"/>
      <c r="C764" s="5"/>
    </row>
    <row r="765" spans="1:3" ht="15.75" customHeight="1" x14ac:dyDescent="0.3">
      <c r="A765" s="5"/>
      <c r="B765" s="5"/>
      <c r="C765" s="5"/>
    </row>
    <row r="766" spans="1:3" ht="15.75" customHeight="1" x14ac:dyDescent="0.3">
      <c r="A766" s="5"/>
      <c r="B766" s="5"/>
      <c r="C766" s="5"/>
    </row>
    <row r="767" spans="1:3" ht="15.75" customHeight="1" x14ac:dyDescent="0.3">
      <c r="A767" s="5"/>
      <c r="B767" s="5"/>
      <c r="C767" s="5"/>
    </row>
    <row r="768" spans="1:3" ht="15.75" customHeight="1" x14ac:dyDescent="0.3">
      <c r="A768" s="5"/>
      <c r="B768" s="5"/>
      <c r="C768" s="5"/>
    </row>
    <row r="769" spans="1:3" ht="15.75" customHeight="1" x14ac:dyDescent="0.3">
      <c r="A769" s="5"/>
      <c r="B769" s="5"/>
      <c r="C769" s="5"/>
    </row>
    <row r="770" spans="1:3" ht="15.75" customHeight="1" x14ac:dyDescent="0.3">
      <c r="A770" s="5"/>
      <c r="B770" s="5"/>
      <c r="C770" s="5"/>
    </row>
    <row r="771" spans="1:3" ht="15.75" customHeight="1" x14ac:dyDescent="0.3">
      <c r="A771" s="5"/>
      <c r="B771" s="5"/>
      <c r="C771" s="5"/>
    </row>
    <row r="772" spans="1:3" ht="15.75" customHeight="1" x14ac:dyDescent="0.3">
      <c r="A772" s="5"/>
      <c r="B772" s="5"/>
      <c r="C772" s="5"/>
    </row>
    <row r="773" spans="1:3" ht="15.75" customHeight="1" x14ac:dyDescent="0.3">
      <c r="A773" s="5"/>
      <c r="B773" s="5"/>
      <c r="C773" s="5"/>
    </row>
    <row r="774" spans="1:3" ht="15.75" customHeight="1" x14ac:dyDescent="0.3">
      <c r="A774" s="5"/>
      <c r="B774" s="5"/>
      <c r="C774" s="5"/>
    </row>
    <row r="775" spans="1:3" ht="15.75" customHeight="1" x14ac:dyDescent="0.3">
      <c r="A775" s="5"/>
      <c r="B775" s="5"/>
      <c r="C775" s="5"/>
    </row>
    <row r="776" spans="1:3" ht="15.75" customHeight="1" x14ac:dyDescent="0.3">
      <c r="A776" s="5"/>
      <c r="B776" s="5"/>
      <c r="C776" s="5"/>
    </row>
    <row r="777" spans="1:3" ht="15.75" customHeight="1" x14ac:dyDescent="0.3">
      <c r="A777" s="5"/>
      <c r="B777" s="5"/>
      <c r="C777" s="5"/>
    </row>
    <row r="778" spans="1:3" ht="15.75" customHeight="1" x14ac:dyDescent="0.3">
      <c r="A778" s="5"/>
      <c r="B778" s="5"/>
      <c r="C778" s="5"/>
    </row>
    <row r="779" spans="1:3" ht="15.75" customHeight="1" x14ac:dyDescent="0.3">
      <c r="A779" s="5"/>
      <c r="B779" s="5"/>
      <c r="C779" s="5"/>
    </row>
    <row r="780" spans="1:3" ht="15.75" customHeight="1" x14ac:dyDescent="0.3">
      <c r="A780" s="5"/>
      <c r="B780" s="5"/>
      <c r="C780" s="5"/>
    </row>
    <row r="781" spans="1:3" ht="15.75" customHeight="1" x14ac:dyDescent="0.3">
      <c r="A781" s="5"/>
      <c r="B781" s="5"/>
      <c r="C781" s="5"/>
    </row>
    <row r="782" spans="1:3" ht="15.75" customHeight="1" x14ac:dyDescent="0.3">
      <c r="A782" s="5"/>
      <c r="B782" s="5"/>
      <c r="C782" s="5"/>
    </row>
    <row r="783" spans="1:3" ht="15.75" customHeight="1" x14ac:dyDescent="0.3">
      <c r="A783" s="5"/>
      <c r="B783" s="5"/>
      <c r="C783" s="5"/>
    </row>
    <row r="784" spans="1:3" ht="15.75" customHeight="1" x14ac:dyDescent="0.3">
      <c r="A784" s="5"/>
      <c r="B784" s="5"/>
      <c r="C784" s="5"/>
    </row>
    <row r="785" spans="1:3" ht="15.75" customHeight="1" x14ac:dyDescent="0.3">
      <c r="A785" s="5"/>
      <c r="B785" s="5"/>
      <c r="C785" s="5"/>
    </row>
    <row r="786" spans="1:3" ht="15.75" customHeight="1" x14ac:dyDescent="0.3">
      <c r="A786" s="5"/>
      <c r="B786" s="5"/>
      <c r="C786" s="5"/>
    </row>
    <row r="787" spans="1:3" ht="15.75" customHeight="1" x14ac:dyDescent="0.3">
      <c r="A787" s="5"/>
      <c r="B787" s="5"/>
      <c r="C787" s="5"/>
    </row>
    <row r="788" spans="1:3" ht="15.75" customHeight="1" x14ac:dyDescent="0.3">
      <c r="A788" s="5"/>
      <c r="B788" s="5"/>
      <c r="C788" s="5"/>
    </row>
    <row r="789" spans="1:3" ht="15.75" customHeight="1" x14ac:dyDescent="0.3">
      <c r="A789" s="5"/>
      <c r="B789" s="5"/>
      <c r="C789" s="5"/>
    </row>
    <row r="790" spans="1:3" ht="15.75" customHeight="1" x14ac:dyDescent="0.3">
      <c r="A790" s="5"/>
      <c r="B790" s="5"/>
      <c r="C790" s="5"/>
    </row>
    <row r="791" spans="1:3" ht="15.75" customHeight="1" x14ac:dyDescent="0.3">
      <c r="A791" s="5"/>
      <c r="B791" s="5"/>
      <c r="C791" s="5"/>
    </row>
    <row r="792" spans="1:3" ht="15.75" customHeight="1" x14ac:dyDescent="0.3">
      <c r="A792" s="5"/>
      <c r="B792" s="5"/>
      <c r="C792" s="5"/>
    </row>
    <row r="793" spans="1:3" ht="15.75" customHeight="1" x14ac:dyDescent="0.3">
      <c r="A793" s="5"/>
      <c r="B793" s="5"/>
      <c r="C793" s="5"/>
    </row>
    <row r="794" spans="1:3" ht="15.75" customHeight="1" x14ac:dyDescent="0.3">
      <c r="A794" s="5"/>
      <c r="B794" s="5"/>
      <c r="C794" s="5"/>
    </row>
    <row r="795" spans="1:3" ht="15.75" customHeight="1" x14ac:dyDescent="0.3">
      <c r="A795" s="5"/>
      <c r="B795" s="5"/>
      <c r="C795" s="5"/>
    </row>
    <row r="796" spans="1:3" ht="15.75" customHeight="1" x14ac:dyDescent="0.3">
      <c r="A796" s="5"/>
      <c r="B796" s="5"/>
      <c r="C796" s="5"/>
    </row>
    <row r="797" spans="1:3" ht="15.75" customHeight="1" x14ac:dyDescent="0.3">
      <c r="A797" s="5"/>
      <c r="B797" s="5"/>
      <c r="C797" s="5"/>
    </row>
    <row r="798" spans="1:3" ht="15.75" customHeight="1" x14ac:dyDescent="0.3">
      <c r="A798" s="5"/>
      <c r="B798" s="5"/>
      <c r="C798" s="5"/>
    </row>
    <row r="799" spans="1:3" ht="15.75" customHeight="1" x14ac:dyDescent="0.3">
      <c r="A799" s="5"/>
      <c r="B799" s="5"/>
      <c r="C799" s="5"/>
    </row>
    <row r="800" spans="1:3" ht="15.75" customHeight="1" x14ac:dyDescent="0.3">
      <c r="A800" s="5"/>
      <c r="B800" s="5"/>
      <c r="C800" s="5"/>
    </row>
    <row r="801" spans="1:3" ht="15.75" customHeight="1" x14ac:dyDescent="0.3">
      <c r="A801" s="5"/>
      <c r="B801" s="5"/>
      <c r="C801" s="5"/>
    </row>
    <row r="802" spans="1:3" ht="15.75" customHeight="1" x14ac:dyDescent="0.3">
      <c r="A802" s="5"/>
      <c r="B802" s="5"/>
      <c r="C802" s="5"/>
    </row>
    <row r="803" spans="1:3" ht="15.75" customHeight="1" x14ac:dyDescent="0.3">
      <c r="A803" s="5"/>
      <c r="B803" s="5"/>
      <c r="C803" s="5"/>
    </row>
    <row r="804" spans="1:3" ht="15.75" customHeight="1" x14ac:dyDescent="0.3">
      <c r="A804" s="5"/>
      <c r="B804" s="5"/>
      <c r="C804" s="5"/>
    </row>
    <row r="805" spans="1:3" ht="15.75" customHeight="1" x14ac:dyDescent="0.3">
      <c r="A805" s="5"/>
      <c r="B805" s="5"/>
      <c r="C805" s="5"/>
    </row>
    <row r="806" spans="1:3" ht="15.75" customHeight="1" x14ac:dyDescent="0.3">
      <c r="A806" s="5"/>
      <c r="B806" s="5"/>
      <c r="C806" s="5"/>
    </row>
    <row r="807" spans="1:3" ht="15.75" customHeight="1" x14ac:dyDescent="0.3">
      <c r="A807" s="5"/>
      <c r="B807" s="5"/>
      <c r="C807" s="5"/>
    </row>
    <row r="808" spans="1:3" ht="15.75" customHeight="1" x14ac:dyDescent="0.3">
      <c r="A808" s="5"/>
      <c r="B808" s="5"/>
      <c r="C808" s="5"/>
    </row>
    <row r="809" spans="1:3" ht="15.75" customHeight="1" x14ac:dyDescent="0.3">
      <c r="A809" s="5"/>
      <c r="B809" s="5"/>
      <c r="C809" s="5"/>
    </row>
    <row r="810" spans="1:3" ht="15.75" customHeight="1" x14ac:dyDescent="0.3">
      <c r="A810" s="5"/>
      <c r="B810" s="5"/>
      <c r="C810" s="5"/>
    </row>
    <row r="811" spans="1:3" ht="15.75" customHeight="1" x14ac:dyDescent="0.3">
      <c r="A811" s="5"/>
      <c r="B811" s="5"/>
      <c r="C811" s="5"/>
    </row>
    <row r="812" spans="1:3" ht="15.75" customHeight="1" x14ac:dyDescent="0.3">
      <c r="A812" s="5"/>
      <c r="B812" s="5"/>
      <c r="C812" s="5"/>
    </row>
    <row r="813" spans="1:3" ht="15.75" customHeight="1" x14ac:dyDescent="0.3">
      <c r="A813" s="5"/>
      <c r="B813" s="5"/>
      <c r="C813" s="5"/>
    </row>
    <row r="814" spans="1:3" ht="15.75" customHeight="1" x14ac:dyDescent="0.3">
      <c r="A814" s="5"/>
      <c r="B814" s="5"/>
      <c r="C814" s="5"/>
    </row>
    <row r="815" spans="1:3" ht="15.75" customHeight="1" x14ac:dyDescent="0.3">
      <c r="A815" s="5"/>
      <c r="B815" s="5"/>
      <c r="C815" s="5"/>
    </row>
    <row r="816" spans="1:3" ht="15.75" customHeight="1" x14ac:dyDescent="0.3">
      <c r="A816" s="5"/>
      <c r="B816" s="5"/>
      <c r="C816" s="5"/>
    </row>
    <row r="817" spans="1:3" ht="15.75" customHeight="1" x14ac:dyDescent="0.3">
      <c r="A817" s="5"/>
      <c r="B817" s="5"/>
      <c r="C817" s="5"/>
    </row>
    <row r="818" spans="1:3" ht="15.75" customHeight="1" x14ac:dyDescent="0.3">
      <c r="A818" s="5"/>
      <c r="B818" s="5"/>
      <c r="C818" s="5"/>
    </row>
    <row r="819" spans="1:3" ht="15.75" customHeight="1" x14ac:dyDescent="0.3">
      <c r="A819" s="5"/>
      <c r="B819" s="5"/>
      <c r="C819" s="5"/>
    </row>
    <row r="820" spans="1:3" ht="15.75" customHeight="1" x14ac:dyDescent="0.3">
      <c r="A820" s="5"/>
      <c r="B820" s="5"/>
      <c r="C820" s="5"/>
    </row>
    <row r="821" spans="1:3" ht="15.75" customHeight="1" x14ac:dyDescent="0.3">
      <c r="A821" s="5"/>
      <c r="B821" s="5"/>
      <c r="C821" s="5"/>
    </row>
    <row r="822" spans="1:3" ht="15.75" customHeight="1" x14ac:dyDescent="0.3">
      <c r="A822" s="5"/>
      <c r="B822" s="5"/>
      <c r="C822" s="5"/>
    </row>
    <row r="823" spans="1:3" ht="15.75" customHeight="1" x14ac:dyDescent="0.3">
      <c r="A823" s="5"/>
      <c r="B823" s="5"/>
      <c r="C823" s="5"/>
    </row>
    <row r="824" spans="1:3" ht="15.75" customHeight="1" x14ac:dyDescent="0.3">
      <c r="A824" s="5"/>
      <c r="B824" s="5"/>
      <c r="C824" s="5"/>
    </row>
    <row r="825" spans="1:3" ht="15.75" customHeight="1" x14ac:dyDescent="0.3">
      <c r="A825" s="5"/>
      <c r="B825" s="5"/>
      <c r="C825" s="5"/>
    </row>
    <row r="826" spans="1:3" ht="15.75" customHeight="1" x14ac:dyDescent="0.3">
      <c r="A826" s="5"/>
      <c r="B826" s="5"/>
      <c r="C826" s="5"/>
    </row>
    <row r="827" spans="1:3" ht="15.75" customHeight="1" x14ac:dyDescent="0.3">
      <c r="A827" s="5"/>
      <c r="B827" s="5"/>
      <c r="C827" s="5"/>
    </row>
    <row r="828" spans="1:3" ht="15.75" customHeight="1" x14ac:dyDescent="0.3">
      <c r="A828" s="5"/>
      <c r="B828" s="5"/>
      <c r="C828" s="5"/>
    </row>
    <row r="829" spans="1:3" ht="15.75" customHeight="1" x14ac:dyDescent="0.3">
      <c r="A829" s="5"/>
      <c r="B829" s="5"/>
      <c r="C829" s="5"/>
    </row>
    <row r="830" spans="1:3" ht="15.75" customHeight="1" x14ac:dyDescent="0.3">
      <c r="A830" s="5"/>
      <c r="B830" s="5"/>
      <c r="C830" s="5"/>
    </row>
    <row r="831" spans="1:3" ht="15.75" customHeight="1" x14ac:dyDescent="0.3">
      <c r="A831" s="5"/>
      <c r="B831" s="5"/>
      <c r="C831" s="5"/>
    </row>
    <row r="832" spans="1:3" ht="15.75" customHeight="1" x14ac:dyDescent="0.3">
      <c r="A832" s="5"/>
      <c r="B832" s="5"/>
      <c r="C832" s="5"/>
    </row>
    <row r="833" spans="1:3" ht="15.75" customHeight="1" x14ac:dyDescent="0.3">
      <c r="A833" s="5"/>
      <c r="B833" s="5"/>
      <c r="C833" s="5"/>
    </row>
    <row r="834" spans="1:3" ht="15.75" customHeight="1" x14ac:dyDescent="0.3">
      <c r="A834" s="5"/>
      <c r="B834" s="5"/>
      <c r="C834" s="5"/>
    </row>
    <row r="835" spans="1:3" ht="15.75" customHeight="1" x14ac:dyDescent="0.3">
      <c r="A835" s="5"/>
      <c r="B835" s="5"/>
      <c r="C835" s="5"/>
    </row>
    <row r="836" spans="1:3" ht="15.75" customHeight="1" x14ac:dyDescent="0.3">
      <c r="A836" s="5"/>
      <c r="B836" s="5"/>
      <c r="C836" s="5"/>
    </row>
    <row r="837" spans="1:3" ht="15.75" customHeight="1" x14ac:dyDescent="0.3">
      <c r="A837" s="5"/>
      <c r="B837" s="5"/>
      <c r="C837" s="5"/>
    </row>
    <row r="838" spans="1:3" ht="15.75" customHeight="1" x14ac:dyDescent="0.3">
      <c r="A838" s="5"/>
      <c r="B838" s="5"/>
      <c r="C838" s="5"/>
    </row>
    <row r="839" spans="1:3" ht="15.75" customHeight="1" x14ac:dyDescent="0.3">
      <c r="A839" s="5"/>
      <c r="B839" s="5"/>
      <c r="C839" s="5"/>
    </row>
    <row r="840" spans="1:3" ht="15.75" customHeight="1" x14ac:dyDescent="0.3">
      <c r="A840" s="5"/>
      <c r="B840" s="5"/>
      <c r="C840" s="5"/>
    </row>
    <row r="841" spans="1:3" ht="15.75" customHeight="1" x14ac:dyDescent="0.3">
      <c r="A841" s="5"/>
      <c r="B841" s="5"/>
      <c r="C841" s="5"/>
    </row>
    <row r="842" spans="1:3" ht="15.75" customHeight="1" x14ac:dyDescent="0.3">
      <c r="A842" s="5"/>
      <c r="B842" s="5"/>
      <c r="C842" s="5"/>
    </row>
    <row r="843" spans="1:3" ht="15.75" customHeight="1" x14ac:dyDescent="0.3">
      <c r="A843" s="5"/>
      <c r="B843" s="5"/>
      <c r="C843" s="5"/>
    </row>
    <row r="844" spans="1:3" ht="15.75" customHeight="1" x14ac:dyDescent="0.3">
      <c r="A844" s="5"/>
      <c r="B844" s="5"/>
      <c r="C844" s="5"/>
    </row>
    <row r="845" spans="1:3" ht="15.75" customHeight="1" x14ac:dyDescent="0.3">
      <c r="A845" s="5"/>
      <c r="B845" s="5"/>
      <c r="C845" s="5"/>
    </row>
    <row r="846" spans="1:3" ht="15.75" customHeight="1" x14ac:dyDescent="0.3">
      <c r="A846" s="5"/>
      <c r="B846" s="5"/>
      <c r="C846" s="5"/>
    </row>
    <row r="847" spans="1:3" ht="15.75" customHeight="1" x14ac:dyDescent="0.3">
      <c r="A847" s="5"/>
      <c r="B847" s="5"/>
      <c r="C847" s="5"/>
    </row>
    <row r="848" spans="1:3" ht="15.75" customHeight="1" x14ac:dyDescent="0.3">
      <c r="A848" s="5"/>
      <c r="B848" s="5"/>
      <c r="C848" s="5"/>
    </row>
    <row r="849" spans="1:3" ht="15.75" customHeight="1" x14ac:dyDescent="0.3">
      <c r="A849" s="5"/>
      <c r="B849" s="5"/>
      <c r="C849" s="5"/>
    </row>
    <row r="850" spans="1:3" ht="15.75" customHeight="1" x14ac:dyDescent="0.3">
      <c r="A850" s="5"/>
      <c r="B850" s="5"/>
      <c r="C850" s="5"/>
    </row>
    <row r="851" spans="1:3" ht="15.75" customHeight="1" x14ac:dyDescent="0.3">
      <c r="A851" s="5"/>
      <c r="B851" s="5"/>
      <c r="C851" s="5"/>
    </row>
    <row r="852" spans="1:3" ht="15.75" customHeight="1" x14ac:dyDescent="0.3">
      <c r="A852" s="5"/>
      <c r="B852" s="5"/>
      <c r="C852" s="5"/>
    </row>
    <row r="853" spans="1:3" ht="15.75" customHeight="1" x14ac:dyDescent="0.3">
      <c r="A853" s="5"/>
      <c r="B853" s="5"/>
      <c r="C853" s="5"/>
    </row>
    <row r="854" spans="1:3" ht="15.75" customHeight="1" x14ac:dyDescent="0.3">
      <c r="A854" s="5"/>
      <c r="B854" s="5"/>
      <c r="C854" s="5"/>
    </row>
    <row r="855" spans="1:3" ht="15.75" customHeight="1" x14ac:dyDescent="0.3">
      <c r="A855" s="5"/>
      <c r="B855" s="5"/>
      <c r="C855" s="5"/>
    </row>
    <row r="856" spans="1:3" ht="15.75" customHeight="1" x14ac:dyDescent="0.3">
      <c r="A856" s="5"/>
      <c r="B856" s="5"/>
      <c r="C856" s="5"/>
    </row>
    <row r="857" spans="1:3" ht="15.75" customHeight="1" x14ac:dyDescent="0.3">
      <c r="A857" s="5"/>
      <c r="B857" s="5"/>
      <c r="C857" s="5"/>
    </row>
    <row r="858" spans="1:3" ht="15.75" customHeight="1" x14ac:dyDescent="0.3">
      <c r="A858" s="5"/>
      <c r="B858" s="5"/>
      <c r="C858" s="5"/>
    </row>
    <row r="859" spans="1:3" ht="15.75" customHeight="1" x14ac:dyDescent="0.3">
      <c r="A859" s="5"/>
      <c r="B859" s="5"/>
      <c r="C859" s="5"/>
    </row>
    <row r="860" spans="1:3" ht="15.75" customHeight="1" x14ac:dyDescent="0.3">
      <c r="A860" s="5"/>
      <c r="B860" s="5"/>
      <c r="C860" s="5"/>
    </row>
    <row r="861" spans="1:3" ht="15.75" customHeight="1" x14ac:dyDescent="0.3">
      <c r="A861" s="5"/>
      <c r="B861" s="5"/>
      <c r="C861" s="5"/>
    </row>
    <row r="862" spans="1:3" ht="15.75" customHeight="1" x14ac:dyDescent="0.3">
      <c r="A862" s="5"/>
      <c r="B862" s="5"/>
      <c r="C862" s="5"/>
    </row>
    <row r="863" spans="1:3" ht="15.75" customHeight="1" x14ac:dyDescent="0.3">
      <c r="A863" s="5"/>
      <c r="B863" s="5"/>
      <c r="C863" s="5"/>
    </row>
    <row r="864" spans="1:3" ht="15.75" customHeight="1" x14ac:dyDescent="0.3">
      <c r="A864" s="5"/>
      <c r="B864" s="5"/>
      <c r="C864" s="5"/>
    </row>
    <row r="865" spans="1:3" ht="15.75" customHeight="1" x14ac:dyDescent="0.3">
      <c r="A865" s="5"/>
      <c r="B865" s="5"/>
      <c r="C865" s="5"/>
    </row>
    <row r="866" spans="1:3" ht="15.75" customHeight="1" x14ac:dyDescent="0.3">
      <c r="A866" s="5"/>
      <c r="B866" s="5"/>
      <c r="C866" s="5"/>
    </row>
    <row r="867" spans="1:3" ht="15.75" customHeight="1" x14ac:dyDescent="0.3">
      <c r="A867" s="5"/>
      <c r="B867" s="5"/>
      <c r="C867" s="5"/>
    </row>
    <row r="868" spans="1:3" ht="15.75" customHeight="1" x14ac:dyDescent="0.3">
      <c r="A868" s="5"/>
      <c r="B868" s="5"/>
      <c r="C868" s="5"/>
    </row>
    <row r="869" spans="1:3" ht="15.75" customHeight="1" x14ac:dyDescent="0.3">
      <c r="A869" s="5"/>
      <c r="B869" s="5"/>
      <c r="C869" s="5"/>
    </row>
    <row r="870" spans="1:3" ht="15.75" customHeight="1" x14ac:dyDescent="0.3">
      <c r="A870" s="5"/>
      <c r="B870" s="5"/>
      <c r="C870" s="5"/>
    </row>
    <row r="871" spans="1:3" ht="15.75" customHeight="1" x14ac:dyDescent="0.3">
      <c r="A871" s="5"/>
      <c r="B871" s="5"/>
      <c r="C871" s="5"/>
    </row>
    <row r="872" spans="1:3" ht="15.75" customHeight="1" x14ac:dyDescent="0.3">
      <c r="A872" s="5"/>
      <c r="B872" s="5"/>
      <c r="C872" s="5"/>
    </row>
    <row r="873" spans="1:3" ht="15.75" customHeight="1" x14ac:dyDescent="0.3">
      <c r="A873" s="5"/>
      <c r="B873" s="5"/>
      <c r="C873" s="5"/>
    </row>
    <row r="874" spans="1:3" ht="15.75" customHeight="1" x14ac:dyDescent="0.3">
      <c r="A874" s="5"/>
      <c r="B874" s="5"/>
      <c r="C874" s="5"/>
    </row>
    <row r="875" spans="1:3" ht="15.75" customHeight="1" x14ac:dyDescent="0.3">
      <c r="A875" s="5"/>
      <c r="B875" s="5"/>
      <c r="C875" s="5"/>
    </row>
    <row r="876" spans="1:3" ht="15.75" customHeight="1" x14ac:dyDescent="0.3">
      <c r="A876" s="5"/>
      <c r="B876" s="5"/>
      <c r="C876" s="5"/>
    </row>
    <row r="877" spans="1:3" ht="15.75" customHeight="1" x14ac:dyDescent="0.3">
      <c r="A877" s="5"/>
      <c r="B877" s="5"/>
      <c r="C877" s="5"/>
    </row>
    <row r="878" spans="1:3" ht="15.75" customHeight="1" x14ac:dyDescent="0.3">
      <c r="A878" s="5"/>
      <c r="B878" s="5"/>
      <c r="C878" s="5"/>
    </row>
    <row r="879" spans="1:3" ht="15.75" customHeight="1" x14ac:dyDescent="0.3">
      <c r="A879" s="5"/>
      <c r="B879" s="5"/>
      <c r="C879" s="5"/>
    </row>
    <row r="880" spans="1:3" ht="15.75" customHeight="1" x14ac:dyDescent="0.3">
      <c r="A880" s="5"/>
      <c r="B880" s="5"/>
      <c r="C880" s="5"/>
    </row>
    <row r="881" spans="1:3" ht="15.75" customHeight="1" x14ac:dyDescent="0.3">
      <c r="A881" s="5"/>
      <c r="B881" s="5"/>
      <c r="C881" s="5"/>
    </row>
    <row r="882" spans="1:3" ht="15.75" customHeight="1" x14ac:dyDescent="0.3">
      <c r="A882" s="5"/>
      <c r="B882" s="5"/>
      <c r="C882" s="5"/>
    </row>
    <row r="883" spans="1:3" ht="15.75" customHeight="1" x14ac:dyDescent="0.3">
      <c r="A883" s="5"/>
      <c r="B883" s="5"/>
      <c r="C883" s="5"/>
    </row>
    <row r="884" spans="1:3" ht="15.75" customHeight="1" x14ac:dyDescent="0.3">
      <c r="A884" s="5"/>
      <c r="B884" s="5"/>
      <c r="C884" s="5"/>
    </row>
    <row r="885" spans="1:3" ht="15.75" customHeight="1" x14ac:dyDescent="0.3">
      <c r="A885" s="5"/>
      <c r="B885" s="5"/>
      <c r="C885" s="5"/>
    </row>
    <row r="886" spans="1:3" ht="15.75" customHeight="1" x14ac:dyDescent="0.3">
      <c r="A886" s="5"/>
      <c r="B886" s="5"/>
      <c r="C886" s="5"/>
    </row>
    <row r="887" spans="1:3" ht="15.75" customHeight="1" x14ac:dyDescent="0.3">
      <c r="A887" s="5"/>
      <c r="B887" s="5"/>
      <c r="C887" s="5"/>
    </row>
    <row r="888" spans="1:3" ht="15.75" customHeight="1" x14ac:dyDescent="0.3">
      <c r="A888" s="5"/>
      <c r="B888" s="5"/>
      <c r="C888" s="5"/>
    </row>
    <row r="889" spans="1:3" ht="15.75" customHeight="1" x14ac:dyDescent="0.3">
      <c r="A889" s="5"/>
      <c r="B889" s="5"/>
      <c r="C889" s="5"/>
    </row>
    <row r="890" spans="1:3" ht="15.75" customHeight="1" x14ac:dyDescent="0.3">
      <c r="A890" s="5"/>
      <c r="B890" s="5"/>
      <c r="C890" s="5"/>
    </row>
    <row r="891" spans="1:3" ht="15.75" customHeight="1" x14ac:dyDescent="0.3">
      <c r="A891" s="5"/>
      <c r="B891" s="5"/>
      <c r="C891" s="5"/>
    </row>
    <row r="892" spans="1:3" ht="15.75" customHeight="1" x14ac:dyDescent="0.3">
      <c r="A892" s="5"/>
      <c r="B892" s="5"/>
      <c r="C892" s="5"/>
    </row>
    <row r="893" spans="1:3" ht="15.75" customHeight="1" x14ac:dyDescent="0.3">
      <c r="A893" s="5"/>
      <c r="B893" s="5"/>
      <c r="C893" s="5"/>
    </row>
    <row r="894" spans="1:3" ht="15.75" customHeight="1" x14ac:dyDescent="0.3">
      <c r="A894" s="5"/>
      <c r="B894" s="5"/>
      <c r="C894" s="5"/>
    </row>
    <row r="895" spans="1:3" ht="15.75" customHeight="1" x14ac:dyDescent="0.3">
      <c r="A895" s="5"/>
      <c r="B895" s="5"/>
      <c r="C895" s="5"/>
    </row>
    <row r="896" spans="1:3" ht="15.75" customHeight="1" x14ac:dyDescent="0.3">
      <c r="A896" s="5"/>
      <c r="B896" s="5"/>
      <c r="C896" s="5"/>
    </row>
    <row r="897" spans="1:3" ht="15.75" customHeight="1" x14ac:dyDescent="0.3">
      <c r="A897" s="5"/>
      <c r="B897" s="5"/>
      <c r="C897" s="5"/>
    </row>
    <row r="898" spans="1:3" ht="15.75" customHeight="1" x14ac:dyDescent="0.3">
      <c r="A898" s="5"/>
      <c r="B898" s="5"/>
      <c r="C898" s="5"/>
    </row>
    <row r="899" spans="1:3" ht="15.75" customHeight="1" x14ac:dyDescent="0.3">
      <c r="A899" s="5"/>
      <c r="B899" s="5"/>
      <c r="C899" s="5"/>
    </row>
    <row r="900" spans="1:3" ht="15.75" customHeight="1" x14ac:dyDescent="0.3">
      <c r="A900" s="5"/>
      <c r="B900" s="5"/>
      <c r="C900" s="5"/>
    </row>
    <row r="901" spans="1:3" ht="15.75" customHeight="1" x14ac:dyDescent="0.3">
      <c r="A901" s="5"/>
      <c r="B901" s="5"/>
      <c r="C901" s="5"/>
    </row>
    <row r="902" spans="1:3" ht="15.75" customHeight="1" x14ac:dyDescent="0.3">
      <c r="A902" s="5"/>
      <c r="B902" s="5"/>
      <c r="C902" s="5"/>
    </row>
    <row r="903" spans="1:3" ht="15.75" customHeight="1" x14ac:dyDescent="0.3">
      <c r="A903" s="5"/>
      <c r="B903" s="5"/>
      <c r="C903" s="5"/>
    </row>
    <row r="904" spans="1:3" ht="15.75" customHeight="1" x14ac:dyDescent="0.3">
      <c r="A904" s="5"/>
      <c r="B904" s="5"/>
      <c r="C904" s="5"/>
    </row>
    <row r="905" spans="1:3" ht="15.75" customHeight="1" x14ac:dyDescent="0.3">
      <c r="A905" s="5"/>
      <c r="B905" s="5"/>
      <c r="C905" s="5"/>
    </row>
    <row r="906" spans="1:3" ht="15.75" customHeight="1" x14ac:dyDescent="0.3">
      <c r="A906" s="5"/>
      <c r="B906" s="5"/>
      <c r="C906" s="5"/>
    </row>
    <row r="907" spans="1:3" ht="15.75" customHeight="1" x14ac:dyDescent="0.3">
      <c r="A907" s="5"/>
      <c r="B907" s="5"/>
      <c r="C907" s="5"/>
    </row>
    <row r="908" spans="1:3" ht="15.75" customHeight="1" x14ac:dyDescent="0.3">
      <c r="A908" s="5"/>
      <c r="B908" s="5"/>
      <c r="C908" s="5"/>
    </row>
    <row r="909" spans="1:3" ht="15.75" customHeight="1" x14ac:dyDescent="0.3">
      <c r="A909" s="5"/>
      <c r="B909" s="5"/>
      <c r="C909" s="5"/>
    </row>
    <row r="910" spans="1:3" ht="15.75" customHeight="1" x14ac:dyDescent="0.3">
      <c r="A910" s="5"/>
      <c r="B910" s="5"/>
      <c r="C910" s="5"/>
    </row>
    <row r="911" spans="1:3" ht="15.75" customHeight="1" x14ac:dyDescent="0.3">
      <c r="A911" s="5"/>
      <c r="B911" s="5"/>
      <c r="C911" s="5"/>
    </row>
    <row r="912" spans="1:3" ht="15.75" customHeight="1" x14ac:dyDescent="0.3">
      <c r="A912" s="5"/>
      <c r="B912" s="5"/>
      <c r="C912" s="5"/>
    </row>
    <row r="913" spans="1:3" ht="15.75" customHeight="1" x14ac:dyDescent="0.3">
      <c r="A913" s="5"/>
      <c r="B913" s="5"/>
      <c r="C913" s="5"/>
    </row>
    <row r="914" spans="1:3" ht="15.75" customHeight="1" x14ac:dyDescent="0.3">
      <c r="A914" s="5"/>
      <c r="B914" s="5"/>
      <c r="C914" s="5"/>
    </row>
    <row r="915" spans="1:3" ht="15.75" customHeight="1" x14ac:dyDescent="0.3">
      <c r="A915" s="5"/>
      <c r="B915" s="5"/>
      <c r="C915" s="5"/>
    </row>
    <row r="916" spans="1:3" ht="15.75" customHeight="1" x14ac:dyDescent="0.3">
      <c r="A916" s="5"/>
      <c r="B916" s="5"/>
      <c r="C916" s="5"/>
    </row>
    <row r="917" spans="1:3" ht="15.75" customHeight="1" x14ac:dyDescent="0.3">
      <c r="A917" s="5"/>
      <c r="B917" s="5"/>
      <c r="C917" s="5"/>
    </row>
    <row r="918" spans="1:3" ht="15.75" customHeight="1" x14ac:dyDescent="0.3">
      <c r="A918" s="5"/>
      <c r="B918" s="5"/>
      <c r="C918" s="5"/>
    </row>
    <row r="919" spans="1:3" ht="15.75" customHeight="1" x14ac:dyDescent="0.3">
      <c r="A919" s="5"/>
      <c r="B919" s="5"/>
      <c r="C919" s="5"/>
    </row>
    <row r="920" spans="1:3" ht="15.75" customHeight="1" x14ac:dyDescent="0.3">
      <c r="A920" s="5"/>
      <c r="B920" s="5"/>
      <c r="C920" s="5"/>
    </row>
    <row r="921" spans="1:3" ht="15.75" customHeight="1" x14ac:dyDescent="0.3">
      <c r="A921" s="5"/>
      <c r="B921" s="5"/>
      <c r="C921" s="5"/>
    </row>
    <row r="922" spans="1:3" ht="15.75" customHeight="1" x14ac:dyDescent="0.3">
      <c r="A922" s="5"/>
      <c r="B922" s="5"/>
      <c r="C922" s="5"/>
    </row>
    <row r="923" spans="1:3" ht="15.75" customHeight="1" x14ac:dyDescent="0.3">
      <c r="A923" s="5"/>
      <c r="B923" s="5"/>
      <c r="C923" s="5"/>
    </row>
    <row r="924" spans="1:3" ht="15.75" customHeight="1" x14ac:dyDescent="0.3">
      <c r="A924" s="5"/>
      <c r="B924" s="5"/>
      <c r="C924" s="5"/>
    </row>
    <row r="925" spans="1:3" ht="15.75" customHeight="1" x14ac:dyDescent="0.3">
      <c r="A925" s="5"/>
      <c r="B925" s="5"/>
      <c r="C925" s="5"/>
    </row>
    <row r="926" spans="1:3" ht="15.75" customHeight="1" x14ac:dyDescent="0.3">
      <c r="A926" s="5"/>
      <c r="B926" s="5"/>
      <c r="C926" s="5"/>
    </row>
    <row r="927" spans="1:3" ht="15.75" customHeight="1" x14ac:dyDescent="0.3">
      <c r="A927" s="5"/>
      <c r="B927" s="5"/>
      <c r="C927" s="5"/>
    </row>
    <row r="928" spans="1:3" ht="15.75" customHeight="1" x14ac:dyDescent="0.3">
      <c r="A928" s="5"/>
      <c r="B928" s="5"/>
      <c r="C928" s="5"/>
    </row>
    <row r="929" spans="1:3" ht="15.75" customHeight="1" x14ac:dyDescent="0.3">
      <c r="A929" s="5"/>
      <c r="B929" s="5"/>
      <c r="C929" s="5"/>
    </row>
    <row r="930" spans="1:3" ht="15.75" customHeight="1" x14ac:dyDescent="0.3">
      <c r="A930" s="5"/>
      <c r="B930" s="5"/>
      <c r="C930" s="5"/>
    </row>
    <row r="931" spans="1:3" ht="15.75" customHeight="1" x14ac:dyDescent="0.3">
      <c r="A931" s="5"/>
      <c r="B931" s="5"/>
      <c r="C931" s="5"/>
    </row>
    <row r="932" spans="1:3" ht="15.75" customHeight="1" x14ac:dyDescent="0.3">
      <c r="A932" s="5"/>
      <c r="B932" s="5"/>
      <c r="C932" s="5"/>
    </row>
    <row r="933" spans="1:3" ht="15.75" customHeight="1" x14ac:dyDescent="0.3">
      <c r="A933" s="5"/>
      <c r="B933" s="5"/>
      <c r="C933" s="5"/>
    </row>
    <row r="934" spans="1:3" ht="15.75" customHeight="1" x14ac:dyDescent="0.3">
      <c r="A934" s="5"/>
      <c r="B934" s="5"/>
      <c r="C934" s="5"/>
    </row>
    <row r="935" spans="1:3" ht="15.75" customHeight="1" x14ac:dyDescent="0.3">
      <c r="A935" s="5"/>
      <c r="B935" s="5"/>
      <c r="C935" s="5"/>
    </row>
    <row r="936" spans="1:3" ht="15.75" customHeight="1" x14ac:dyDescent="0.3">
      <c r="A936" s="5"/>
      <c r="B936" s="5"/>
      <c r="C936" s="5"/>
    </row>
    <row r="937" spans="1:3" ht="15.75" customHeight="1" x14ac:dyDescent="0.3">
      <c r="A937" s="5"/>
      <c r="B937" s="5"/>
      <c r="C937" s="5"/>
    </row>
    <row r="938" spans="1:3" ht="15.75" customHeight="1" x14ac:dyDescent="0.3">
      <c r="A938" s="5"/>
      <c r="B938" s="5"/>
      <c r="C938" s="5"/>
    </row>
    <row r="939" spans="1:3" ht="15.75" customHeight="1" x14ac:dyDescent="0.3">
      <c r="A939" s="5"/>
      <c r="B939" s="5"/>
      <c r="C939" s="5"/>
    </row>
    <row r="940" spans="1:3" ht="15.75" customHeight="1" x14ac:dyDescent="0.3">
      <c r="A940" s="5"/>
      <c r="B940" s="5"/>
      <c r="C940" s="5"/>
    </row>
    <row r="941" spans="1:3" ht="15.75" customHeight="1" x14ac:dyDescent="0.3">
      <c r="A941" s="5"/>
      <c r="B941" s="5"/>
      <c r="C941" s="5"/>
    </row>
    <row r="942" spans="1:3" ht="15.75" customHeight="1" x14ac:dyDescent="0.3">
      <c r="A942" s="5"/>
      <c r="B942" s="5"/>
      <c r="C942" s="5"/>
    </row>
    <row r="943" spans="1:3" ht="15.75" customHeight="1" x14ac:dyDescent="0.3">
      <c r="A943" s="5"/>
      <c r="B943" s="5"/>
      <c r="C943" s="5"/>
    </row>
    <row r="944" spans="1:3" ht="15.75" customHeight="1" x14ac:dyDescent="0.3">
      <c r="A944" s="5"/>
      <c r="B944" s="5"/>
      <c r="C944" s="5"/>
    </row>
    <row r="945" spans="1:3" ht="15.75" customHeight="1" x14ac:dyDescent="0.3">
      <c r="A945" s="5"/>
      <c r="B945" s="5"/>
      <c r="C945" s="5"/>
    </row>
    <row r="946" spans="1:3" ht="15.75" customHeight="1" x14ac:dyDescent="0.3">
      <c r="A946" s="5"/>
      <c r="B946" s="5"/>
      <c r="C946" s="5"/>
    </row>
    <row r="947" spans="1:3" ht="15.75" customHeight="1" x14ac:dyDescent="0.3">
      <c r="A947" s="5"/>
      <c r="B947" s="5"/>
      <c r="C947" s="5"/>
    </row>
    <row r="948" spans="1:3" ht="15.75" customHeight="1" x14ac:dyDescent="0.3">
      <c r="A948" s="5"/>
      <c r="B948" s="5"/>
      <c r="C948" s="5"/>
    </row>
    <row r="949" spans="1:3" ht="15.75" customHeight="1" x14ac:dyDescent="0.3">
      <c r="A949" s="5"/>
      <c r="B949" s="5"/>
      <c r="C949" s="5"/>
    </row>
    <row r="950" spans="1:3" ht="15.75" customHeight="1" x14ac:dyDescent="0.3">
      <c r="A950" s="5"/>
      <c r="B950" s="5"/>
      <c r="C950" s="5"/>
    </row>
    <row r="951" spans="1:3" ht="15.75" customHeight="1" x14ac:dyDescent="0.3">
      <c r="A951" s="5"/>
      <c r="B951" s="5"/>
      <c r="C951" s="5"/>
    </row>
    <row r="952" spans="1:3" ht="15.75" customHeight="1" x14ac:dyDescent="0.3">
      <c r="A952" s="5"/>
      <c r="B952" s="5"/>
      <c r="C952" s="5"/>
    </row>
    <row r="953" spans="1:3" ht="15.75" customHeight="1" x14ac:dyDescent="0.3">
      <c r="A953" s="5"/>
      <c r="B953" s="5"/>
      <c r="C953" s="5"/>
    </row>
    <row r="954" spans="1:3" ht="15.75" customHeight="1" x14ac:dyDescent="0.3">
      <c r="A954" s="5"/>
      <c r="B954" s="5"/>
      <c r="C954" s="5"/>
    </row>
    <row r="955" spans="1:3" ht="15.75" customHeight="1" x14ac:dyDescent="0.3">
      <c r="A955" s="5"/>
      <c r="B955" s="5"/>
      <c r="C955" s="5"/>
    </row>
    <row r="956" spans="1:3" ht="15.75" customHeight="1" x14ac:dyDescent="0.3">
      <c r="A956" s="5"/>
      <c r="B956" s="5"/>
      <c r="C956" s="5"/>
    </row>
    <row r="957" spans="1:3" ht="15.75" customHeight="1" x14ac:dyDescent="0.3">
      <c r="A957" s="5"/>
      <c r="B957" s="5"/>
      <c r="C957" s="5"/>
    </row>
    <row r="958" spans="1:3" ht="15.75" customHeight="1" x14ac:dyDescent="0.3">
      <c r="A958" s="5"/>
      <c r="B958" s="5"/>
      <c r="C958" s="5"/>
    </row>
    <row r="959" spans="1:3" ht="15.75" customHeight="1" x14ac:dyDescent="0.3">
      <c r="A959" s="5"/>
      <c r="B959" s="5"/>
      <c r="C959" s="5"/>
    </row>
    <row r="960" spans="1:3" ht="15.75" customHeight="1" x14ac:dyDescent="0.3">
      <c r="A960" s="5"/>
      <c r="B960" s="5"/>
      <c r="C960" s="5"/>
    </row>
    <row r="961" spans="1:3" ht="15.75" customHeight="1" x14ac:dyDescent="0.3">
      <c r="A961" s="5"/>
      <c r="B961" s="5"/>
      <c r="C961" s="5"/>
    </row>
    <row r="962" spans="1:3" ht="15.75" customHeight="1" x14ac:dyDescent="0.3">
      <c r="A962" s="5"/>
      <c r="B962" s="5"/>
      <c r="C962" s="5"/>
    </row>
    <row r="963" spans="1:3" ht="15.75" customHeight="1" x14ac:dyDescent="0.3">
      <c r="A963" s="5"/>
      <c r="B963" s="5"/>
      <c r="C963" s="5"/>
    </row>
    <row r="964" spans="1:3" ht="15.75" customHeight="1" x14ac:dyDescent="0.3">
      <c r="A964" s="5"/>
      <c r="B964" s="5"/>
      <c r="C964" s="5"/>
    </row>
    <row r="965" spans="1:3" ht="15.75" customHeight="1" x14ac:dyDescent="0.3">
      <c r="A965" s="5"/>
      <c r="B965" s="5"/>
      <c r="C965" s="5"/>
    </row>
    <row r="966" spans="1:3" ht="15.75" customHeight="1" x14ac:dyDescent="0.3">
      <c r="A966" s="5"/>
      <c r="B966" s="5"/>
      <c r="C966" s="5"/>
    </row>
    <row r="967" spans="1:3" ht="15.75" customHeight="1" x14ac:dyDescent="0.3">
      <c r="A967" s="5"/>
      <c r="B967" s="5"/>
      <c r="C967" s="5"/>
    </row>
    <row r="968" spans="1:3" ht="15.75" customHeight="1" x14ac:dyDescent="0.3">
      <c r="A968" s="5"/>
      <c r="B968" s="5"/>
      <c r="C968" s="5"/>
    </row>
    <row r="969" spans="1:3" ht="15.75" customHeight="1" x14ac:dyDescent="0.3">
      <c r="A969" s="5"/>
      <c r="B969" s="5"/>
      <c r="C969" s="5"/>
    </row>
    <row r="970" spans="1:3" ht="15.75" customHeight="1" x14ac:dyDescent="0.3">
      <c r="A970" s="5"/>
      <c r="B970" s="5"/>
      <c r="C970" s="5"/>
    </row>
    <row r="971" spans="1:3" ht="15.75" customHeight="1" x14ac:dyDescent="0.3">
      <c r="A971" s="5"/>
      <c r="B971" s="5"/>
      <c r="C971" s="5"/>
    </row>
    <row r="972" spans="1:3" ht="15.75" customHeight="1" x14ac:dyDescent="0.3">
      <c r="A972" s="5"/>
      <c r="B972" s="5"/>
      <c r="C972" s="5"/>
    </row>
    <row r="973" spans="1:3" ht="15.75" customHeight="1" x14ac:dyDescent="0.3">
      <c r="A973" s="5"/>
      <c r="B973" s="5"/>
      <c r="C973" s="5"/>
    </row>
    <row r="974" spans="1:3" ht="15.75" customHeight="1" x14ac:dyDescent="0.3">
      <c r="A974" s="5"/>
      <c r="B974" s="5"/>
      <c r="C974" s="5"/>
    </row>
    <row r="975" spans="1:3" ht="15.75" customHeight="1" x14ac:dyDescent="0.3">
      <c r="A975" s="5"/>
      <c r="B975" s="5"/>
      <c r="C975" s="5"/>
    </row>
    <row r="976" spans="1:3" ht="15.75" customHeight="1" x14ac:dyDescent="0.3">
      <c r="A976" s="5"/>
      <c r="B976" s="5"/>
      <c r="C976" s="5"/>
    </row>
    <row r="977" spans="1:3" ht="15.75" customHeight="1" x14ac:dyDescent="0.3">
      <c r="A977" s="5"/>
      <c r="B977" s="5"/>
      <c r="C977" s="5"/>
    </row>
    <row r="978" spans="1:3" ht="15.75" customHeight="1" x14ac:dyDescent="0.3">
      <c r="A978" s="5"/>
      <c r="B978" s="5"/>
      <c r="C978" s="5"/>
    </row>
    <row r="979" spans="1:3" ht="15.75" customHeight="1" x14ac:dyDescent="0.3">
      <c r="A979" s="5"/>
      <c r="B979" s="5"/>
      <c r="C979" s="5"/>
    </row>
    <row r="980" spans="1:3" ht="15.75" customHeight="1" x14ac:dyDescent="0.3">
      <c r="A980" s="5"/>
      <c r="B980" s="5"/>
      <c r="C980" s="5"/>
    </row>
    <row r="981" spans="1:3" ht="15.75" customHeight="1" x14ac:dyDescent="0.3">
      <c r="A981" s="5"/>
      <c r="B981" s="5"/>
      <c r="C981" s="5"/>
    </row>
    <row r="982" spans="1:3" ht="15.75" customHeight="1" x14ac:dyDescent="0.3">
      <c r="A982" s="5"/>
      <c r="B982" s="5"/>
      <c r="C982" s="5"/>
    </row>
    <row r="983" spans="1:3" ht="15.75" customHeight="1" x14ac:dyDescent="0.3">
      <c r="A983" s="5"/>
      <c r="B983" s="5"/>
      <c r="C983" s="5"/>
    </row>
    <row r="984" spans="1:3" ht="15.75" customHeight="1" x14ac:dyDescent="0.3">
      <c r="A984" s="5"/>
      <c r="B984" s="5"/>
      <c r="C984" s="5"/>
    </row>
    <row r="985" spans="1:3" ht="15.75" customHeight="1" x14ac:dyDescent="0.3">
      <c r="A985" s="5"/>
      <c r="B985" s="5"/>
      <c r="C985" s="5"/>
    </row>
    <row r="986" spans="1:3" ht="15.75" customHeight="1" x14ac:dyDescent="0.3">
      <c r="A986" s="5"/>
      <c r="B986" s="5"/>
      <c r="C986" s="5"/>
    </row>
    <row r="987" spans="1:3" ht="15.75" customHeight="1" x14ac:dyDescent="0.3">
      <c r="A987" s="5"/>
      <c r="B987" s="5"/>
      <c r="C987" s="5"/>
    </row>
    <row r="988" spans="1:3" ht="15.75" customHeight="1" x14ac:dyDescent="0.3">
      <c r="A988" s="5"/>
      <c r="B988" s="5"/>
      <c r="C988" s="5"/>
    </row>
    <row r="989" spans="1:3" ht="15.75" customHeight="1" x14ac:dyDescent="0.3">
      <c r="A989" s="5"/>
      <c r="B989" s="5"/>
      <c r="C989" s="5"/>
    </row>
    <row r="990" spans="1:3" ht="15.75" customHeight="1" x14ac:dyDescent="0.3">
      <c r="A990" s="5"/>
      <c r="B990" s="5"/>
      <c r="C990" s="5"/>
    </row>
    <row r="991" spans="1:3" ht="15.75" customHeight="1" x14ac:dyDescent="0.3">
      <c r="A991" s="5"/>
      <c r="B991" s="5"/>
      <c r="C991" s="5"/>
    </row>
    <row r="992" spans="1:3" ht="15.75" customHeight="1" x14ac:dyDescent="0.3">
      <c r="A992" s="5"/>
      <c r="B992" s="5"/>
      <c r="C992" s="5"/>
    </row>
    <row r="993" spans="1:3" ht="15.75" customHeight="1" x14ac:dyDescent="0.3">
      <c r="A993" s="5"/>
      <c r="B993" s="5"/>
      <c r="C993" s="5"/>
    </row>
    <row r="994" spans="1:3" ht="15.75" customHeight="1" x14ac:dyDescent="0.3">
      <c r="A994" s="5"/>
      <c r="B994" s="5"/>
      <c r="C994" s="5"/>
    </row>
    <row r="995" spans="1:3" ht="15.75" customHeight="1" x14ac:dyDescent="0.3">
      <c r="A995" s="5"/>
      <c r="B995" s="5"/>
      <c r="C995" s="5"/>
    </row>
    <row r="996" spans="1:3" ht="15.75" customHeight="1" x14ac:dyDescent="0.3">
      <c r="A996" s="5"/>
      <c r="B996" s="5"/>
      <c r="C996" s="5"/>
    </row>
    <row r="997" spans="1:3" ht="15.75" customHeight="1" x14ac:dyDescent="0.3">
      <c r="A997" s="5"/>
      <c r="B997" s="5"/>
      <c r="C997" s="5"/>
    </row>
    <row r="998" spans="1:3" ht="15.75" customHeight="1" x14ac:dyDescent="0.3">
      <c r="A998" s="5"/>
      <c r="B998" s="5"/>
      <c r="C998" s="5"/>
    </row>
    <row r="999" spans="1:3" ht="15.75" customHeight="1" x14ac:dyDescent="0.3">
      <c r="A999" s="5"/>
      <c r="B999" s="5"/>
      <c r="C999" s="5"/>
    </row>
    <row r="1000" spans="1:3" ht="15.75" customHeight="1" x14ac:dyDescent="0.3">
      <c r="A1000" s="5"/>
      <c r="B1000" s="5"/>
      <c r="C1000" s="5"/>
    </row>
  </sheetData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00"/>
  <sheetViews>
    <sheetView workbookViewId="0">
      <selection activeCell="E17" sqref="E17"/>
    </sheetView>
  </sheetViews>
  <sheetFormatPr defaultColWidth="14.44140625" defaultRowHeight="15" customHeight="1" x14ac:dyDescent="0.3"/>
  <cols>
    <col min="1" max="1" width="16" customWidth="1"/>
    <col min="2" max="2" width="20" customWidth="1"/>
    <col min="3" max="3" width="10" customWidth="1"/>
    <col min="4" max="4" width="16" customWidth="1"/>
    <col min="5" max="5" width="12" customWidth="1"/>
    <col min="6" max="6" width="14" customWidth="1"/>
    <col min="7" max="7" width="17.109375" customWidth="1"/>
    <col min="8" max="8" width="20" customWidth="1"/>
    <col min="9" max="9" width="15.88671875" customWidth="1"/>
    <col min="10" max="10" width="18" customWidth="1"/>
    <col min="11" max="11" width="14.6640625" customWidth="1"/>
    <col min="12" max="12" width="24" customWidth="1"/>
    <col min="13" max="13" width="20.6640625" customWidth="1"/>
    <col min="14" max="14" width="20" customWidth="1"/>
    <col min="15" max="15" width="11.109375" customWidth="1"/>
    <col min="16" max="16" width="17.109375" customWidth="1"/>
    <col min="17" max="26" width="8.6640625" customWidth="1"/>
  </cols>
  <sheetData>
    <row r="1" spans="1:16" ht="23.25" customHeight="1" x14ac:dyDescent="0.3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27</v>
      </c>
      <c r="H1" s="2" t="s">
        <v>229</v>
      </c>
      <c r="I1" s="2" t="s">
        <v>230</v>
      </c>
      <c r="J1" s="2" t="s">
        <v>231</v>
      </c>
      <c r="K1" s="2" t="s">
        <v>232</v>
      </c>
      <c r="L1" s="2" t="s">
        <v>233</v>
      </c>
      <c r="M1" s="2" t="s">
        <v>234</v>
      </c>
      <c r="N1" s="2" t="s">
        <v>235</v>
      </c>
      <c r="O1" s="2" t="s">
        <v>63</v>
      </c>
      <c r="P1" s="2" t="s">
        <v>27</v>
      </c>
    </row>
    <row r="2" spans="1:16" ht="15" customHeight="1" x14ac:dyDescent="0.3">
      <c r="A2" s="8" t="str">
        <f ca="1">IFERROR(__xludf.DUMMYFUNCTION("IF(B2="""","""",RIGHT(regexreplace(B2&amp;"""",""[^0-9]"",""""),9))"),"778625101")</f>
        <v>778625101</v>
      </c>
      <c r="B2" s="9" t="s">
        <v>236</v>
      </c>
      <c r="C2" s="9" t="s">
        <v>237</v>
      </c>
      <c r="D2" s="9" t="s">
        <v>75</v>
      </c>
      <c r="E2" s="11" t="s">
        <v>238</v>
      </c>
      <c r="F2" s="11" t="s">
        <v>71</v>
      </c>
      <c r="G2" s="11" t="s">
        <v>239</v>
      </c>
      <c r="H2" s="11"/>
      <c r="I2" s="11" t="s">
        <v>240</v>
      </c>
      <c r="J2" s="11"/>
      <c r="K2" s="9" t="str">
        <f ca="1">IF(COUNTIFS($A$2:A2,A2,$L$2:L2,L2)&gt;1,"DUPLICATE - CHECK","")</f>
        <v/>
      </c>
      <c r="L2" s="9" t="s">
        <v>93</v>
      </c>
      <c r="M2" s="9" t="str">
        <f ca="1">IF(COUNTIF($A1:A$2,A)&gt;0,"Yes - see Previous F-Code","No")</f>
        <v>No</v>
      </c>
      <c r="N2" s="9" t="str">
        <f t="array" aca="1" ref="N2" ca="1">IF(COUNTIF($A1:A$2,A)&gt;0,INDEX($C1:C$2,MATCH(A2,$A1:A$2,0)),"")</f>
        <v/>
      </c>
      <c r="O2" s="5" t="s">
        <v>240</v>
      </c>
      <c r="P2" s="12" t="s">
        <v>241</v>
      </c>
    </row>
    <row r="3" spans="1:16" ht="15" customHeight="1" x14ac:dyDescent="0.3">
      <c r="A3" s="8" t="str">
        <f ca="1">IFERROR(__xludf.DUMMYFUNCTION("IF(B3="""","""",RIGHT(regexreplace(B3&amp;"""",""[^0-9]"",""""),9))"),"766820157")</f>
        <v>766820157</v>
      </c>
      <c r="B3" s="9" t="s">
        <v>242</v>
      </c>
      <c r="C3" s="9" t="s">
        <v>243</v>
      </c>
      <c r="D3" s="9" t="s">
        <v>78</v>
      </c>
      <c r="E3" s="11" t="s">
        <v>244</v>
      </c>
      <c r="F3" s="11" t="s">
        <v>140</v>
      </c>
      <c r="G3" s="11"/>
      <c r="H3" s="11" t="s">
        <v>245</v>
      </c>
      <c r="I3" s="11" t="s">
        <v>240</v>
      </c>
      <c r="J3" s="11"/>
      <c r="K3" s="9" t="str">
        <f ca="1">IF(COUNTIFS($A$2:A3,A3,$L$2:L3,L3)&gt;1,"DUPLICATE - CHECK","")</f>
        <v/>
      </c>
      <c r="L3" s="9" t="s">
        <v>93</v>
      </c>
      <c r="M3" s="9" t="str">
        <f ca="1">IF(COUNTIF($A2:A$2,A3)&gt;0,"Yes - see Previous F-Code","No")</f>
        <v>No</v>
      </c>
      <c r="N3" s="9" t="str">
        <f ca="1">IF(COUNTIF($A2:A$2,A3)&gt;0,INDEX($C2:C$2,MATCH(A3,$A2:A$2,0)),"")</f>
        <v/>
      </c>
      <c r="O3" s="13"/>
      <c r="P3" s="12"/>
    </row>
    <row r="4" spans="1:16" ht="15" customHeight="1" x14ac:dyDescent="0.3">
      <c r="A4" s="8" t="str">
        <f ca="1">IFERROR(__xludf.DUMMYFUNCTION("IF(B4="""","""",RIGHT(regexreplace(B4&amp;"""",""[^0-9]"",""""),9))"),"712197438")</f>
        <v>712197438</v>
      </c>
      <c r="B4" s="9" t="s">
        <v>246</v>
      </c>
      <c r="C4" s="9" t="s">
        <v>247</v>
      </c>
      <c r="D4" s="9" t="s">
        <v>77</v>
      </c>
      <c r="E4" s="11" t="s">
        <v>248</v>
      </c>
      <c r="F4" s="11" t="s">
        <v>138</v>
      </c>
      <c r="G4" s="11" t="s">
        <v>249</v>
      </c>
      <c r="H4" s="11"/>
      <c r="I4" s="11" t="s">
        <v>250</v>
      </c>
      <c r="J4" s="11" t="s">
        <v>251</v>
      </c>
      <c r="K4" s="9" t="str">
        <f ca="1">IF(COUNTIFS($A$2:A4,A4,$L$2:L4,L4)&gt;1,"DUPLICATE - CHECK","")</f>
        <v/>
      </c>
      <c r="L4" s="9"/>
      <c r="M4" s="9" t="str">
        <f ca="1">IF(COUNTIF($A$2:A3,A4)&gt;0,"Yes - see Previous F-Code","No")</f>
        <v>No</v>
      </c>
      <c r="N4" s="9" t="str">
        <f ca="1">IF(COUNTIF($A$2:A3,A4)&gt;0,INDEX($C$2:C3,MATCH(A4,$A$2:A3,0)),"")</f>
        <v/>
      </c>
      <c r="O4" s="13" t="s">
        <v>250</v>
      </c>
      <c r="P4" s="12">
        <v>11</v>
      </c>
    </row>
    <row r="5" spans="1:16" ht="15" customHeight="1" x14ac:dyDescent="0.3">
      <c r="A5" s="8" t="str">
        <f ca="1">IFERROR(__xludf.DUMMYFUNCTION("IF(B5="""","""",RIGHT(regexreplace(B5&amp;"""",""[^0-9]"",""""),9))"),"716030661")</f>
        <v>716030661</v>
      </c>
      <c r="B5" s="5">
        <v>716030661</v>
      </c>
      <c r="C5" s="5" t="s">
        <v>252</v>
      </c>
      <c r="D5" s="5" t="s">
        <v>78</v>
      </c>
      <c r="E5" s="14">
        <v>46223.351065995368</v>
      </c>
      <c r="F5" s="15" t="s">
        <v>138</v>
      </c>
      <c r="G5" s="16" t="s">
        <v>253</v>
      </c>
      <c r="H5" s="15" t="s">
        <v>254</v>
      </c>
      <c r="I5" s="15"/>
      <c r="J5" s="15"/>
      <c r="K5" s="9" t="str">
        <f ca="1">IF(COUNTIFS($A$2:A5,A5,$L$2:L5,L5)&gt;1,"DUPLICATE - CHECK","")</f>
        <v/>
      </c>
      <c r="L5" s="17"/>
      <c r="M5" s="9" t="str">
        <f ca="1">IF(COUNTIF($A$2:A4,A5)&gt;0,"Yes - see Previous F-Code","No")</f>
        <v>No</v>
      </c>
      <c r="N5" s="9" t="str">
        <f t="array" aca="1" ref="N5" ca="1">IF(COUNTIF($A$2:A4,A)&gt;0,INDEX($C$2:C4,MATCH(A5,$A$2:A4,0)),"")</f>
        <v/>
      </c>
      <c r="O5" s="13"/>
      <c r="P5" s="18" t="s">
        <v>255</v>
      </c>
    </row>
    <row r="6" spans="1:16" ht="15" customHeight="1" x14ac:dyDescent="0.3">
      <c r="A6" s="8" t="str">
        <f ca="1">IFERROR(__xludf.DUMMYFUNCTION("IF(B6="""","""",RIGHT(regexreplace(B6&amp;"""",""[^0-9]"",""""),9))"),"781833131")</f>
        <v>781833131</v>
      </c>
      <c r="B6" s="5">
        <v>781833131</v>
      </c>
      <c r="C6" s="5" t="s">
        <v>256</v>
      </c>
      <c r="D6" s="5" t="s">
        <v>78</v>
      </c>
      <c r="E6" s="14">
        <v>46223.351232083332</v>
      </c>
      <c r="F6" s="15" t="s">
        <v>71</v>
      </c>
      <c r="G6" s="16" t="s">
        <v>255</v>
      </c>
      <c r="H6" s="15"/>
      <c r="I6" s="15"/>
      <c r="J6" s="15"/>
      <c r="K6" s="9" t="str">
        <f ca="1">IF(COUNTIFS($A$2:A6,A6,$L$2:L6,L6)&gt;1,"DUPLICATE - CHECK","")</f>
        <v/>
      </c>
      <c r="L6" s="9"/>
      <c r="M6" s="9" t="str">
        <f ca="1">IF(COUNTIF($A$2:A5,A6)&gt;0,"Yes - see Previous F-Code","No")</f>
        <v>No</v>
      </c>
      <c r="N6" s="9" t="str">
        <f ca="1">IF(COUNTIF($A$2:A5,A6)&gt;0,INDEX($C$2:C5,MATCH(A6,$A$2:A5,0)),"")</f>
        <v/>
      </c>
      <c r="O6" s="13"/>
      <c r="P6" s="18"/>
    </row>
    <row r="7" spans="1:16" ht="15" customHeight="1" x14ac:dyDescent="0.3">
      <c r="A7" s="8" t="str">
        <f ca="1">IFERROR(__xludf.DUMMYFUNCTION("IF(B7="""","""",RIGHT(regexreplace(B7&amp;"""",""[^0-9]"",""""),9))"),"716030661")</f>
        <v>716030661</v>
      </c>
      <c r="B7" s="5">
        <v>716030661</v>
      </c>
      <c r="C7" s="5" t="s">
        <v>252</v>
      </c>
      <c r="D7" s="5"/>
      <c r="E7" s="14">
        <v>46223.354714780093</v>
      </c>
      <c r="F7" s="15" t="s">
        <v>137</v>
      </c>
      <c r="G7" s="15" t="s">
        <v>257</v>
      </c>
      <c r="H7" s="15"/>
      <c r="I7" s="15"/>
      <c r="J7" s="15"/>
      <c r="K7" s="9" t="str">
        <f ca="1">IF(COUNTIFS($A$2:A7,A7,$L$2:L7,L7)&gt;1,"DUPLICATE - CHECK","")</f>
        <v/>
      </c>
      <c r="L7" s="17"/>
      <c r="M7" s="9" t="str">
        <f ca="1">IF(COUNTIF($A$2:A6,A7)&gt;0,"Yes - see Previous F-Code","No")</f>
        <v>Yes - see Previous F-Code</v>
      </c>
      <c r="N7" s="9" t="str">
        <f ca="1">IF(COUNTIF($A$2:A6,A7)&gt;0,INDEX($C$2:C6,MATCH(A7,$A$2:A6,0)),"")</f>
        <v>F00004</v>
      </c>
      <c r="O7" s="13" t="s">
        <v>250</v>
      </c>
      <c r="P7" s="19">
        <v>7</v>
      </c>
    </row>
    <row r="8" spans="1:16" ht="15" customHeight="1" x14ac:dyDescent="0.3">
      <c r="A8" s="8" t="str">
        <f ca="1">IFERROR(__xludf.DUMMYFUNCTION("IF(B8="""","""",RIGHT(regexreplace(B8&amp;"""",""[^0-9]"",""""),9))"),"752945180")</f>
        <v>752945180</v>
      </c>
      <c r="B8" s="5">
        <v>752945180</v>
      </c>
      <c r="C8" s="5" t="s">
        <v>258</v>
      </c>
      <c r="D8" s="5" t="s">
        <v>77</v>
      </c>
      <c r="E8" s="14">
        <v>46223.359784363427</v>
      </c>
      <c r="F8" s="15" t="s">
        <v>72</v>
      </c>
      <c r="G8" s="15"/>
      <c r="H8" s="15"/>
      <c r="I8" s="15" t="s">
        <v>240</v>
      </c>
      <c r="J8" s="15"/>
      <c r="K8" s="9" t="str">
        <f ca="1">IF(COUNTIFS($A$2:A8,A8,$L$2:L8,L8)&gt;1,"DUPLICATE - CHECK","")</f>
        <v/>
      </c>
      <c r="L8" s="17" t="s">
        <v>93</v>
      </c>
      <c r="M8" s="9" t="str">
        <f ca="1">IF(COUNTIF($A$2:A7,A8)&gt;0,"Yes - see Previous F-Code","No")</f>
        <v>No</v>
      </c>
      <c r="N8" s="9" t="str">
        <f t="array" aca="1" ref="N8" ca="1">IF(COUNTIF($A$2:A7,A)&gt;0,INDEX($C$2:C7,MATCH(A8,$A$2:A7,0)),"")</f>
        <v/>
      </c>
      <c r="O8" s="13"/>
      <c r="P8" s="19"/>
    </row>
    <row r="9" spans="1:16" ht="15" customHeight="1" x14ac:dyDescent="0.3">
      <c r="A9" s="8" t="str">
        <f ca="1">IFERROR(__xludf.DUMMYFUNCTION("IF(B9="""","""",RIGHT(regexreplace(B9&amp;"""",""[^0-9]"",""""),9))"),"752945180")</f>
        <v>752945180</v>
      </c>
      <c r="B9" s="5">
        <v>94752945180</v>
      </c>
      <c r="C9" s="5" t="s">
        <v>258</v>
      </c>
      <c r="D9" s="5" t="s">
        <v>81</v>
      </c>
      <c r="E9" s="14">
        <v>46223.360351504627</v>
      </c>
      <c r="F9" s="15" t="s">
        <v>138</v>
      </c>
      <c r="G9" s="15" t="s">
        <v>259</v>
      </c>
      <c r="H9" s="15"/>
      <c r="I9" s="15"/>
      <c r="J9" s="15"/>
      <c r="K9" s="9" t="str">
        <f ca="1">IF(COUNTIFS($A$2:A9,A9,$L$2:L9,L9)&gt;1,"DUPLICATE - CHECK","")</f>
        <v>DUPLICATE - CHECK</v>
      </c>
      <c r="L9" s="17" t="s">
        <v>93</v>
      </c>
      <c r="M9" s="9" t="str">
        <f ca="1">IF(COUNTIF($A$2:A8,A9)&gt;0,"Yes - see Previous F-Code","No")</f>
        <v>Yes - see Previous F-Code</v>
      </c>
      <c r="N9" s="9" t="str">
        <f ca="1">IF(COUNTIF($A$2:A8,A9)&gt;0,INDEX($C$2:C8,MATCH(A9,$A$2:A8,0)),"")</f>
        <v>F00006</v>
      </c>
      <c r="O9" s="13"/>
      <c r="P9" s="19"/>
    </row>
    <row r="10" spans="1:16" ht="15" customHeight="1" x14ac:dyDescent="0.3">
      <c r="A10" s="8" t="str">
        <f ca="1">IFERROR(__xludf.DUMMYFUNCTION("IF(B10="""","""",RIGHT(regexreplace(B10&amp;"""",""[^0-9]"",""""),9))"),"778625101")</f>
        <v>778625101</v>
      </c>
      <c r="B10" s="5">
        <v>778625101</v>
      </c>
      <c r="C10" s="5" t="s">
        <v>237</v>
      </c>
      <c r="D10" s="5" t="s">
        <v>78</v>
      </c>
      <c r="E10" s="14">
        <v>46223.360552627317</v>
      </c>
      <c r="F10" s="15" t="s">
        <v>138</v>
      </c>
      <c r="G10" s="15" t="s">
        <v>260</v>
      </c>
      <c r="H10" s="15"/>
      <c r="I10" s="15"/>
      <c r="J10" s="15"/>
      <c r="K10" s="9" t="str">
        <f ca="1">IF(COUNTIFS($A$2:A10,A10,$L$2:L10,L10)&gt;1,"DUPLICATE - CHECK","")</f>
        <v/>
      </c>
      <c r="L10" s="17" t="s">
        <v>94</v>
      </c>
      <c r="M10" s="9" t="str">
        <f ca="1">IF(COUNTIF($A$2:A9,A10)&gt;0,"Yes - see Previous F-Code","No")</f>
        <v>Yes - see Previous F-Code</v>
      </c>
      <c r="N10" s="9" t="str">
        <f ca="1">IF(COUNTIF($A$2:A9,A10)&gt;0,INDEX($C$2:C9,MATCH(A10,$A$2:A9,0)),"")</f>
        <v>F00001</v>
      </c>
      <c r="O10" s="13"/>
      <c r="P10" s="19"/>
    </row>
    <row r="11" spans="1:16" ht="15" customHeight="1" x14ac:dyDescent="0.3">
      <c r="A11" s="8" t="str">
        <f ca="1">IFERROR(__xludf.DUMMYFUNCTION("IF(B11="""","""",RIGHT(regexreplace(B11&amp;"""",""[^0-9]"",""""),9))"),"789632546")</f>
        <v>789632546</v>
      </c>
      <c r="B11" s="5">
        <v>789632546</v>
      </c>
      <c r="C11" s="5" t="s">
        <v>261</v>
      </c>
      <c r="D11" s="5"/>
      <c r="E11" s="14">
        <v>46223.363847222223</v>
      </c>
      <c r="F11" s="15"/>
      <c r="G11" s="15"/>
      <c r="H11" s="15"/>
      <c r="I11" s="15"/>
      <c r="J11" s="15"/>
      <c r="K11" s="9" t="str">
        <f ca="1">IF(COUNTIFS($A$2:A11,A11,$L$2:L11,L11)&gt;1,"DUPLICATE - CHECK","")</f>
        <v/>
      </c>
      <c r="L11" s="17"/>
      <c r="M11" s="9" t="str">
        <f ca="1">IF(COUNTIF($A$2:A10,A11)&gt;0,"Yes - see Previous F-Code","No")</f>
        <v>No</v>
      </c>
      <c r="N11" s="9" t="str">
        <f t="array" aca="1" ref="N11" ca="1">IF(COUNTIF($A$2:A10,A)&gt;0,INDEX($C$2:C10,MATCH(A11,$A$2:A10,0)),"")</f>
        <v/>
      </c>
      <c r="O11" s="13"/>
      <c r="P11" s="19"/>
    </row>
    <row r="12" spans="1:16" ht="15" customHeight="1" x14ac:dyDescent="0.3">
      <c r="A12" s="8" t="str">
        <f ca="1">IFERROR(__xludf.DUMMYFUNCTION("IF(B12="""","""",RIGHT(regexreplace(B12&amp;"""",""[^0-9]"",""""),9))"),"")</f>
        <v/>
      </c>
      <c r="B12" s="5"/>
      <c r="C12" s="5"/>
      <c r="D12" s="5"/>
      <c r="E12" s="14"/>
      <c r="F12" s="15"/>
      <c r="G12" s="15"/>
      <c r="H12" s="15"/>
      <c r="I12" s="15"/>
      <c r="J12" s="15"/>
      <c r="K12" s="9" t="str">
        <f ca="1">IF(COUNTIFS($A$2:A12,A12,$L$2:L12,L12)&gt;1,"DUPLICATE - CHECK","")</f>
        <v/>
      </c>
      <c r="L12" s="17"/>
      <c r="M12" s="9" t="str">
        <f ca="1">IF(COUNTIF($A$2:A11,A12)&gt;0,"Yes - see Previous F-Code","No")</f>
        <v>No</v>
      </c>
      <c r="N12" s="9" t="str">
        <f ca="1">IF(COUNTIF($A$2:A11,A12)&gt;0,INDEX($C$2:C11,MATCH(A12,$A$2:A11,0)),"")</f>
        <v/>
      </c>
      <c r="O12" s="13"/>
      <c r="P12" s="19"/>
    </row>
    <row r="13" spans="1:16" ht="15" customHeight="1" x14ac:dyDescent="0.3">
      <c r="A13" s="8" t="str">
        <f ca="1">IFERROR(__xludf.DUMMYFUNCTION("IF(B13="""","""",RIGHT(regexreplace(B13&amp;"""",""[^0-9]"",""""),9))"),"")</f>
        <v/>
      </c>
      <c r="B13" s="5"/>
      <c r="C13" s="5"/>
      <c r="D13" s="5"/>
      <c r="E13" s="14"/>
      <c r="F13" s="15"/>
      <c r="G13" s="15"/>
      <c r="H13" s="15"/>
      <c r="I13" s="15"/>
      <c r="J13" s="15"/>
      <c r="K13" s="9" t="str">
        <f ca="1">IF(COUNTIFS($A$2:A13,A13,$L$2:L13,L13)&gt;1,"DUPLICATE - CHECK","")</f>
        <v/>
      </c>
      <c r="L13" s="17"/>
      <c r="M13" s="9" t="str">
        <f ca="1">IF(COUNTIF($A$2:A12,A13)&gt;0,"Yes - see Previous F-Code","No")</f>
        <v>Yes - see Previous F-Code</v>
      </c>
      <c r="N13" s="9">
        <f ca="1">IF(COUNTIF($A$2:A12,A13)&gt;0,INDEX($C$2:C12,MATCH(A13,$A$2:A12,0)),"")</f>
        <v>0</v>
      </c>
      <c r="O13" s="13"/>
      <c r="P13" s="19"/>
    </row>
    <row r="14" spans="1:16" ht="15" customHeight="1" x14ac:dyDescent="0.3">
      <c r="A14" s="8" t="str">
        <f ca="1">IFERROR(__xludf.DUMMYFUNCTION("IF(B14="""","""",RIGHT(regexreplace(B14&amp;"""",""[^0-9]"",""""),9))"),"")</f>
        <v/>
      </c>
      <c r="B14" s="5"/>
      <c r="C14" s="5"/>
      <c r="D14" s="5"/>
      <c r="E14" s="14"/>
      <c r="F14" s="15"/>
      <c r="G14" s="15"/>
      <c r="H14" s="15"/>
      <c r="I14" s="15"/>
      <c r="J14" s="15"/>
      <c r="K14" s="9" t="str">
        <f ca="1">IF(COUNTIFS($A$2:A14,A14,$L$2:L14,L14)&gt;1,"DUPLICATE - CHECK","")</f>
        <v/>
      </c>
      <c r="L14" s="17"/>
      <c r="M14" s="9" t="str">
        <f ca="1">IF(COUNTIF($A$2:A13,A14)&gt;0,"Yes - see Previous F-Code","No")</f>
        <v>Yes - see Previous F-Code</v>
      </c>
      <c r="N14" s="9" t="str">
        <f t="array" aca="1" ref="N14" ca="1">IF(COUNTIF($A$2:A13,A)&gt;0,INDEX($C$2:C13,MATCH(A14,$A$2:A13,0)),"")</f>
        <v/>
      </c>
      <c r="O14" s="13"/>
      <c r="P14" s="19"/>
    </row>
    <row r="15" spans="1:16" ht="15" customHeight="1" x14ac:dyDescent="0.3">
      <c r="A15" s="8" t="str">
        <f ca="1">IFERROR(__xludf.DUMMYFUNCTION("IF(B15="""","""",RIGHT(regexreplace(B15&amp;"""",""[^0-9]"",""""),9))"),"")</f>
        <v/>
      </c>
      <c r="B15" s="5"/>
      <c r="C15" s="5"/>
      <c r="D15" s="5"/>
      <c r="E15" s="15"/>
      <c r="F15" s="15"/>
      <c r="G15" s="15"/>
      <c r="H15" s="15"/>
      <c r="I15" s="15"/>
      <c r="J15" s="15"/>
      <c r="K15" s="9" t="str">
        <f ca="1">IF(COUNTIFS($A$2:A15,A15,$L$2:L15,L15)&gt;1,"DUPLICATE - CHECK","")</f>
        <v/>
      </c>
      <c r="L15" s="17"/>
      <c r="M15" s="9" t="str">
        <f ca="1">IF(COUNTIF($A$2:A14,A15)&gt;0,"Yes - see Previous F-Code","No")</f>
        <v>Yes - see Previous F-Code</v>
      </c>
      <c r="N15" s="9">
        <f ca="1">IF(COUNTIF($A$2:A14,A15)&gt;0,INDEX($C$2:C14,MATCH(A15,$A$2:A14,0)),"")</f>
        <v>0</v>
      </c>
      <c r="O15" s="13"/>
      <c r="P15" s="19"/>
    </row>
    <row r="16" spans="1:16" ht="15" customHeight="1" x14ac:dyDescent="0.3">
      <c r="A16" s="8" t="str">
        <f ca="1">IFERROR(__xludf.DUMMYFUNCTION("IF(B16="""","""",RIGHT(regexreplace(B16&amp;"""",""[^0-9]"",""""),9))"),"")</f>
        <v/>
      </c>
      <c r="B16" s="5"/>
      <c r="C16" s="5"/>
      <c r="D16" s="5"/>
      <c r="E16" s="14"/>
      <c r="F16" s="15"/>
      <c r="G16" s="15"/>
      <c r="H16" s="15"/>
      <c r="I16" s="15"/>
      <c r="J16" s="15"/>
      <c r="K16" s="9" t="str">
        <f ca="1">IF(COUNTIFS($A$2:A16,A16,$L$2:L16,L16)&gt;1,"DUPLICATE - CHECK","")</f>
        <v/>
      </c>
      <c r="L16" s="17"/>
      <c r="M16" s="9" t="str">
        <f ca="1">IF(COUNTIF($A$2:A15,A16)&gt;0,"Yes - see Previous F-Code","No")</f>
        <v>Yes - see Previous F-Code</v>
      </c>
      <c r="N16" s="9">
        <f ca="1">IF(COUNTIF($A$2:A15,A16)&gt;0,INDEX($C$2:C15,MATCH(A16,$A$2:A15,0)),"")</f>
        <v>0</v>
      </c>
      <c r="O16" s="13"/>
      <c r="P16" s="19"/>
    </row>
    <row r="17" spans="1:16" ht="15" customHeight="1" x14ac:dyDescent="0.3">
      <c r="A17" s="8" t="str">
        <f ca="1">IFERROR(__xludf.DUMMYFUNCTION("IF(B17="""","""",RIGHT(regexreplace(B17&amp;"""",""[^0-9]"",""""),9))"),"")</f>
        <v/>
      </c>
      <c r="B17" s="5"/>
      <c r="C17" s="5"/>
      <c r="D17" s="5"/>
      <c r="E17" s="15"/>
      <c r="F17" s="15"/>
      <c r="G17" s="15"/>
      <c r="H17" s="15"/>
      <c r="I17" s="15"/>
      <c r="J17" s="15"/>
      <c r="K17" s="9" t="str">
        <f ca="1">IF(COUNTIFS($A$2:A17,A17,$L$2:L17,L17)&gt;1,"DUPLICATE - CHECK","")</f>
        <v/>
      </c>
      <c r="L17" s="17"/>
      <c r="M17" s="9" t="str">
        <f ca="1">IF(COUNTIF($A$2:A16,A17)&gt;0,"Yes - see Previous F-Code","No")</f>
        <v>Yes - see Previous F-Code</v>
      </c>
      <c r="N17" s="9" t="str">
        <f t="array" aca="1" ref="N17" ca="1">IF(COUNTIF($A$2:A16,A)&gt;0,INDEX($C$2:C16,MATCH(A17,$A$2:A16,0)),"")</f>
        <v/>
      </c>
      <c r="O17" s="13"/>
      <c r="P17" s="19"/>
    </row>
    <row r="18" spans="1:16" ht="15" customHeight="1" x14ac:dyDescent="0.3">
      <c r="A18" s="8" t="str">
        <f ca="1">IFERROR(__xludf.DUMMYFUNCTION("IF(B18="""","""",RIGHT(regexreplace(B18&amp;"""",""[^0-9]"",""""),9))"),"")</f>
        <v/>
      </c>
      <c r="B18" s="5"/>
      <c r="C18" s="5"/>
      <c r="D18" s="5"/>
      <c r="E18" s="15"/>
      <c r="F18" s="15"/>
      <c r="G18" s="15"/>
      <c r="H18" s="15"/>
      <c r="I18" s="15"/>
      <c r="J18" s="15"/>
      <c r="K18" s="9" t="str">
        <f ca="1">IF(COUNTIFS($A$2:A18,A18,$L$2:L18,L18)&gt;1,"DUPLICATE - CHECK","")</f>
        <v/>
      </c>
      <c r="L18" s="17"/>
      <c r="M18" s="9" t="str">
        <f ca="1">IF(COUNTIF($A$2:A17,A18)&gt;0,"Yes - see Previous F-Code","No")</f>
        <v>Yes - see Previous F-Code</v>
      </c>
      <c r="N18" s="9">
        <f ca="1">IF(COUNTIF($A$2:A17,A18)&gt;0,INDEX($C$2:C17,MATCH(A18,$A$2:A17,0)),"")</f>
        <v>0</v>
      </c>
      <c r="O18" s="13"/>
      <c r="P18" s="19"/>
    </row>
    <row r="19" spans="1:16" ht="15" customHeight="1" x14ac:dyDescent="0.3">
      <c r="A19" s="8" t="str">
        <f ca="1">IFERROR(__xludf.DUMMYFUNCTION("IF(B19="""","""",RIGHT(regexreplace(B19&amp;"""",""[^0-9]"",""""),9))"),"")</f>
        <v/>
      </c>
      <c r="B19" s="5"/>
      <c r="C19" s="5"/>
      <c r="D19" s="5"/>
      <c r="E19" s="15"/>
      <c r="F19" s="15"/>
      <c r="G19" s="15"/>
      <c r="H19" s="15"/>
      <c r="I19" s="15"/>
      <c r="J19" s="15"/>
      <c r="K19" s="9" t="str">
        <f ca="1">IF(COUNTIFS($A$2:A19,A19,$L$2:L19,L19)&gt;1,"DUPLICATE - CHECK","")</f>
        <v/>
      </c>
      <c r="L19" s="17"/>
      <c r="M19" s="9" t="str">
        <f ca="1">IF(COUNTIF($A$2:A18,A19)&gt;0,"Yes - see Previous F-Code","No")</f>
        <v>Yes - see Previous F-Code</v>
      </c>
      <c r="N19" s="9">
        <f ca="1">IF(COUNTIF($A$2:A18,A19)&gt;0,INDEX($C$2:C18,MATCH(A19,$A$2:A18,0)),"")</f>
        <v>0</v>
      </c>
      <c r="O19" s="13"/>
      <c r="P19" s="19"/>
    </row>
    <row r="20" spans="1:16" ht="15" customHeight="1" x14ac:dyDescent="0.3">
      <c r="A20" s="8" t="str">
        <f ca="1">IFERROR(__xludf.DUMMYFUNCTION("IF(B20="""","""",RIGHT(regexreplace(B20&amp;"""",""[^0-9]"",""""),9))"),"")</f>
        <v/>
      </c>
      <c r="B20" s="5"/>
      <c r="C20" s="5"/>
      <c r="D20" s="5"/>
      <c r="E20" s="15"/>
      <c r="F20" s="15"/>
      <c r="G20" s="15"/>
      <c r="H20" s="15"/>
      <c r="I20" s="15"/>
      <c r="J20" s="15"/>
      <c r="K20" s="9" t="str">
        <f ca="1">IF(COUNTIFS($A$2:A20,A20,$L$2:L20,L20)&gt;1,"DUPLICATE - CHECK","")</f>
        <v/>
      </c>
      <c r="L20" s="17"/>
      <c r="M20" s="9" t="str">
        <f ca="1">IF(COUNTIF($A$2:A19,A20)&gt;0,"Yes - see Previous F-Code","No")</f>
        <v>Yes - see Previous F-Code</v>
      </c>
      <c r="N20" s="9" t="str">
        <f t="array" aca="1" ref="N20" ca="1">IF(COUNTIF($A$2:A19,A)&gt;0,INDEX($C$2:C19,MATCH(A20,$A$2:A19,0)),"")</f>
        <v/>
      </c>
      <c r="O20" s="13"/>
      <c r="P20" s="19"/>
    </row>
    <row r="21" spans="1:16" ht="15" customHeight="1" x14ac:dyDescent="0.3">
      <c r="A21" s="8" t="str">
        <f ca="1">IFERROR(__xludf.DUMMYFUNCTION("IF(B21="""","""",RIGHT(regexreplace(B21&amp;"""",""[^0-9]"",""""),9))"),"")</f>
        <v/>
      </c>
      <c r="B21" s="5"/>
      <c r="C21" s="5"/>
      <c r="D21" s="5"/>
      <c r="E21" s="15"/>
      <c r="F21" s="15"/>
      <c r="G21" s="15"/>
      <c r="H21" s="15"/>
      <c r="I21" s="15"/>
      <c r="J21" s="15"/>
      <c r="K21" s="9" t="str">
        <f ca="1">IF(COUNTIFS($A$2:A21,A21,$L$2:L21,L21)&gt;1,"DUPLICATE - CHECK","")</f>
        <v/>
      </c>
      <c r="L21" s="17"/>
      <c r="M21" s="9" t="str">
        <f ca="1">IF(COUNTIF($A$2:A20,A21)&gt;0,"Yes - see Previous F-Code","No")</f>
        <v>Yes - see Previous F-Code</v>
      </c>
      <c r="N21" s="9">
        <f ca="1">IF(COUNTIF($A$2:A20,A21)&gt;0,INDEX($C$2:C20,MATCH(A21,$A$2:A20,0)),"")</f>
        <v>0</v>
      </c>
      <c r="O21" s="13"/>
      <c r="P21" s="19"/>
    </row>
    <row r="22" spans="1:16" ht="15" customHeight="1" x14ac:dyDescent="0.3">
      <c r="A22" s="8" t="str">
        <f ca="1">IFERROR(__xludf.DUMMYFUNCTION("IF(B22="""","""",RIGHT(regexreplace(B22&amp;"""",""[^0-9]"",""""),9))"),"")</f>
        <v/>
      </c>
      <c r="B22" s="5"/>
      <c r="C22" s="5"/>
      <c r="D22" s="5"/>
      <c r="E22" s="15"/>
      <c r="F22" s="15"/>
      <c r="G22" s="15"/>
      <c r="H22" s="15"/>
      <c r="I22" s="15"/>
      <c r="J22" s="15"/>
      <c r="K22" s="9" t="str">
        <f ca="1">IF(COUNTIFS($A$2:A22,A22,$L$2:L22,L22)&gt;1,"DUPLICATE - CHECK","")</f>
        <v/>
      </c>
      <c r="L22" s="17"/>
      <c r="M22" s="9" t="str">
        <f ca="1">IF(COUNTIF($A$2:A21,A22)&gt;0,"Yes - see Previous F-Code","No")</f>
        <v>Yes - see Previous F-Code</v>
      </c>
      <c r="N22" s="9">
        <f ca="1">IF(COUNTIF($A$2:A21,A22)&gt;0,INDEX($C$2:C21,MATCH(A22,$A$2:A21,0)),"")</f>
        <v>0</v>
      </c>
      <c r="O22" s="13"/>
      <c r="P22" s="19"/>
    </row>
    <row r="23" spans="1:16" ht="15" customHeight="1" x14ac:dyDescent="0.3">
      <c r="A23" s="8" t="str">
        <f ca="1">IFERROR(__xludf.DUMMYFUNCTION("IF(B23="""","""",RIGHT(regexreplace(B23&amp;"""",""[^0-9]"",""""),9))"),"")</f>
        <v/>
      </c>
      <c r="B23" s="5"/>
      <c r="C23" s="5"/>
      <c r="D23" s="5"/>
      <c r="E23" s="15"/>
      <c r="F23" s="15"/>
      <c r="G23" s="15"/>
      <c r="H23" s="15"/>
      <c r="I23" s="15"/>
      <c r="J23" s="15"/>
      <c r="K23" s="9" t="str">
        <f ca="1">IF(COUNTIFS($A$2:A23,A23,$L$2:L23,L23)&gt;1,"DUPLICATE - CHECK","")</f>
        <v/>
      </c>
      <c r="L23" s="17"/>
      <c r="M23" s="17"/>
      <c r="N23" s="9" t="str">
        <f t="array" aca="1" ref="N23" ca="1">IF(COUNTIF($A$2:A22,A)&gt;0,INDEX($C$2:C22,MATCH(A23,$A$2:A22,0)),"")</f>
        <v/>
      </c>
      <c r="O23" s="13"/>
      <c r="P23" s="19"/>
    </row>
    <row r="24" spans="1:16" ht="15" customHeight="1" x14ac:dyDescent="0.3">
      <c r="A24" s="8" t="str">
        <f ca="1">IFERROR(__xludf.DUMMYFUNCTION("IF(B24="""","""",RIGHT(regexreplace(B24&amp;"""",""[^0-9]"",""""),9))"),"")</f>
        <v/>
      </c>
      <c r="B24" s="5"/>
      <c r="C24" s="5"/>
      <c r="D24" s="5"/>
      <c r="E24" s="15"/>
      <c r="F24" s="15"/>
      <c r="G24" s="15"/>
      <c r="H24" s="15"/>
      <c r="I24" s="15"/>
      <c r="J24" s="15"/>
      <c r="K24" s="9" t="str">
        <f ca="1">IF(COUNTIFS($A$2:A24,A24,$L$2:L24,L24)&gt;1,"DUPLICATE - CHECK","")</f>
        <v/>
      </c>
      <c r="L24" s="17"/>
      <c r="M24" s="17"/>
      <c r="N24" s="9">
        <f ca="1">IF(COUNTIF($A$2:A23,A24)&gt;0,INDEX($C$2:C23,MATCH(A24,$A$2:A23,0)),"")</f>
        <v>0</v>
      </c>
      <c r="O24" s="13"/>
      <c r="P24" s="19"/>
    </row>
    <row r="25" spans="1:16" ht="15" customHeight="1" x14ac:dyDescent="0.3">
      <c r="A25" s="8" t="str">
        <f ca="1">IFERROR(__xludf.DUMMYFUNCTION("IF(B25="""","""",RIGHT(regexreplace(B25&amp;"""",""[^0-9]"",""""),9))"),"")</f>
        <v/>
      </c>
      <c r="B25" s="5"/>
      <c r="C25" s="5"/>
      <c r="D25" s="5"/>
      <c r="E25" s="15"/>
      <c r="F25" s="15"/>
      <c r="G25" s="15"/>
      <c r="H25" s="15"/>
      <c r="I25" s="15"/>
      <c r="J25" s="15"/>
      <c r="K25" s="9" t="str">
        <f ca="1">IF(COUNTIFS($A$2:A25,A25,$L$2:L25,L25)&gt;1,"DUPLICATE - CHECK","")</f>
        <v/>
      </c>
      <c r="L25" s="17"/>
      <c r="M25" s="17"/>
      <c r="N25" s="9">
        <f ca="1">IF(COUNTIF($A$2:A24,A25)&gt;0,INDEX($C$2:C24,MATCH(A25,$A$2:A24,0)),"")</f>
        <v>0</v>
      </c>
      <c r="O25" s="13"/>
      <c r="P25" s="19"/>
    </row>
    <row r="26" spans="1:16" ht="15" customHeight="1" x14ac:dyDescent="0.3">
      <c r="A26" s="8" t="str">
        <f ca="1">IFERROR(__xludf.DUMMYFUNCTION("IF(B26="""","""",RIGHT(regexreplace(B26&amp;"""",""[^0-9]"",""""),9))"),"")</f>
        <v/>
      </c>
      <c r="B26" s="5"/>
      <c r="C26" s="5"/>
      <c r="D26" s="5"/>
      <c r="E26" s="15"/>
      <c r="F26" s="15"/>
      <c r="G26" s="15"/>
      <c r="H26" s="15"/>
      <c r="I26" s="15"/>
      <c r="J26" s="15"/>
      <c r="K26" s="9" t="str">
        <f ca="1">IF(COUNTIFS($A$2:A26,A26,$L$2:L26,L26)&gt;1,"DUPLICATE - CHECK","")</f>
        <v/>
      </c>
      <c r="L26" s="17"/>
      <c r="M26" s="17"/>
      <c r="N26" s="9" t="str">
        <f t="array" aca="1" ref="N26" ca="1">IF(COUNTIF($A$2:A25,A)&gt;0,INDEX($C$2:C25,MATCH(A26,$A$2:A25,0)),"")</f>
        <v/>
      </c>
      <c r="O26" s="13"/>
      <c r="P26" s="19"/>
    </row>
    <row r="27" spans="1:16" ht="15" customHeight="1" x14ac:dyDescent="0.3">
      <c r="A27" s="8" t="str">
        <f ca="1">IFERROR(__xludf.DUMMYFUNCTION("IF(B27="""","""",RIGHT(regexreplace(B27&amp;"""",""[^0-9]"",""""),9))"),"")</f>
        <v/>
      </c>
      <c r="B27" s="5"/>
      <c r="C27" s="5"/>
      <c r="D27" s="5"/>
      <c r="E27" s="15"/>
      <c r="F27" s="15"/>
      <c r="G27" s="15"/>
      <c r="H27" s="15"/>
      <c r="I27" s="15"/>
      <c r="J27" s="15"/>
      <c r="K27" s="9" t="str">
        <f ca="1">IF(COUNTIFS($A$2:A27,A27,$L$2:L27,L27)&gt;1,"DUPLICATE - CHECK","")</f>
        <v/>
      </c>
      <c r="L27" s="17"/>
      <c r="M27" s="17"/>
      <c r="N27" s="9">
        <f ca="1">IF(COUNTIF($A$2:A26,A27)&gt;0,INDEX($C$2:C26,MATCH(A27,$A$2:A26,0)),"")</f>
        <v>0</v>
      </c>
      <c r="O27" s="13"/>
      <c r="P27" s="19"/>
    </row>
    <row r="28" spans="1:16" ht="15" customHeight="1" x14ac:dyDescent="0.3">
      <c r="A28" s="8" t="str">
        <f ca="1">IFERROR(__xludf.DUMMYFUNCTION("IF(B28="""","""",RIGHT(regexreplace(B28&amp;"""",""[^0-9]"",""""),9))"),"")</f>
        <v/>
      </c>
      <c r="B28" s="5"/>
      <c r="C28" s="5"/>
      <c r="D28" s="5"/>
      <c r="E28" s="15"/>
      <c r="F28" s="15"/>
      <c r="G28" s="15"/>
      <c r="H28" s="15"/>
      <c r="I28" s="15"/>
      <c r="J28" s="15"/>
      <c r="K28" s="9" t="str">
        <f ca="1">IF(COUNTIFS($A$2:A28,A28,$L$2:L28,L28)&gt;1,"DUPLICATE - CHECK","")</f>
        <v/>
      </c>
      <c r="L28" s="17"/>
      <c r="M28" s="17"/>
      <c r="N28" s="9">
        <f ca="1">IF(COUNTIF($A$2:A27,A28)&gt;0,INDEX($C$2:C27,MATCH(A28,$A$2:A27,0)),"")</f>
        <v>0</v>
      </c>
      <c r="O28" s="13"/>
      <c r="P28" s="19"/>
    </row>
    <row r="29" spans="1:16" ht="15" customHeight="1" x14ac:dyDescent="0.3">
      <c r="A29" s="8" t="str">
        <f ca="1">IFERROR(__xludf.DUMMYFUNCTION("IF(B29="""","""",RIGHT(regexreplace(B29&amp;"""",""[^0-9]"",""""),9))"),"")</f>
        <v/>
      </c>
      <c r="B29" s="5"/>
      <c r="C29" s="5"/>
      <c r="D29" s="5"/>
      <c r="E29" s="15"/>
      <c r="F29" s="15"/>
      <c r="G29" s="15"/>
      <c r="H29" s="15"/>
      <c r="I29" s="15"/>
      <c r="J29" s="15"/>
      <c r="K29" s="9" t="str">
        <f ca="1">IF(COUNTIFS($A$2:A29,A29,$L$2:L29,L29)&gt;1,"DUPLICATE - CHECK","")</f>
        <v/>
      </c>
      <c r="L29" s="17"/>
      <c r="M29" s="17"/>
      <c r="N29" s="9" t="str">
        <f t="array" aca="1" ref="N29" ca="1">IF(COUNTIF($A$2:A28,A)&gt;0,INDEX($C$2:C28,MATCH(A29,$A$2:A28,0)),"")</f>
        <v/>
      </c>
      <c r="O29" s="13"/>
      <c r="P29" s="19"/>
    </row>
    <row r="30" spans="1:16" ht="15" customHeight="1" x14ac:dyDescent="0.3">
      <c r="A30" s="8" t="str">
        <f ca="1">IFERROR(__xludf.DUMMYFUNCTION("IF(B30="""","""",RIGHT(regexreplace(B30&amp;"""",""[^0-9]"",""""),9))"),"")</f>
        <v/>
      </c>
      <c r="B30" s="5"/>
      <c r="C30" s="5"/>
      <c r="D30" s="5"/>
      <c r="E30" s="15"/>
      <c r="F30" s="15"/>
      <c r="G30" s="15"/>
      <c r="H30" s="15"/>
      <c r="I30" s="15"/>
      <c r="J30" s="15"/>
      <c r="K30" s="9" t="str">
        <f ca="1">IF(COUNTIFS($A$2:A30,A30,$L$2:L30,L30)&gt;1,"DUPLICATE - CHECK","")</f>
        <v/>
      </c>
      <c r="L30" s="17"/>
      <c r="M30" s="17"/>
      <c r="N30" s="9">
        <f ca="1">IF(COUNTIF($A$2:A29,A30)&gt;0,INDEX($C$2:C29,MATCH(A30,$A$2:A29,0)),"")</f>
        <v>0</v>
      </c>
      <c r="O30" s="13"/>
      <c r="P30" s="19"/>
    </row>
    <row r="31" spans="1:16" ht="15" customHeight="1" x14ac:dyDescent="0.3">
      <c r="A31" s="8" t="str">
        <f ca="1">IFERROR(__xludf.DUMMYFUNCTION("IF(B31="""","""",RIGHT(regexreplace(B31&amp;"""",""[^0-9]"",""""),9))"),"")</f>
        <v/>
      </c>
      <c r="B31" s="5"/>
      <c r="C31" s="5"/>
      <c r="D31" s="5"/>
      <c r="E31" s="15"/>
      <c r="F31" s="15"/>
      <c r="G31" s="15"/>
      <c r="H31" s="15"/>
      <c r="I31" s="15"/>
      <c r="J31" s="15"/>
      <c r="K31" s="9" t="str">
        <f ca="1">IF(COUNTIFS($A$2:A31,A31,$L$2:L31,L31)&gt;1,"DUPLICATE - CHECK","")</f>
        <v/>
      </c>
      <c r="L31" s="17"/>
      <c r="M31" s="17"/>
      <c r="N31" s="9">
        <f ca="1">IF(COUNTIF($A$2:A30,A31)&gt;0,INDEX($C$2:C30,MATCH(A31,$A$2:A30,0)),"")</f>
        <v>0</v>
      </c>
      <c r="O31" s="13"/>
      <c r="P31" s="19"/>
    </row>
    <row r="32" spans="1:16" ht="15" customHeight="1" x14ac:dyDescent="0.3">
      <c r="A32" s="8" t="str">
        <f ca="1">IFERROR(__xludf.DUMMYFUNCTION("IF(B32="""","""",RIGHT(regexreplace(B32&amp;"""",""[^0-9]"",""""),9))"),"")</f>
        <v/>
      </c>
      <c r="B32" s="5"/>
      <c r="C32" s="5"/>
      <c r="D32" s="5"/>
      <c r="E32" s="15"/>
      <c r="F32" s="15"/>
      <c r="G32" s="15"/>
      <c r="H32" s="15"/>
      <c r="I32" s="15"/>
      <c r="J32" s="15"/>
      <c r="K32" s="9" t="str">
        <f ca="1">IF(COUNTIFS($A$2:A32,A32,$L$2:L32,L32)&gt;1,"DUPLICATE - CHECK","")</f>
        <v/>
      </c>
      <c r="L32" s="17"/>
      <c r="M32" s="17"/>
      <c r="N32" s="9" t="str">
        <f t="array" aca="1" ref="N32" ca="1">IF(COUNTIF($A$2:A31,A)&gt;0,INDEX($C$2:C31,MATCH(A32,$A$2:A31,0)),"")</f>
        <v/>
      </c>
      <c r="O32" s="13"/>
      <c r="P32" s="19"/>
    </row>
    <row r="33" spans="1:16" ht="15" customHeight="1" x14ac:dyDescent="0.3">
      <c r="A33" s="8" t="str">
        <f ca="1">IFERROR(__xludf.DUMMYFUNCTION("IF(B33="""","""",RIGHT(regexreplace(B33&amp;"""",""[^0-9]"",""""),9))"),"")</f>
        <v/>
      </c>
      <c r="B33" s="5"/>
      <c r="C33" s="5"/>
      <c r="D33" s="5"/>
      <c r="E33" s="15"/>
      <c r="F33" s="15"/>
      <c r="G33" s="15"/>
      <c r="H33" s="15"/>
      <c r="I33" s="15"/>
      <c r="J33" s="15"/>
      <c r="K33" s="9" t="str">
        <f ca="1">IF(COUNTIFS($A$2:A33,A33,$L$2:L33,L33)&gt;1,"DUPLICATE - CHECK","")</f>
        <v/>
      </c>
      <c r="L33" s="17"/>
      <c r="M33" s="17"/>
      <c r="N33" s="9">
        <f ca="1">IF(COUNTIF($A$2:A32,A33)&gt;0,INDEX($C$2:C32,MATCH(A33,$A$2:A32,0)),"")</f>
        <v>0</v>
      </c>
      <c r="O33" s="13"/>
      <c r="P33" s="19"/>
    </row>
    <row r="34" spans="1:16" ht="15" customHeight="1" x14ac:dyDescent="0.3">
      <c r="A34" s="8" t="str">
        <f ca="1">IFERROR(__xludf.DUMMYFUNCTION("IF(B34="""","""",RIGHT(regexreplace(B34&amp;"""",""[^0-9]"",""""),9))"),"")</f>
        <v/>
      </c>
      <c r="B34" s="5"/>
      <c r="C34" s="5"/>
      <c r="D34" s="5"/>
      <c r="E34" s="15"/>
      <c r="F34" s="15"/>
      <c r="G34" s="15"/>
      <c r="H34" s="15"/>
      <c r="I34" s="15"/>
      <c r="J34" s="15"/>
      <c r="K34" s="9" t="str">
        <f ca="1">IF(COUNTIFS($A$2:A34,A34,$L$2:L34,L34)&gt;1,"DUPLICATE - CHECK","")</f>
        <v/>
      </c>
      <c r="L34" s="17"/>
      <c r="M34" s="17"/>
      <c r="N34" s="9">
        <f ca="1">IF(COUNTIF($A$2:A33,A34)&gt;0,INDEX($C$2:C33,MATCH(A34,$A$2:A33,0)),"")</f>
        <v>0</v>
      </c>
      <c r="O34" s="13"/>
      <c r="P34" s="19"/>
    </row>
    <row r="35" spans="1:16" ht="15" customHeight="1" x14ac:dyDescent="0.3">
      <c r="A35" s="8" t="str">
        <f ca="1">IFERROR(__xludf.DUMMYFUNCTION("IF(B35="""","""",RIGHT(regexreplace(B35&amp;"""",""[^0-9]"",""""),9))"),"")</f>
        <v/>
      </c>
      <c r="B35" s="5"/>
      <c r="C35" s="5"/>
      <c r="D35" s="5"/>
      <c r="E35" s="15"/>
      <c r="F35" s="15"/>
      <c r="G35" s="15"/>
      <c r="H35" s="15"/>
      <c r="I35" s="15"/>
      <c r="J35" s="15"/>
      <c r="K35" s="9" t="str">
        <f ca="1">IF(COUNTIFS($A$2:A35,A35,$L$2:L35,L35)&gt;1,"DUPLICATE - CHECK","")</f>
        <v/>
      </c>
      <c r="L35" s="17"/>
      <c r="M35" s="17"/>
      <c r="N35" s="9" t="str">
        <f t="array" aca="1" ref="N35" ca="1">IF(COUNTIF($A$2:A34,A)&gt;0,INDEX($C$2:C34,MATCH(A35,$A$2:A34,0)),"")</f>
        <v/>
      </c>
      <c r="O35" s="13"/>
      <c r="P35" s="19"/>
    </row>
    <row r="36" spans="1:16" ht="15" customHeight="1" x14ac:dyDescent="0.3">
      <c r="A36" s="8" t="str">
        <f ca="1">IFERROR(__xludf.DUMMYFUNCTION("IF(B36="""","""",RIGHT(regexreplace(B36&amp;"""",""[^0-9]"",""""),9))"),"")</f>
        <v/>
      </c>
      <c r="B36" s="5"/>
      <c r="C36" s="5"/>
      <c r="D36" s="5"/>
      <c r="E36" s="15"/>
      <c r="F36" s="15"/>
      <c r="G36" s="15"/>
      <c r="H36" s="15"/>
      <c r="I36" s="15"/>
      <c r="J36" s="15"/>
      <c r="K36" s="9" t="str">
        <f ca="1">IF(COUNTIFS($A$2:A36,A36,$L$2:L36,L36)&gt;1,"DUPLICATE - CHECK","")</f>
        <v/>
      </c>
      <c r="L36" s="17"/>
      <c r="M36" s="17"/>
      <c r="N36" s="9">
        <f ca="1">IF(COUNTIF($A$2:A35,A36)&gt;0,INDEX($C$2:C35,MATCH(A36,$A$2:A35,0)),"")</f>
        <v>0</v>
      </c>
      <c r="O36" s="13"/>
      <c r="P36" s="19"/>
    </row>
    <row r="37" spans="1:16" ht="15" customHeight="1" x14ac:dyDescent="0.3">
      <c r="A37" s="8" t="str">
        <f ca="1">IFERROR(__xludf.DUMMYFUNCTION("IF(B37="""","""",RIGHT(regexreplace(B37&amp;"""",""[^0-9]"",""""),9))"),"")</f>
        <v/>
      </c>
      <c r="B37" s="5"/>
      <c r="C37" s="5"/>
      <c r="D37" s="5"/>
      <c r="E37" s="15"/>
      <c r="F37" s="15"/>
      <c r="G37" s="15"/>
      <c r="H37" s="15"/>
      <c r="I37" s="15"/>
      <c r="J37" s="15"/>
      <c r="K37" s="9" t="str">
        <f ca="1">IF(COUNTIFS($A$2:A37,A37,$L$2:L37,L37)&gt;1,"DUPLICATE - CHECK","")</f>
        <v/>
      </c>
      <c r="L37" s="17"/>
      <c r="M37" s="17"/>
      <c r="N37" s="9">
        <f ca="1">IF(COUNTIF($A$2:A36,A37)&gt;0,INDEX($C$2:C36,MATCH(A37,$A$2:A36,0)),"")</f>
        <v>0</v>
      </c>
      <c r="O37" s="13"/>
      <c r="P37" s="19"/>
    </row>
    <row r="38" spans="1:16" ht="15" customHeight="1" x14ac:dyDescent="0.3">
      <c r="A38" s="8" t="str">
        <f ca="1">IFERROR(__xludf.DUMMYFUNCTION("IF(B38="""","""",RIGHT(regexreplace(B38&amp;"""",""[^0-9]"",""""),9))"),"")</f>
        <v/>
      </c>
      <c r="B38" s="5"/>
      <c r="C38" s="5"/>
      <c r="D38" s="5"/>
      <c r="E38" s="15"/>
      <c r="F38" s="15"/>
      <c r="G38" s="15"/>
      <c r="H38" s="15"/>
      <c r="I38" s="15"/>
      <c r="J38" s="15"/>
      <c r="K38" s="9" t="str">
        <f ca="1">IF(COUNTIFS($A$2:A38,A38,$L$2:L38,L38)&gt;1,"DUPLICATE - CHECK","")</f>
        <v/>
      </c>
      <c r="L38" s="17"/>
      <c r="M38" s="17"/>
      <c r="N38" s="9" t="str">
        <f t="array" aca="1" ref="N38" ca="1">IF(COUNTIF($A$2:A37,A)&gt;0,INDEX($C$2:C37,MATCH(A38,$A$2:A37,0)),"")</f>
        <v/>
      </c>
      <c r="O38" s="13"/>
      <c r="P38" s="19"/>
    </row>
    <row r="39" spans="1:16" ht="15" customHeight="1" x14ac:dyDescent="0.3">
      <c r="A39" s="8" t="str">
        <f ca="1">IFERROR(__xludf.DUMMYFUNCTION("IF(B39="""","""",RIGHT(regexreplace(B39&amp;"""",""[^0-9]"",""""),9))"),"")</f>
        <v/>
      </c>
      <c r="B39" s="5"/>
      <c r="C39" s="5"/>
      <c r="D39" s="5"/>
      <c r="E39" s="15"/>
      <c r="F39" s="15"/>
      <c r="G39" s="15"/>
      <c r="H39" s="15"/>
      <c r="I39" s="15"/>
      <c r="J39" s="15"/>
      <c r="K39" s="9" t="str">
        <f ca="1">IF(COUNTIFS($A$2:A39,A39,$L$2:L39,L39)&gt;1,"DUPLICATE - CHECK","")</f>
        <v/>
      </c>
      <c r="L39" s="17"/>
      <c r="M39" s="17"/>
      <c r="N39" s="9">
        <f ca="1">IF(COUNTIF($A$2:A38,A39)&gt;0,INDEX($C$2:C38,MATCH(A39,$A$2:A38,0)),"")</f>
        <v>0</v>
      </c>
      <c r="O39" s="13"/>
      <c r="P39" s="19"/>
    </row>
    <row r="40" spans="1:16" ht="15" customHeight="1" x14ac:dyDescent="0.3">
      <c r="A40" s="8" t="str">
        <f ca="1">IFERROR(__xludf.DUMMYFUNCTION("IF(B40="""","""",RIGHT(regexreplace(B40&amp;"""",""[^0-9]"",""""),9))"),"")</f>
        <v/>
      </c>
      <c r="B40" s="5"/>
      <c r="C40" s="5"/>
      <c r="D40" s="5"/>
      <c r="E40" s="15"/>
      <c r="F40" s="15"/>
      <c r="G40" s="15"/>
      <c r="H40" s="15"/>
      <c r="I40" s="15"/>
      <c r="J40" s="15"/>
      <c r="K40" s="9" t="str">
        <f ca="1">IF(COUNTIFS($A$2:A40,A40,$L$2:L40,L40)&gt;1,"DUPLICATE - CHECK","")</f>
        <v/>
      </c>
      <c r="L40" s="17"/>
      <c r="M40" s="17"/>
      <c r="N40" s="9">
        <f ca="1">IF(COUNTIF($A$2:A39,A40)&gt;0,INDEX($C$2:C39,MATCH(A40,$A$2:A39,0)),"")</f>
        <v>0</v>
      </c>
      <c r="O40" s="13"/>
      <c r="P40" s="19"/>
    </row>
    <row r="41" spans="1:16" ht="15" customHeight="1" x14ac:dyDescent="0.3">
      <c r="A41" s="8" t="str">
        <f ca="1">IFERROR(__xludf.DUMMYFUNCTION("IF(B41="""","""",RIGHT(regexreplace(B41&amp;"""",""[^0-9]"",""""),9))"),"")</f>
        <v/>
      </c>
      <c r="B41" s="5"/>
      <c r="C41" s="5"/>
      <c r="D41" s="5"/>
      <c r="E41" s="15"/>
      <c r="F41" s="15"/>
      <c r="G41" s="15"/>
      <c r="H41" s="15"/>
      <c r="I41" s="15"/>
      <c r="J41" s="15"/>
      <c r="K41" s="9" t="str">
        <f ca="1">IF(COUNTIFS($A$2:A41,A41,$L$2:L41,L41)&gt;1,"DUPLICATE - CHECK","")</f>
        <v/>
      </c>
      <c r="L41" s="17"/>
      <c r="M41" s="17"/>
      <c r="N41" s="9" t="str">
        <f t="array" aca="1" ref="N41" ca="1">IF(COUNTIF($A$2:A40,A)&gt;0,INDEX($C$2:C40,MATCH(A41,$A$2:A40,0)),"")</f>
        <v/>
      </c>
      <c r="O41" s="13"/>
      <c r="P41" s="19"/>
    </row>
    <row r="42" spans="1:16" ht="15" customHeight="1" x14ac:dyDescent="0.3">
      <c r="A42" s="8" t="str">
        <f ca="1">IFERROR(__xludf.DUMMYFUNCTION("IF(B42="""","""",RIGHT(regexreplace(B42&amp;"""",""[^0-9]"",""""),9))"),"")</f>
        <v/>
      </c>
      <c r="B42" s="5"/>
      <c r="C42" s="5"/>
      <c r="D42" s="5"/>
      <c r="E42" s="15"/>
      <c r="F42" s="15"/>
      <c r="G42" s="15"/>
      <c r="H42" s="15"/>
      <c r="I42" s="15"/>
      <c r="J42" s="15"/>
      <c r="K42" s="9" t="str">
        <f ca="1">IF(COUNTIFS($A$2:A42,A42,$L$2:L42,L42)&gt;1,"DUPLICATE - CHECK","")</f>
        <v/>
      </c>
      <c r="L42" s="17"/>
      <c r="M42" s="17"/>
      <c r="N42" s="9">
        <f ca="1">IF(COUNTIF($A$2:A41,A42)&gt;0,INDEX($C$2:C41,MATCH(A42,$A$2:A41,0)),"")</f>
        <v>0</v>
      </c>
      <c r="O42" s="13"/>
      <c r="P42" s="19"/>
    </row>
    <row r="43" spans="1:16" ht="15" customHeight="1" x14ac:dyDescent="0.3">
      <c r="A43" s="8" t="str">
        <f ca="1">IFERROR(__xludf.DUMMYFUNCTION("IF(B43="""","""",RIGHT(regexreplace(B43&amp;"""",""[^0-9]"",""""),9))"),"")</f>
        <v/>
      </c>
      <c r="B43" s="5"/>
      <c r="C43" s="5"/>
      <c r="D43" s="5"/>
      <c r="E43" s="15"/>
      <c r="F43" s="15"/>
      <c r="G43" s="15"/>
      <c r="H43" s="15"/>
      <c r="I43" s="15"/>
      <c r="J43" s="15"/>
      <c r="K43" s="9" t="str">
        <f ca="1">IF(COUNTIFS($A$2:A43,A43,$L$2:L43,L43)&gt;1,"DUPLICATE - CHECK","")</f>
        <v/>
      </c>
      <c r="L43" s="17"/>
      <c r="M43" s="17"/>
      <c r="N43" s="9">
        <f ca="1">IF(COUNTIF($A$2:A42,A43)&gt;0,INDEX($C$2:C42,MATCH(A43,$A$2:A42,0)),"")</f>
        <v>0</v>
      </c>
      <c r="O43" s="13"/>
      <c r="P43" s="19"/>
    </row>
    <row r="44" spans="1:16" ht="15" customHeight="1" x14ac:dyDescent="0.3">
      <c r="A44" s="8" t="str">
        <f ca="1">IFERROR(__xludf.DUMMYFUNCTION("IF(B44="""","""",RIGHT(regexreplace(B44&amp;"""",""[^0-9]"",""""),9))"),"")</f>
        <v/>
      </c>
      <c r="B44" s="5"/>
      <c r="C44" s="5"/>
      <c r="D44" s="5"/>
      <c r="E44" s="15"/>
      <c r="F44" s="15"/>
      <c r="G44" s="15"/>
      <c r="H44" s="15"/>
      <c r="I44" s="15"/>
      <c r="J44" s="15"/>
      <c r="K44" s="9" t="str">
        <f ca="1">IF(COUNTIFS($A$2:A44,A44,$L$2:L44,L44)&gt;1,"DUPLICATE - CHECK","")</f>
        <v/>
      </c>
      <c r="L44" s="17"/>
      <c r="M44" s="17"/>
      <c r="N44" s="9" t="str">
        <f t="array" aca="1" ref="N44" ca="1">IF(COUNTIF($A$2:A43,A)&gt;0,INDEX($C$2:C43,MATCH(A44,$A$2:A43,0)),"")</f>
        <v/>
      </c>
      <c r="O44" s="13"/>
      <c r="P44" s="19"/>
    </row>
    <row r="45" spans="1:16" ht="15" customHeight="1" x14ac:dyDescent="0.3">
      <c r="A45" s="8" t="str">
        <f ca="1">IFERROR(__xludf.DUMMYFUNCTION("IF(B45="""","""",RIGHT(regexreplace(B45&amp;"""",""[^0-9]"",""""),9))"),"")</f>
        <v/>
      </c>
      <c r="B45" s="5"/>
      <c r="C45" s="5"/>
      <c r="D45" s="5"/>
      <c r="E45" s="15"/>
      <c r="F45" s="15"/>
      <c r="G45" s="15"/>
      <c r="H45" s="15"/>
      <c r="I45" s="15"/>
      <c r="J45" s="15"/>
      <c r="K45" s="9" t="str">
        <f ca="1">IF(COUNTIFS($A$2:A45,A45,$L$2:L45,L45)&gt;1,"DUPLICATE - CHECK","")</f>
        <v/>
      </c>
      <c r="L45" s="17"/>
      <c r="M45" s="17"/>
      <c r="N45" s="9">
        <f ca="1">IF(COUNTIF($A$2:A44,A45)&gt;0,INDEX($C$2:C44,MATCH(A45,$A$2:A44,0)),"")</f>
        <v>0</v>
      </c>
      <c r="O45" s="13"/>
      <c r="P45" s="19"/>
    </row>
    <row r="46" spans="1:16" ht="15" customHeight="1" x14ac:dyDescent="0.3">
      <c r="A46" s="8" t="str">
        <f ca="1">IFERROR(__xludf.DUMMYFUNCTION("IF(B46="""","""",RIGHT(regexreplace(B46&amp;"""",""[^0-9]"",""""),9))"),"")</f>
        <v/>
      </c>
      <c r="B46" s="5"/>
      <c r="C46" s="5"/>
      <c r="D46" s="5"/>
      <c r="E46" s="15"/>
      <c r="F46" s="15"/>
      <c r="G46" s="15"/>
      <c r="H46" s="15"/>
      <c r="I46" s="15"/>
      <c r="J46" s="15"/>
      <c r="K46" s="9" t="str">
        <f ca="1">IF(COUNTIFS($A$2:A46,A46,$L$2:L46,L46)&gt;1,"DUPLICATE - CHECK","")</f>
        <v/>
      </c>
      <c r="L46" s="17"/>
      <c r="M46" s="17"/>
      <c r="N46" s="9">
        <f ca="1">IF(COUNTIF($A$2:A45,A46)&gt;0,INDEX($C$2:C45,MATCH(A46,$A$2:A45,0)),"")</f>
        <v>0</v>
      </c>
      <c r="O46" s="13"/>
      <c r="P46" s="19"/>
    </row>
    <row r="47" spans="1:16" ht="15" customHeight="1" x14ac:dyDescent="0.3">
      <c r="A47" s="8" t="str">
        <f ca="1">IFERROR(__xludf.DUMMYFUNCTION("IF(B47="""","""",RIGHT(regexreplace(B47&amp;"""",""[^0-9]"",""""),9))"),"")</f>
        <v/>
      </c>
      <c r="B47" s="5"/>
      <c r="C47" s="5"/>
      <c r="D47" s="5"/>
      <c r="E47" s="15"/>
      <c r="F47" s="15"/>
      <c r="G47" s="15"/>
      <c r="H47" s="15"/>
      <c r="I47" s="15"/>
      <c r="J47" s="15"/>
      <c r="K47" s="9" t="str">
        <f ca="1">IF(COUNTIFS($A$2:A47,A47,$L$2:L47,L47)&gt;1,"DUPLICATE - CHECK","")</f>
        <v/>
      </c>
      <c r="L47" s="17"/>
      <c r="M47" s="17"/>
      <c r="N47" s="9" t="str">
        <f t="array" aca="1" ref="N47" ca="1">IF(COUNTIF($A$2:A46,A)&gt;0,INDEX($C$2:C46,MATCH(A47,$A$2:A46,0)),"")</f>
        <v/>
      </c>
      <c r="O47" s="13"/>
      <c r="P47" s="19"/>
    </row>
    <row r="48" spans="1:16" ht="15" customHeight="1" x14ac:dyDescent="0.3">
      <c r="A48" s="8" t="str">
        <f ca="1">IFERROR(__xludf.DUMMYFUNCTION("IF(B48="""","""",RIGHT(regexreplace(B48&amp;"""",""[^0-9]"",""""),9))"),"")</f>
        <v/>
      </c>
      <c r="B48" s="5"/>
      <c r="C48" s="5"/>
      <c r="D48" s="5"/>
      <c r="E48" s="15"/>
      <c r="F48" s="15"/>
      <c r="G48" s="15"/>
      <c r="H48" s="15"/>
      <c r="I48" s="15"/>
      <c r="J48" s="15"/>
      <c r="K48" s="9" t="str">
        <f ca="1">IF(COUNTIFS($A$2:A48,A48,$L$2:L48,L48)&gt;1,"DUPLICATE - CHECK","")</f>
        <v/>
      </c>
      <c r="L48" s="17"/>
      <c r="M48" s="17"/>
      <c r="N48" s="9">
        <f ca="1">IF(COUNTIF($A$2:A47,A48)&gt;0,INDEX($C$2:C47,MATCH(A48,$A$2:A47,0)),"")</f>
        <v>0</v>
      </c>
      <c r="O48" s="13"/>
      <c r="P48" s="19"/>
    </row>
    <row r="49" spans="1:16" ht="15" customHeight="1" x14ac:dyDescent="0.3">
      <c r="A49" s="8" t="str">
        <f ca="1">IFERROR(__xludf.DUMMYFUNCTION("IF(B49="""","""",RIGHT(regexreplace(B49&amp;"""",""[^0-9]"",""""),9))"),"")</f>
        <v/>
      </c>
      <c r="B49" s="5"/>
      <c r="C49" s="5"/>
      <c r="D49" s="5"/>
      <c r="E49" s="15"/>
      <c r="F49" s="15"/>
      <c r="G49" s="15"/>
      <c r="H49" s="15"/>
      <c r="I49" s="15"/>
      <c r="J49" s="15"/>
      <c r="K49" s="9" t="str">
        <f ca="1">IF(COUNTIFS($A$2:A49,A49,$L$2:L49,L49)&gt;1,"DUPLICATE - CHECK","")</f>
        <v/>
      </c>
      <c r="L49" s="17"/>
      <c r="M49" s="17"/>
      <c r="N49" s="9">
        <f ca="1">IF(COUNTIF($A$2:A48,A49)&gt;0,INDEX($C$2:C48,MATCH(A49,$A$2:A48,0)),"")</f>
        <v>0</v>
      </c>
      <c r="O49" s="13"/>
      <c r="P49" s="19"/>
    </row>
    <row r="50" spans="1:16" ht="15" customHeight="1" x14ac:dyDescent="0.3">
      <c r="A50" s="8" t="str">
        <f ca="1">IFERROR(__xludf.DUMMYFUNCTION("IF(B50="""","""",RIGHT(regexreplace(B50&amp;"""",""[^0-9]"",""""),9))"),"")</f>
        <v/>
      </c>
      <c r="B50" s="5"/>
      <c r="C50" s="5"/>
      <c r="D50" s="5"/>
      <c r="E50" s="15"/>
      <c r="F50" s="15"/>
      <c r="G50" s="15"/>
      <c r="H50" s="15"/>
      <c r="I50" s="15"/>
      <c r="J50" s="15"/>
      <c r="K50" s="9" t="str">
        <f ca="1">IF(COUNTIFS($A$2:A50,A50,$L$2:L50,L50)&gt;1,"DUPLICATE - CHECK","")</f>
        <v/>
      </c>
      <c r="L50" s="17"/>
      <c r="M50" s="17"/>
      <c r="N50" s="9" t="str">
        <f t="array" aca="1" ref="N50" ca="1">IF(COUNTIF($A$2:A49,A)&gt;0,INDEX($C$2:C49,MATCH(A50,$A$2:A49,0)),"")</f>
        <v/>
      </c>
      <c r="O50" s="13"/>
      <c r="P50" s="19"/>
    </row>
    <row r="51" spans="1:16" ht="15.75" customHeight="1" x14ac:dyDescent="0.3">
      <c r="A51" s="8" t="str">
        <f ca="1">IFERROR(__xludf.DUMMYFUNCTION("IF(B51="""","""",RIGHT(regexreplace(B51&amp;"""",""[^0-9]"",""""),9))"),"")</f>
        <v/>
      </c>
      <c r="B51" s="5"/>
      <c r="C51" s="5"/>
      <c r="D51" s="5"/>
      <c r="E51" s="15"/>
      <c r="F51" s="15"/>
      <c r="G51" s="15"/>
      <c r="H51" s="15"/>
      <c r="I51" s="15"/>
      <c r="J51" s="15"/>
      <c r="K51" s="9" t="str">
        <f ca="1">IF(COUNTIFS($A$2:A51,A51,$L$2:L51,L51)&gt;1,"DUPLICATE - CHECK","")</f>
        <v/>
      </c>
      <c r="L51" s="17"/>
      <c r="M51" s="17"/>
      <c r="N51" s="9">
        <f ca="1">IF(COUNTIF($A$2:A50,A51)&gt;0,INDEX($C$2:C50,MATCH(A51,$A$2:A50,0)),"")</f>
        <v>0</v>
      </c>
      <c r="O51" s="13"/>
      <c r="P51" s="19"/>
    </row>
    <row r="52" spans="1:16" ht="15.75" customHeight="1" x14ac:dyDescent="0.3">
      <c r="A52" s="8" t="str">
        <f ca="1">IFERROR(__xludf.DUMMYFUNCTION("IF(B52="""","""",RIGHT(regexreplace(B52&amp;"""",""[^0-9]"",""""),9))"),"")</f>
        <v/>
      </c>
      <c r="B52" s="5"/>
      <c r="C52" s="5"/>
      <c r="D52" s="5"/>
      <c r="E52" s="15"/>
      <c r="F52" s="15"/>
      <c r="G52" s="15"/>
      <c r="H52" s="15"/>
      <c r="I52" s="15"/>
      <c r="J52" s="15"/>
      <c r="K52" s="9" t="str">
        <f ca="1">IF(COUNTIFS($A$2:A52,A52,$L$2:L52,L52)&gt;1,"DUPLICATE - CHECK","")</f>
        <v/>
      </c>
      <c r="L52" s="17"/>
      <c r="M52" s="17"/>
      <c r="N52" s="9">
        <f ca="1">IF(COUNTIF($A$2:A51,A52)&gt;0,INDEX($C$2:C51,MATCH(A52,$A$2:A51,0)),"")</f>
        <v>0</v>
      </c>
      <c r="O52" s="13"/>
      <c r="P52" s="19"/>
    </row>
    <row r="53" spans="1:16" ht="15.75" customHeight="1" x14ac:dyDescent="0.3">
      <c r="A53" s="8" t="str">
        <f ca="1">IFERROR(__xludf.DUMMYFUNCTION("IF(B53="""","""",RIGHT(regexreplace(B53&amp;"""",""[^0-9]"",""""),9))"),"")</f>
        <v/>
      </c>
      <c r="B53" s="5"/>
      <c r="C53" s="5"/>
      <c r="D53" s="5"/>
      <c r="E53" s="15"/>
      <c r="F53" s="15"/>
      <c r="G53" s="15"/>
      <c r="H53" s="15"/>
      <c r="I53" s="15"/>
      <c r="J53" s="15"/>
      <c r="K53" s="9" t="str">
        <f ca="1">IF(COUNTIFS($A$2:A53,A53,$L$2:L53,L53)&gt;1,"DUPLICATE - CHECK","")</f>
        <v/>
      </c>
      <c r="L53" s="17"/>
      <c r="M53" s="17"/>
      <c r="N53" s="9" t="str">
        <f t="array" aca="1" ref="N53" ca="1">IF(COUNTIF($A$2:A52,A)&gt;0,INDEX($C$2:C52,MATCH(A53,$A$2:A52,0)),"")</f>
        <v/>
      </c>
      <c r="O53" s="13"/>
      <c r="P53" s="19"/>
    </row>
    <row r="54" spans="1:16" ht="15.75" customHeight="1" x14ac:dyDescent="0.3">
      <c r="A54" s="8" t="str">
        <f ca="1">IFERROR(__xludf.DUMMYFUNCTION("IF(B54="""","""",RIGHT(regexreplace(B54&amp;"""",""[^0-9]"",""""),9))"),"")</f>
        <v/>
      </c>
      <c r="B54" s="5"/>
      <c r="C54" s="5"/>
      <c r="D54" s="5"/>
      <c r="E54" s="15"/>
      <c r="F54" s="15"/>
      <c r="G54" s="15"/>
      <c r="H54" s="15"/>
      <c r="I54" s="15"/>
      <c r="J54" s="15"/>
      <c r="K54" s="9" t="str">
        <f ca="1">IF(COUNTIFS($A$2:A54,A54,$L$2:L54,L54)&gt;1,"DUPLICATE - CHECK","")</f>
        <v/>
      </c>
      <c r="L54" s="17"/>
      <c r="M54" s="17"/>
      <c r="N54" s="9">
        <f ca="1">IF(COUNTIF($A$2:A53,A54)&gt;0,INDEX($C$2:C53,MATCH(A54,$A$2:A53,0)),"")</f>
        <v>0</v>
      </c>
      <c r="O54" s="13"/>
      <c r="P54" s="19"/>
    </row>
    <row r="55" spans="1:16" ht="15.75" customHeight="1" x14ac:dyDescent="0.3">
      <c r="A55" s="8" t="str">
        <f ca="1">IFERROR(__xludf.DUMMYFUNCTION("IF(B55="""","""",RIGHT(regexreplace(B55&amp;"""",""[^0-9]"",""""),9))"),"")</f>
        <v/>
      </c>
      <c r="B55" s="5"/>
      <c r="C55" s="5"/>
      <c r="D55" s="5"/>
      <c r="E55" s="15"/>
      <c r="F55" s="15"/>
      <c r="G55" s="15"/>
      <c r="H55" s="15"/>
      <c r="I55" s="15"/>
      <c r="J55" s="15"/>
      <c r="K55" s="9" t="str">
        <f ca="1">IF(COUNTIFS($A$2:A55,A55,$L$2:L55,L55)&gt;1,"DUPLICATE - CHECK","")</f>
        <v/>
      </c>
      <c r="L55" s="17"/>
      <c r="M55" s="17"/>
      <c r="N55" s="9">
        <f ca="1">IF(COUNTIF($A$2:A54,A55)&gt;0,INDEX($C$2:C54,MATCH(A55,$A$2:A54,0)),"")</f>
        <v>0</v>
      </c>
      <c r="O55" s="13"/>
      <c r="P55" s="19"/>
    </row>
    <row r="56" spans="1:16" ht="15.75" customHeight="1" x14ac:dyDescent="0.3">
      <c r="A56" s="8" t="str">
        <f ca="1">IFERROR(__xludf.DUMMYFUNCTION("IF(B56="""","""",RIGHT(regexreplace(B56&amp;"""",""[^0-9]"",""""),9))"),"")</f>
        <v/>
      </c>
      <c r="B56" s="5"/>
      <c r="C56" s="5"/>
      <c r="D56" s="5"/>
      <c r="E56" s="15"/>
      <c r="F56" s="15"/>
      <c r="G56" s="15"/>
      <c r="H56" s="15"/>
      <c r="I56" s="15"/>
      <c r="J56" s="15"/>
      <c r="K56" s="9" t="str">
        <f ca="1">IF(COUNTIFS($A$2:A56,A56,$L$2:L56,L56)&gt;1,"DUPLICATE - CHECK","")</f>
        <v/>
      </c>
      <c r="L56" s="17"/>
      <c r="M56" s="17"/>
      <c r="N56" s="9" t="str">
        <f t="array" aca="1" ref="N56" ca="1">IF(COUNTIF($A$2:A55,A)&gt;0,INDEX($C$2:C55,MATCH(A56,$A$2:A55,0)),"")</f>
        <v/>
      </c>
      <c r="O56" s="13"/>
      <c r="P56" s="19"/>
    </row>
    <row r="57" spans="1:16" ht="15.75" customHeight="1" x14ac:dyDescent="0.3">
      <c r="A57" s="8" t="str">
        <f ca="1">IFERROR(__xludf.DUMMYFUNCTION("IF(B57="""","""",RIGHT(regexreplace(B57&amp;"""",""[^0-9]"",""""),9))"),"")</f>
        <v/>
      </c>
      <c r="B57" s="5"/>
      <c r="C57" s="5"/>
      <c r="D57" s="5"/>
      <c r="E57" s="15"/>
      <c r="F57" s="15"/>
      <c r="G57" s="15"/>
      <c r="H57" s="15"/>
      <c r="I57" s="15"/>
      <c r="J57" s="15"/>
      <c r="K57" s="9" t="str">
        <f ca="1">IF(COUNTIFS($A$2:A57,A57,$L$2:L57,L57)&gt;1,"DUPLICATE - CHECK","")</f>
        <v/>
      </c>
      <c r="L57" s="17"/>
      <c r="M57" s="17"/>
      <c r="N57" s="9">
        <f ca="1">IF(COUNTIF($A$2:A56,A57)&gt;0,INDEX($C$2:C56,MATCH(A57,$A$2:A56,0)),"")</f>
        <v>0</v>
      </c>
      <c r="O57" s="13"/>
      <c r="P57" s="19"/>
    </row>
    <row r="58" spans="1:16" ht="15.75" customHeight="1" x14ac:dyDescent="0.3">
      <c r="A58" s="8" t="str">
        <f ca="1">IFERROR(__xludf.DUMMYFUNCTION("IF(B58="""","""",RIGHT(regexreplace(B58&amp;"""",""[^0-9]"",""""),9))"),"")</f>
        <v/>
      </c>
      <c r="B58" s="5"/>
      <c r="C58" s="5"/>
      <c r="D58" s="5"/>
      <c r="E58" s="15"/>
      <c r="F58" s="15"/>
      <c r="G58" s="15"/>
      <c r="H58" s="15"/>
      <c r="I58" s="15"/>
      <c r="J58" s="15"/>
      <c r="K58" s="9" t="str">
        <f ca="1">IF(COUNTIFS($A$2:A58,A58,$L$2:L58,L58)&gt;1,"DUPLICATE - CHECK","")</f>
        <v/>
      </c>
      <c r="L58" s="17"/>
      <c r="M58" s="17"/>
      <c r="N58" s="9">
        <f ca="1">IF(COUNTIF($A$2:A57,A58)&gt;0,INDEX($C$2:C57,MATCH(A58,$A$2:A57,0)),"")</f>
        <v>0</v>
      </c>
      <c r="O58" s="13"/>
      <c r="P58" s="19"/>
    </row>
    <row r="59" spans="1:16" ht="15.75" customHeight="1" x14ac:dyDescent="0.3">
      <c r="A59" s="8" t="str">
        <f ca="1">IFERROR(__xludf.DUMMYFUNCTION("IF(B59="""","""",RIGHT(regexreplace(B59&amp;"""",""[^0-9]"",""""),9))"),"")</f>
        <v/>
      </c>
      <c r="B59" s="5"/>
      <c r="C59" s="5"/>
      <c r="D59" s="5"/>
      <c r="E59" s="15"/>
      <c r="F59" s="15"/>
      <c r="G59" s="15"/>
      <c r="H59" s="15"/>
      <c r="I59" s="15"/>
      <c r="J59" s="15"/>
      <c r="K59" s="9" t="str">
        <f ca="1">IF(COUNTIFS($A$2:A59,A59,$L$2:L59,L59)&gt;1,"DUPLICATE - CHECK","")</f>
        <v/>
      </c>
      <c r="L59" s="17"/>
      <c r="M59" s="17"/>
      <c r="N59" s="9" t="str">
        <f t="array" aca="1" ref="N59" ca="1">IF(COUNTIF($A$2:A58,A)&gt;0,INDEX($C$2:C58,MATCH(A59,$A$2:A58,0)),"")</f>
        <v/>
      </c>
      <c r="O59" s="13"/>
      <c r="P59" s="19"/>
    </row>
    <row r="60" spans="1:16" ht="15.75" customHeight="1" x14ac:dyDescent="0.3">
      <c r="A60" s="8" t="str">
        <f ca="1">IFERROR(__xludf.DUMMYFUNCTION("IF(B60="""","""",RIGHT(regexreplace(B60&amp;"""",""[^0-9]"",""""),9))"),"")</f>
        <v/>
      </c>
      <c r="B60" s="5"/>
      <c r="C60" s="5"/>
      <c r="D60" s="5"/>
      <c r="E60" s="15"/>
      <c r="F60" s="15"/>
      <c r="G60" s="15"/>
      <c r="H60" s="15"/>
      <c r="I60" s="15"/>
      <c r="J60" s="15"/>
      <c r="K60" s="9" t="str">
        <f ca="1">IF(COUNTIFS($A$2:A60,A60,$L$2:L60,L60)&gt;1,"DUPLICATE - CHECK","")</f>
        <v/>
      </c>
      <c r="L60" s="17"/>
      <c r="M60" s="17"/>
      <c r="N60" s="9">
        <f ca="1">IF(COUNTIF($A$2:A59,A60)&gt;0,INDEX($C$2:C59,MATCH(A60,$A$2:A59,0)),"")</f>
        <v>0</v>
      </c>
      <c r="O60" s="13"/>
      <c r="P60" s="19"/>
    </row>
    <row r="61" spans="1:16" ht="15.75" customHeight="1" x14ac:dyDescent="0.3">
      <c r="A61" s="8" t="str">
        <f ca="1">IFERROR(__xludf.DUMMYFUNCTION("IF(B61="""","""",RIGHT(regexreplace(B61&amp;"""",""[^0-9]"",""""),9))"),"")</f>
        <v/>
      </c>
      <c r="B61" s="5"/>
      <c r="C61" s="5"/>
      <c r="D61" s="5"/>
      <c r="E61" s="15"/>
      <c r="F61" s="15"/>
      <c r="G61" s="15"/>
      <c r="H61" s="15"/>
      <c r="I61" s="15"/>
      <c r="J61" s="15"/>
      <c r="K61" s="9" t="str">
        <f ca="1">IF(COUNTIFS($A$2:A61,A61,$L$2:L61,L61)&gt;1,"DUPLICATE - CHECK","")</f>
        <v/>
      </c>
      <c r="L61" s="17"/>
      <c r="M61" s="17"/>
      <c r="N61" s="9">
        <f ca="1">IF(COUNTIF($A$2:A60,A61)&gt;0,INDEX($C$2:C60,MATCH(A61,$A$2:A60,0)),"")</f>
        <v>0</v>
      </c>
      <c r="O61" s="13"/>
      <c r="P61" s="19"/>
    </row>
    <row r="62" spans="1:16" ht="15.75" customHeight="1" x14ac:dyDescent="0.3">
      <c r="A62" s="8" t="str">
        <f ca="1">IFERROR(__xludf.DUMMYFUNCTION("IF(B62="""","""",RIGHT(regexreplace(B62&amp;"""",""[^0-9]"",""""),9))"),"")</f>
        <v/>
      </c>
      <c r="B62" s="5"/>
      <c r="C62" s="5"/>
      <c r="D62" s="5"/>
      <c r="E62" s="15"/>
      <c r="F62" s="15"/>
      <c r="G62" s="15"/>
      <c r="H62" s="15"/>
      <c r="I62" s="15"/>
      <c r="J62" s="15"/>
      <c r="K62" s="9" t="str">
        <f ca="1">IF(COUNTIFS($A$2:A62,A62,$L$2:L62,L62)&gt;1,"DUPLICATE - CHECK","")</f>
        <v/>
      </c>
      <c r="L62" s="17"/>
      <c r="M62" s="17"/>
      <c r="N62" s="9" t="str">
        <f t="array" aca="1" ref="N62" ca="1">IF(COUNTIF($A$2:A61,A)&gt;0,INDEX($C$2:C61,MATCH(A62,$A$2:A61,0)),"")</f>
        <v/>
      </c>
      <c r="O62" s="13"/>
      <c r="P62" s="19"/>
    </row>
    <row r="63" spans="1:16" ht="15.75" customHeight="1" x14ac:dyDescent="0.3">
      <c r="A63" s="8" t="str">
        <f ca="1">IFERROR(__xludf.DUMMYFUNCTION("IF(B63="""","""",RIGHT(regexreplace(B63&amp;"""",""[^0-9]"",""""),9))"),"")</f>
        <v/>
      </c>
      <c r="B63" s="5"/>
      <c r="C63" s="5"/>
      <c r="D63" s="5"/>
      <c r="E63" s="15"/>
      <c r="F63" s="15"/>
      <c r="G63" s="15"/>
      <c r="H63" s="15"/>
      <c r="I63" s="15"/>
      <c r="J63" s="15"/>
      <c r="K63" s="9" t="str">
        <f ca="1">IF(COUNTIFS($A$2:A63,A63,$L$2:L63,L63)&gt;1,"DUPLICATE - CHECK","")</f>
        <v/>
      </c>
      <c r="L63" s="17"/>
      <c r="M63" s="17"/>
      <c r="N63" s="9">
        <f ca="1">IF(COUNTIF($A$2:A62,A63)&gt;0,INDEX($C$2:C62,MATCH(A63,$A$2:A62,0)),"")</f>
        <v>0</v>
      </c>
      <c r="O63" s="13"/>
      <c r="P63" s="19"/>
    </row>
    <row r="64" spans="1:16" ht="15.75" customHeight="1" x14ac:dyDescent="0.3">
      <c r="A64" s="8" t="str">
        <f ca="1">IFERROR(__xludf.DUMMYFUNCTION("IF(B64="""","""",RIGHT(regexreplace(B64&amp;"""",""[^0-9]"",""""),9))"),"")</f>
        <v/>
      </c>
      <c r="B64" s="5"/>
      <c r="C64" s="5"/>
      <c r="D64" s="5"/>
      <c r="E64" s="15"/>
      <c r="F64" s="15"/>
      <c r="G64" s="15"/>
      <c r="H64" s="15"/>
      <c r="I64" s="15"/>
      <c r="J64" s="15"/>
      <c r="K64" s="9" t="str">
        <f ca="1">IF(COUNTIFS($A$2:A64,A64,$L$2:L64,L64)&gt;1,"DUPLICATE - CHECK","")</f>
        <v/>
      </c>
      <c r="L64" s="17"/>
      <c r="M64" s="17"/>
      <c r="N64" s="9">
        <f ca="1">IF(COUNTIF($A$2:A63,A64)&gt;0,INDEX($C$2:C63,MATCH(A64,$A$2:A63,0)),"")</f>
        <v>0</v>
      </c>
      <c r="O64" s="13"/>
      <c r="P64" s="19"/>
    </row>
    <row r="65" spans="1:16" ht="15.75" customHeight="1" x14ac:dyDescent="0.3">
      <c r="A65" s="8" t="str">
        <f ca="1">IFERROR(__xludf.DUMMYFUNCTION("IF(B65="""","""",RIGHT(regexreplace(B65&amp;"""",""[^0-9]"",""""),9))"),"")</f>
        <v/>
      </c>
      <c r="B65" s="5"/>
      <c r="C65" s="5"/>
      <c r="D65" s="5"/>
      <c r="E65" s="15"/>
      <c r="F65" s="15"/>
      <c r="G65" s="15"/>
      <c r="H65" s="15"/>
      <c r="I65" s="15"/>
      <c r="J65" s="15"/>
      <c r="K65" s="9" t="str">
        <f ca="1">IF(COUNTIFS($A$2:A65,A65,$L$2:L65,L65)&gt;1,"DUPLICATE - CHECK","")</f>
        <v/>
      </c>
      <c r="L65" s="17"/>
      <c r="M65" s="17"/>
      <c r="N65" s="9" t="str">
        <f t="array" aca="1" ref="N65" ca="1">IF(COUNTIF($A$2:A64,A)&gt;0,INDEX($C$2:C64,MATCH(A65,$A$2:A64,0)),"")</f>
        <v/>
      </c>
      <c r="O65" s="13"/>
      <c r="P65" s="19"/>
    </row>
    <row r="66" spans="1:16" ht="15.75" customHeight="1" x14ac:dyDescent="0.3">
      <c r="A66" s="8" t="str">
        <f ca="1">IFERROR(__xludf.DUMMYFUNCTION("IF(B66="""","""",RIGHT(regexreplace(B66&amp;"""",""[^0-9]"",""""),9))"),"")</f>
        <v/>
      </c>
      <c r="B66" s="5"/>
      <c r="C66" s="5"/>
      <c r="D66" s="5"/>
      <c r="E66" s="15"/>
      <c r="F66" s="15"/>
      <c r="G66" s="15"/>
      <c r="H66" s="15"/>
      <c r="I66" s="15"/>
      <c r="J66" s="15"/>
      <c r="K66" s="9" t="str">
        <f ca="1">IF(COUNTIFS($A$2:A66,A66,$L$2:L66,L66)&gt;1,"DUPLICATE - CHECK","")</f>
        <v/>
      </c>
      <c r="L66" s="17"/>
      <c r="M66" s="17"/>
      <c r="N66" s="9">
        <f ca="1">IF(COUNTIF($A$2:A65,A66)&gt;0,INDEX($C$2:C65,MATCH(A66,$A$2:A65,0)),"")</f>
        <v>0</v>
      </c>
      <c r="O66" s="13"/>
      <c r="P66" s="19"/>
    </row>
    <row r="67" spans="1:16" ht="15.75" customHeight="1" x14ac:dyDescent="0.3">
      <c r="A67" s="8" t="str">
        <f ca="1">IFERROR(__xludf.DUMMYFUNCTION("IF(B67="""","""",RIGHT(regexreplace(B67&amp;"""",""[^0-9]"",""""),9))"),"")</f>
        <v/>
      </c>
      <c r="B67" s="5"/>
      <c r="C67" s="5"/>
      <c r="D67" s="5"/>
      <c r="E67" s="15"/>
      <c r="F67" s="15"/>
      <c r="G67" s="15"/>
      <c r="H67" s="15"/>
      <c r="I67" s="15"/>
      <c r="J67" s="15"/>
      <c r="K67" s="9" t="str">
        <f ca="1">IF(COUNTIFS($A$2:A67,A67,$L$2:L67,L67)&gt;1,"DUPLICATE - CHECK","")</f>
        <v/>
      </c>
      <c r="L67" s="17"/>
      <c r="M67" s="17"/>
      <c r="N67" s="9">
        <f ca="1">IF(COUNTIF($A$2:A66,A67)&gt;0,INDEX($C$2:C66,MATCH(A67,$A$2:A66,0)),"")</f>
        <v>0</v>
      </c>
      <c r="O67" s="13"/>
      <c r="P67" s="19"/>
    </row>
    <row r="68" spans="1:16" ht="15.75" customHeight="1" x14ac:dyDescent="0.3">
      <c r="A68" s="8" t="str">
        <f ca="1">IFERROR(__xludf.DUMMYFUNCTION("IF(B68="""","""",RIGHT(regexreplace(B68&amp;"""",""[^0-9]"",""""),9))"),"")</f>
        <v/>
      </c>
      <c r="B68" s="5"/>
      <c r="C68" s="5"/>
      <c r="D68" s="5"/>
      <c r="E68" s="15"/>
      <c r="F68" s="15"/>
      <c r="G68" s="15"/>
      <c r="H68" s="15"/>
      <c r="I68" s="15"/>
      <c r="J68" s="15"/>
      <c r="K68" s="9" t="str">
        <f ca="1">IF(COUNTIFS($A$2:A68,A68,$L$2:L68,L68)&gt;1,"DUPLICATE - CHECK","")</f>
        <v/>
      </c>
      <c r="L68" s="17"/>
      <c r="M68" s="17"/>
      <c r="N68" s="9" t="str">
        <f t="array" aca="1" ref="N68" ca="1">IF(COUNTIF($A$2:A67,A)&gt;0,INDEX($C$2:C67,MATCH(A68,$A$2:A67,0)),"")</f>
        <v/>
      </c>
      <c r="O68" s="13"/>
      <c r="P68" s="19"/>
    </row>
    <row r="69" spans="1:16" ht="15.75" customHeight="1" x14ac:dyDescent="0.3">
      <c r="A69" s="8" t="str">
        <f ca="1">IFERROR(__xludf.DUMMYFUNCTION("IF(B69="""","""",RIGHT(regexreplace(B69&amp;"""",""[^0-9]"",""""),9))"),"")</f>
        <v/>
      </c>
      <c r="B69" s="5"/>
      <c r="C69" s="5"/>
      <c r="D69" s="5"/>
      <c r="E69" s="15"/>
      <c r="F69" s="15"/>
      <c r="G69" s="15"/>
      <c r="H69" s="15"/>
      <c r="I69" s="15"/>
      <c r="J69" s="15"/>
      <c r="K69" s="9" t="str">
        <f ca="1">IF(COUNTIFS($A$2:A69,A69,$L$2:L69,L69)&gt;1,"DUPLICATE - CHECK","")</f>
        <v/>
      </c>
      <c r="L69" s="17"/>
      <c r="M69" s="17"/>
      <c r="N69" s="9">
        <f ca="1">IF(COUNTIF($A$2:A68,A69)&gt;0,INDEX($C$2:C68,MATCH(A69,$A$2:A68,0)),"")</f>
        <v>0</v>
      </c>
      <c r="O69" s="13"/>
      <c r="P69" s="19"/>
    </row>
    <row r="70" spans="1:16" ht="15.75" customHeight="1" x14ac:dyDescent="0.3">
      <c r="A70" s="8" t="str">
        <f ca="1">IFERROR(__xludf.DUMMYFUNCTION("IF(B70="""","""",RIGHT(regexreplace(B70&amp;"""",""[^0-9]"",""""),9))"),"")</f>
        <v/>
      </c>
      <c r="B70" s="5"/>
      <c r="C70" s="5"/>
      <c r="D70" s="5"/>
      <c r="E70" s="15"/>
      <c r="F70" s="15"/>
      <c r="G70" s="15"/>
      <c r="H70" s="15"/>
      <c r="I70" s="15"/>
      <c r="J70" s="15"/>
      <c r="K70" s="9" t="str">
        <f ca="1">IF(COUNTIFS($A$2:A70,A70,$L$2:L70,L70)&gt;1,"DUPLICATE - CHECK","")</f>
        <v/>
      </c>
      <c r="L70" s="17"/>
      <c r="M70" s="17"/>
      <c r="N70" s="9">
        <f ca="1">IF(COUNTIF($A$2:A69,A70)&gt;0,INDEX($C$2:C69,MATCH(A70,$A$2:A69,0)),"")</f>
        <v>0</v>
      </c>
      <c r="O70" s="13"/>
      <c r="P70" s="19"/>
    </row>
    <row r="71" spans="1:16" ht="15.75" customHeight="1" x14ac:dyDescent="0.3">
      <c r="A71" s="8" t="str">
        <f ca="1">IFERROR(__xludf.DUMMYFUNCTION("IF(B71="""","""",RIGHT(regexreplace(B71&amp;"""",""[^0-9]"",""""),9))"),"")</f>
        <v/>
      </c>
      <c r="B71" s="5"/>
      <c r="C71" s="5"/>
      <c r="D71" s="5"/>
      <c r="E71" s="15"/>
      <c r="F71" s="15"/>
      <c r="G71" s="15"/>
      <c r="H71" s="15"/>
      <c r="I71" s="15"/>
      <c r="J71" s="15"/>
      <c r="K71" s="9" t="str">
        <f ca="1">IF(COUNTIFS($A$2:A71,A71,$L$2:L71,L71)&gt;1,"DUPLICATE - CHECK","")</f>
        <v/>
      </c>
      <c r="L71" s="17"/>
      <c r="M71" s="17"/>
      <c r="N71" s="9" t="str">
        <f t="array" aca="1" ref="N71" ca="1">IF(COUNTIF($A$2:A70,A)&gt;0,INDEX($C$2:C70,MATCH(A71,$A$2:A70,0)),"")</f>
        <v/>
      </c>
      <c r="O71" s="13"/>
      <c r="P71" s="19"/>
    </row>
    <row r="72" spans="1:16" ht="15.75" customHeight="1" x14ac:dyDescent="0.3">
      <c r="A72" s="8" t="str">
        <f ca="1">IFERROR(__xludf.DUMMYFUNCTION("IF(B72="""","""",RIGHT(regexreplace(B72&amp;"""",""[^0-9]"",""""),9))"),"")</f>
        <v/>
      </c>
      <c r="B72" s="5"/>
      <c r="C72" s="5"/>
      <c r="D72" s="5"/>
      <c r="E72" s="15"/>
      <c r="F72" s="15"/>
      <c r="G72" s="15"/>
      <c r="H72" s="15"/>
      <c r="I72" s="15"/>
      <c r="J72" s="15"/>
      <c r="K72" s="9" t="str">
        <f ca="1">IF(COUNTIFS($A$2:A72,A72,$L$2:L72,L72)&gt;1,"DUPLICATE - CHECK","")</f>
        <v/>
      </c>
      <c r="L72" s="17"/>
      <c r="M72" s="17"/>
      <c r="N72" s="9">
        <f ca="1">IF(COUNTIF($A$2:A71,A72)&gt;0,INDEX($C$2:C71,MATCH(A72,$A$2:A71,0)),"")</f>
        <v>0</v>
      </c>
      <c r="O72" s="13"/>
      <c r="P72" s="19"/>
    </row>
    <row r="73" spans="1:16" ht="15.75" customHeight="1" x14ac:dyDescent="0.3">
      <c r="A73" s="8" t="str">
        <f ca="1">IFERROR(__xludf.DUMMYFUNCTION("IF(B73="""","""",RIGHT(regexreplace(B73&amp;"""",""[^0-9]"",""""),9))"),"")</f>
        <v/>
      </c>
      <c r="B73" s="5"/>
      <c r="C73" s="5"/>
      <c r="D73" s="5"/>
      <c r="E73" s="15"/>
      <c r="F73" s="15"/>
      <c r="G73" s="15"/>
      <c r="H73" s="15"/>
      <c r="I73" s="15"/>
      <c r="J73" s="15"/>
      <c r="K73" s="9" t="str">
        <f ca="1">IF(COUNTIFS($A$2:A73,A73,$L$2:L73,L73)&gt;1,"DUPLICATE - CHECK","")</f>
        <v/>
      </c>
      <c r="L73" s="17"/>
      <c r="M73" s="17"/>
      <c r="N73" s="9">
        <f ca="1">IF(COUNTIF($A$2:A72,A73)&gt;0,INDEX($C$2:C72,MATCH(A73,$A$2:A72,0)),"")</f>
        <v>0</v>
      </c>
      <c r="O73" s="13"/>
      <c r="P73" s="19"/>
    </row>
    <row r="74" spans="1:16" ht="15.75" customHeight="1" x14ac:dyDescent="0.3">
      <c r="A74" s="8" t="str">
        <f ca="1">IFERROR(__xludf.DUMMYFUNCTION("IF(B74="""","""",RIGHT(regexreplace(B74&amp;"""",""[^0-9]"",""""),9))"),"")</f>
        <v/>
      </c>
      <c r="B74" s="5"/>
      <c r="C74" s="5"/>
      <c r="D74" s="5"/>
      <c r="E74" s="15"/>
      <c r="F74" s="15"/>
      <c r="G74" s="15"/>
      <c r="H74" s="15"/>
      <c r="I74" s="15"/>
      <c r="J74" s="15"/>
      <c r="K74" s="9" t="str">
        <f ca="1">IF(COUNTIFS($A$2:A74,A74,$L$2:L74,L74)&gt;1,"DUPLICATE - CHECK","")</f>
        <v/>
      </c>
      <c r="L74" s="17"/>
      <c r="M74" s="17"/>
      <c r="N74" s="9" t="str">
        <f t="array" aca="1" ref="N74" ca="1">IF(COUNTIF($A$2:A73,A)&gt;0,INDEX($C$2:C73,MATCH(A74,$A$2:A73,0)),"")</f>
        <v/>
      </c>
      <c r="O74" s="13"/>
      <c r="P74" s="19"/>
    </row>
    <row r="75" spans="1:16" ht="15.75" customHeight="1" x14ac:dyDescent="0.3">
      <c r="A75" s="8" t="str">
        <f ca="1">IFERROR(__xludf.DUMMYFUNCTION("IF(B75="""","""",RIGHT(regexreplace(B75&amp;"""",""[^0-9]"",""""),9))"),"")</f>
        <v/>
      </c>
      <c r="B75" s="5"/>
      <c r="C75" s="5"/>
      <c r="D75" s="5"/>
      <c r="E75" s="15"/>
      <c r="F75" s="15"/>
      <c r="G75" s="15"/>
      <c r="H75" s="15"/>
      <c r="I75" s="15"/>
      <c r="J75" s="15"/>
      <c r="K75" s="9" t="str">
        <f ca="1">IF(COUNTIFS($A$2:A75,A75,$L$2:L75,L75)&gt;1,"DUPLICATE - CHECK","")</f>
        <v/>
      </c>
      <c r="L75" s="17"/>
      <c r="M75" s="17"/>
      <c r="N75" s="9">
        <f ca="1">IF(COUNTIF($A$2:A74,A75)&gt;0,INDEX($C$2:C74,MATCH(A75,$A$2:A74,0)),"")</f>
        <v>0</v>
      </c>
      <c r="O75" s="13"/>
      <c r="P75" s="19"/>
    </row>
    <row r="76" spans="1:16" ht="15.75" customHeight="1" x14ac:dyDescent="0.3">
      <c r="A76" s="8" t="str">
        <f ca="1">IFERROR(__xludf.DUMMYFUNCTION("IF(B76="""","""",RIGHT(regexreplace(B76&amp;"""",""[^0-9]"",""""),9))"),"")</f>
        <v/>
      </c>
      <c r="B76" s="5"/>
      <c r="C76" s="5"/>
      <c r="D76" s="5"/>
      <c r="E76" s="15"/>
      <c r="F76" s="15"/>
      <c r="G76" s="15"/>
      <c r="H76" s="15"/>
      <c r="I76" s="15"/>
      <c r="J76" s="15"/>
      <c r="K76" s="9" t="str">
        <f ca="1">IF(COUNTIFS($A$2:A76,A76,$L$2:L76,L76)&gt;1,"DUPLICATE - CHECK","")</f>
        <v/>
      </c>
      <c r="L76" s="17"/>
      <c r="M76" s="17"/>
      <c r="N76" s="9">
        <f ca="1">IF(COUNTIF($A$2:A75,A76)&gt;0,INDEX($C$2:C75,MATCH(A76,$A$2:A75,0)),"")</f>
        <v>0</v>
      </c>
      <c r="O76" s="13"/>
      <c r="P76" s="19"/>
    </row>
    <row r="77" spans="1:16" ht="15.75" customHeight="1" x14ac:dyDescent="0.3">
      <c r="A77" s="8" t="str">
        <f ca="1">IFERROR(__xludf.DUMMYFUNCTION("IF(B77="""","""",RIGHT(regexreplace(B77&amp;"""",""[^0-9]"",""""),9))"),"")</f>
        <v/>
      </c>
      <c r="B77" s="5"/>
      <c r="C77" s="5"/>
      <c r="D77" s="5"/>
      <c r="E77" s="15"/>
      <c r="F77" s="15"/>
      <c r="G77" s="15"/>
      <c r="H77" s="15"/>
      <c r="I77" s="15"/>
      <c r="J77" s="15"/>
      <c r="K77" s="9" t="str">
        <f ca="1">IF(COUNTIFS($A$2:A77,A77,$L$2:L77,L77)&gt;1,"DUPLICATE - CHECK","")</f>
        <v/>
      </c>
      <c r="L77" s="17"/>
      <c r="M77" s="17"/>
      <c r="N77" s="9" t="str">
        <f t="array" aca="1" ref="N77" ca="1">IF(COUNTIF($A$2:A76,A)&gt;0,INDEX($C$2:C76,MATCH(A77,$A$2:A76,0)),"")</f>
        <v/>
      </c>
      <c r="O77" s="13"/>
      <c r="P77" s="19"/>
    </row>
    <row r="78" spans="1:16" ht="15.75" customHeight="1" x14ac:dyDescent="0.3">
      <c r="A78" s="8" t="str">
        <f ca="1">IFERROR(__xludf.DUMMYFUNCTION("IF(B78="""","""",RIGHT(regexreplace(B78&amp;"""",""[^0-9]"",""""),9))"),"")</f>
        <v/>
      </c>
      <c r="B78" s="5"/>
      <c r="C78" s="5"/>
      <c r="D78" s="5"/>
      <c r="E78" s="15"/>
      <c r="F78" s="15"/>
      <c r="G78" s="15"/>
      <c r="H78" s="15"/>
      <c r="I78" s="15"/>
      <c r="J78" s="15"/>
      <c r="K78" s="9" t="str">
        <f ca="1">IF(COUNTIFS($A$2:A78,A78,$L$2:L78,L78)&gt;1,"DUPLICATE - CHECK","")</f>
        <v/>
      </c>
      <c r="L78" s="17"/>
      <c r="M78" s="17"/>
      <c r="N78" s="9">
        <f ca="1">IF(COUNTIF($A$2:A77,A78)&gt;0,INDEX($C$2:C77,MATCH(A78,$A$2:A77,0)),"")</f>
        <v>0</v>
      </c>
      <c r="O78" s="13"/>
      <c r="P78" s="19"/>
    </row>
    <row r="79" spans="1:16" ht="15.75" customHeight="1" x14ac:dyDescent="0.3">
      <c r="A79" s="8" t="str">
        <f ca="1">IFERROR(__xludf.DUMMYFUNCTION("IF(B79="""","""",RIGHT(regexreplace(B79&amp;"""",""[^0-9]"",""""),9))"),"")</f>
        <v/>
      </c>
      <c r="B79" s="5"/>
      <c r="C79" s="5"/>
      <c r="D79" s="5"/>
      <c r="E79" s="15"/>
      <c r="F79" s="15"/>
      <c r="G79" s="15"/>
      <c r="H79" s="15"/>
      <c r="I79" s="15"/>
      <c r="J79" s="15"/>
      <c r="K79" s="9" t="str">
        <f ca="1">IF(COUNTIFS($A$2:A79,A79,$L$2:L79,L79)&gt;1,"DUPLICATE - CHECK","")</f>
        <v/>
      </c>
      <c r="L79" s="17"/>
      <c r="M79" s="17"/>
      <c r="N79" s="9">
        <f ca="1">IF(COUNTIF($A$2:A78,A79)&gt;0,INDEX($C$2:C78,MATCH(A79,$A$2:A78,0)),"")</f>
        <v>0</v>
      </c>
      <c r="O79" s="13"/>
      <c r="P79" s="19"/>
    </row>
    <row r="80" spans="1:16" ht="15.75" customHeight="1" x14ac:dyDescent="0.3">
      <c r="A80" s="8" t="str">
        <f ca="1">IFERROR(__xludf.DUMMYFUNCTION("IF(B80="""","""",RIGHT(regexreplace(B80&amp;"""",""[^0-9]"",""""),9))"),"")</f>
        <v/>
      </c>
      <c r="B80" s="5"/>
      <c r="C80" s="5"/>
      <c r="D80" s="5"/>
      <c r="E80" s="15"/>
      <c r="F80" s="15"/>
      <c r="G80" s="15"/>
      <c r="H80" s="15"/>
      <c r="I80" s="15"/>
      <c r="J80" s="15"/>
      <c r="K80" s="9" t="str">
        <f ca="1">IF(COUNTIFS($A$2:A80,A80,$L$2:L80,L80)&gt;1,"DUPLICATE - CHECK","")</f>
        <v/>
      </c>
      <c r="L80" s="17"/>
      <c r="M80" s="17"/>
      <c r="N80" s="9" t="str">
        <f t="array" aca="1" ref="N80" ca="1">IF(COUNTIF($A$2:A79,A)&gt;0,INDEX($C$2:C79,MATCH(A80,$A$2:A79,0)),"")</f>
        <v/>
      </c>
      <c r="O80" s="13"/>
      <c r="P80" s="19"/>
    </row>
    <row r="81" spans="1:16" ht="15.75" customHeight="1" x14ac:dyDescent="0.3">
      <c r="A81" s="8" t="str">
        <f ca="1">IFERROR(__xludf.DUMMYFUNCTION("IF(B81="""","""",RIGHT(regexreplace(B81&amp;"""",""[^0-9]"",""""),9))"),"")</f>
        <v/>
      </c>
      <c r="B81" s="5"/>
      <c r="C81" s="5"/>
      <c r="D81" s="5"/>
      <c r="E81" s="15"/>
      <c r="F81" s="15"/>
      <c r="G81" s="15"/>
      <c r="H81" s="15"/>
      <c r="I81" s="15"/>
      <c r="J81" s="15"/>
      <c r="K81" s="9" t="str">
        <f ca="1">IF(COUNTIFS($A$2:A81,A81,$L$2:L81,L81)&gt;1,"DUPLICATE - CHECK","")</f>
        <v/>
      </c>
      <c r="L81" s="17"/>
      <c r="M81" s="17"/>
      <c r="N81" s="9">
        <f ca="1">IF(COUNTIF($A$2:A80,A81)&gt;0,INDEX($C$2:C80,MATCH(A81,$A$2:A80,0)),"")</f>
        <v>0</v>
      </c>
      <c r="O81" s="13"/>
      <c r="P81" s="19"/>
    </row>
    <row r="82" spans="1:16" ht="15.75" customHeight="1" x14ac:dyDescent="0.3">
      <c r="A82" s="8" t="str">
        <f ca="1">IFERROR(__xludf.DUMMYFUNCTION("IF(B82="""","""",RIGHT(regexreplace(B82&amp;"""",""[^0-9]"",""""),9))"),"")</f>
        <v/>
      </c>
      <c r="B82" s="5"/>
      <c r="C82" s="5"/>
      <c r="D82" s="5"/>
      <c r="E82" s="15"/>
      <c r="F82" s="15"/>
      <c r="G82" s="15"/>
      <c r="H82" s="15"/>
      <c r="I82" s="15"/>
      <c r="J82" s="15"/>
      <c r="K82" s="9" t="str">
        <f ca="1">IF(COUNTIFS($A$2:A82,A82,$L$2:L82,L82)&gt;1,"DUPLICATE - CHECK","")</f>
        <v/>
      </c>
      <c r="L82" s="17"/>
      <c r="M82" s="17"/>
      <c r="N82" s="9">
        <f ca="1">IF(COUNTIF($A$2:A81,A82)&gt;0,INDEX($C$2:C81,MATCH(A82,$A$2:A81,0)),"")</f>
        <v>0</v>
      </c>
      <c r="O82" s="13"/>
      <c r="P82" s="19"/>
    </row>
    <row r="83" spans="1:16" ht="15.75" customHeight="1" x14ac:dyDescent="0.3">
      <c r="A83" s="8" t="str">
        <f ca="1">IFERROR(__xludf.DUMMYFUNCTION("IF(B83="""","""",RIGHT(regexreplace(B83&amp;"""",""[^0-9]"",""""),9))"),"")</f>
        <v/>
      </c>
      <c r="B83" s="5"/>
      <c r="C83" s="5"/>
      <c r="D83" s="5"/>
      <c r="E83" s="15"/>
      <c r="F83" s="15"/>
      <c r="G83" s="15"/>
      <c r="H83" s="15"/>
      <c r="I83" s="15"/>
      <c r="J83" s="15"/>
      <c r="K83" s="9" t="str">
        <f ca="1">IF(COUNTIFS($A$2:A83,A83,$L$2:L83,L83)&gt;1,"DUPLICATE - CHECK","")</f>
        <v/>
      </c>
      <c r="L83" s="17"/>
      <c r="M83" s="17"/>
      <c r="N83" s="9" t="str">
        <f t="array" aca="1" ref="N83" ca="1">IF(COUNTIF($A$2:A82,A)&gt;0,INDEX($C$2:C82,MATCH(A83,$A$2:A82,0)),"")</f>
        <v/>
      </c>
      <c r="O83" s="13"/>
      <c r="P83" s="19"/>
    </row>
    <row r="84" spans="1:16" ht="15.75" customHeight="1" x14ac:dyDescent="0.3">
      <c r="A84" s="8" t="str">
        <f ca="1">IFERROR(__xludf.DUMMYFUNCTION("IF(B84="""","""",RIGHT(regexreplace(B84&amp;"""",""[^0-9]"",""""),9))"),"")</f>
        <v/>
      </c>
      <c r="B84" s="5"/>
      <c r="C84" s="5"/>
      <c r="D84" s="5"/>
      <c r="E84" s="15"/>
      <c r="F84" s="15"/>
      <c r="G84" s="15"/>
      <c r="H84" s="15"/>
      <c r="I84" s="15"/>
      <c r="J84" s="15"/>
      <c r="K84" s="9" t="str">
        <f ca="1">IF(COUNTIFS($A$2:A84,A84,$L$2:L84,L84)&gt;1,"DUPLICATE - CHECK","")</f>
        <v/>
      </c>
      <c r="L84" s="17"/>
      <c r="M84" s="17"/>
      <c r="N84" s="9">
        <f ca="1">IF(COUNTIF($A$2:A83,A84)&gt;0,INDEX($C$2:C83,MATCH(A84,$A$2:A83,0)),"")</f>
        <v>0</v>
      </c>
      <c r="O84" s="13"/>
      <c r="P84" s="19"/>
    </row>
    <row r="85" spans="1:16" ht="15.75" customHeight="1" x14ac:dyDescent="0.3">
      <c r="A85" s="8" t="str">
        <f ca="1">IFERROR(__xludf.DUMMYFUNCTION("IF(B85="""","""",RIGHT(regexreplace(B85&amp;"""",""[^0-9]"",""""),9))"),"")</f>
        <v/>
      </c>
      <c r="B85" s="5"/>
      <c r="C85" s="5"/>
      <c r="D85" s="5"/>
      <c r="E85" s="15"/>
      <c r="F85" s="15"/>
      <c r="G85" s="15"/>
      <c r="H85" s="15"/>
      <c r="I85" s="15"/>
      <c r="J85" s="15"/>
      <c r="K85" s="9" t="str">
        <f ca="1">IF(COUNTIFS($A$2:A85,A85,$L$2:L85,L85)&gt;1,"DUPLICATE - CHECK","")</f>
        <v/>
      </c>
      <c r="L85" s="17"/>
      <c r="M85" s="17"/>
      <c r="N85" s="9">
        <f ca="1">IF(COUNTIF($A$2:A84,A85)&gt;0,INDEX($C$2:C84,MATCH(A85,$A$2:A84,0)),"")</f>
        <v>0</v>
      </c>
      <c r="O85" s="13"/>
      <c r="P85" s="19"/>
    </row>
    <row r="86" spans="1:16" ht="15.75" customHeight="1" x14ac:dyDescent="0.3">
      <c r="A86" s="8" t="str">
        <f ca="1">IFERROR(__xludf.DUMMYFUNCTION("IF(B86="""","""",RIGHT(regexreplace(B86&amp;"""",""[^0-9]"",""""),9))"),"")</f>
        <v/>
      </c>
      <c r="B86" s="5"/>
      <c r="C86" s="5"/>
      <c r="D86" s="5"/>
      <c r="E86" s="15"/>
      <c r="F86" s="15"/>
      <c r="G86" s="15"/>
      <c r="H86" s="15"/>
      <c r="I86" s="15"/>
      <c r="J86" s="15"/>
      <c r="K86" s="9" t="str">
        <f ca="1">IF(COUNTIFS($A$2:A86,A86,$L$2:L86,L86)&gt;1,"DUPLICATE - CHECK","")</f>
        <v/>
      </c>
      <c r="L86" s="17"/>
      <c r="M86" s="17"/>
      <c r="N86" s="9" t="str">
        <f t="array" aca="1" ref="N86" ca="1">IF(COUNTIF($A$2:A85,A)&gt;0,INDEX($C$2:C85,MATCH(A86,$A$2:A85,0)),"")</f>
        <v/>
      </c>
      <c r="O86" s="13"/>
      <c r="P86" s="19"/>
    </row>
    <row r="87" spans="1:16" ht="15.75" customHeight="1" x14ac:dyDescent="0.3">
      <c r="A87" s="8" t="str">
        <f ca="1">IFERROR(__xludf.DUMMYFUNCTION("IF(B87="""","""",RIGHT(regexreplace(B87&amp;"""",""[^0-9]"",""""),9))"),"")</f>
        <v/>
      </c>
      <c r="B87" s="5"/>
      <c r="C87" s="5"/>
      <c r="D87" s="5"/>
      <c r="E87" s="15"/>
      <c r="F87" s="15"/>
      <c r="G87" s="15"/>
      <c r="H87" s="15"/>
      <c r="I87" s="15"/>
      <c r="J87" s="15"/>
      <c r="K87" s="9" t="str">
        <f ca="1">IF(COUNTIFS($A$2:A87,A87,$L$2:L87,L87)&gt;1,"DUPLICATE - CHECK","")</f>
        <v/>
      </c>
      <c r="L87" s="17"/>
      <c r="M87" s="17"/>
      <c r="N87" s="9">
        <f ca="1">IF(COUNTIF($A$2:A86,A87)&gt;0,INDEX($C$2:C86,MATCH(A87,$A$2:A86,0)),"")</f>
        <v>0</v>
      </c>
      <c r="O87" s="13"/>
      <c r="P87" s="19"/>
    </row>
    <row r="88" spans="1:16" ht="15.75" customHeight="1" x14ac:dyDescent="0.3">
      <c r="A88" s="8" t="str">
        <f ca="1">IFERROR(__xludf.DUMMYFUNCTION("IF(B88="""","""",RIGHT(regexreplace(B88&amp;"""",""[^0-9]"",""""),9))"),"")</f>
        <v/>
      </c>
      <c r="B88" s="5"/>
      <c r="C88" s="5"/>
      <c r="D88" s="5"/>
      <c r="E88" s="15"/>
      <c r="F88" s="15"/>
      <c r="G88" s="15"/>
      <c r="H88" s="15"/>
      <c r="I88" s="15"/>
      <c r="J88" s="15"/>
      <c r="K88" s="9" t="str">
        <f ca="1">IF(COUNTIFS($A$2:A88,A88,$L$2:L88,L88)&gt;1,"DUPLICATE - CHECK","")</f>
        <v/>
      </c>
      <c r="L88" s="17"/>
      <c r="M88" s="17"/>
      <c r="N88" s="9">
        <f ca="1">IF(COUNTIF($A$2:A87,A88)&gt;0,INDEX($C$2:C87,MATCH(A88,$A$2:A87,0)),"")</f>
        <v>0</v>
      </c>
      <c r="O88" s="13"/>
      <c r="P88" s="19"/>
    </row>
    <row r="89" spans="1:16" ht="15.75" customHeight="1" x14ac:dyDescent="0.3">
      <c r="A89" s="8" t="str">
        <f ca="1">IFERROR(__xludf.DUMMYFUNCTION("IF(B89="""","""",RIGHT(regexreplace(B89&amp;"""",""[^0-9]"",""""),9))"),"")</f>
        <v/>
      </c>
      <c r="B89" s="5"/>
      <c r="C89" s="5"/>
      <c r="D89" s="5"/>
      <c r="E89" s="15"/>
      <c r="F89" s="15"/>
      <c r="G89" s="15"/>
      <c r="H89" s="15"/>
      <c r="I89" s="15"/>
      <c r="J89" s="15"/>
      <c r="K89" s="9" t="str">
        <f ca="1">IF(COUNTIFS($A$2:A89,A89,$L$2:L89,L89)&gt;1,"DUPLICATE - CHECK","")</f>
        <v/>
      </c>
      <c r="L89" s="17"/>
      <c r="M89" s="17"/>
      <c r="N89" s="9" t="str">
        <f t="array" aca="1" ref="N89" ca="1">IF(COUNTIF($A$2:A88,A)&gt;0,INDEX($C$2:C88,MATCH(A89,$A$2:A88,0)),"")</f>
        <v/>
      </c>
      <c r="O89" s="13"/>
      <c r="P89" s="19"/>
    </row>
    <row r="90" spans="1:16" ht="15.75" customHeight="1" x14ac:dyDescent="0.3">
      <c r="A90" s="8" t="str">
        <f ca="1">IFERROR(__xludf.DUMMYFUNCTION("IF(B90="""","""",RIGHT(regexreplace(B90&amp;"""",""[^0-9]"",""""),9))"),"")</f>
        <v/>
      </c>
      <c r="B90" s="5"/>
      <c r="C90" s="5"/>
      <c r="D90" s="5"/>
      <c r="E90" s="15"/>
      <c r="F90" s="15"/>
      <c r="G90" s="15"/>
      <c r="H90" s="15"/>
      <c r="I90" s="15"/>
      <c r="J90" s="15"/>
      <c r="K90" s="9" t="str">
        <f ca="1">IF(COUNTIFS($A$2:A90,A90,$L$2:L90,L90)&gt;1,"DUPLICATE - CHECK","")</f>
        <v/>
      </c>
      <c r="L90" s="17"/>
      <c r="M90" s="17"/>
      <c r="N90" s="9">
        <f ca="1">IF(COUNTIF($A$2:A89,A90)&gt;0,INDEX($C$2:C89,MATCH(A90,$A$2:A89,0)),"")</f>
        <v>0</v>
      </c>
      <c r="O90" s="13"/>
      <c r="P90" s="19"/>
    </row>
    <row r="91" spans="1:16" ht="15.75" customHeight="1" x14ac:dyDescent="0.3">
      <c r="A91" s="8" t="str">
        <f ca="1">IFERROR(__xludf.DUMMYFUNCTION("IF(B91="""","""",RIGHT(regexreplace(B91&amp;"""",""[^0-9]"",""""),9))"),"")</f>
        <v/>
      </c>
      <c r="B91" s="5"/>
      <c r="C91" s="5"/>
      <c r="D91" s="5"/>
      <c r="E91" s="15"/>
      <c r="F91" s="15"/>
      <c r="G91" s="15"/>
      <c r="H91" s="15"/>
      <c r="I91" s="15"/>
      <c r="J91" s="15"/>
      <c r="K91" s="9" t="str">
        <f ca="1">IF(COUNTIFS($A$2:A91,A91,$L$2:L91,L91)&gt;1,"DUPLICATE - CHECK","")</f>
        <v/>
      </c>
      <c r="L91" s="17"/>
      <c r="M91" s="17"/>
      <c r="N91" s="9">
        <f ca="1">IF(COUNTIF($A$2:A90,A91)&gt;0,INDEX($C$2:C90,MATCH(A91,$A$2:A90,0)),"")</f>
        <v>0</v>
      </c>
      <c r="O91" s="13"/>
      <c r="P91" s="19"/>
    </row>
    <row r="92" spans="1:16" ht="15.75" customHeight="1" x14ac:dyDescent="0.3">
      <c r="A92" s="8" t="str">
        <f ca="1">IFERROR(__xludf.DUMMYFUNCTION("IF(B92="""","""",RIGHT(regexreplace(B92&amp;"""",""[^0-9]"",""""),9))"),"")</f>
        <v/>
      </c>
      <c r="B92" s="5"/>
      <c r="C92" s="5"/>
      <c r="D92" s="5"/>
      <c r="E92" s="15"/>
      <c r="F92" s="15"/>
      <c r="G92" s="15"/>
      <c r="H92" s="15"/>
      <c r="I92" s="15"/>
      <c r="J92" s="15"/>
      <c r="K92" s="9" t="str">
        <f ca="1">IF(COUNTIFS($A$2:A92,A92,$L$2:L92,L92)&gt;1,"DUPLICATE - CHECK","")</f>
        <v/>
      </c>
      <c r="L92" s="17"/>
      <c r="M92" s="17"/>
      <c r="N92" s="9" t="str">
        <f t="array" aca="1" ref="N92" ca="1">IF(COUNTIF($A$2:A91,A)&gt;0,INDEX($C$2:C91,MATCH(A92,$A$2:A91,0)),"")</f>
        <v/>
      </c>
      <c r="O92" s="13"/>
      <c r="P92" s="19"/>
    </row>
    <row r="93" spans="1:16" ht="15.75" customHeight="1" x14ac:dyDescent="0.3">
      <c r="A93" s="8" t="str">
        <f ca="1">IFERROR(__xludf.DUMMYFUNCTION("IF(B93="""","""",RIGHT(regexreplace(B93&amp;"""",""[^0-9]"",""""),9))"),"")</f>
        <v/>
      </c>
      <c r="B93" s="5"/>
      <c r="C93" s="5"/>
      <c r="D93" s="5"/>
      <c r="E93" s="15"/>
      <c r="F93" s="15"/>
      <c r="G93" s="15"/>
      <c r="H93" s="15"/>
      <c r="I93" s="15"/>
      <c r="J93" s="15"/>
      <c r="K93" s="9" t="str">
        <f ca="1">IF(COUNTIFS($A$2:A93,A93,$L$2:L93,L93)&gt;1,"DUPLICATE - CHECK","")</f>
        <v/>
      </c>
      <c r="L93" s="17"/>
      <c r="M93" s="17"/>
      <c r="N93" s="9">
        <f ca="1">IF(COUNTIF($A$2:A92,A93)&gt;0,INDEX($C$2:C92,MATCH(A93,$A$2:A92,0)),"")</f>
        <v>0</v>
      </c>
      <c r="O93" s="13"/>
      <c r="P93" s="19"/>
    </row>
    <row r="94" spans="1:16" ht="15.75" customHeight="1" x14ac:dyDescent="0.3">
      <c r="A94" s="8" t="str">
        <f ca="1">IFERROR(__xludf.DUMMYFUNCTION("IF(B94="""","""",RIGHT(regexreplace(B94&amp;"""",""[^0-9]"",""""),9))"),"")</f>
        <v/>
      </c>
      <c r="B94" s="5"/>
      <c r="C94" s="5"/>
      <c r="D94" s="5"/>
      <c r="E94" s="15"/>
      <c r="F94" s="15"/>
      <c r="G94" s="15"/>
      <c r="H94" s="15"/>
      <c r="I94" s="15"/>
      <c r="J94" s="15"/>
      <c r="K94" s="9" t="str">
        <f ca="1">IF(COUNTIFS($A$2:A94,A94,$L$2:L94,L94)&gt;1,"DUPLICATE - CHECK","")</f>
        <v/>
      </c>
      <c r="L94" s="17"/>
      <c r="M94" s="17"/>
      <c r="N94" s="9">
        <f ca="1">IF(COUNTIF($A$2:A93,A94)&gt;0,INDEX($C$2:C93,MATCH(A94,$A$2:A93,0)),"")</f>
        <v>0</v>
      </c>
      <c r="O94" s="13"/>
      <c r="P94" s="19"/>
    </row>
    <row r="95" spans="1:16" ht="15.75" customHeight="1" x14ac:dyDescent="0.3">
      <c r="A95" s="8" t="str">
        <f ca="1">IFERROR(__xludf.DUMMYFUNCTION("IF(B95="""","""",RIGHT(regexreplace(B95&amp;"""",""[^0-9]"",""""),9))"),"")</f>
        <v/>
      </c>
      <c r="B95" s="5"/>
      <c r="C95" s="5"/>
      <c r="D95" s="5"/>
      <c r="E95" s="15"/>
      <c r="F95" s="15"/>
      <c r="G95" s="15"/>
      <c r="H95" s="15"/>
      <c r="I95" s="15"/>
      <c r="J95" s="15"/>
      <c r="K95" s="9" t="str">
        <f ca="1">IF(COUNTIFS($A$2:A95,A95,$L$2:L95,L95)&gt;1,"DUPLICATE - CHECK","")</f>
        <v/>
      </c>
      <c r="L95" s="17"/>
      <c r="M95" s="17"/>
      <c r="N95" s="9" t="str">
        <f t="array" aca="1" ref="N95" ca="1">IF(COUNTIF($A$2:A94,A)&gt;0,INDEX($C$2:C94,MATCH(A95,$A$2:A94,0)),"")</f>
        <v/>
      </c>
      <c r="O95" s="13"/>
      <c r="P95" s="19"/>
    </row>
    <row r="96" spans="1:16" ht="15.75" customHeight="1" x14ac:dyDescent="0.3">
      <c r="A96" s="8" t="str">
        <f ca="1">IFERROR(__xludf.DUMMYFUNCTION("IF(B96="""","""",RIGHT(regexreplace(B96&amp;"""",""[^0-9]"",""""),9))"),"")</f>
        <v/>
      </c>
      <c r="B96" s="5"/>
      <c r="C96" s="5"/>
      <c r="D96" s="5"/>
      <c r="E96" s="15"/>
      <c r="F96" s="15"/>
      <c r="G96" s="15"/>
      <c r="H96" s="15"/>
      <c r="I96" s="15"/>
      <c r="J96" s="15"/>
      <c r="K96" s="9" t="str">
        <f ca="1">IF(COUNTIFS($A$2:A96,A96,$L$2:L96,L96)&gt;1,"DUPLICATE - CHECK","")</f>
        <v/>
      </c>
      <c r="L96" s="17"/>
      <c r="M96" s="17"/>
      <c r="N96" s="9">
        <f ca="1">IF(COUNTIF($A$2:A95,A96)&gt;0,INDEX($C$2:C95,MATCH(A96,$A$2:A95,0)),"")</f>
        <v>0</v>
      </c>
      <c r="O96" s="13"/>
      <c r="P96" s="19"/>
    </row>
    <row r="97" spans="1:16" ht="15.75" customHeight="1" x14ac:dyDescent="0.3">
      <c r="A97" s="8" t="str">
        <f ca="1">IFERROR(__xludf.DUMMYFUNCTION("IF(B97="""","""",RIGHT(regexreplace(B97&amp;"""",""[^0-9]"",""""),9))"),"")</f>
        <v/>
      </c>
      <c r="B97" s="5"/>
      <c r="C97" s="5"/>
      <c r="D97" s="5"/>
      <c r="E97" s="15"/>
      <c r="F97" s="15"/>
      <c r="G97" s="15"/>
      <c r="H97" s="15"/>
      <c r="I97" s="15"/>
      <c r="J97" s="15"/>
      <c r="K97" s="9" t="str">
        <f ca="1">IF(COUNTIFS($A$2:A97,A97,$L$2:L97,L97)&gt;1,"DUPLICATE - CHECK","")</f>
        <v/>
      </c>
      <c r="L97" s="17"/>
      <c r="M97" s="17"/>
      <c r="N97" s="9">
        <f ca="1">IF(COUNTIF($A$2:A96,A97)&gt;0,INDEX($C$2:C96,MATCH(A97,$A$2:A96,0)),"")</f>
        <v>0</v>
      </c>
      <c r="O97" s="13"/>
      <c r="P97" s="19"/>
    </row>
    <row r="98" spans="1:16" ht="15.75" customHeight="1" x14ac:dyDescent="0.3">
      <c r="A98" s="8" t="str">
        <f ca="1">IFERROR(__xludf.DUMMYFUNCTION("IF(B98="""","""",RIGHT(regexreplace(B98&amp;"""",""[^0-9]"",""""),9))"),"")</f>
        <v/>
      </c>
      <c r="B98" s="5"/>
      <c r="C98" s="5"/>
      <c r="D98" s="5"/>
      <c r="E98" s="15"/>
      <c r="F98" s="15"/>
      <c r="G98" s="15"/>
      <c r="H98" s="15"/>
      <c r="I98" s="15"/>
      <c r="J98" s="15"/>
      <c r="K98" s="9" t="str">
        <f ca="1">IF(COUNTIFS($A$2:A98,A98,$L$2:L98,L98)&gt;1,"DUPLICATE - CHECK","")</f>
        <v/>
      </c>
      <c r="L98" s="17"/>
      <c r="M98" s="17"/>
      <c r="N98" s="9" t="str">
        <f t="array" aca="1" ref="N98" ca="1">IF(COUNTIF($A$2:A97,A)&gt;0,INDEX($C$2:C97,MATCH(A98,$A$2:A97,0)),"")</f>
        <v/>
      </c>
      <c r="O98" s="13"/>
      <c r="P98" s="19"/>
    </row>
    <row r="99" spans="1:16" ht="15.75" customHeight="1" x14ac:dyDescent="0.3">
      <c r="A99" s="8" t="str">
        <f ca="1">IFERROR(__xludf.DUMMYFUNCTION("IF(B99="""","""",RIGHT(regexreplace(B99&amp;"""",""[^0-9]"",""""),9))"),"")</f>
        <v/>
      </c>
      <c r="B99" s="5"/>
      <c r="C99" s="5"/>
      <c r="D99" s="5"/>
      <c r="E99" s="15"/>
      <c r="F99" s="15"/>
      <c r="G99" s="15"/>
      <c r="H99" s="15"/>
      <c r="I99" s="15"/>
      <c r="J99" s="15"/>
      <c r="K99" s="9" t="str">
        <f ca="1">IF(COUNTIFS($A$2:A99,A99,$L$2:L99,L99)&gt;1,"DUPLICATE - CHECK","")</f>
        <v/>
      </c>
      <c r="L99" s="17"/>
      <c r="M99" s="17"/>
      <c r="N99" s="9">
        <f ca="1">IF(COUNTIF($A$2:A98,A99)&gt;0,INDEX($C$2:C98,MATCH(A99,$A$2:A98,0)),"")</f>
        <v>0</v>
      </c>
      <c r="O99" s="13"/>
      <c r="P99" s="19"/>
    </row>
    <row r="100" spans="1:16" ht="15.75" customHeight="1" x14ac:dyDescent="0.3">
      <c r="A100" s="8" t="str">
        <f ca="1">IFERROR(__xludf.DUMMYFUNCTION("IF(B100="""","""",RIGHT(regexreplace(B100&amp;"""",""[^0-9]"",""""),9))"),"")</f>
        <v/>
      </c>
      <c r="B100" s="5"/>
      <c r="C100" s="5"/>
      <c r="D100" s="5"/>
      <c r="E100" s="15"/>
      <c r="F100" s="15"/>
      <c r="G100" s="15"/>
      <c r="H100" s="15"/>
      <c r="I100" s="15"/>
      <c r="J100" s="15"/>
      <c r="K100" s="9" t="str">
        <f ca="1">IF(COUNTIFS($A$2:A100,A100,$L$2:L100,L100)&gt;1,"DUPLICATE - CHECK","")</f>
        <v/>
      </c>
      <c r="L100" s="17"/>
      <c r="M100" s="17"/>
      <c r="N100" s="9">
        <f ca="1">IF(COUNTIF($A$2:A99,A100)&gt;0,INDEX($C$2:C99,MATCH(A100,$A$2:A99,0)),"")</f>
        <v>0</v>
      </c>
      <c r="O100" s="13"/>
      <c r="P100" s="19"/>
    </row>
    <row r="101" spans="1:16" ht="15.75" customHeight="1" x14ac:dyDescent="0.3">
      <c r="A101" s="8" t="str">
        <f ca="1">IFERROR(__xludf.DUMMYFUNCTION("IF(B101="""","""",RIGHT(regexreplace(B101&amp;"""",""[^0-9]"",""""),9))"),"")</f>
        <v/>
      </c>
      <c r="B101" s="5"/>
      <c r="C101" s="5"/>
      <c r="D101" s="5"/>
      <c r="E101" s="15"/>
      <c r="F101" s="15"/>
      <c r="G101" s="15"/>
      <c r="H101" s="15"/>
      <c r="I101" s="15"/>
      <c r="J101" s="15"/>
      <c r="K101" s="9" t="str">
        <f ca="1">IF(COUNTIFS($A$2:A101,A101,$L$2:L101,L101)&gt;1,"DUPLICATE - CHECK","")</f>
        <v/>
      </c>
      <c r="L101" s="17"/>
      <c r="M101" s="17"/>
      <c r="N101" s="9" t="str">
        <f t="array" aca="1" ref="N101" ca="1">IF(COUNTIF($A$2:A100,A)&gt;0,INDEX($C$2:C100,MATCH(A101,$A$2:A100,0)),"")</f>
        <v/>
      </c>
      <c r="O101" s="13"/>
      <c r="P101" s="19"/>
    </row>
    <row r="102" spans="1:16" ht="15.75" customHeight="1" x14ac:dyDescent="0.3">
      <c r="A102" s="8" t="str">
        <f ca="1">IFERROR(__xludf.DUMMYFUNCTION("IF(B102="""","""",RIGHT(regexreplace(B102&amp;"""",""[^0-9]"",""""),9))"),"")</f>
        <v/>
      </c>
      <c r="B102" s="5"/>
      <c r="C102" s="5"/>
      <c r="D102" s="5"/>
      <c r="E102" s="15"/>
      <c r="F102" s="15"/>
      <c r="G102" s="15"/>
      <c r="H102" s="15"/>
      <c r="I102" s="15"/>
      <c r="J102" s="15"/>
      <c r="K102" s="9" t="str">
        <f ca="1">IF(COUNTIFS($A$2:A102,A102,$L$2:L102,L102)&gt;1,"DUPLICATE - CHECK","")</f>
        <v/>
      </c>
      <c r="L102" s="17"/>
      <c r="M102" s="17"/>
      <c r="N102" s="9">
        <f ca="1">IF(COUNTIF($A$2:A101,A102)&gt;0,INDEX($C$2:C101,MATCH(A102,$A$2:A101,0)),"")</f>
        <v>0</v>
      </c>
      <c r="O102" s="13"/>
      <c r="P102" s="19"/>
    </row>
    <row r="103" spans="1:16" ht="15.75" customHeight="1" x14ac:dyDescent="0.3">
      <c r="A103" s="8" t="str">
        <f ca="1">IFERROR(__xludf.DUMMYFUNCTION("IF(B103="""","""",RIGHT(regexreplace(B103&amp;"""",""[^0-9]"",""""),9))"),"")</f>
        <v/>
      </c>
      <c r="B103" s="5"/>
      <c r="C103" s="5"/>
      <c r="D103" s="5"/>
      <c r="E103" s="15"/>
      <c r="F103" s="15"/>
      <c r="G103" s="15"/>
      <c r="H103" s="15"/>
      <c r="I103" s="15"/>
      <c r="J103" s="15"/>
      <c r="K103" s="9" t="str">
        <f ca="1">IF(COUNTIFS($A$2:A103,A103,$L$2:L103,L103)&gt;1,"DUPLICATE - CHECK","")</f>
        <v/>
      </c>
      <c r="L103" s="17"/>
      <c r="M103" s="17"/>
      <c r="N103" s="9">
        <f ca="1">IF(COUNTIF($A$2:A102,A103)&gt;0,INDEX($C$2:C102,MATCH(A103,$A$2:A102,0)),"")</f>
        <v>0</v>
      </c>
      <c r="O103" s="13"/>
      <c r="P103" s="19"/>
    </row>
    <row r="104" spans="1:16" ht="15.75" customHeight="1" x14ac:dyDescent="0.3">
      <c r="A104" s="8" t="str">
        <f ca="1">IFERROR(__xludf.DUMMYFUNCTION("IF(B104="""","""",RIGHT(regexreplace(B104&amp;"""",""[^0-9]"",""""),9))"),"")</f>
        <v/>
      </c>
      <c r="B104" s="5"/>
      <c r="C104" s="5"/>
      <c r="D104" s="5"/>
      <c r="E104" s="15"/>
      <c r="F104" s="15"/>
      <c r="G104" s="15"/>
      <c r="H104" s="15"/>
      <c r="I104" s="15"/>
      <c r="J104" s="15"/>
      <c r="K104" s="9" t="str">
        <f ca="1">IF(COUNTIFS($A$2:A104,A104,$L$2:L104,L104)&gt;1,"DUPLICATE - CHECK","")</f>
        <v/>
      </c>
      <c r="L104" s="17"/>
      <c r="M104" s="17"/>
      <c r="N104" s="9" t="str">
        <f t="array" aca="1" ref="N104" ca="1">IF(COUNTIF($A$2:A103,A)&gt;0,INDEX($C$2:C103,MATCH(A104,$A$2:A103,0)),"")</f>
        <v/>
      </c>
      <c r="O104" s="13"/>
      <c r="P104" s="19"/>
    </row>
    <row r="105" spans="1:16" ht="15.75" customHeight="1" x14ac:dyDescent="0.3">
      <c r="A105" s="8" t="str">
        <f ca="1">IFERROR(__xludf.DUMMYFUNCTION("IF(B105="""","""",RIGHT(regexreplace(B105&amp;"""",""[^0-9]"",""""),9))"),"")</f>
        <v/>
      </c>
      <c r="B105" s="5"/>
      <c r="C105" s="5"/>
      <c r="D105" s="5"/>
      <c r="E105" s="15"/>
      <c r="F105" s="15"/>
      <c r="G105" s="15"/>
      <c r="H105" s="15"/>
      <c r="I105" s="15"/>
      <c r="J105" s="15"/>
      <c r="K105" s="9" t="str">
        <f ca="1">IF(COUNTIFS($A$2:A105,A105,$L$2:L105,L105)&gt;1,"DUPLICATE - CHECK","")</f>
        <v/>
      </c>
      <c r="L105" s="17"/>
      <c r="M105" s="17"/>
      <c r="N105" s="9">
        <f ca="1">IF(COUNTIF($A$2:A104,A105)&gt;0,INDEX($C$2:C104,MATCH(A105,$A$2:A104,0)),"")</f>
        <v>0</v>
      </c>
      <c r="O105" s="13"/>
      <c r="P105" s="19"/>
    </row>
    <row r="106" spans="1:16" ht="15.75" customHeight="1" x14ac:dyDescent="0.3">
      <c r="A106" s="8" t="str">
        <f ca="1">IFERROR(__xludf.DUMMYFUNCTION("IF(B106="""","""",RIGHT(regexreplace(B106&amp;"""",""[^0-9]"",""""),9))"),"")</f>
        <v/>
      </c>
      <c r="B106" s="5"/>
      <c r="C106" s="5"/>
      <c r="D106" s="5"/>
      <c r="E106" s="15"/>
      <c r="F106" s="15"/>
      <c r="G106" s="15"/>
      <c r="H106" s="15"/>
      <c r="I106" s="15"/>
      <c r="J106" s="15"/>
      <c r="K106" s="9" t="str">
        <f ca="1">IF(COUNTIFS($A$2:A106,A106,$L$2:L106,L106)&gt;1,"DUPLICATE - CHECK","")</f>
        <v/>
      </c>
      <c r="L106" s="17"/>
      <c r="M106" s="17"/>
      <c r="N106" s="9">
        <f ca="1">IF(COUNTIF($A$2:A105,A106)&gt;0,INDEX($C$2:C105,MATCH(A106,$A$2:A105,0)),"")</f>
        <v>0</v>
      </c>
      <c r="O106" s="13"/>
      <c r="P106" s="19"/>
    </row>
    <row r="107" spans="1:16" ht="15.75" customHeight="1" x14ac:dyDescent="0.3">
      <c r="A107" s="8" t="str">
        <f ca="1">IFERROR(__xludf.DUMMYFUNCTION("IF(B107="""","""",RIGHT(regexreplace(B107&amp;"""",""[^0-9]"",""""),9))"),"")</f>
        <v/>
      </c>
      <c r="B107" s="5"/>
      <c r="C107" s="5"/>
      <c r="D107" s="5"/>
      <c r="E107" s="15"/>
      <c r="F107" s="15"/>
      <c r="G107" s="15"/>
      <c r="H107" s="15"/>
      <c r="I107" s="15"/>
      <c r="J107" s="15"/>
      <c r="K107" s="9" t="str">
        <f ca="1">IF(COUNTIFS($A$2:A107,A107,$L$2:L107,L107)&gt;1,"DUPLICATE - CHECK","")</f>
        <v/>
      </c>
      <c r="L107" s="17"/>
      <c r="M107" s="17"/>
      <c r="N107" s="9" t="str">
        <f t="array" aca="1" ref="N107" ca="1">IF(COUNTIF($A$2:A106,A)&gt;0,INDEX($C$2:C106,MATCH(A107,$A$2:A106,0)),"")</f>
        <v/>
      </c>
      <c r="O107" s="13"/>
      <c r="P107" s="19"/>
    </row>
    <row r="108" spans="1:16" ht="15.75" customHeight="1" x14ac:dyDescent="0.3">
      <c r="A108" s="8" t="str">
        <f ca="1">IFERROR(__xludf.DUMMYFUNCTION("IF(B108="""","""",RIGHT(regexreplace(B108&amp;"""",""[^0-9]"",""""),9))"),"")</f>
        <v/>
      </c>
      <c r="B108" s="5"/>
      <c r="C108" s="5"/>
      <c r="D108" s="5"/>
      <c r="E108" s="15"/>
      <c r="F108" s="15"/>
      <c r="G108" s="15"/>
      <c r="H108" s="15"/>
      <c r="I108" s="15"/>
      <c r="J108" s="15"/>
      <c r="K108" s="9" t="str">
        <f ca="1">IF(COUNTIFS($A$2:A108,A108,$L$2:L108,L108)&gt;1,"DUPLICATE - CHECK","")</f>
        <v/>
      </c>
      <c r="L108" s="17"/>
      <c r="M108" s="17"/>
      <c r="N108" s="9">
        <f ca="1">IF(COUNTIF($A$2:A107,A108)&gt;0,INDEX($C$2:C107,MATCH(A108,$A$2:A107,0)),"")</f>
        <v>0</v>
      </c>
      <c r="O108" s="13"/>
      <c r="P108" s="19"/>
    </row>
    <row r="109" spans="1:16" ht="15.75" customHeight="1" x14ac:dyDescent="0.3">
      <c r="A109" s="8" t="str">
        <f ca="1">IFERROR(__xludf.DUMMYFUNCTION("IF(B109="""","""",RIGHT(regexreplace(B109&amp;"""",""[^0-9]"",""""),9))"),"")</f>
        <v/>
      </c>
      <c r="B109" s="5"/>
      <c r="C109" s="5"/>
      <c r="D109" s="5"/>
      <c r="E109" s="15"/>
      <c r="F109" s="15"/>
      <c r="G109" s="15"/>
      <c r="H109" s="15"/>
      <c r="I109" s="15"/>
      <c r="J109" s="15"/>
      <c r="K109" s="9" t="str">
        <f ca="1">IF(COUNTIFS($A$2:A109,A109,$L$2:L109,L109)&gt;1,"DUPLICATE - CHECK","")</f>
        <v/>
      </c>
      <c r="L109" s="17"/>
      <c r="M109" s="17"/>
      <c r="N109" s="9">
        <f ca="1">IF(COUNTIF($A$2:A108,A109)&gt;0,INDEX($C$2:C108,MATCH(A109,$A$2:A108,0)),"")</f>
        <v>0</v>
      </c>
      <c r="O109" s="13"/>
      <c r="P109" s="19"/>
    </row>
    <row r="110" spans="1:16" ht="15.75" customHeight="1" x14ac:dyDescent="0.3">
      <c r="A110" s="8" t="str">
        <f ca="1">IFERROR(__xludf.DUMMYFUNCTION("IF(B110="""","""",RIGHT(regexreplace(B110&amp;"""",""[^0-9]"",""""),9))"),"")</f>
        <v/>
      </c>
      <c r="B110" s="5"/>
      <c r="C110" s="5"/>
      <c r="D110" s="5"/>
      <c r="E110" s="15"/>
      <c r="F110" s="15"/>
      <c r="G110" s="15"/>
      <c r="H110" s="15"/>
      <c r="I110" s="15"/>
      <c r="J110" s="15"/>
      <c r="K110" s="9" t="str">
        <f ca="1">IF(COUNTIFS($A$2:A110,A110,$L$2:L110,L110)&gt;1,"DUPLICATE - CHECK","")</f>
        <v/>
      </c>
      <c r="L110" s="17"/>
      <c r="M110" s="17"/>
      <c r="N110" s="9" t="str">
        <f t="array" aca="1" ref="N110" ca="1">IF(COUNTIF($A$2:A109,A)&gt;0,INDEX($C$2:C109,MATCH(A110,$A$2:A109,0)),"")</f>
        <v/>
      </c>
      <c r="O110" s="13"/>
      <c r="P110" s="19"/>
    </row>
    <row r="111" spans="1:16" ht="15.75" customHeight="1" x14ac:dyDescent="0.3">
      <c r="A111" s="8" t="str">
        <f ca="1">IFERROR(__xludf.DUMMYFUNCTION("IF(B111="""","""",RIGHT(regexreplace(B111&amp;"""",""[^0-9]"",""""),9))"),"")</f>
        <v/>
      </c>
      <c r="B111" s="5"/>
      <c r="C111" s="5"/>
      <c r="D111" s="5"/>
      <c r="E111" s="15"/>
      <c r="F111" s="15"/>
      <c r="G111" s="15"/>
      <c r="H111" s="15"/>
      <c r="I111" s="15"/>
      <c r="J111" s="15"/>
      <c r="K111" s="9" t="str">
        <f ca="1">IF(COUNTIFS($A$2:A111,A111,$L$2:L111,L111)&gt;1,"DUPLICATE - CHECK","")</f>
        <v/>
      </c>
      <c r="L111" s="17"/>
      <c r="M111" s="17"/>
      <c r="N111" s="9">
        <f ca="1">IF(COUNTIF($A$2:A110,A111)&gt;0,INDEX($C$2:C110,MATCH(A111,$A$2:A110,0)),"")</f>
        <v>0</v>
      </c>
      <c r="O111" s="13"/>
      <c r="P111" s="19"/>
    </row>
    <row r="112" spans="1:16" ht="15.75" customHeight="1" x14ac:dyDescent="0.3">
      <c r="A112" s="8" t="str">
        <f ca="1">IFERROR(__xludf.DUMMYFUNCTION("IF(B112="""","""",RIGHT(regexreplace(B112&amp;"""",""[^0-9]"",""""),9))"),"")</f>
        <v/>
      </c>
      <c r="B112" s="5"/>
      <c r="C112" s="5"/>
      <c r="D112" s="5"/>
      <c r="E112" s="15"/>
      <c r="F112" s="15"/>
      <c r="G112" s="15"/>
      <c r="H112" s="15"/>
      <c r="I112" s="15"/>
      <c r="J112" s="15"/>
      <c r="K112" s="9" t="str">
        <f ca="1">IF(COUNTIFS($A$2:A112,A112,$L$2:L112,L112)&gt;1,"DUPLICATE - CHECK","")</f>
        <v/>
      </c>
      <c r="L112" s="17"/>
      <c r="M112" s="17"/>
      <c r="N112" s="9">
        <f ca="1">IF(COUNTIF($A$2:A111,A112)&gt;0,INDEX($C$2:C111,MATCH(A112,$A$2:A111,0)),"")</f>
        <v>0</v>
      </c>
      <c r="O112" s="13"/>
      <c r="P112" s="19"/>
    </row>
    <row r="113" spans="1:16" ht="15.75" customHeight="1" x14ac:dyDescent="0.3">
      <c r="A113" s="8" t="str">
        <f ca="1">IFERROR(__xludf.DUMMYFUNCTION("IF(B113="""","""",RIGHT(regexreplace(B113&amp;"""",""[^0-9]"",""""),9))"),"")</f>
        <v/>
      </c>
      <c r="B113" s="5"/>
      <c r="C113" s="5"/>
      <c r="D113" s="5"/>
      <c r="E113" s="15"/>
      <c r="F113" s="15"/>
      <c r="G113" s="15"/>
      <c r="H113" s="15"/>
      <c r="I113" s="15"/>
      <c r="J113" s="15"/>
      <c r="K113" s="9" t="str">
        <f ca="1">IF(COUNTIFS($A$2:A113,A113,$L$2:L113,L113)&gt;1,"DUPLICATE - CHECK","")</f>
        <v/>
      </c>
      <c r="L113" s="17"/>
      <c r="M113" s="17"/>
      <c r="N113" s="9" t="str">
        <f t="array" aca="1" ref="N113" ca="1">IF(COUNTIF($A$2:A112,A)&gt;0,INDEX($C$2:C112,MATCH(A113,$A$2:A112,0)),"")</f>
        <v/>
      </c>
      <c r="O113" s="13"/>
      <c r="P113" s="19"/>
    </row>
    <row r="114" spans="1:16" ht="15.75" customHeight="1" x14ac:dyDescent="0.3">
      <c r="A114" s="8" t="str">
        <f ca="1">IFERROR(__xludf.DUMMYFUNCTION("IF(B114="""","""",RIGHT(regexreplace(B114&amp;"""",""[^0-9]"",""""),9))"),"")</f>
        <v/>
      </c>
      <c r="B114" s="5"/>
      <c r="C114" s="5"/>
      <c r="D114" s="5"/>
      <c r="E114" s="15"/>
      <c r="F114" s="15"/>
      <c r="G114" s="15"/>
      <c r="H114" s="15"/>
      <c r="I114" s="15"/>
      <c r="J114" s="15"/>
      <c r="K114" s="9" t="str">
        <f ca="1">IF(COUNTIFS($A$2:A114,A114,$L$2:L114,L114)&gt;1,"DUPLICATE - CHECK","")</f>
        <v/>
      </c>
      <c r="L114" s="17"/>
      <c r="M114" s="17"/>
      <c r="N114" s="9">
        <f ca="1">IF(COUNTIF($A$2:A113,A114)&gt;0,INDEX($C$2:C113,MATCH(A114,$A$2:A113,0)),"")</f>
        <v>0</v>
      </c>
      <c r="O114" s="13"/>
      <c r="P114" s="19"/>
    </row>
    <row r="115" spans="1:16" ht="15.75" customHeight="1" x14ac:dyDescent="0.3">
      <c r="A115" s="8" t="str">
        <f ca="1">IFERROR(__xludf.DUMMYFUNCTION("IF(B115="""","""",RIGHT(regexreplace(B115&amp;"""",""[^0-9]"",""""),9))"),"")</f>
        <v/>
      </c>
      <c r="B115" s="5"/>
      <c r="C115" s="5"/>
      <c r="D115" s="5"/>
      <c r="E115" s="15"/>
      <c r="F115" s="15"/>
      <c r="G115" s="15"/>
      <c r="H115" s="15"/>
      <c r="I115" s="15"/>
      <c r="J115" s="15"/>
      <c r="K115" s="9" t="str">
        <f ca="1">IF(COUNTIFS($A$2:A115,A115,$L$2:L115,L115)&gt;1,"DUPLICATE - CHECK","")</f>
        <v/>
      </c>
      <c r="L115" s="17"/>
      <c r="M115" s="17"/>
      <c r="N115" s="9">
        <f ca="1">IF(COUNTIF($A$2:A114,A115)&gt;0,INDEX($C$2:C114,MATCH(A115,$A$2:A114,0)),"")</f>
        <v>0</v>
      </c>
      <c r="O115" s="13"/>
      <c r="P115" s="19"/>
    </row>
    <row r="116" spans="1:16" ht="15.75" customHeight="1" x14ac:dyDescent="0.3">
      <c r="A116" s="8" t="str">
        <f ca="1">IFERROR(__xludf.DUMMYFUNCTION("IF(B116="""","""",RIGHT(regexreplace(B116&amp;"""",""[^0-9]"",""""),9))"),"")</f>
        <v/>
      </c>
      <c r="B116" s="5"/>
      <c r="C116" s="5"/>
      <c r="D116" s="5"/>
      <c r="E116" s="15"/>
      <c r="F116" s="15"/>
      <c r="G116" s="15"/>
      <c r="H116" s="15"/>
      <c r="I116" s="15"/>
      <c r="J116" s="15"/>
      <c r="K116" s="9" t="str">
        <f ca="1">IF(COUNTIFS($A$2:A116,A116,$L$2:L116,L116)&gt;1,"DUPLICATE - CHECK","")</f>
        <v/>
      </c>
      <c r="L116" s="17"/>
      <c r="M116" s="17"/>
      <c r="N116" s="9" t="str">
        <f t="array" aca="1" ref="N116" ca="1">IF(COUNTIF($A$2:A115,A)&gt;0,INDEX($C$2:C115,MATCH(A116,$A$2:A115,0)),"")</f>
        <v/>
      </c>
      <c r="O116" s="13"/>
      <c r="P116" s="19"/>
    </row>
    <row r="117" spans="1:16" ht="15.75" customHeight="1" x14ac:dyDescent="0.3">
      <c r="A117" s="8" t="str">
        <f ca="1">IFERROR(__xludf.DUMMYFUNCTION("IF(B117="""","""",RIGHT(regexreplace(B117&amp;"""",""[^0-9]"",""""),9))"),"")</f>
        <v/>
      </c>
      <c r="B117" s="5"/>
      <c r="C117" s="5"/>
      <c r="D117" s="5"/>
      <c r="E117" s="15"/>
      <c r="F117" s="15"/>
      <c r="G117" s="15"/>
      <c r="H117" s="15"/>
      <c r="I117" s="15"/>
      <c r="J117" s="15"/>
      <c r="K117" s="9" t="str">
        <f ca="1">IF(COUNTIFS($A$2:A117,A117,$L$2:L117,L117)&gt;1,"DUPLICATE - CHECK","")</f>
        <v/>
      </c>
      <c r="L117" s="17"/>
      <c r="M117" s="17"/>
      <c r="N117" s="9">
        <f ca="1">IF(COUNTIF($A$2:A116,A117)&gt;0,INDEX($C$2:C116,MATCH(A117,$A$2:A116,0)),"")</f>
        <v>0</v>
      </c>
      <c r="O117" s="13"/>
      <c r="P117" s="19"/>
    </row>
    <row r="118" spans="1:16" ht="15.75" customHeight="1" x14ac:dyDescent="0.3">
      <c r="A118" s="8" t="str">
        <f ca="1">IFERROR(__xludf.DUMMYFUNCTION("IF(B118="""","""",RIGHT(regexreplace(B118&amp;"""",""[^0-9]"",""""),9))"),"")</f>
        <v/>
      </c>
      <c r="B118" s="5"/>
      <c r="C118" s="5"/>
      <c r="D118" s="5"/>
      <c r="E118" s="15"/>
      <c r="F118" s="15"/>
      <c r="G118" s="15"/>
      <c r="H118" s="15"/>
      <c r="I118" s="15"/>
      <c r="J118" s="15"/>
      <c r="K118" s="9" t="str">
        <f ca="1">IF(COUNTIFS($A$2:A118,A118,$L$2:L118,L118)&gt;1,"DUPLICATE - CHECK","")</f>
        <v/>
      </c>
      <c r="L118" s="17"/>
      <c r="M118" s="17"/>
      <c r="N118" s="9">
        <f ca="1">IF(COUNTIF($A$2:A117,A118)&gt;0,INDEX($C$2:C117,MATCH(A118,$A$2:A117,0)),"")</f>
        <v>0</v>
      </c>
      <c r="O118" s="13"/>
      <c r="P118" s="19"/>
    </row>
    <row r="119" spans="1:16" ht="15.75" customHeight="1" x14ac:dyDescent="0.3">
      <c r="A119" s="8" t="str">
        <f ca="1">IFERROR(__xludf.DUMMYFUNCTION("IF(B119="""","""",RIGHT(regexreplace(B119&amp;"""",""[^0-9]"",""""),9))"),"")</f>
        <v/>
      </c>
      <c r="B119" s="5"/>
      <c r="C119" s="5"/>
      <c r="D119" s="5"/>
      <c r="E119" s="15"/>
      <c r="F119" s="15"/>
      <c r="G119" s="15"/>
      <c r="H119" s="15"/>
      <c r="I119" s="15"/>
      <c r="J119" s="15"/>
      <c r="K119" s="9" t="str">
        <f ca="1">IF(COUNTIFS($A$2:A119,A119,$L$2:L119,L119)&gt;1,"DUPLICATE - CHECK","")</f>
        <v/>
      </c>
      <c r="L119" s="17"/>
      <c r="M119" s="17"/>
      <c r="N119" s="9" t="str">
        <f t="array" aca="1" ref="N119" ca="1">IF(COUNTIF($A$2:A118,A)&gt;0,INDEX($C$2:C118,MATCH(A119,$A$2:A118,0)),"")</f>
        <v/>
      </c>
      <c r="O119" s="13"/>
      <c r="P119" s="19"/>
    </row>
    <row r="120" spans="1:16" ht="15.75" customHeight="1" x14ac:dyDescent="0.3">
      <c r="A120" s="8" t="str">
        <f ca="1">IFERROR(__xludf.DUMMYFUNCTION("IF(B120="""","""",RIGHT(regexreplace(B120&amp;"""",""[^0-9]"",""""),9))"),"")</f>
        <v/>
      </c>
      <c r="B120" s="5"/>
      <c r="C120" s="5"/>
      <c r="D120" s="5"/>
      <c r="E120" s="15"/>
      <c r="F120" s="15"/>
      <c r="G120" s="15"/>
      <c r="H120" s="15"/>
      <c r="I120" s="15"/>
      <c r="J120" s="15"/>
      <c r="K120" s="9" t="str">
        <f ca="1">IF(COUNTIFS($A$2:A120,A120,$L$2:L120,L120)&gt;1,"DUPLICATE - CHECK","")</f>
        <v/>
      </c>
      <c r="L120" s="17"/>
      <c r="M120" s="17"/>
      <c r="N120" s="9">
        <f ca="1">IF(COUNTIF($A$2:A119,A120)&gt;0,INDEX($C$2:C119,MATCH(A120,$A$2:A119,0)),"")</f>
        <v>0</v>
      </c>
      <c r="O120" s="13"/>
      <c r="P120" s="19"/>
    </row>
    <row r="121" spans="1:16" ht="15.75" customHeight="1" x14ac:dyDescent="0.3">
      <c r="A121" s="8" t="str">
        <f ca="1">IFERROR(__xludf.DUMMYFUNCTION("IF(B121="""","""",RIGHT(regexreplace(B121&amp;"""",""[^0-9]"",""""),9))"),"")</f>
        <v/>
      </c>
      <c r="B121" s="5"/>
      <c r="C121" s="5"/>
      <c r="D121" s="5"/>
      <c r="E121" s="15"/>
      <c r="F121" s="15"/>
      <c r="G121" s="15"/>
      <c r="H121" s="15"/>
      <c r="I121" s="15"/>
      <c r="J121" s="15"/>
      <c r="K121" s="9" t="str">
        <f ca="1">IF(COUNTIFS($A$2:A121,A121,$L$2:L121,L121)&gt;1,"DUPLICATE - CHECK","")</f>
        <v/>
      </c>
      <c r="L121" s="17"/>
      <c r="M121" s="17"/>
      <c r="N121" s="9">
        <f ca="1">IF(COUNTIF($A$2:A120,A121)&gt;0,INDEX($C$2:C120,MATCH(A121,$A$2:A120,0)),"")</f>
        <v>0</v>
      </c>
      <c r="O121" s="13"/>
      <c r="P121" s="19"/>
    </row>
    <row r="122" spans="1:16" ht="15.75" customHeight="1" x14ac:dyDescent="0.3">
      <c r="A122" s="8" t="str">
        <f ca="1">IFERROR(__xludf.DUMMYFUNCTION("IF(B122="""","""",RIGHT(regexreplace(B122&amp;"""",""[^0-9]"",""""),9))"),"")</f>
        <v/>
      </c>
      <c r="B122" s="5"/>
      <c r="C122" s="5"/>
      <c r="D122" s="5"/>
      <c r="E122" s="15"/>
      <c r="F122" s="15"/>
      <c r="G122" s="15"/>
      <c r="H122" s="15"/>
      <c r="I122" s="15"/>
      <c r="J122" s="15"/>
      <c r="K122" s="9" t="str">
        <f ca="1">IF(COUNTIFS($A$2:A122,A122,$L$2:L122,L122)&gt;1,"DUPLICATE - CHECK","")</f>
        <v/>
      </c>
      <c r="L122" s="17"/>
      <c r="M122" s="17"/>
      <c r="N122" s="9" t="str">
        <f t="array" aca="1" ref="N122" ca="1">IF(COUNTIF($A$2:A121,A)&gt;0,INDEX($C$2:C121,MATCH(A122,$A$2:A121,0)),"")</f>
        <v/>
      </c>
      <c r="O122" s="13"/>
      <c r="P122" s="19"/>
    </row>
    <row r="123" spans="1:16" ht="15.75" customHeight="1" x14ac:dyDescent="0.3">
      <c r="A123" s="8" t="str">
        <f ca="1">IFERROR(__xludf.DUMMYFUNCTION("IF(B123="""","""",RIGHT(regexreplace(B123&amp;"""",""[^0-9]"",""""),9))"),"")</f>
        <v/>
      </c>
      <c r="B123" s="5"/>
      <c r="C123" s="5"/>
      <c r="D123" s="5"/>
      <c r="E123" s="15"/>
      <c r="F123" s="15"/>
      <c r="G123" s="15"/>
      <c r="H123" s="15"/>
      <c r="I123" s="15"/>
      <c r="J123" s="15"/>
      <c r="K123" s="9" t="str">
        <f ca="1">IF(COUNTIFS($A$2:A123,A123,$L$2:L123,L123)&gt;1,"DUPLICATE - CHECK","")</f>
        <v/>
      </c>
      <c r="L123" s="17"/>
      <c r="M123" s="17"/>
      <c r="N123" s="9">
        <f ca="1">IF(COUNTIF($A$2:A122,A123)&gt;0,INDEX($C$2:C122,MATCH(A123,$A$2:A122,0)),"")</f>
        <v>0</v>
      </c>
      <c r="O123" s="13"/>
      <c r="P123" s="19"/>
    </row>
    <row r="124" spans="1:16" ht="15.75" customHeight="1" x14ac:dyDescent="0.3">
      <c r="A124" s="8" t="str">
        <f ca="1">IFERROR(__xludf.DUMMYFUNCTION("IF(B124="""","""",RIGHT(regexreplace(B124&amp;"""",""[^0-9]"",""""),9))"),"")</f>
        <v/>
      </c>
      <c r="B124" s="5"/>
      <c r="C124" s="5"/>
      <c r="D124" s="5"/>
      <c r="E124" s="15"/>
      <c r="F124" s="15"/>
      <c r="G124" s="15"/>
      <c r="H124" s="15"/>
      <c r="I124" s="15"/>
      <c r="J124" s="15"/>
      <c r="K124" s="9" t="str">
        <f ca="1">IF(COUNTIFS($A$2:A124,A124,$L$2:L124,L124)&gt;1,"DUPLICATE - CHECK","")</f>
        <v/>
      </c>
      <c r="L124" s="17"/>
      <c r="M124" s="17"/>
      <c r="N124" s="9">
        <f ca="1">IF(COUNTIF($A$2:A123,A124)&gt;0,INDEX($C$2:C123,MATCH(A124,$A$2:A123,0)),"")</f>
        <v>0</v>
      </c>
      <c r="O124" s="13"/>
      <c r="P124" s="19"/>
    </row>
    <row r="125" spans="1:16" ht="15.75" customHeight="1" x14ac:dyDescent="0.3">
      <c r="A125" s="8" t="str">
        <f ca="1">IFERROR(__xludf.DUMMYFUNCTION("IF(B125="""","""",RIGHT(regexreplace(B125&amp;"""",""[^0-9]"",""""),9))"),"")</f>
        <v/>
      </c>
      <c r="B125" s="5"/>
      <c r="C125" s="5"/>
      <c r="D125" s="5"/>
      <c r="E125" s="15"/>
      <c r="F125" s="15"/>
      <c r="G125" s="15"/>
      <c r="H125" s="15"/>
      <c r="I125" s="15"/>
      <c r="J125" s="15"/>
      <c r="K125" s="9" t="str">
        <f ca="1">IF(COUNTIFS($A$2:A125,A125,$L$2:L125,L125)&gt;1,"DUPLICATE - CHECK","")</f>
        <v/>
      </c>
      <c r="L125" s="17"/>
      <c r="M125" s="17"/>
      <c r="N125" s="9" t="str">
        <f t="array" aca="1" ref="N125" ca="1">IF(COUNTIF($A$2:A124,A)&gt;0,INDEX($C$2:C124,MATCH(A125,$A$2:A124,0)),"")</f>
        <v/>
      </c>
      <c r="O125" s="13"/>
      <c r="P125" s="19"/>
    </row>
    <row r="126" spans="1:16" ht="15.75" customHeight="1" x14ac:dyDescent="0.3">
      <c r="A126" s="8" t="str">
        <f ca="1">IFERROR(__xludf.DUMMYFUNCTION("IF(B126="""","""",RIGHT(regexreplace(B126&amp;"""",""[^0-9]"",""""),9))"),"")</f>
        <v/>
      </c>
      <c r="B126" s="5"/>
      <c r="C126" s="5"/>
      <c r="D126" s="5"/>
      <c r="E126" s="15"/>
      <c r="F126" s="15"/>
      <c r="G126" s="15"/>
      <c r="H126" s="15"/>
      <c r="I126" s="15"/>
      <c r="J126" s="15"/>
      <c r="K126" s="9" t="str">
        <f ca="1">IF(COUNTIFS($A$2:A126,A126,$L$2:L126,L126)&gt;1,"DUPLICATE - CHECK","")</f>
        <v/>
      </c>
      <c r="L126" s="17"/>
      <c r="M126" s="17"/>
      <c r="N126" s="9">
        <f ca="1">IF(COUNTIF($A$2:A125,A126)&gt;0,INDEX($C$2:C125,MATCH(A126,$A$2:A125,0)),"")</f>
        <v>0</v>
      </c>
      <c r="O126" s="13"/>
      <c r="P126" s="19"/>
    </row>
    <row r="127" spans="1:16" ht="15.75" customHeight="1" x14ac:dyDescent="0.3">
      <c r="A127" s="8" t="str">
        <f ca="1">IFERROR(__xludf.DUMMYFUNCTION("IF(B127="""","""",RIGHT(regexreplace(B127&amp;"""",""[^0-9]"",""""),9))"),"")</f>
        <v/>
      </c>
      <c r="B127" s="5"/>
      <c r="C127" s="5"/>
      <c r="D127" s="5"/>
      <c r="E127" s="15"/>
      <c r="F127" s="15"/>
      <c r="G127" s="15"/>
      <c r="H127" s="15"/>
      <c r="I127" s="15"/>
      <c r="J127" s="15"/>
      <c r="K127" s="9" t="str">
        <f ca="1">IF(COUNTIFS($A$2:A127,A127,$L$2:L127,L127)&gt;1,"DUPLICATE - CHECK","")</f>
        <v/>
      </c>
      <c r="L127" s="17"/>
      <c r="M127" s="17"/>
      <c r="N127" s="9">
        <f ca="1">IF(COUNTIF($A$2:A126,A127)&gt;0,INDEX($C$2:C126,MATCH(A127,$A$2:A126,0)),"")</f>
        <v>0</v>
      </c>
      <c r="O127" s="13"/>
      <c r="P127" s="19"/>
    </row>
    <row r="128" spans="1:16" ht="15.75" customHeight="1" x14ac:dyDescent="0.3">
      <c r="A128" s="8" t="str">
        <f ca="1">IFERROR(__xludf.DUMMYFUNCTION("IF(B128="""","""",RIGHT(regexreplace(B128&amp;"""",""[^0-9]"",""""),9))"),"")</f>
        <v/>
      </c>
      <c r="B128" s="5"/>
      <c r="C128" s="5"/>
      <c r="D128" s="5"/>
      <c r="E128" s="15"/>
      <c r="F128" s="15"/>
      <c r="G128" s="15"/>
      <c r="H128" s="15"/>
      <c r="I128" s="15"/>
      <c r="J128" s="15"/>
      <c r="K128" s="9" t="str">
        <f ca="1">IF(COUNTIFS($A$2:A128,A128,$L$2:L128,L128)&gt;1,"DUPLICATE - CHECK","")</f>
        <v/>
      </c>
      <c r="L128" s="17"/>
      <c r="M128" s="17"/>
      <c r="N128" s="9" t="str">
        <f t="array" aca="1" ref="N128" ca="1">IF(COUNTIF($A$2:A127,A)&gt;0,INDEX($C$2:C127,MATCH(A128,$A$2:A127,0)),"")</f>
        <v/>
      </c>
      <c r="O128" s="13"/>
      <c r="P128" s="19"/>
    </row>
    <row r="129" spans="1:16" ht="15.75" customHeight="1" x14ac:dyDescent="0.3">
      <c r="A129" s="8" t="str">
        <f ca="1">IFERROR(__xludf.DUMMYFUNCTION("IF(B129="""","""",RIGHT(regexreplace(B129&amp;"""",""[^0-9]"",""""),9))"),"")</f>
        <v/>
      </c>
      <c r="B129" s="5"/>
      <c r="C129" s="5"/>
      <c r="D129" s="5"/>
      <c r="E129" s="15"/>
      <c r="F129" s="15"/>
      <c r="G129" s="15"/>
      <c r="H129" s="15"/>
      <c r="I129" s="15"/>
      <c r="J129" s="15"/>
      <c r="K129" s="9" t="str">
        <f ca="1">IF(COUNTIFS($A$2:A129,A129,$L$2:L129,L129)&gt;1,"DUPLICATE - CHECK","")</f>
        <v/>
      </c>
      <c r="L129" s="17"/>
      <c r="M129" s="17"/>
      <c r="N129" s="9">
        <f ca="1">IF(COUNTIF($A$2:A128,A129)&gt;0,INDEX($C$2:C128,MATCH(A129,$A$2:A128,0)),"")</f>
        <v>0</v>
      </c>
      <c r="O129" s="13"/>
      <c r="P129" s="19"/>
    </row>
    <row r="130" spans="1:16" ht="15.75" customHeight="1" x14ac:dyDescent="0.3">
      <c r="A130" s="8" t="str">
        <f ca="1">IFERROR(__xludf.DUMMYFUNCTION("IF(B130="""","""",RIGHT(regexreplace(B130&amp;"""",""[^0-9]"",""""),9))"),"")</f>
        <v/>
      </c>
      <c r="B130" s="5"/>
      <c r="C130" s="5"/>
      <c r="D130" s="5"/>
      <c r="E130" s="15"/>
      <c r="F130" s="15"/>
      <c r="G130" s="15"/>
      <c r="H130" s="15"/>
      <c r="I130" s="15"/>
      <c r="J130" s="15"/>
      <c r="K130" s="9" t="str">
        <f ca="1">IF(COUNTIFS($A$2:A130,A130,$L$2:L130,L130)&gt;1,"DUPLICATE - CHECK","")</f>
        <v/>
      </c>
      <c r="L130" s="17"/>
      <c r="M130" s="17"/>
      <c r="N130" s="9">
        <f ca="1">IF(COUNTIF($A$2:A129,A130)&gt;0,INDEX($C$2:C129,MATCH(A130,$A$2:A129,0)),"")</f>
        <v>0</v>
      </c>
      <c r="O130" s="13"/>
      <c r="P130" s="19"/>
    </row>
    <row r="131" spans="1:16" ht="15.75" customHeight="1" x14ac:dyDescent="0.3">
      <c r="A131" s="8" t="str">
        <f ca="1">IFERROR(__xludf.DUMMYFUNCTION("IF(B131="""","""",RIGHT(regexreplace(B131&amp;"""",""[^0-9]"",""""),9))"),"")</f>
        <v/>
      </c>
      <c r="B131" s="5"/>
      <c r="C131" s="5"/>
      <c r="D131" s="5"/>
      <c r="E131" s="15"/>
      <c r="F131" s="15"/>
      <c r="G131" s="15"/>
      <c r="H131" s="15"/>
      <c r="I131" s="15"/>
      <c r="J131" s="15"/>
      <c r="K131" s="9" t="str">
        <f ca="1">IF(COUNTIFS($A$2:A131,A131,$L$2:L131,L131)&gt;1,"DUPLICATE - CHECK","")</f>
        <v/>
      </c>
      <c r="L131" s="17"/>
      <c r="M131" s="17"/>
      <c r="N131" s="9" t="str">
        <f t="array" aca="1" ref="N131" ca="1">IF(COUNTIF($A$2:A130,A)&gt;0,INDEX($C$2:C130,MATCH(A131,$A$2:A130,0)),"")</f>
        <v/>
      </c>
      <c r="O131" s="13"/>
      <c r="P131" s="19"/>
    </row>
    <row r="132" spans="1:16" ht="15.75" customHeight="1" x14ac:dyDescent="0.3">
      <c r="A132" s="8" t="str">
        <f ca="1">IFERROR(__xludf.DUMMYFUNCTION("IF(B132="""","""",RIGHT(regexreplace(B132&amp;"""",""[^0-9]"",""""),9))"),"")</f>
        <v/>
      </c>
      <c r="B132" s="5"/>
      <c r="C132" s="5"/>
      <c r="D132" s="5"/>
      <c r="E132" s="15"/>
      <c r="F132" s="15"/>
      <c r="G132" s="15"/>
      <c r="H132" s="15"/>
      <c r="I132" s="15"/>
      <c r="J132" s="15"/>
      <c r="K132" s="9" t="str">
        <f ca="1">IF(COUNTIFS($A$2:A132,A132,$L$2:L132,L132)&gt;1,"DUPLICATE - CHECK","")</f>
        <v/>
      </c>
      <c r="L132" s="17"/>
      <c r="M132" s="17"/>
      <c r="N132" s="9">
        <f ca="1">IF(COUNTIF($A$2:A131,A132)&gt;0,INDEX($C$2:C131,MATCH(A132,$A$2:A131,0)),"")</f>
        <v>0</v>
      </c>
      <c r="O132" s="13"/>
      <c r="P132" s="19"/>
    </row>
    <row r="133" spans="1:16" ht="15.75" customHeight="1" x14ac:dyDescent="0.3">
      <c r="A133" s="8" t="str">
        <f ca="1">IFERROR(__xludf.DUMMYFUNCTION("IF(B133="""","""",RIGHT(regexreplace(B133&amp;"""",""[^0-9]"",""""),9))"),"")</f>
        <v/>
      </c>
      <c r="B133" s="5"/>
      <c r="C133" s="5"/>
      <c r="D133" s="5"/>
      <c r="E133" s="15"/>
      <c r="F133" s="15"/>
      <c r="G133" s="15"/>
      <c r="H133" s="15"/>
      <c r="I133" s="15"/>
      <c r="J133" s="15"/>
      <c r="K133" s="9" t="str">
        <f ca="1">IF(COUNTIFS($A$2:A133,A133,$L$2:L133,L133)&gt;1,"DUPLICATE - CHECK","")</f>
        <v/>
      </c>
      <c r="L133" s="17"/>
      <c r="M133" s="17"/>
      <c r="N133" s="9">
        <f ca="1">IF(COUNTIF($A$2:A132,A133)&gt;0,INDEX($C$2:C132,MATCH(A133,$A$2:A132,0)),"")</f>
        <v>0</v>
      </c>
      <c r="O133" s="13"/>
      <c r="P133" s="19"/>
    </row>
    <row r="134" spans="1:16" ht="15.75" customHeight="1" x14ac:dyDescent="0.3">
      <c r="A134" s="8" t="str">
        <f ca="1">IFERROR(__xludf.DUMMYFUNCTION("IF(B134="""","""",RIGHT(regexreplace(B134&amp;"""",""[^0-9]"",""""),9))"),"")</f>
        <v/>
      </c>
      <c r="B134" s="5"/>
      <c r="C134" s="5"/>
      <c r="D134" s="5"/>
      <c r="E134" s="15"/>
      <c r="F134" s="15"/>
      <c r="G134" s="15"/>
      <c r="H134" s="15"/>
      <c r="I134" s="15"/>
      <c r="J134" s="15"/>
      <c r="K134" s="9" t="str">
        <f ca="1">IF(COUNTIFS($A$2:A134,A134,$L$2:L134,L134)&gt;1,"DUPLICATE - CHECK","")</f>
        <v/>
      </c>
      <c r="L134" s="17"/>
      <c r="M134" s="17"/>
      <c r="N134" s="9" t="str">
        <f t="array" aca="1" ref="N134" ca="1">IF(COUNTIF($A$2:A133,A)&gt;0,INDEX($C$2:C133,MATCH(A134,$A$2:A133,0)),"")</f>
        <v/>
      </c>
      <c r="O134" s="13"/>
      <c r="P134" s="19"/>
    </row>
    <row r="135" spans="1:16" ht="15.75" customHeight="1" x14ac:dyDescent="0.3">
      <c r="A135" s="8" t="str">
        <f ca="1">IFERROR(__xludf.DUMMYFUNCTION("IF(B135="""","""",RIGHT(regexreplace(B135&amp;"""",""[^0-9]"",""""),9))"),"")</f>
        <v/>
      </c>
      <c r="B135" s="5"/>
      <c r="C135" s="5"/>
      <c r="D135" s="5"/>
      <c r="E135" s="15"/>
      <c r="F135" s="15"/>
      <c r="G135" s="15"/>
      <c r="H135" s="15"/>
      <c r="I135" s="15"/>
      <c r="J135" s="15"/>
      <c r="K135" s="9" t="str">
        <f ca="1">IF(COUNTIFS($A$2:A135,A135,$L$2:L135,L135)&gt;1,"DUPLICATE - CHECK","")</f>
        <v/>
      </c>
      <c r="L135" s="17"/>
      <c r="M135" s="17"/>
      <c r="N135" s="9">
        <f ca="1">IF(COUNTIF($A$2:A134,A135)&gt;0,INDEX($C$2:C134,MATCH(A135,$A$2:A134,0)),"")</f>
        <v>0</v>
      </c>
      <c r="O135" s="13"/>
      <c r="P135" s="19"/>
    </row>
    <row r="136" spans="1:16" ht="15.75" customHeight="1" x14ac:dyDescent="0.3">
      <c r="A136" s="8" t="str">
        <f ca="1">IFERROR(__xludf.DUMMYFUNCTION("IF(B136="""","""",RIGHT(regexreplace(B136&amp;"""",""[^0-9]"",""""),9))"),"")</f>
        <v/>
      </c>
      <c r="B136" s="5"/>
      <c r="C136" s="5"/>
      <c r="D136" s="5"/>
      <c r="E136" s="15"/>
      <c r="F136" s="15"/>
      <c r="G136" s="15"/>
      <c r="H136" s="15"/>
      <c r="I136" s="15"/>
      <c r="J136" s="15"/>
      <c r="K136" s="9" t="str">
        <f ca="1">IF(COUNTIFS($A$2:A136,A136,$L$2:L136,L136)&gt;1,"DUPLICATE - CHECK","")</f>
        <v/>
      </c>
      <c r="L136" s="17"/>
      <c r="M136" s="17"/>
      <c r="N136" s="9">
        <f ca="1">IF(COUNTIF($A$2:A135,A136)&gt;0,INDEX($C$2:C135,MATCH(A136,$A$2:A135,0)),"")</f>
        <v>0</v>
      </c>
      <c r="O136" s="13"/>
      <c r="P136" s="19"/>
    </row>
    <row r="137" spans="1:16" ht="15.75" customHeight="1" x14ac:dyDescent="0.3">
      <c r="A137" s="8" t="str">
        <f ca="1">IFERROR(__xludf.DUMMYFUNCTION("IF(B137="""","""",RIGHT(regexreplace(B137&amp;"""",""[^0-9]"",""""),9))"),"")</f>
        <v/>
      </c>
      <c r="B137" s="5"/>
      <c r="C137" s="5"/>
      <c r="D137" s="5"/>
      <c r="E137" s="15"/>
      <c r="F137" s="15"/>
      <c r="G137" s="15"/>
      <c r="H137" s="15"/>
      <c r="I137" s="15"/>
      <c r="J137" s="15"/>
      <c r="K137" s="9" t="str">
        <f ca="1">IF(COUNTIFS($A$2:A137,A137,$L$2:L137,L137)&gt;1,"DUPLICATE - CHECK","")</f>
        <v/>
      </c>
      <c r="L137" s="17"/>
      <c r="M137" s="17"/>
      <c r="N137" s="9" t="str">
        <f t="array" aca="1" ref="N137" ca="1">IF(COUNTIF($A$2:A136,A)&gt;0,INDEX($C$2:C136,MATCH(A137,$A$2:A136,0)),"")</f>
        <v/>
      </c>
      <c r="O137" s="13"/>
      <c r="P137" s="19"/>
    </row>
    <row r="138" spans="1:16" ht="15.75" customHeight="1" x14ac:dyDescent="0.3">
      <c r="A138" s="8" t="str">
        <f ca="1">IFERROR(__xludf.DUMMYFUNCTION("IF(B138="""","""",RIGHT(regexreplace(B138&amp;"""",""[^0-9]"",""""),9))"),"")</f>
        <v/>
      </c>
      <c r="B138" s="5"/>
      <c r="C138" s="5"/>
      <c r="D138" s="5"/>
      <c r="E138" s="15"/>
      <c r="F138" s="15"/>
      <c r="G138" s="15"/>
      <c r="H138" s="15"/>
      <c r="I138" s="15"/>
      <c r="J138" s="15"/>
      <c r="K138" s="9" t="str">
        <f ca="1">IF(COUNTIFS($A$2:A138,A138,$L$2:L138,L138)&gt;1,"DUPLICATE - CHECK","")</f>
        <v/>
      </c>
      <c r="L138" s="17"/>
      <c r="M138" s="17"/>
      <c r="N138" s="9">
        <f ca="1">IF(COUNTIF($A$2:A137,A138)&gt;0,INDEX($C$2:C137,MATCH(A138,$A$2:A137,0)),"")</f>
        <v>0</v>
      </c>
      <c r="O138" s="13"/>
      <c r="P138" s="19"/>
    </row>
    <row r="139" spans="1:16" ht="15.75" customHeight="1" x14ac:dyDescent="0.3">
      <c r="A139" s="8" t="str">
        <f ca="1">IFERROR(__xludf.DUMMYFUNCTION("IF(B139="""","""",RIGHT(regexreplace(B139&amp;"""",""[^0-9]"",""""),9))"),"")</f>
        <v/>
      </c>
      <c r="B139" s="5"/>
      <c r="C139" s="5"/>
      <c r="D139" s="5"/>
      <c r="E139" s="15"/>
      <c r="F139" s="15"/>
      <c r="G139" s="15"/>
      <c r="H139" s="15"/>
      <c r="I139" s="15"/>
      <c r="J139" s="15"/>
      <c r="K139" s="9" t="str">
        <f ca="1">IF(COUNTIFS($A$2:A139,A139,$L$2:L139,L139)&gt;1,"DUPLICATE - CHECK","")</f>
        <v/>
      </c>
      <c r="L139" s="17"/>
      <c r="M139" s="17"/>
      <c r="N139" s="9">
        <f ca="1">IF(COUNTIF($A$2:A138,A139)&gt;0,INDEX($C$2:C138,MATCH(A139,$A$2:A138,0)),"")</f>
        <v>0</v>
      </c>
      <c r="O139" s="13"/>
      <c r="P139" s="19"/>
    </row>
    <row r="140" spans="1:16" ht="15.75" customHeight="1" x14ac:dyDescent="0.3">
      <c r="A140" s="8" t="str">
        <f ca="1">IFERROR(__xludf.DUMMYFUNCTION("IF(B140="""","""",RIGHT(regexreplace(B140&amp;"""",""[^0-9]"",""""),9))"),"")</f>
        <v/>
      </c>
      <c r="B140" s="5"/>
      <c r="C140" s="5"/>
      <c r="D140" s="5"/>
      <c r="E140" s="15"/>
      <c r="F140" s="15"/>
      <c r="G140" s="15"/>
      <c r="H140" s="15"/>
      <c r="I140" s="15"/>
      <c r="J140" s="15"/>
      <c r="K140" s="9" t="str">
        <f ca="1">IF(COUNTIFS($A$2:A140,A140,$L$2:L140,L140)&gt;1,"DUPLICATE - CHECK","")</f>
        <v/>
      </c>
      <c r="L140" s="17"/>
      <c r="M140" s="17"/>
      <c r="N140" s="9" t="str">
        <f t="array" aca="1" ref="N140" ca="1">IF(COUNTIF($A$2:A139,A)&gt;0,INDEX($C$2:C139,MATCH(A140,$A$2:A139,0)),"")</f>
        <v/>
      </c>
      <c r="O140" s="13"/>
      <c r="P140" s="19"/>
    </row>
    <row r="141" spans="1:16" ht="15.75" customHeight="1" x14ac:dyDescent="0.3">
      <c r="A141" s="8" t="str">
        <f ca="1">IFERROR(__xludf.DUMMYFUNCTION("IF(B141="""","""",RIGHT(regexreplace(B141&amp;"""",""[^0-9]"",""""),9))"),"")</f>
        <v/>
      </c>
      <c r="B141" s="5"/>
      <c r="C141" s="5"/>
      <c r="D141" s="5"/>
      <c r="E141" s="15"/>
      <c r="F141" s="15"/>
      <c r="G141" s="15"/>
      <c r="H141" s="15"/>
      <c r="I141" s="15"/>
      <c r="J141" s="15"/>
      <c r="K141" s="9" t="str">
        <f ca="1">IF(COUNTIFS($A$2:A141,A141,$L$2:L141,L141)&gt;1,"DUPLICATE - CHECK","")</f>
        <v/>
      </c>
      <c r="L141" s="17"/>
      <c r="M141" s="17"/>
      <c r="N141" s="9">
        <f ca="1">IF(COUNTIF($A$2:A140,A141)&gt;0,INDEX($C$2:C140,MATCH(A141,$A$2:A140,0)),"")</f>
        <v>0</v>
      </c>
      <c r="O141" s="13"/>
      <c r="P141" s="19"/>
    </row>
    <row r="142" spans="1:16" ht="15.75" customHeight="1" x14ac:dyDescent="0.3">
      <c r="A142" s="8" t="str">
        <f ca="1">IFERROR(__xludf.DUMMYFUNCTION("IF(B142="""","""",RIGHT(regexreplace(B142&amp;"""",""[^0-9]"",""""),9))"),"")</f>
        <v/>
      </c>
      <c r="B142" s="5"/>
      <c r="C142" s="5"/>
      <c r="D142" s="5"/>
      <c r="E142" s="15"/>
      <c r="F142" s="15"/>
      <c r="G142" s="15"/>
      <c r="H142" s="15"/>
      <c r="I142" s="15"/>
      <c r="J142" s="15"/>
      <c r="K142" s="9" t="str">
        <f ca="1">IF(COUNTIFS($A$2:A142,A142,$L$2:L142,L142)&gt;1,"DUPLICATE - CHECK","")</f>
        <v/>
      </c>
      <c r="L142" s="17"/>
      <c r="M142" s="17"/>
      <c r="N142" s="9">
        <f ca="1">IF(COUNTIF($A$2:A141,A142)&gt;0,INDEX($C$2:C141,MATCH(A142,$A$2:A141,0)),"")</f>
        <v>0</v>
      </c>
      <c r="O142" s="13"/>
      <c r="P142" s="19"/>
    </row>
    <row r="143" spans="1:16" ht="15.75" customHeight="1" x14ac:dyDescent="0.3">
      <c r="A143" s="8" t="str">
        <f ca="1">IFERROR(__xludf.DUMMYFUNCTION("IF(B143="""","""",RIGHT(regexreplace(B143&amp;"""",""[^0-9]"",""""),9))"),"")</f>
        <v/>
      </c>
      <c r="B143" s="5"/>
      <c r="C143" s="5"/>
      <c r="D143" s="5"/>
      <c r="E143" s="15"/>
      <c r="F143" s="15"/>
      <c r="G143" s="15"/>
      <c r="H143" s="15"/>
      <c r="I143" s="15"/>
      <c r="J143" s="15"/>
      <c r="K143" s="9" t="str">
        <f ca="1">IF(COUNTIFS($A$2:A143,A143,$L$2:L143,L143)&gt;1,"DUPLICATE - CHECK","")</f>
        <v/>
      </c>
      <c r="L143" s="17"/>
      <c r="M143" s="17"/>
      <c r="N143" s="9" t="str">
        <f t="array" aca="1" ref="N143" ca="1">IF(COUNTIF($A$2:A142,A)&gt;0,INDEX($C$2:C142,MATCH(A143,$A$2:A142,0)),"")</f>
        <v/>
      </c>
      <c r="O143" s="13"/>
      <c r="P143" s="19"/>
    </row>
    <row r="144" spans="1:16" ht="15.75" customHeight="1" x14ac:dyDescent="0.3">
      <c r="A144" s="8" t="str">
        <f ca="1">IFERROR(__xludf.DUMMYFUNCTION("IF(B144="""","""",RIGHT(regexreplace(B144&amp;"""",""[^0-9]"",""""),9))"),"")</f>
        <v/>
      </c>
      <c r="B144" s="5"/>
      <c r="C144" s="5"/>
      <c r="D144" s="5"/>
      <c r="E144" s="15"/>
      <c r="F144" s="15"/>
      <c r="G144" s="15"/>
      <c r="H144" s="15"/>
      <c r="I144" s="15"/>
      <c r="J144" s="15"/>
      <c r="K144" s="9" t="str">
        <f ca="1">IF(COUNTIFS($A$2:A144,A144,$L$2:L144,L144)&gt;1,"DUPLICATE - CHECK","")</f>
        <v/>
      </c>
      <c r="L144" s="17"/>
      <c r="M144" s="17"/>
      <c r="N144" s="9">
        <f ca="1">IF(COUNTIF($A$2:A143,A144)&gt;0,INDEX($C$2:C143,MATCH(A144,$A$2:A143,0)),"")</f>
        <v>0</v>
      </c>
      <c r="O144" s="13"/>
      <c r="P144" s="19"/>
    </row>
    <row r="145" spans="1:16" ht="15.75" customHeight="1" x14ac:dyDescent="0.3">
      <c r="A145" s="8" t="str">
        <f ca="1">IFERROR(__xludf.DUMMYFUNCTION("IF(B145="""","""",RIGHT(regexreplace(B145&amp;"""",""[^0-9]"",""""),9))"),"")</f>
        <v/>
      </c>
      <c r="B145" s="5"/>
      <c r="C145" s="5"/>
      <c r="D145" s="5"/>
      <c r="E145" s="15"/>
      <c r="F145" s="15"/>
      <c r="G145" s="15"/>
      <c r="H145" s="15"/>
      <c r="I145" s="15"/>
      <c r="J145" s="15"/>
      <c r="K145" s="9" t="str">
        <f ca="1">IF(COUNTIFS($A$2:A145,A145,$L$2:L145,L145)&gt;1,"DUPLICATE - CHECK","")</f>
        <v/>
      </c>
      <c r="L145" s="17"/>
      <c r="M145" s="17"/>
      <c r="N145" s="9">
        <f ca="1">IF(COUNTIF($A$2:A144,A145)&gt;0,INDEX($C$2:C144,MATCH(A145,$A$2:A144,0)),"")</f>
        <v>0</v>
      </c>
      <c r="O145" s="13"/>
      <c r="P145" s="19"/>
    </row>
    <row r="146" spans="1:16" ht="15.75" customHeight="1" x14ac:dyDescent="0.3">
      <c r="A146" s="8" t="str">
        <f ca="1">IFERROR(__xludf.DUMMYFUNCTION("IF(B146="""","""",RIGHT(regexreplace(B146&amp;"""",""[^0-9]"",""""),9))"),"")</f>
        <v/>
      </c>
      <c r="B146" s="5"/>
      <c r="C146" s="5"/>
      <c r="D146" s="5"/>
      <c r="E146" s="15"/>
      <c r="F146" s="15"/>
      <c r="G146" s="15"/>
      <c r="H146" s="15"/>
      <c r="I146" s="15"/>
      <c r="J146" s="15"/>
      <c r="K146" s="9" t="str">
        <f ca="1">IF(COUNTIFS($A$2:A146,A146,$L$2:L146,L146)&gt;1,"DUPLICATE - CHECK","")</f>
        <v/>
      </c>
      <c r="L146" s="17"/>
      <c r="M146" s="17"/>
      <c r="N146" s="9" t="str">
        <f t="array" aca="1" ref="N146" ca="1">IF(COUNTIF($A$2:A145,A)&gt;0,INDEX($C$2:C145,MATCH(A146,$A$2:A145,0)),"")</f>
        <v/>
      </c>
      <c r="O146" s="13"/>
      <c r="P146" s="19"/>
    </row>
    <row r="147" spans="1:16" ht="15.75" customHeight="1" x14ac:dyDescent="0.3">
      <c r="A147" s="8" t="str">
        <f ca="1">IFERROR(__xludf.DUMMYFUNCTION("IF(B147="""","""",RIGHT(regexreplace(B147&amp;"""",""[^0-9]"",""""),9))"),"")</f>
        <v/>
      </c>
      <c r="B147" s="5"/>
      <c r="C147" s="5"/>
      <c r="D147" s="5"/>
      <c r="E147" s="15"/>
      <c r="F147" s="15"/>
      <c r="G147" s="15"/>
      <c r="H147" s="15"/>
      <c r="I147" s="15"/>
      <c r="J147" s="15"/>
      <c r="K147" s="9" t="str">
        <f ca="1">IF(COUNTIFS($A$2:A147,A147,$L$2:L147,L147)&gt;1,"DUPLICATE - CHECK","")</f>
        <v/>
      </c>
      <c r="L147" s="17"/>
      <c r="M147" s="17"/>
      <c r="N147" s="9">
        <f ca="1">IF(COUNTIF($A$2:A146,A147)&gt;0,INDEX($C$2:C146,MATCH(A147,$A$2:A146,0)),"")</f>
        <v>0</v>
      </c>
      <c r="O147" s="13"/>
      <c r="P147" s="19"/>
    </row>
    <row r="148" spans="1:16" ht="15.75" customHeight="1" x14ac:dyDescent="0.3">
      <c r="A148" s="8" t="str">
        <f ca="1">IFERROR(__xludf.DUMMYFUNCTION("IF(B148="""","""",RIGHT(regexreplace(B148&amp;"""",""[^0-9]"",""""),9))"),"")</f>
        <v/>
      </c>
      <c r="B148" s="5"/>
      <c r="C148" s="5"/>
      <c r="D148" s="5"/>
      <c r="E148" s="15"/>
      <c r="F148" s="15"/>
      <c r="G148" s="15"/>
      <c r="H148" s="15"/>
      <c r="I148" s="15"/>
      <c r="J148" s="15"/>
      <c r="K148" s="9" t="str">
        <f ca="1">IF(COUNTIFS($A$2:A148,A148,$L$2:L148,L148)&gt;1,"DUPLICATE - CHECK","")</f>
        <v/>
      </c>
      <c r="L148" s="17"/>
      <c r="M148" s="17"/>
      <c r="N148" s="9">
        <f ca="1">IF(COUNTIF($A$2:A147,A148)&gt;0,INDEX($C$2:C147,MATCH(A148,$A$2:A147,0)),"")</f>
        <v>0</v>
      </c>
      <c r="O148" s="13"/>
      <c r="P148" s="19"/>
    </row>
    <row r="149" spans="1:16" ht="15.75" customHeight="1" x14ac:dyDescent="0.3">
      <c r="A149" s="8" t="str">
        <f ca="1">IFERROR(__xludf.DUMMYFUNCTION("IF(B149="""","""",RIGHT(regexreplace(B149&amp;"""",""[^0-9]"",""""),9))"),"")</f>
        <v/>
      </c>
      <c r="B149" s="5"/>
      <c r="C149" s="5"/>
      <c r="D149" s="5"/>
      <c r="E149" s="15"/>
      <c r="F149" s="15"/>
      <c r="G149" s="15"/>
      <c r="H149" s="15"/>
      <c r="I149" s="15"/>
      <c r="J149" s="15"/>
      <c r="K149" s="9" t="str">
        <f ca="1">IF(COUNTIFS($A$2:A149,A149,$L$2:L149,L149)&gt;1,"DUPLICATE - CHECK","")</f>
        <v/>
      </c>
      <c r="L149" s="17"/>
      <c r="M149" s="17"/>
      <c r="N149" s="9" t="str">
        <f t="array" aca="1" ref="N149" ca="1">IF(COUNTIF($A$2:A148,A)&gt;0,INDEX($C$2:C148,MATCH(A149,$A$2:A148,0)),"")</f>
        <v/>
      </c>
      <c r="O149" s="13"/>
      <c r="P149" s="19"/>
    </row>
    <row r="150" spans="1:16" ht="15.75" customHeight="1" x14ac:dyDescent="0.3">
      <c r="A150" s="8" t="str">
        <f ca="1">IFERROR(__xludf.DUMMYFUNCTION("IF(B150="""","""",RIGHT(regexreplace(B150&amp;"""",""[^0-9]"",""""),9))"),"")</f>
        <v/>
      </c>
      <c r="B150" s="5"/>
      <c r="C150" s="5"/>
      <c r="D150" s="5"/>
      <c r="E150" s="15"/>
      <c r="F150" s="15"/>
      <c r="G150" s="15"/>
      <c r="H150" s="15"/>
      <c r="I150" s="15"/>
      <c r="J150" s="15"/>
      <c r="K150" s="9" t="str">
        <f ca="1">IF(COUNTIFS($A$2:A150,A150,$L$2:L150,L150)&gt;1,"DUPLICATE - CHECK","")</f>
        <v/>
      </c>
      <c r="L150" s="17"/>
      <c r="M150" s="17"/>
      <c r="N150" s="9">
        <f ca="1">IF(COUNTIF($A$2:A149,A150)&gt;0,INDEX($C$2:C149,MATCH(A150,$A$2:A149,0)),"")</f>
        <v>0</v>
      </c>
      <c r="O150" s="13"/>
      <c r="P150" s="19"/>
    </row>
    <row r="151" spans="1:16" ht="15.75" customHeight="1" x14ac:dyDescent="0.3">
      <c r="A151" s="8" t="str">
        <f ca="1">IFERROR(__xludf.DUMMYFUNCTION("IF(B151="""","""",RIGHT(regexreplace(B151&amp;"""",""[^0-9]"",""""),9))"),"")</f>
        <v/>
      </c>
      <c r="B151" s="5"/>
      <c r="C151" s="5"/>
      <c r="D151" s="5"/>
      <c r="E151" s="15"/>
      <c r="F151" s="15"/>
      <c r="G151" s="15"/>
      <c r="H151" s="15"/>
      <c r="I151" s="15"/>
      <c r="J151" s="15"/>
      <c r="K151" s="9" t="str">
        <f ca="1">IF(COUNTIFS($A$2:A151,A151,$L$2:L151,L151)&gt;1,"DUPLICATE - CHECK","")</f>
        <v/>
      </c>
      <c r="L151" s="17"/>
      <c r="M151" s="17"/>
      <c r="N151" s="9">
        <f ca="1">IF(COUNTIF($A$2:A150,A151)&gt;0,INDEX($C$2:C150,MATCH(A151,$A$2:A150,0)),"")</f>
        <v>0</v>
      </c>
      <c r="O151" s="13"/>
      <c r="P151" s="19"/>
    </row>
    <row r="152" spans="1:16" ht="15.75" customHeight="1" x14ac:dyDescent="0.3">
      <c r="A152" s="8" t="str">
        <f ca="1">IFERROR(__xludf.DUMMYFUNCTION("IF(B152="""","""",RIGHT(regexreplace(B152&amp;"""",""[^0-9]"",""""),9))"),"")</f>
        <v/>
      </c>
      <c r="B152" s="5"/>
      <c r="C152" s="5"/>
      <c r="D152" s="5"/>
      <c r="E152" s="15"/>
      <c r="F152" s="15"/>
      <c r="G152" s="15"/>
      <c r="H152" s="15"/>
      <c r="I152" s="15"/>
      <c r="J152" s="15"/>
      <c r="K152" s="9" t="str">
        <f ca="1">IF(COUNTIFS($A$2:A152,A152,$L$2:L152,L152)&gt;1,"DUPLICATE - CHECK","")</f>
        <v/>
      </c>
      <c r="L152" s="17"/>
      <c r="M152" s="17"/>
      <c r="N152" s="9" t="str">
        <f t="array" aca="1" ref="N152" ca="1">IF(COUNTIF($A$2:A151,A)&gt;0,INDEX($C$2:C151,MATCH(A152,$A$2:A151,0)),"")</f>
        <v/>
      </c>
      <c r="O152" s="13"/>
      <c r="P152" s="19"/>
    </row>
    <row r="153" spans="1:16" ht="15.75" customHeight="1" x14ac:dyDescent="0.3">
      <c r="A153" s="8" t="str">
        <f ca="1">IFERROR(__xludf.DUMMYFUNCTION("IF(B153="""","""",RIGHT(regexreplace(B153&amp;"""",""[^0-9]"",""""),9))"),"")</f>
        <v/>
      </c>
      <c r="B153" s="5"/>
      <c r="C153" s="5"/>
      <c r="D153" s="5"/>
      <c r="E153" s="15"/>
      <c r="F153" s="15"/>
      <c r="G153" s="15"/>
      <c r="H153" s="15"/>
      <c r="I153" s="15"/>
      <c r="J153" s="15"/>
      <c r="K153" s="9" t="str">
        <f ca="1">IF(COUNTIFS($A$2:A153,A153,$L$2:L153,L153)&gt;1,"DUPLICATE - CHECK","")</f>
        <v/>
      </c>
      <c r="L153" s="17"/>
      <c r="M153" s="17"/>
      <c r="N153" s="9">
        <f ca="1">IF(COUNTIF($A$2:A152,A153)&gt;0,INDEX($C$2:C152,MATCH(A153,$A$2:A152,0)),"")</f>
        <v>0</v>
      </c>
      <c r="O153" s="13"/>
      <c r="P153" s="19"/>
    </row>
    <row r="154" spans="1:16" ht="15.75" customHeight="1" x14ac:dyDescent="0.3">
      <c r="A154" s="8" t="str">
        <f ca="1">IFERROR(__xludf.DUMMYFUNCTION("IF(B154="""","""",RIGHT(regexreplace(B154&amp;"""",""[^0-9]"",""""),9))"),"")</f>
        <v/>
      </c>
      <c r="B154" s="5"/>
      <c r="C154" s="5"/>
      <c r="D154" s="5"/>
      <c r="E154" s="15"/>
      <c r="F154" s="15"/>
      <c r="G154" s="15"/>
      <c r="H154" s="15"/>
      <c r="I154" s="15"/>
      <c r="J154" s="15"/>
      <c r="K154" s="9" t="str">
        <f ca="1">IF(COUNTIFS($A$2:A154,A154,$L$2:L154,L154)&gt;1,"DUPLICATE - CHECK","")</f>
        <v/>
      </c>
      <c r="L154" s="17"/>
      <c r="M154" s="17"/>
      <c r="N154" s="9">
        <f ca="1">IF(COUNTIF($A$2:A153,A154)&gt;0,INDEX($C$2:C153,MATCH(A154,$A$2:A153,0)),"")</f>
        <v>0</v>
      </c>
      <c r="O154" s="13"/>
      <c r="P154" s="19"/>
    </row>
    <row r="155" spans="1:16" ht="15.75" customHeight="1" x14ac:dyDescent="0.3">
      <c r="A155" s="8" t="str">
        <f ca="1">IFERROR(__xludf.DUMMYFUNCTION("IF(B155="""","""",RIGHT(regexreplace(B155&amp;"""",""[^0-9]"",""""),9))"),"")</f>
        <v/>
      </c>
      <c r="B155" s="5"/>
      <c r="C155" s="5"/>
      <c r="D155" s="5"/>
      <c r="E155" s="15"/>
      <c r="F155" s="15"/>
      <c r="G155" s="15"/>
      <c r="H155" s="15"/>
      <c r="I155" s="15"/>
      <c r="J155" s="15"/>
      <c r="K155" s="9" t="str">
        <f ca="1">IF(COUNTIFS($A$2:A155,A155,$L$2:L155,L155)&gt;1,"DUPLICATE - CHECK","")</f>
        <v/>
      </c>
      <c r="L155" s="17"/>
      <c r="M155" s="17"/>
      <c r="N155" s="9" t="str">
        <f t="array" aca="1" ref="N155" ca="1">IF(COUNTIF($A$2:A154,A)&gt;0,INDEX($C$2:C154,MATCH(A155,$A$2:A154,0)),"")</f>
        <v/>
      </c>
      <c r="O155" s="13"/>
      <c r="P155" s="19"/>
    </row>
    <row r="156" spans="1:16" ht="15.75" customHeight="1" x14ac:dyDescent="0.3">
      <c r="A156" s="8" t="str">
        <f ca="1">IFERROR(__xludf.DUMMYFUNCTION("IF(B156="""","""",RIGHT(regexreplace(B156&amp;"""",""[^0-9]"",""""),9))"),"")</f>
        <v/>
      </c>
      <c r="B156" s="5"/>
      <c r="C156" s="5"/>
      <c r="D156" s="5"/>
      <c r="E156" s="15"/>
      <c r="F156" s="15"/>
      <c r="G156" s="15"/>
      <c r="H156" s="15"/>
      <c r="I156" s="15"/>
      <c r="J156" s="15"/>
      <c r="K156" s="9" t="str">
        <f ca="1">IF(COUNTIFS($A$2:A156,A156,$L$2:L156,L156)&gt;1,"DUPLICATE - CHECK","")</f>
        <v/>
      </c>
      <c r="L156" s="17"/>
      <c r="M156" s="17"/>
      <c r="N156" s="9">
        <f ca="1">IF(COUNTIF($A$2:A155,A156)&gt;0,INDEX($C$2:C155,MATCH(A156,$A$2:A155,0)),"")</f>
        <v>0</v>
      </c>
      <c r="O156" s="13"/>
      <c r="P156" s="19"/>
    </row>
    <row r="157" spans="1:16" ht="15.75" customHeight="1" x14ac:dyDescent="0.3">
      <c r="A157" s="8" t="str">
        <f ca="1">IFERROR(__xludf.DUMMYFUNCTION("IF(B157="""","""",RIGHT(regexreplace(B157&amp;"""",""[^0-9]"",""""),9))"),"")</f>
        <v/>
      </c>
      <c r="B157" s="5"/>
      <c r="C157" s="5"/>
      <c r="D157" s="5"/>
      <c r="E157" s="15"/>
      <c r="F157" s="15"/>
      <c r="G157" s="15"/>
      <c r="H157" s="15"/>
      <c r="I157" s="15"/>
      <c r="J157" s="15"/>
      <c r="K157" s="9" t="str">
        <f ca="1">IF(COUNTIFS($A$2:A157,A157,$L$2:L157,L157)&gt;1,"DUPLICATE - CHECK","")</f>
        <v/>
      </c>
      <c r="L157" s="17"/>
      <c r="M157" s="17"/>
      <c r="N157" s="9">
        <f ca="1">IF(COUNTIF($A$2:A156,A157)&gt;0,INDEX($C$2:C156,MATCH(A157,$A$2:A156,0)),"")</f>
        <v>0</v>
      </c>
      <c r="O157" s="13"/>
      <c r="P157" s="19"/>
    </row>
    <row r="158" spans="1:16" ht="15.75" customHeight="1" x14ac:dyDescent="0.3">
      <c r="A158" s="8" t="str">
        <f ca="1">IFERROR(__xludf.DUMMYFUNCTION("IF(B158="""","""",RIGHT(regexreplace(B158&amp;"""",""[^0-9]"",""""),9))"),"")</f>
        <v/>
      </c>
      <c r="B158" s="5"/>
      <c r="C158" s="5"/>
      <c r="D158" s="5"/>
      <c r="E158" s="15"/>
      <c r="F158" s="15"/>
      <c r="G158" s="15"/>
      <c r="H158" s="15"/>
      <c r="I158" s="15"/>
      <c r="J158" s="15"/>
      <c r="K158" s="9" t="str">
        <f ca="1">IF(COUNTIFS($A$2:A158,A158,$L$2:L158,L158)&gt;1,"DUPLICATE - CHECK","")</f>
        <v/>
      </c>
      <c r="L158" s="17"/>
      <c r="M158" s="17"/>
      <c r="N158" s="9" t="str">
        <f t="array" aca="1" ref="N158" ca="1">IF(COUNTIF($A$2:A157,A)&gt;0,INDEX($C$2:C157,MATCH(A158,$A$2:A157,0)),"")</f>
        <v/>
      </c>
      <c r="O158" s="13"/>
      <c r="P158" s="19"/>
    </row>
    <row r="159" spans="1:16" ht="15.75" customHeight="1" x14ac:dyDescent="0.3">
      <c r="A159" s="8" t="str">
        <f ca="1">IFERROR(__xludf.DUMMYFUNCTION("IF(B159="""","""",RIGHT(regexreplace(B159&amp;"""",""[^0-9]"",""""),9))"),"")</f>
        <v/>
      </c>
      <c r="B159" s="5"/>
      <c r="C159" s="5"/>
      <c r="D159" s="5"/>
      <c r="E159" s="15"/>
      <c r="F159" s="15"/>
      <c r="G159" s="15"/>
      <c r="H159" s="15"/>
      <c r="I159" s="15"/>
      <c r="J159" s="15"/>
      <c r="K159" s="9" t="str">
        <f ca="1">IF(COUNTIFS($A$2:A159,A159,$L$2:L159,L159)&gt;1,"DUPLICATE - CHECK","")</f>
        <v/>
      </c>
      <c r="L159" s="17"/>
      <c r="M159" s="17"/>
      <c r="N159" s="9">
        <f ca="1">IF(COUNTIF($A$2:A158,A159)&gt;0,INDEX($C$2:C158,MATCH(A159,$A$2:A158,0)),"")</f>
        <v>0</v>
      </c>
      <c r="O159" s="13"/>
      <c r="P159" s="19"/>
    </row>
    <row r="160" spans="1:16" ht="15.75" customHeight="1" x14ac:dyDescent="0.3">
      <c r="A160" s="8" t="str">
        <f ca="1">IFERROR(__xludf.DUMMYFUNCTION("IF(B160="""","""",RIGHT(regexreplace(B160&amp;"""",""[^0-9]"",""""),9))"),"")</f>
        <v/>
      </c>
      <c r="B160" s="5"/>
      <c r="C160" s="5"/>
      <c r="D160" s="5"/>
      <c r="E160" s="15"/>
      <c r="F160" s="15"/>
      <c r="G160" s="15"/>
      <c r="H160" s="15"/>
      <c r="I160" s="15"/>
      <c r="J160" s="15"/>
      <c r="K160" s="9" t="str">
        <f ca="1">IF(COUNTIFS($A$2:A160,A160,$L$2:L160,L160)&gt;1,"DUPLICATE - CHECK","")</f>
        <v/>
      </c>
      <c r="L160" s="17"/>
      <c r="M160" s="17"/>
      <c r="N160" s="9">
        <f ca="1">IF(COUNTIF($A$2:A159,A160)&gt;0,INDEX($C$2:C159,MATCH(A160,$A$2:A159,0)),"")</f>
        <v>0</v>
      </c>
      <c r="O160" s="13"/>
      <c r="P160" s="19"/>
    </row>
    <row r="161" spans="1:16" ht="15.75" customHeight="1" x14ac:dyDescent="0.3">
      <c r="A161" s="8" t="str">
        <f ca="1">IFERROR(__xludf.DUMMYFUNCTION("IF(B161="""","""",RIGHT(regexreplace(B161&amp;"""",""[^0-9]"",""""),9))"),"")</f>
        <v/>
      </c>
      <c r="B161" s="5"/>
      <c r="C161" s="5"/>
      <c r="D161" s="5"/>
      <c r="E161" s="15"/>
      <c r="F161" s="15"/>
      <c r="G161" s="15"/>
      <c r="H161" s="15"/>
      <c r="I161" s="15"/>
      <c r="J161" s="15"/>
      <c r="K161" s="9" t="str">
        <f ca="1">IF(COUNTIFS($A$2:A161,A161,$L$2:L161,L161)&gt;1,"DUPLICATE - CHECK","")</f>
        <v/>
      </c>
      <c r="L161" s="17"/>
      <c r="M161" s="17"/>
      <c r="N161" s="9" t="str">
        <f t="array" aca="1" ref="N161" ca="1">IF(COUNTIF($A$2:A160,A)&gt;0,INDEX($C$2:C160,MATCH(A161,$A$2:A160,0)),"")</f>
        <v/>
      </c>
      <c r="O161" s="13"/>
      <c r="P161" s="19"/>
    </row>
    <row r="162" spans="1:16" ht="15.75" customHeight="1" x14ac:dyDescent="0.3">
      <c r="A162" s="8" t="str">
        <f ca="1">IFERROR(__xludf.DUMMYFUNCTION("IF(B162="""","""",RIGHT(regexreplace(B162&amp;"""",""[^0-9]"",""""),9))"),"")</f>
        <v/>
      </c>
      <c r="B162" s="5"/>
      <c r="C162" s="5"/>
      <c r="D162" s="5"/>
      <c r="E162" s="15"/>
      <c r="F162" s="15"/>
      <c r="G162" s="15"/>
      <c r="H162" s="15"/>
      <c r="I162" s="15"/>
      <c r="J162" s="15"/>
      <c r="K162" s="9" t="str">
        <f ca="1">IF(COUNTIFS($A$2:A162,A162,$L$2:L162,L162)&gt;1,"DUPLICATE - CHECK","")</f>
        <v/>
      </c>
      <c r="L162" s="17"/>
      <c r="M162" s="17"/>
      <c r="N162" s="9">
        <f ca="1">IF(COUNTIF($A$2:A161,A162)&gt;0,INDEX($C$2:C161,MATCH(A162,$A$2:A161,0)),"")</f>
        <v>0</v>
      </c>
      <c r="O162" s="13"/>
      <c r="P162" s="19"/>
    </row>
    <row r="163" spans="1:16" ht="15.75" customHeight="1" x14ac:dyDescent="0.3">
      <c r="A163" s="8" t="str">
        <f ca="1">IFERROR(__xludf.DUMMYFUNCTION("IF(B163="""","""",RIGHT(regexreplace(B163&amp;"""",""[^0-9]"",""""),9))"),"")</f>
        <v/>
      </c>
      <c r="B163" s="5"/>
      <c r="C163" s="5"/>
      <c r="D163" s="5"/>
      <c r="E163" s="15"/>
      <c r="F163" s="15"/>
      <c r="G163" s="15"/>
      <c r="H163" s="15"/>
      <c r="I163" s="15"/>
      <c r="J163" s="15"/>
      <c r="K163" s="9" t="str">
        <f ca="1">IF(COUNTIFS($A$2:A163,A163,$L$2:L163,L163)&gt;1,"DUPLICATE - CHECK","")</f>
        <v/>
      </c>
      <c r="L163" s="17"/>
      <c r="M163" s="17"/>
      <c r="N163" s="9">
        <f ca="1">IF(COUNTIF($A$2:A162,A163)&gt;0,INDEX($C$2:C162,MATCH(A163,$A$2:A162,0)),"")</f>
        <v>0</v>
      </c>
      <c r="O163" s="13"/>
      <c r="P163" s="19"/>
    </row>
    <row r="164" spans="1:16" ht="15.75" customHeight="1" x14ac:dyDescent="0.3">
      <c r="A164" s="8" t="str">
        <f ca="1">IFERROR(__xludf.DUMMYFUNCTION("IF(B164="""","""",RIGHT(regexreplace(B164&amp;"""",""[^0-9]"",""""),9))"),"")</f>
        <v/>
      </c>
      <c r="B164" s="5"/>
      <c r="C164" s="5"/>
      <c r="D164" s="5"/>
      <c r="E164" s="15"/>
      <c r="F164" s="15"/>
      <c r="G164" s="15"/>
      <c r="H164" s="15"/>
      <c r="I164" s="15"/>
      <c r="J164" s="15"/>
      <c r="K164" s="9" t="str">
        <f ca="1">IF(COUNTIFS($A$2:A164,A164,$L$2:L164,L164)&gt;1,"DUPLICATE - CHECK","")</f>
        <v/>
      </c>
      <c r="L164" s="17"/>
      <c r="M164" s="17"/>
      <c r="N164" s="9" t="str">
        <f t="array" aca="1" ref="N164" ca="1">IF(COUNTIF($A$2:A163,A)&gt;0,INDEX($C$2:C163,MATCH(A164,$A$2:A163,0)),"")</f>
        <v/>
      </c>
      <c r="O164" s="13"/>
      <c r="P164" s="19"/>
    </row>
    <row r="165" spans="1:16" ht="15.75" customHeight="1" x14ac:dyDescent="0.3">
      <c r="A165" s="8" t="str">
        <f ca="1">IFERROR(__xludf.DUMMYFUNCTION("IF(B165="""","""",RIGHT(regexreplace(B165&amp;"""",""[^0-9]"",""""),9))"),"")</f>
        <v/>
      </c>
      <c r="B165" s="5"/>
      <c r="C165" s="5"/>
      <c r="D165" s="5"/>
      <c r="E165" s="15"/>
      <c r="F165" s="15"/>
      <c r="G165" s="15"/>
      <c r="H165" s="15"/>
      <c r="I165" s="15"/>
      <c r="J165" s="15"/>
      <c r="K165" s="9" t="str">
        <f ca="1">IF(COUNTIFS($A$2:A165,A165,$L$2:L165,L165)&gt;1,"DUPLICATE - CHECK","")</f>
        <v/>
      </c>
      <c r="L165" s="17"/>
      <c r="M165" s="17"/>
      <c r="N165" s="9">
        <f ca="1">IF(COUNTIF($A$2:A164,A165)&gt;0,INDEX($C$2:C164,MATCH(A165,$A$2:A164,0)),"")</f>
        <v>0</v>
      </c>
      <c r="O165" s="13"/>
      <c r="P165" s="19"/>
    </row>
    <row r="166" spans="1:16" ht="15.75" customHeight="1" x14ac:dyDescent="0.3">
      <c r="A166" s="8" t="str">
        <f ca="1">IFERROR(__xludf.DUMMYFUNCTION("IF(B166="""","""",RIGHT(regexreplace(B166&amp;"""",""[^0-9]"",""""),9))"),"")</f>
        <v/>
      </c>
      <c r="B166" s="5"/>
      <c r="C166" s="5"/>
      <c r="D166" s="5"/>
      <c r="E166" s="15"/>
      <c r="F166" s="15"/>
      <c r="G166" s="15"/>
      <c r="H166" s="15"/>
      <c r="I166" s="15"/>
      <c r="J166" s="15"/>
      <c r="K166" s="9" t="str">
        <f ca="1">IF(COUNTIFS($A$2:A166,A166,$L$2:L166,L166)&gt;1,"DUPLICATE - CHECK","")</f>
        <v/>
      </c>
      <c r="L166" s="17"/>
      <c r="M166" s="17"/>
      <c r="N166" s="9">
        <f ca="1">IF(COUNTIF($A$2:A165,A166)&gt;0,INDEX($C$2:C165,MATCH(A166,$A$2:A165,0)),"")</f>
        <v>0</v>
      </c>
      <c r="O166" s="13"/>
      <c r="P166" s="19"/>
    </row>
    <row r="167" spans="1:16" ht="15.75" customHeight="1" x14ac:dyDescent="0.3">
      <c r="A167" s="8" t="str">
        <f ca="1">IFERROR(__xludf.DUMMYFUNCTION("IF(B167="""","""",RIGHT(regexreplace(B167&amp;"""",""[^0-9]"",""""),9))"),"")</f>
        <v/>
      </c>
      <c r="B167" s="5"/>
      <c r="C167" s="5"/>
      <c r="D167" s="5"/>
      <c r="E167" s="15"/>
      <c r="F167" s="15"/>
      <c r="G167" s="15"/>
      <c r="H167" s="15"/>
      <c r="I167" s="15"/>
      <c r="J167" s="15"/>
      <c r="K167" s="9" t="str">
        <f ca="1">IF(COUNTIFS($A$2:A167,A167,$L$2:L167,L167)&gt;1,"DUPLICATE - CHECK","")</f>
        <v/>
      </c>
      <c r="L167" s="17"/>
      <c r="M167" s="17"/>
      <c r="N167" s="9" t="str">
        <f t="array" aca="1" ref="N167" ca="1">IF(COUNTIF($A$2:A166,A)&gt;0,INDEX($C$2:C166,MATCH(A167,$A$2:A166,0)),"")</f>
        <v/>
      </c>
      <c r="O167" s="13"/>
      <c r="P167" s="19"/>
    </row>
    <row r="168" spans="1:16" ht="15.75" customHeight="1" x14ac:dyDescent="0.3">
      <c r="A168" s="8" t="str">
        <f ca="1">IFERROR(__xludf.DUMMYFUNCTION("IF(B168="""","""",RIGHT(regexreplace(B168&amp;"""",""[^0-9]"",""""),9))"),"")</f>
        <v/>
      </c>
      <c r="B168" s="5"/>
      <c r="C168" s="5"/>
      <c r="D168" s="5"/>
      <c r="E168" s="15"/>
      <c r="F168" s="15"/>
      <c r="G168" s="15"/>
      <c r="H168" s="15"/>
      <c r="I168" s="15"/>
      <c r="J168" s="15"/>
      <c r="K168" s="9" t="str">
        <f ca="1">IF(COUNTIFS($A$2:A168,A168,$L$2:L168,L168)&gt;1,"DUPLICATE - CHECK","")</f>
        <v/>
      </c>
      <c r="L168" s="17"/>
      <c r="M168" s="17"/>
      <c r="N168" s="9">
        <f ca="1">IF(COUNTIF($A$2:A167,A168)&gt;0,INDEX($C$2:C167,MATCH(A168,$A$2:A167,0)),"")</f>
        <v>0</v>
      </c>
      <c r="O168" s="13"/>
      <c r="P168" s="19"/>
    </row>
    <row r="169" spans="1:16" ht="15.75" customHeight="1" x14ac:dyDescent="0.3">
      <c r="A169" s="8" t="str">
        <f ca="1">IFERROR(__xludf.DUMMYFUNCTION("IF(B169="""","""",RIGHT(regexreplace(B169&amp;"""",""[^0-9]"",""""),9))"),"")</f>
        <v/>
      </c>
      <c r="B169" s="5"/>
      <c r="C169" s="5"/>
      <c r="D169" s="5"/>
      <c r="E169" s="15"/>
      <c r="F169" s="15"/>
      <c r="G169" s="15"/>
      <c r="H169" s="15"/>
      <c r="I169" s="15"/>
      <c r="J169" s="15"/>
      <c r="K169" s="9" t="str">
        <f ca="1">IF(COUNTIFS($A$2:A169,A169,$L$2:L169,L169)&gt;1,"DUPLICATE - CHECK","")</f>
        <v/>
      </c>
      <c r="L169" s="17"/>
      <c r="M169" s="17"/>
      <c r="N169" s="9">
        <f ca="1">IF(COUNTIF($A$2:A168,A169)&gt;0,INDEX($C$2:C168,MATCH(A169,$A$2:A168,0)),"")</f>
        <v>0</v>
      </c>
      <c r="O169" s="13"/>
      <c r="P169" s="19"/>
    </row>
    <row r="170" spans="1:16" ht="15.75" customHeight="1" x14ac:dyDescent="0.3">
      <c r="A170" s="8" t="str">
        <f ca="1">IFERROR(__xludf.DUMMYFUNCTION("IF(B170="""","""",RIGHT(regexreplace(B170&amp;"""",""[^0-9]"",""""),9))"),"")</f>
        <v/>
      </c>
      <c r="B170" s="5"/>
      <c r="C170" s="5"/>
      <c r="D170" s="5"/>
      <c r="E170" s="15"/>
      <c r="F170" s="15"/>
      <c r="G170" s="15"/>
      <c r="H170" s="15"/>
      <c r="I170" s="15"/>
      <c r="J170" s="15"/>
      <c r="K170" s="9" t="str">
        <f ca="1">IF(COUNTIFS($A$2:A170,A170,$L$2:L170,L170)&gt;1,"DUPLICATE - CHECK","")</f>
        <v/>
      </c>
      <c r="L170" s="17"/>
      <c r="M170" s="17"/>
      <c r="N170" s="9" t="str">
        <f t="array" aca="1" ref="N170" ca="1">IF(COUNTIF($A$2:A169,A)&gt;0,INDEX($C$2:C169,MATCH(A170,$A$2:A169,0)),"")</f>
        <v/>
      </c>
      <c r="O170" s="13"/>
      <c r="P170" s="19"/>
    </row>
    <row r="171" spans="1:16" ht="15.75" customHeight="1" x14ac:dyDescent="0.3">
      <c r="A171" s="8" t="str">
        <f ca="1">IFERROR(__xludf.DUMMYFUNCTION("IF(B171="""","""",RIGHT(regexreplace(B171&amp;"""",""[^0-9]"",""""),9))"),"")</f>
        <v/>
      </c>
      <c r="B171" s="5"/>
      <c r="C171" s="5"/>
      <c r="D171" s="5"/>
      <c r="E171" s="15"/>
      <c r="F171" s="15"/>
      <c r="G171" s="15"/>
      <c r="H171" s="15"/>
      <c r="I171" s="15"/>
      <c r="J171" s="15"/>
      <c r="K171" s="9" t="str">
        <f ca="1">IF(COUNTIFS($A$2:A171,A171,$L$2:L171,L171)&gt;1,"DUPLICATE - CHECK","")</f>
        <v/>
      </c>
      <c r="L171" s="17"/>
      <c r="M171" s="17"/>
      <c r="N171" s="9">
        <f ca="1">IF(COUNTIF($A$2:A170,A171)&gt;0,INDEX($C$2:C170,MATCH(A171,$A$2:A170,0)),"")</f>
        <v>0</v>
      </c>
      <c r="O171" s="13"/>
      <c r="P171" s="19"/>
    </row>
    <row r="172" spans="1:16" ht="15.75" customHeight="1" x14ac:dyDescent="0.3">
      <c r="A172" s="8" t="str">
        <f ca="1">IFERROR(__xludf.DUMMYFUNCTION("IF(B172="""","""",RIGHT(regexreplace(B172&amp;"""",""[^0-9]"",""""),9))"),"")</f>
        <v/>
      </c>
      <c r="B172" s="5"/>
      <c r="C172" s="5"/>
      <c r="D172" s="5"/>
      <c r="E172" s="15"/>
      <c r="F172" s="15"/>
      <c r="G172" s="15"/>
      <c r="H172" s="15"/>
      <c r="I172" s="15"/>
      <c r="J172" s="15"/>
      <c r="K172" s="9" t="str">
        <f ca="1">IF(COUNTIFS($A$2:A172,A172,$L$2:L172,L172)&gt;1,"DUPLICATE - CHECK","")</f>
        <v/>
      </c>
      <c r="L172" s="17"/>
      <c r="M172" s="17"/>
      <c r="N172" s="9">
        <f ca="1">IF(COUNTIF($A$2:A171,A172)&gt;0,INDEX($C$2:C171,MATCH(A172,$A$2:A171,0)),"")</f>
        <v>0</v>
      </c>
      <c r="O172" s="13"/>
      <c r="P172" s="19"/>
    </row>
    <row r="173" spans="1:16" ht="15.75" customHeight="1" x14ac:dyDescent="0.3">
      <c r="A173" s="8" t="str">
        <f ca="1">IFERROR(__xludf.DUMMYFUNCTION("IF(B173="""","""",RIGHT(regexreplace(B173&amp;"""",""[^0-9]"",""""),9))"),"")</f>
        <v/>
      </c>
      <c r="B173" s="5"/>
      <c r="C173" s="5"/>
      <c r="D173" s="5"/>
      <c r="E173" s="15"/>
      <c r="F173" s="15"/>
      <c r="G173" s="15"/>
      <c r="H173" s="15"/>
      <c r="I173" s="15"/>
      <c r="J173" s="15"/>
      <c r="K173" s="9" t="str">
        <f ca="1">IF(COUNTIFS($A$2:A173,A173,$L$2:L173,L173)&gt;1,"DUPLICATE - CHECK","")</f>
        <v/>
      </c>
      <c r="L173" s="17"/>
      <c r="M173" s="17"/>
      <c r="N173" s="9" t="str">
        <f t="array" aca="1" ref="N173" ca="1">IF(COUNTIF($A$2:A172,A)&gt;0,INDEX($C$2:C172,MATCH(A173,$A$2:A172,0)),"")</f>
        <v/>
      </c>
      <c r="O173" s="13"/>
      <c r="P173" s="19"/>
    </row>
    <row r="174" spans="1:16" ht="15.75" customHeight="1" x14ac:dyDescent="0.3">
      <c r="A174" s="8" t="str">
        <f ca="1">IFERROR(__xludf.DUMMYFUNCTION("IF(B174="""","""",RIGHT(regexreplace(B174&amp;"""",""[^0-9]"",""""),9))"),"")</f>
        <v/>
      </c>
      <c r="B174" s="5"/>
      <c r="C174" s="5"/>
      <c r="D174" s="5"/>
      <c r="E174" s="15"/>
      <c r="F174" s="15"/>
      <c r="G174" s="15"/>
      <c r="H174" s="15"/>
      <c r="I174" s="15"/>
      <c r="J174" s="15"/>
      <c r="K174" s="9" t="str">
        <f ca="1">IF(COUNTIFS($A$2:A174,A174,$L$2:L174,L174)&gt;1,"DUPLICATE - CHECK","")</f>
        <v/>
      </c>
      <c r="L174" s="17"/>
      <c r="M174" s="17"/>
      <c r="N174" s="9">
        <f ca="1">IF(COUNTIF($A$2:A173,A174)&gt;0,INDEX($C$2:C173,MATCH(A174,$A$2:A173,0)),"")</f>
        <v>0</v>
      </c>
      <c r="O174" s="13"/>
      <c r="P174" s="19"/>
    </row>
    <row r="175" spans="1:16" ht="15.75" customHeight="1" x14ac:dyDescent="0.3">
      <c r="A175" s="8" t="str">
        <f ca="1">IFERROR(__xludf.DUMMYFUNCTION("IF(B175="""","""",RIGHT(regexreplace(B175&amp;"""",""[^0-9]"",""""),9))"),"")</f>
        <v/>
      </c>
      <c r="B175" s="5"/>
      <c r="C175" s="5"/>
      <c r="D175" s="5"/>
      <c r="E175" s="15"/>
      <c r="F175" s="15"/>
      <c r="G175" s="15"/>
      <c r="H175" s="15"/>
      <c r="I175" s="15"/>
      <c r="J175" s="15"/>
      <c r="K175" s="9" t="str">
        <f ca="1">IF(COUNTIFS($A$2:A175,A175,$L$2:L175,L175)&gt;1,"DUPLICATE - CHECK","")</f>
        <v/>
      </c>
      <c r="L175" s="17"/>
      <c r="M175" s="17"/>
      <c r="N175" s="9">
        <f ca="1">IF(COUNTIF($A$2:A174,A175)&gt;0,INDEX($C$2:C174,MATCH(A175,$A$2:A174,0)),"")</f>
        <v>0</v>
      </c>
      <c r="O175" s="13"/>
      <c r="P175" s="19"/>
    </row>
    <row r="176" spans="1:16" ht="15.75" customHeight="1" x14ac:dyDescent="0.3">
      <c r="A176" s="8" t="str">
        <f ca="1">IFERROR(__xludf.DUMMYFUNCTION("IF(B176="""","""",RIGHT(regexreplace(B176&amp;"""",""[^0-9]"",""""),9))"),"")</f>
        <v/>
      </c>
      <c r="B176" s="5"/>
      <c r="C176" s="5"/>
      <c r="D176" s="5"/>
      <c r="E176" s="15"/>
      <c r="F176" s="15"/>
      <c r="G176" s="15"/>
      <c r="H176" s="15"/>
      <c r="I176" s="15"/>
      <c r="J176" s="15"/>
      <c r="K176" s="9" t="str">
        <f ca="1">IF(COUNTIFS($A$2:A176,A176,$L$2:L176,L176)&gt;1,"DUPLICATE - CHECK","")</f>
        <v/>
      </c>
      <c r="L176" s="17"/>
      <c r="M176" s="17"/>
      <c r="N176" s="9" t="str">
        <f t="array" aca="1" ref="N176" ca="1">IF(COUNTIF($A$2:A175,A)&gt;0,INDEX($C$2:C175,MATCH(A176,$A$2:A175,0)),"")</f>
        <v/>
      </c>
      <c r="O176" s="13"/>
      <c r="P176" s="19"/>
    </row>
    <row r="177" spans="1:16" ht="15.75" customHeight="1" x14ac:dyDescent="0.3">
      <c r="A177" s="8" t="str">
        <f ca="1">IFERROR(__xludf.DUMMYFUNCTION("IF(B177="""","""",RIGHT(regexreplace(B177&amp;"""",""[^0-9]"",""""),9))"),"")</f>
        <v/>
      </c>
      <c r="B177" s="5"/>
      <c r="C177" s="5"/>
      <c r="D177" s="5"/>
      <c r="E177" s="15"/>
      <c r="F177" s="15"/>
      <c r="G177" s="15"/>
      <c r="H177" s="15"/>
      <c r="I177" s="15"/>
      <c r="J177" s="15"/>
      <c r="K177" s="9" t="str">
        <f ca="1">IF(COUNTIFS($A$2:A177,A177,$L$2:L177,L177)&gt;1,"DUPLICATE - CHECK","")</f>
        <v/>
      </c>
      <c r="L177" s="17"/>
      <c r="M177" s="17"/>
      <c r="N177" s="9">
        <f ca="1">IF(COUNTIF($A$2:A176,A177)&gt;0,INDEX($C$2:C176,MATCH(A177,$A$2:A176,0)),"")</f>
        <v>0</v>
      </c>
      <c r="O177" s="13"/>
      <c r="P177" s="19"/>
    </row>
    <row r="178" spans="1:16" ht="15.75" customHeight="1" x14ac:dyDescent="0.3">
      <c r="A178" s="8" t="str">
        <f ca="1">IFERROR(__xludf.DUMMYFUNCTION("IF(B178="""","""",RIGHT(regexreplace(B178&amp;"""",""[^0-9]"",""""),9))"),"")</f>
        <v/>
      </c>
      <c r="B178" s="5"/>
      <c r="C178" s="5"/>
      <c r="D178" s="5"/>
      <c r="E178" s="15"/>
      <c r="F178" s="15"/>
      <c r="G178" s="15"/>
      <c r="H178" s="15"/>
      <c r="I178" s="15"/>
      <c r="J178" s="15"/>
      <c r="K178" s="9" t="str">
        <f ca="1">IF(COUNTIFS($A$2:A178,A178,$L$2:L178,L178)&gt;1,"DUPLICATE - CHECK","")</f>
        <v/>
      </c>
      <c r="L178" s="17"/>
      <c r="M178" s="17"/>
      <c r="N178" s="9">
        <f ca="1">IF(COUNTIF($A$2:A177,A178)&gt;0,INDEX($C$2:C177,MATCH(A178,$A$2:A177,0)),"")</f>
        <v>0</v>
      </c>
      <c r="O178" s="13"/>
      <c r="P178" s="19"/>
    </row>
    <row r="179" spans="1:16" ht="15.75" customHeight="1" x14ac:dyDescent="0.3">
      <c r="A179" s="8" t="str">
        <f ca="1">IFERROR(__xludf.DUMMYFUNCTION("IF(B179="""","""",RIGHT(regexreplace(B179&amp;"""",""[^0-9]"",""""),9))"),"")</f>
        <v/>
      </c>
      <c r="B179" s="5"/>
      <c r="C179" s="5"/>
      <c r="D179" s="5"/>
      <c r="E179" s="15"/>
      <c r="F179" s="15"/>
      <c r="G179" s="15"/>
      <c r="H179" s="15"/>
      <c r="I179" s="15"/>
      <c r="J179" s="15"/>
      <c r="K179" s="9" t="str">
        <f ca="1">IF(COUNTIFS($A$2:A179,A179,$L$2:L179,L179)&gt;1,"DUPLICATE - CHECK","")</f>
        <v/>
      </c>
      <c r="L179" s="17"/>
      <c r="M179" s="17"/>
      <c r="N179" s="9" t="str">
        <f t="array" aca="1" ref="N179" ca="1">IF(COUNTIF($A$2:A178,A)&gt;0,INDEX($C$2:C178,MATCH(A179,$A$2:A178,0)),"")</f>
        <v/>
      </c>
      <c r="O179" s="13"/>
      <c r="P179" s="19"/>
    </row>
    <row r="180" spans="1:16" ht="15.75" customHeight="1" x14ac:dyDescent="0.3">
      <c r="A180" s="8" t="str">
        <f ca="1">IFERROR(__xludf.DUMMYFUNCTION("IF(B180="""","""",RIGHT(regexreplace(B180&amp;"""",""[^0-9]"",""""),9))"),"")</f>
        <v/>
      </c>
      <c r="B180" s="5"/>
      <c r="C180" s="5"/>
      <c r="D180" s="5"/>
      <c r="E180" s="15"/>
      <c r="F180" s="15"/>
      <c r="G180" s="15"/>
      <c r="H180" s="15"/>
      <c r="I180" s="15"/>
      <c r="J180" s="15"/>
      <c r="K180" s="9" t="str">
        <f ca="1">IF(COUNTIFS($A$2:A180,A180,$L$2:L180,L180)&gt;1,"DUPLICATE - CHECK","")</f>
        <v/>
      </c>
      <c r="L180" s="17"/>
      <c r="M180" s="17"/>
      <c r="N180" s="9">
        <f ca="1">IF(COUNTIF($A$2:A179,A180)&gt;0,INDEX($C$2:C179,MATCH(A180,$A$2:A179,0)),"")</f>
        <v>0</v>
      </c>
      <c r="O180" s="13"/>
      <c r="P180" s="19"/>
    </row>
    <row r="181" spans="1:16" ht="15.75" customHeight="1" x14ac:dyDescent="0.3">
      <c r="A181" s="8" t="str">
        <f ca="1">IFERROR(__xludf.DUMMYFUNCTION("IF(B181="""","""",RIGHT(regexreplace(B181&amp;"""",""[^0-9]"",""""),9))"),"")</f>
        <v/>
      </c>
      <c r="B181" s="5"/>
      <c r="C181" s="5"/>
      <c r="D181" s="5"/>
      <c r="E181" s="15"/>
      <c r="F181" s="15"/>
      <c r="G181" s="15"/>
      <c r="H181" s="15"/>
      <c r="I181" s="15"/>
      <c r="J181" s="15"/>
      <c r="K181" s="9" t="str">
        <f ca="1">IF(COUNTIFS($A$2:A181,A181,$L$2:L181,L181)&gt;1,"DUPLICATE - CHECK","")</f>
        <v/>
      </c>
      <c r="L181" s="17"/>
      <c r="M181" s="17"/>
      <c r="N181" s="9">
        <f ca="1">IF(COUNTIF($A$2:A180,A181)&gt;0,INDEX($C$2:C180,MATCH(A181,$A$2:A180,0)),"")</f>
        <v>0</v>
      </c>
      <c r="O181" s="13"/>
      <c r="P181" s="19"/>
    </row>
    <row r="182" spans="1:16" ht="15.75" customHeight="1" x14ac:dyDescent="0.3">
      <c r="A182" s="8" t="str">
        <f ca="1">IFERROR(__xludf.DUMMYFUNCTION("IF(B182="""","""",RIGHT(regexreplace(B182&amp;"""",""[^0-9]"",""""),9))"),"")</f>
        <v/>
      </c>
      <c r="B182" s="5"/>
      <c r="C182" s="5"/>
      <c r="D182" s="5"/>
      <c r="E182" s="15"/>
      <c r="F182" s="15"/>
      <c r="G182" s="15"/>
      <c r="H182" s="15"/>
      <c r="I182" s="15"/>
      <c r="J182" s="15"/>
      <c r="K182" s="9" t="str">
        <f ca="1">IF(COUNTIFS($A$2:A182,A182,$L$2:L182,L182)&gt;1,"DUPLICATE - CHECK","")</f>
        <v/>
      </c>
      <c r="L182" s="17"/>
      <c r="M182" s="17"/>
      <c r="N182" s="9" t="str">
        <f t="array" aca="1" ref="N182" ca="1">IF(COUNTIF($A$2:A181,A)&gt;0,INDEX($C$2:C181,MATCH(A182,$A$2:A181,0)),"")</f>
        <v/>
      </c>
      <c r="O182" s="13"/>
      <c r="P182" s="19"/>
    </row>
    <row r="183" spans="1:16" ht="15.75" customHeight="1" x14ac:dyDescent="0.3">
      <c r="A183" s="8" t="str">
        <f ca="1">IFERROR(__xludf.DUMMYFUNCTION("IF(B183="""","""",RIGHT(regexreplace(B183&amp;"""",""[^0-9]"",""""),9))"),"")</f>
        <v/>
      </c>
      <c r="B183" s="5"/>
      <c r="C183" s="5"/>
      <c r="D183" s="5"/>
      <c r="E183" s="15"/>
      <c r="F183" s="15"/>
      <c r="G183" s="15"/>
      <c r="H183" s="15"/>
      <c r="I183" s="15"/>
      <c r="J183" s="15"/>
      <c r="K183" s="9" t="str">
        <f ca="1">IF(COUNTIFS($A$2:A183,A183,$L$2:L183,L183)&gt;1,"DUPLICATE - CHECK","")</f>
        <v/>
      </c>
      <c r="L183" s="17"/>
      <c r="M183" s="17"/>
      <c r="N183" s="9">
        <f ca="1">IF(COUNTIF($A$2:A182,A183)&gt;0,INDEX($C$2:C182,MATCH(A183,$A$2:A182,0)),"")</f>
        <v>0</v>
      </c>
      <c r="O183" s="13"/>
      <c r="P183" s="19"/>
    </row>
    <row r="184" spans="1:16" ht="15.75" customHeight="1" x14ac:dyDescent="0.3">
      <c r="A184" s="8" t="str">
        <f ca="1">IFERROR(__xludf.DUMMYFUNCTION("IF(B184="""","""",RIGHT(regexreplace(B184&amp;"""",""[^0-9]"",""""),9))"),"")</f>
        <v/>
      </c>
      <c r="B184" s="5"/>
      <c r="C184" s="5"/>
      <c r="D184" s="5"/>
      <c r="E184" s="15"/>
      <c r="F184" s="15"/>
      <c r="G184" s="15"/>
      <c r="H184" s="15"/>
      <c r="I184" s="15"/>
      <c r="J184" s="15"/>
      <c r="K184" s="9" t="str">
        <f ca="1">IF(COUNTIFS($A$2:A184,A184,$L$2:L184,L184)&gt;1,"DUPLICATE - CHECK","")</f>
        <v/>
      </c>
      <c r="L184" s="17"/>
      <c r="M184" s="17"/>
      <c r="N184" s="9">
        <f ca="1">IF(COUNTIF($A$2:A183,A184)&gt;0,INDEX($C$2:C183,MATCH(A184,$A$2:A183,0)),"")</f>
        <v>0</v>
      </c>
      <c r="O184" s="13"/>
      <c r="P184" s="19"/>
    </row>
    <row r="185" spans="1:16" ht="15.75" customHeight="1" x14ac:dyDescent="0.3">
      <c r="A185" s="8" t="str">
        <f ca="1">IFERROR(__xludf.DUMMYFUNCTION("IF(B185="""","""",RIGHT(regexreplace(B185&amp;"""",""[^0-9]"",""""),9))"),"")</f>
        <v/>
      </c>
      <c r="B185" s="5"/>
      <c r="C185" s="5"/>
      <c r="D185" s="5"/>
      <c r="E185" s="15"/>
      <c r="F185" s="15"/>
      <c r="G185" s="15"/>
      <c r="H185" s="15"/>
      <c r="I185" s="15"/>
      <c r="J185" s="15"/>
      <c r="K185" s="9" t="str">
        <f ca="1">IF(COUNTIFS($A$2:A185,A185,$L$2:L185,L185)&gt;1,"DUPLICATE - CHECK","")</f>
        <v/>
      </c>
      <c r="L185" s="17"/>
      <c r="M185" s="17"/>
      <c r="N185" s="9" t="str">
        <f t="array" aca="1" ref="N185" ca="1">IF(COUNTIF($A$2:A184,A)&gt;0,INDEX($C$2:C184,MATCH(A185,$A$2:A184,0)),"")</f>
        <v/>
      </c>
      <c r="O185" s="13"/>
      <c r="P185" s="19"/>
    </row>
    <row r="186" spans="1:16" ht="15.75" customHeight="1" x14ac:dyDescent="0.3">
      <c r="A186" s="8" t="str">
        <f ca="1">IFERROR(__xludf.DUMMYFUNCTION("IF(B186="""","""",RIGHT(regexreplace(B186&amp;"""",""[^0-9]"",""""),9))"),"")</f>
        <v/>
      </c>
      <c r="B186" s="5"/>
      <c r="C186" s="5"/>
      <c r="D186" s="5"/>
      <c r="E186" s="15"/>
      <c r="F186" s="15"/>
      <c r="G186" s="15"/>
      <c r="H186" s="15"/>
      <c r="I186" s="15"/>
      <c r="J186" s="15"/>
      <c r="K186" s="9" t="str">
        <f ca="1">IF(COUNTIFS($A$2:A186,A186,$L$2:L186,L186)&gt;1,"DUPLICATE - CHECK","")</f>
        <v/>
      </c>
      <c r="L186" s="17"/>
      <c r="M186" s="17"/>
      <c r="N186" s="9">
        <f ca="1">IF(COUNTIF($A$2:A185,A186)&gt;0,INDEX($C$2:C185,MATCH(A186,$A$2:A185,0)),"")</f>
        <v>0</v>
      </c>
      <c r="O186" s="13"/>
      <c r="P186" s="19"/>
    </row>
    <row r="187" spans="1:16" ht="15.75" customHeight="1" x14ac:dyDescent="0.3">
      <c r="A187" s="8" t="str">
        <f ca="1">IFERROR(__xludf.DUMMYFUNCTION("IF(B187="""","""",RIGHT(regexreplace(B187&amp;"""",""[^0-9]"",""""),9))"),"")</f>
        <v/>
      </c>
      <c r="B187" s="5"/>
      <c r="C187" s="5"/>
      <c r="D187" s="5"/>
      <c r="E187" s="15"/>
      <c r="F187" s="15"/>
      <c r="G187" s="15"/>
      <c r="H187" s="15"/>
      <c r="I187" s="15"/>
      <c r="J187" s="15"/>
      <c r="K187" s="9" t="str">
        <f ca="1">IF(COUNTIFS($A$2:A187,A187,$L$2:L187,L187)&gt;1,"DUPLICATE - CHECK","")</f>
        <v/>
      </c>
      <c r="L187" s="17"/>
      <c r="M187" s="17"/>
      <c r="N187" s="9">
        <f ca="1">IF(COUNTIF($A$2:A186,A187)&gt;0,INDEX($C$2:C186,MATCH(A187,$A$2:A186,0)),"")</f>
        <v>0</v>
      </c>
      <c r="O187" s="13"/>
      <c r="P187" s="19"/>
    </row>
    <row r="188" spans="1:16" ht="15.75" customHeight="1" x14ac:dyDescent="0.3">
      <c r="A188" s="8" t="str">
        <f ca="1">IFERROR(__xludf.DUMMYFUNCTION("IF(B188="""","""",RIGHT(regexreplace(B188&amp;"""",""[^0-9]"",""""),9))"),"")</f>
        <v/>
      </c>
      <c r="B188" s="5"/>
      <c r="C188" s="5"/>
      <c r="D188" s="5"/>
      <c r="E188" s="15"/>
      <c r="F188" s="15"/>
      <c r="G188" s="15"/>
      <c r="H188" s="15"/>
      <c r="I188" s="15"/>
      <c r="J188" s="15"/>
      <c r="K188" s="9" t="str">
        <f ca="1">IF(COUNTIFS($A$2:A188,A188,$L$2:L188,L188)&gt;1,"DUPLICATE - CHECK","")</f>
        <v/>
      </c>
      <c r="L188" s="17"/>
      <c r="M188" s="17"/>
      <c r="N188" s="9" t="str">
        <f t="array" aca="1" ref="N188" ca="1">IF(COUNTIF($A$2:A187,A)&gt;0,INDEX($C$2:C187,MATCH(A188,$A$2:A187,0)),"")</f>
        <v/>
      </c>
      <c r="O188" s="13"/>
      <c r="P188" s="19"/>
    </row>
    <row r="189" spans="1:16" ht="15.75" customHeight="1" x14ac:dyDescent="0.3">
      <c r="A189" s="8" t="str">
        <f ca="1">IFERROR(__xludf.DUMMYFUNCTION("IF(B189="""","""",RIGHT(regexreplace(B189&amp;"""",""[^0-9]"",""""),9))"),"")</f>
        <v/>
      </c>
      <c r="B189" s="5"/>
      <c r="C189" s="5"/>
      <c r="D189" s="5"/>
      <c r="E189" s="15"/>
      <c r="F189" s="15"/>
      <c r="G189" s="15"/>
      <c r="H189" s="15"/>
      <c r="I189" s="15"/>
      <c r="J189" s="15"/>
      <c r="K189" s="9" t="str">
        <f ca="1">IF(COUNTIFS($A$2:A189,A189,$L$2:L189,L189)&gt;1,"DUPLICATE - CHECK","")</f>
        <v/>
      </c>
      <c r="L189" s="17"/>
      <c r="M189" s="17"/>
      <c r="N189" s="9">
        <f ca="1">IF(COUNTIF($A$2:A188,A189)&gt;0,INDEX($C$2:C188,MATCH(A189,$A$2:A188,0)),"")</f>
        <v>0</v>
      </c>
      <c r="O189" s="13"/>
      <c r="P189" s="19"/>
    </row>
    <row r="190" spans="1:16" ht="15.75" customHeight="1" x14ac:dyDescent="0.3">
      <c r="A190" s="8" t="str">
        <f ca="1">IFERROR(__xludf.DUMMYFUNCTION("IF(B190="""","""",RIGHT(regexreplace(B190&amp;"""",""[^0-9]"",""""),9))"),"")</f>
        <v/>
      </c>
      <c r="B190" s="5"/>
      <c r="C190" s="5"/>
      <c r="D190" s="5"/>
      <c r="E190" s="15"/>
      <c r="F190" s="15"/>
      <c r="G190" s="15"/>
      <c r="H190" s="15"/>
      <c r="I190" s="15"/>
      <c r="J190" s="15"/>
      <c r="K190" s="9" t="str">
        <f ca="1">IF(COUNTIFS($A$2:A190,A190,$L$2:L190,L190)&gt;1,"DUPLICATE - CHECK","")</f>
        <v/>
      </c>
      <c r="L190" s="17"/>
      <c r="M190" s="17"/>
      <c r="N190" s="9">
        <f ca="1">IF(COUNTIF($A$2:A189,A190)&gt;0,INDEX($C$2:C189,MATCH(A190,$A$2:A189,0)),"")</f>
        <v>0</v>
      </c>
      <c r="O190" s="13"/>
      <c r="P190" s="19"/>
    </row>
    <row r="191" spans="1:16" ht="15.75" customHeight="1" x14ac:dyDescent="0.3">
      <c r="A191" s="8" t="str">
        <f ca="1">IFERROR(__xludf.DUMMYFUNCTION("IF(B191="""","""",RIGHT(regexreplace(B191&amp;"""",""[^0-9]"",""""),9))"),"")</f>
        <v/>
      </c>
      <c r="B191" s="5"/>
      <c r="C191" s="5"/>
      <c r="D191" s="5"/>
      <c r="E191" s="15"/>
      <c r="F191" s="15"/>
      <c r="G191" s="15"/>
      <c r="H191" s="15"/>
      <c r="I191" s="15"/>
      <c r="J191" s="15"/>
      <c r="K191" s="9" t="str">
        <f ca="1">IF(COUNTIFS($A$2:A191,A191,$L$2:L191,L191)&gt;1,"DUPLICATE - CHECK","")</f>
        <v/>
      </c>
      <c r="L191" s="17"/>
      <c r="M191" s="17"/>
      <c r="N191" s="9" t="str">
        <f t="array" aca="1" ref="N191" ca="1">IF(COUNTIF($A$2:A190,A)&gt;0,INDEX($C$2:C190,MATCH(A191,$A$2:A190,0)),"")</f>
        <v/>
      </c>
      <c r="O191" s="13"/>
      <c r="P191" s="19"/>
    </row>
    <row r="192" spans="1:16" ht="15.75" customHeight="1" x14ac:dyDescent="0.3">
      <c r="A192" s="8" t="str">
        <f ca="1">IFERROR(__xludf.DUMMYFUNCTION("IF(B192="""","""",RIGHT(regexreplace(B192&amp;"""",""[^0-9]"",""""),9))"),"")</f>
        <v/>
      </c>
      <c r="B192" s="5"/>
      <c r="C192" s="5"/>
      <c r="D192" s="5"/>
      <c r="E192" s="15"/>
      <c r="F192" s="15"/>
      <c r="G192" s="15"/>
      <c r="H192" s="15"/>
      <c r="I192" s="15"/>
      <c r="J192" s="15"/>
      <c r="K192" s="9" t="str">
        <f ca="1">IF(COUNTIFS($A$2:A192,A192,$L$2:L192,L192)&gt;1,"DUPLICATE - CHECK","")</f>
        <v/>
      </c>
      <c r="L192" s="17"/>
      <c r="M192" s="17"/>
      <c r="N192" s="9">
        <f ca="1">IF(COUNTIF($A$2:A191,A192)&gt;0,INDEX($C$2:C191,MATCH(A192,$A$2:A191,0)),"")</f>
        <v>0</v>
      </c>
      <c r="O192" s="13"/>
      <c r="P192" s="19"/>
    </row>
    <row r="193" spans="1:16" ht="15.75" customHeight="1" x14ac:dyDescent="0.3">
      <c r="A193" s="8" t="str">
        <f ca="1">IFERROR(__xludf.DUMMYFUNCTION("IF(B193="""","""",RIGHT(regexreplace(B193&amp;"""",""[^0-9]"",""""),9))"),"")</f>
        <v/>
      </c>
      <c r="B193" s="5"/>
      <c r="C193" s="5"/>
      <c r="D193" s="5"/>
      <c r="E193" s="15"/>
      <c r="F193" s="15"/>
      <c r="G193" s="15"/>
      <c r="H193" s="15"/>
      <c r="I193" s="15"/>
      <c r="J193" s="15"/>
      <c r="K193" s="9" t="str">
        <f ca="1">IF(COUNTIFS($A$2:A193,A193,$L$2:L193,L193)&gt;1,"DUPLICATE - CHECK","")</f>
        <v/>
      </c>
      <c r="L193" s="17"/>
      <c r="M193" s="17"/>
      <c r="N193" s="9">
        <f ca="1">IF(COUNTIF($A$2:A192,A193)&gt;0,INDEX($C$2:C192,MATCH(A193,$A$2:A192,0)),"")</f>
        <v>0</v>
      </c>
      <c r="O193" s="13"/>
      <c r="P193" s="19"/>
    </row>
    <row r="194" spans="1:16" ht="15.75" customHeight="1" x14ac:dyDescent="0.3">
      <c r="A194" s="8" t="str">
        <f ca="1">IFERROR(__xludf.DUMMYFUNCTION("IF(B194="""","""",RIGHT(regexreplace(B194&amp;"""",""[^0-9]"",""""),9))"),"")</f>
        <v/>
      </c>
      <c r="B194" s="5"/>
      <c r="C194" s="5"/>
      <c r="D194" s="5"/>
      <c r="E194" s="15"/>
      <c r="F194" s="15"/>
      <c r="G194" s="15"/>
      <c r="H194" s="15"/>
      <c r="I194" s="15"/>
      <c r="J194" s="15"/>
      <c r="K194" s="9" t="str">
        <f ca="1">IF(COUNTIFS($A$2:A194,A194,$L$2:L194,L194)&gt;1,"DUPLICATE - CHECK","")</f>
        <v/>
      </c>
      <c r="L194" s="17"/>
      <c r="M194" s="17"/>
      <c r="N194" s="9" t="str">
        <f t="array" aca="1" ref="N194" ca="1">IF(COUNTIF($A$2:A193,A)&gt;0,INDEX($C$2:C193,MATCH(A194,$A$2:A193,0)),"")</f>
        <v/>
      </c>
      <c r="O194" s="13"/>
      <c r="P194" s="19"/>
    </row>
    <row r="195" spans="1:16" ht="15.75" customHeight="1" x14ac:dyDescent="0.3">
      <c r="A195" s="8" t="str">
        <f ca="1">IFERROR(__xludf.DUMMYFUNCTION("IF(B195="""","""",RIGHT(regexreplace(B195&amp;"""",""[^0-9]"",""""),9))"),"")</f>
        <v/>
      </c>
      <c r="B195" s="5"/>
      <c r="C195" s="5"/>
      <c r="D195" s="5"/>
      <c r="E195" s="15"/>
      <c r="F195" s="15"/>
      <c r="G195" s="15"/>
      <c r="H195" s="15"/>
      <c r="I195" s="15"/>
      <c r="J195" s="15"/>
      <c r="K195" s="9" t="str">
        <f ca="1">IF(COUNTIFS($A$2:A195,A195,$L$2:L195,L195)&gt;1,"DUPLICATE - CHECK","")</f>
        <v/>
      </c>
      <c r="L195" s="17"/>
      <c r="M195" s="17"/>
      <c r="N195" s="9">
        <f ca="1">IF(COUNTIF($A$2:A194,A195)&gt;0,INDEX($C$2:C194,MATCH(A195,$A$2:A194,0)),"")</f>
        <v>0</v>
      </c>
      <c r="O195" s="13"/>
      <c r="P195" s="19"/>
    </row>
    <row r="196" spans="1:16" ht="15.75" customHeight="1" x14ac:dyDescent="0.3">
      <c r="A196" s="8" t="str">
        <f ca="1">IFERROR(__xludf.DUMMYFUNCTION("IF(B196="""","""",RIGHT(regexreplace(B196&amp;"""",""[^0-9]"",""""),9))"),"")</f>
        <v/>
      </c>
      <c r="B196" s="5"/>
      <c r="C196" s="5"/>
      <c r="D196" s="5"/>
      <c r="E196" s="15"/>
      <c r="F196" s="15"/>
      <c r="G196" s="15"/>
      <c r="H196" s="15"/>
      <c r="I196" s="15"/>
      <c r="J196" s="15"/>
      <c r="K196" s="9" t="str">
        <f ca="1">IF(COUNTIFS($A$2:A196,A196,$L$2:L196,L196)&gt;1,"DUPLICATE - CHECK","")</f>
        <v/>
      </c>
      <c r="L196" s="17"/>
      <c r="M196" s="17"/>
      <c r="N196" s="9">
        <f ca="1">IF(COUNTIF($A$2:A195,A196)&gt;0,INDEX($C$2:C195,MATCH(A196,$A$2:A195,0)),"")</f>
        <v>0</v>
      </c>
      <c r="O196" s="13"/>
      <c r="P196" s="19"/>
    </row>
    <row r="197" spans="1:16" ht="15.75" customHeight="1" x14ac:dyDescent="0.3">
      <c r="A197" s="8" t="str">
        <f ca="1">IFERROR(__xludf.DUMMYFUNCTION("IF(B197="""","""",RIGHT(regexreplace(B197&amp;"""",""[^0-9]"",""""),9))"),"")</f>
        <v/>
      </c>
      <c r="B197" s="5"/>
      <c r="C197" s="5"/>
      <c r="D197" s="5"/>
      <c r="E197" s="15"/>
      <c r="F197" s="15"/>
      <c r="G197" s="15"/>
      <c r="H197" s="15"/>
      <c r="I197" s="15"/>
      <c r="J197" s="15"/>
      <c r="K197" s="9" t="str">
        <f ca="1">IF(COUNTIFS($A$2:A197,A197,$L$2:L197,L197)&gt;1,"DUPLICATE - CHECK","")</f>
        <v/>
      </c>
      <c r="L197" s="17"/>
      <c r="M197" s="17"/>
      <c r="N197" s="9" t="str">
        <f t="array" aca="1" ref="N197" ca="1">IF(COUNTIF($A$2:A196,A)&gt;0,INDEX($C$2:C196,MATCH(A197,$A$2:A196,0)),"")</f>
        <v/>
      </c>
      <c r="O197" s="13"/>
      <c r="P197" s="19"/>
    </row>
    <row r="198" spans="1:16" ht="15.75" customHeight="1" x14ac:dyDescent="0.3">
      <c r="A198" s="8" t="str">
        <f ca="1">IFERROR(__xludf.DUMMYFUNCTION("IF(B198="""","""",RIGHT(regexreplace(B198&amp;"""",""[^0-9]"",""""),9))"),"")</f>
        <v/>
      </c>
      <c r="B198" s="5"/>
      <c r="C198" s="5"/>
      <c r="D198" s="5"/>
      <c r="E198" s="15"/>
      <c r="F198" s="15"/>
      <c r="G198" s="15"/>
      <c r="H198" s="15"/>
      <c r="I198" s="15"/>
      <c r="J198" s="15"/>
      <c r="K198" s="9" t="str">
        <f ca="1">IF(COUNTIFS($A$2:A198,A198,$L$2:L198,L198)&gt;1,"DUPLICATE - CHECK","")</f>
        <v/>
      </c>
      <c r="L198" s="17"/>
      <c r="M198" s="17"/>
      <c r="N198" s="9">
        <f ca="1">IF(COUNTIF($A$2:A197,A198)&gt;0,INDEX($C$2:C197,MATCH(A198,$A$2:A197,0)),"")</f>
        <v>0</v>
      </c>
      <c r="O198" s="13"/>
      <c r="P198" s="19"/>
    </row>
    <row r="199" spans="1:16" ht="15.75" customHeight="1" x14ac:dyDescent="0.3">
      <c r="A199" s="8" t="str">
        <f ca="1">IFERROR(__xludf.DUMMYFUNCTION("IF(B199="""","""",RIGHT(regexreplace(B199&amp;"""",""[^0-9]"",""""),9))"),"")</f>
        <v/>
      </c>
      <c r="B199" s="5"/>
      <c r="C199" s="5"/>
      <c r="D199" s="5"/>
      <c r="E199" s="15"/>
      <c r="F199" s="15"/>
      <c r="G199" s="15"/>
      <c r="H199" s="15"/>
      <c r="I199" s="15"/>
      <c r="J199" s="15"/>
      <c r="K199" s="9" t="str">
        <f ca="1">IF(COUNTIFS($A$2:A199,A199,$L$2:L199,L199)&gt;1,"DUPLICATE - CHECK","")</f>
        <v/>
      </c>
      <c r="L199" s="17"/>
      <c r="M199" s="17"/>
      <c r="N199" s="9">
        <f ca="1">IF(COUNTIF($A$2:A198,A199)&gt;0,INDEX($C$2:C198,MATCH(A199,$A$2:A198,0)),"")</f>
        <v>0</v>
      </c>
      <c r="O199" s="13"/>
      <c r="P199" s="19"/>
    </row>
    <row r="200" spans="1:16" ht="15.75" customHeight="1" x14ac:dyDescent="0.3">
      <c r="A200" s="8" t="str">
        <f ca="1">IFERROR(__xludf.DUMMYFUNCTION("IF(B200="""","""",RIGHT(regexreplace(B200&amp;"""",""[^0-9]"",""""),9))"),"")</f>
        <v/>
      </c>
      <c r="B200" s="5"/>
      <c r="C200" s="5"/>
      <c r="D200" s="5"/>
      <c r="E200" s="15"/>
      <c r="F200" s="15"/>
      <c r="G200" s="15"/>
      <c r="H200" s="15"/>
      <c r="I200" s="15"/>
      <c r="J200" s="15"/>
      <c r="K200" s="9" t="str">
        <f ca="1">IF(COUNTIFS($A$2:A200,A200,$L$2:L200,L200)&gt;1,"DUPLICATE - CHECK","")</f>
        <v/>
      </c>
      <c r="L200" s="17"/>
      <c r="M200" s="17"/>
      <c r="N200" s="9" t="str">
        <f t="array" aca="1" ref="N200" ca="1">IF(COUNTIF($A$2:A199,A)&gt;0,INDEX($C$2:C199,MATCH(A200,$A$2:A199,0)),"")</f>
        <v/>
      </c>
      <c r="O200" s="13"/>
      <c r="P200" s="19"/>
    </row>
    <row r="201" spans="1:16" ht="15.75" customHeight="1" x14ac:dyDescent="0.3">
      <c r="A201" s="8" t="str">
        <f ca="1">IFERROR(__xludf.DUMMYFUNCTION("IF(B201="""","""",RIGHT(regexreplace(B201&amp;"""",""[^0-9]"",""""),9))"),"")</f>
        <v/>
      </c>
      <c r="B201" s="5"/>
      <c r="C201" s="5"/>
      <c r="D201" s="5"/>
      <c r="E201" s="15"/>
      <c r="F201" s="15"/>
      <c r="G201" s="15"/>
      <c r="H201" s="15"/>
      <c r="I201" s="15"/>
      <c r="J201" s="15"/>
      <c r="K201" s="9" t="str">
        <f ca="1">IF(COUNTIFS($A$2:A201,A201,$L$2:L201,L201)&gt;1,"DUPLICATE - CHECK","")</f>
        <v/>
      </c>
      <c r="L201" s="17"/>
      <c r="M201" s="17"/>
      <c r="N201" s="9">
        <f ca="1">IF(COUNTIF($A$2:A200,A201)&gt;0,INDEX($C$2:C200,MATCH(A201,$A$2:A200,0)),"")</f>
        <v>0</v>
      </c>
      <c r="O201" s="13"/>
      <c r="P201" s="19"/>
    </row>
    <row r="202" spans="1:16" ht="15.75" customHeight="1" x14ac:dyDescent="0.3">
      <c r="A202" s="8" t="str">
        <f ca="1">IFERROR(__xludf.DUMMYFUNCTION("IF(B202="""","""",RIGHT(regexreplace(B202&amp;"""",""[^0-9]"",""""),9))"),"")</f>
        <v/>
      </c>
      <c r="B202" s="5"/>
      <c r="C202" s="5"/>
      <c r="D202" s="5"/>
      <c r="E202" s="15"/>
      <c r="F202" s="15"/>
      <c r="G202" s="15"/>
      <c r="H202" s="15"/>
      <c r="I202" s="15"/>
      <c r="J202" s="15"/>
      <c r="K202" s="9" t="str">
        <f ca="1">IF(COUNTIFS($A$2:A202,A202,$L$2:L202,L202)&gt;1,"DUPLICATE - CHECK","")</f>
        <v/>
      </c>
      <c r="L202" s="17"/>
      <c r="M202" s="17"/>
      <c r="N202" s="9">
        <f ca="1">IF(COUNTIF($A$2:A201,A202)&gt;0,INDEX($C$2:C201,MATCH(A202,$A$2:A201,0)),"")</f>
        <v>0</v>
      </c>
      <c r="O202" s="13"/>
      <c r="P202" s="19"/>
    </row>
    <row r="203" spans="1:16" ht="15.75" customHeight="1" x14ac:dyDescent="0.3">
      <c r="A203" s="8" t="str">
        <f ca="1">IFERROR(__xludf.DUMMYFUNCTION("IF(B203="""","""",RIGHT(regexreplace(B203&amp;"""",""[^0-9]"",""""),9))"),"")</f>
        <v/>
      </c>
      <c r="B203" s="5"/>
      <c r="C203" s="5"/>
      <c r="D203" s="5"/>
      <c r="E203" s="15"/>
      <c r="F203" s="15"/>
      <c r="G203" s="15"/>
      <c r="H203" s="15"/>
      <c r="I203" s="15"/>
      <c r="J203" s="15"/>
      <c r="K203" s="9" t="str">
        <f ca="1">IF(COUNTIFS($A$2:A203,A203,$L$2:L203,L203)&gt;1,"DUPLICATE - CHECK","")</f>
        <v/>
      </c>
      <c r="L203" s="17"/>
      <c r="M203" s="17"/>
      <c r="N203" s="9" t="str">
        <f t="array" aca="1" ref="N203" ca="1">IF(COUNTIF($A$2:A202,A)&gt;0,INDEX($C$2:C202,MATCH(A203,$A$2:A202,0)),"")</f>
        <v/>
      </c>
      <c r="O203" s="13"/>
      <c r="P203" s="19"/>
    </row>
    <row r="204" spans="1:16" ht="15.75" customHeight="1" x14ac:dyDescent="0.3">
      <c r="A204" s="8" t="str">
        <f ca="1">IFERROR(__xludf.DUMMYFUNCTION("IF(B204="""","""",RIGHT(regexreplace(B204&amp;"""",""[^0-9]"",""""),9))"),"")</f>
        <v/>
      </c>
      <c r="B204" s="5"/>
      <c r="C204" s="5"/>
      <c r="D204" s="5"/>
      <c r="E204" s="15"/>
      <c r="F204" s="15"/>
      <c r="G204" s="15"/>
      <c r="H204" s="15"/>
      <c r="I204" s="15"/>
      <c r="J204" s="15"/>
      <c r="K204" s="9" t="str">
        <f ca="1">IF(COUNTIFS($A$2:A204,A204,$L$2:L204,L204)&gt;1,"DUPLICATE - CHECK","")</f>
        <v/>
      </c>
      <c r="L204" s="17"/>
      <c r="M204" s="17"/>
      <c r="N204" s="9">
        <f ca="1">IF(COUNTIF($A$2:A203,A204)&gt;0,INDEX($C$2:C203,MATCH(A204,$A$2:A203,0)),"")</f>
        <v>0</v>
      </c>
      <c r="O204" s="13"/>
      <c r="P204" s="19"/>
    </row>
    <row r="205" spans="1:16" ht="15.75" customHeight="1" x14ac:dyDescent="0.3">
      <c r="A205" s="8" t="str">
        <f ca="1">IFERROR(__xludf.DUMMYFUNCTION("IF(B205="""","""",RIGHT(regexreplace(B205&amp;"""",""[^0-9]"",""""),9))"),"")</f>
        <v/>
      </c>
      <c r="B205" s="5"/>
      <c r="C205" s="5"/>
      <c r="D205" s="5"/>
      <c r="E205" s="15"/>
      <c r="F205" s="15"/>
      <c r="G205" s="15"/>
      <c r="H205" s="15"/>
      <c r="I205" s="15"/>
      <c r="J205" s="15"/>
      <c r="K205" s="9" t="str">
        <f ca="1">IF(COUNTIFS($A$2:A205,A205,$L$2:L205,L205)&gt;1,"DUPLICATE - CHECK","")</f>
        <v/>
      </c>
      <c r="L205" s="17"/>
      <c r="M205" s="17"/>
      <c r="N205" s="9">
        <f ca="1">IF(COUNTIF($A$2:A204,A205)&gt;0,INDEX($C$2:C204,MATCH(A205,$A$2:A204,0)),"")</f>
        <v>0</v>
      </c>
      <c r="O205" s="13"/>
      <c r="P205" s="19"/>
    </row>
    <row r="206" spans="1:16" ht="15.75" customHeight="1" x14ac:dyDescent="0.3">
      <c r="A206" s="8" t="str">
        <f ca="1">IFERROR(__xludf.DUMMYFUNCTION("IF(B206="""","""",RIGHT(regexreplace(B206&amp;"""",""[^0-9]"",""""),9))"),"")</f>
        <v/>
      </c>
      <c r="B206" s="5"/>
      <c r="C206" s="5"/>
      <c r="D206" s="5"/>
      <c r="E206" s="15"/>
      <c r="F206" s="15"/>
      <c r="G206" s="15"/>
      <c r="H206" s="15"/>
      <c r="I206" s="15"/>
      <c r="J206" s="15"/>
      <c r="K206" s="9" t="str">
        <f ca="1">IF(COUNTIFS($A$2:A206,A206,$L$2:L206,L206)&gt;1,"DUPLICATE - CHECK","")</f>
        <v/>
      </c>
      <c r="L206" s="17"/>
      <c r="M206" s="17"/>
      <c r="N206" s="9" t="str">
        <f t="array" aca="1" ref="N206" ca="1">IF(COUNTIF($A$2:A205,A)&gt;0,INDEX($C$2:C205,MATCH(A206,$A$2:A205,0)),"")</f>
        <v/>
      </c>
      <c r="O206" s="13"/>
      <c r="P206" s="19"/>
    </row>
    <row r="207" spans="1:16" ht="15.75" customHeight="1" x14ac:dyDescent="0.3">
      <c r="A207" s="8" t="str">
        <f ca="1">IFERROR(__xludf.DUMMYFUNCTION("IF(B207="""","""",RIGHT(regexreplace(B207&amp;"""",""[^0-9]"",""""),9))"),"")</f>
        <v/>
      </c>
      <c r="B207" s="5"/>
      <c r="C207" s="5"/>
      <c r="D207" s="5"/>
      <c r="E207" s="15"/>
      <c r="F207" s="15"/>
      <c r="G207" s="15"/>
      <c r="H207" s="15"/>
      <c r="I207" s="15"/>
      <c r="J207" s="15"/>
      <c r="K207" s="9" t="str">
        <f ca="1">IF(COUNTIFS($A$2:A207,A207,$L$2:L207,L207)&gt;1,"DUPLICATE - CHECK","")</f>
        <v/>
      </c>
      <c r="L207" s="17"/>
      <c r="M207" s="17"/>
      <c r="N207" s="9">
        <f ca="1">IF(COUNTIF($A$2:A206,A207)&gt;0,INDEX($C$2:C206,MATCH(A207,$A$2:A206,0)),"")</f>
        <v>0</v>
      </c>
      <c r="O207" s="13"/>
      <c r="P207" s="19"/>
    </row>
    <row r="208" spans="1:16" ht="15.75" customHeight="1" x14ac:dyDescent="0.3">
      <c r="A208" s="8" t="str">
        <f ca="1">IFERROR(__xludf.DUMMYFUNCTION("IF(B208="""","""",RIGHT(regexreplace(B208&amp;"""",""[^0-9]"",""""),9))"),"")</f>
        <v/>
      </c>
      <c r="B208" s="5"/>
      <c r="C208" s="5"/>
      <c r="D208" s="5"/>
      <c r="E208" s="15"/>
      <c r="F208" s="15"/>
      <c r="G208" s="15"/>
      <c r="H208" s="15"/>
      <c r="I208" s="15"/>
      <c r="J208" s="15"/>
      <c r="K208" s="9" t="str">
        <f ca="1">IF(COUNTIFS($A$2:A208,A208,$L$2:L208,L208)&gt;1,"DUPLICATE - CHECK","")</f>
        <v/>
      </c>
      <c r="L208" s="17"/>
      <c r="M208" s="17"/>
      <c r="N208" s="9">
        <f ca="1">IF(COUNTIF($A$2:A207,A208)&gt;0,INDEX($C$2:C207,MATCH(A208,$A$2:A207,0)),"")</f>
        <v>0</v>
      </c>
      <c r="O208" s="13"/>
      <c r="P208" s="19"/>
    </row>
    <row r="209" spans="1:16" ht="15.75" customHeight="1" x14ac:dyDescent="0.3">
      <c r="A209" s="8" t="str">
        <f ca="1">IFERROR(__xludf.DUMMYFUNCTION("IF(B209="""","""",RIGHT(regexreplace(B209&amp;"""",""[^0-9]"",""""),9))"),"")</f>
        <v/>
      </c>
      <c r="B209" s="5"/>
      <c r="C209" s="5"/>
      <c r="D209" s="5"/>
      <c r="E209" s="15"/>
      <c r="F209" s="15"/>
      <c r="G209" s="15"/>
      <c r="H209" s="15"/>
      <c r="I209" s="15"/>
      <c r="J209" s="15"/>
      <c r="K209" s="9" t="str">
        <f ca="1">IF(COUNTIFS($A$2:A209,A209,$L$2:L209,L209)&gt;1,"DUPLICATE - CHECK","")</f>
        <v/>
      </c>
      <c r="L209" s="17"/>
      <c r="M209" s="17"/>
      <c r="N209" s="9" t="str">
        <f t="array" aca="1" ref="N209" ca="1">IF(COUNTIF($A$2:A208,A)&gt;0,INDEX($C$2:C208,MATCH(A209,$A$2:A208,0)),"")</f>
        <v/>
      </c>
      <c r="O209" s="13"/>
      <c r="P209" s="19"/>
    </row>
    <row r="210" spans="1:16" ht="15.75" customHeight="1" x14ac:dyDescent="0.3">
      <c r="A210" s="8" t="str">
        <f ca="1">IFERROR(__xludf.DUMMYFUNCTION("IF(B210="""","""",RIGHT(regexreplace(B210&amp;"""",""[^0-9]"",""""),9))"),"")</f>
        <v/>
      </c>
      <c r="B210" s="5"/>
      <c r="C210" s="5"/>
      <c r="D210" s="5"/>
      <c r="E210" s="15"/>
      <c r="F210" s="15"/>
      <c r="G210" s="15"/>
      <c r="H210" s="15"/>
      <c r="I210" s="15"/>
      <c r="J210" s="15"/>
      <c r="K210" s="9" t="str">
        <f ca="1">IF(COUNTIFS($A$2:A210,A210,$L$2:L210,L210)&gt;1,"DUPLICATE - CHECK","")</f>
        <v/>
      </c>
      <c r="L210" s="17"/>
      <c r="M210" s="17"/>
      <c r="N210" s="9">
        <f ca="1">IF(COUNTIF($A$2:A209,A210)&gt;0,INDEX($C$2:C209,MATCH(A210,$A$2:A209,0)),"")</f>
        <v>0</v>
      </c>
      <c r="O210" s="13"/>
      <c r="P210" s="19"/>
    </row>
    <row r="211" spans="1:16" ht="15.75" customHeight="1" x14ac:dyDescent="0.3">
      <c r="A211" s="8" t="str">
        <f ca="1">IFERROR(__xludf.DUMMYFUNCTION("IF(B211="""","""",RIGHT(regexreplace(B211&amp;"""",""[^0-9]"",""""),9))"),"")</f>
        <v/>
      </c>
      <c r="B211" s="5"/>
      <c r="C211" s="5"/>
      <c r="D211" s="5"/>
      <c r="E211" s="15"/>
      <c r="F211" s="15"/>
      <c r="G211" s="15"/>
      <c r="H211" s="15"/>
      <c r="I211" s="15"/>
      <c r="J211" s="15"/>
      <c r="K211" s="9" t="str">
        <f ca="1">IF(COUNTIFS($A$2:A211,A211,$L$2:L211,L211)&gt;1,"DUPLICATE - CHECK","")</f>
        <v/>
      </c>
      <c r="L211" s="17"/>
      <c r="M211" s="17"/>
      <c r="N211" s="9">
        <f ca="1">IF(COUNTIF($A$2:A210,A211)&gt;0,INDEX($C$2:C210,MATCH(A211,$A$2:A210,0)),"")</f>
        <v>0</v>
      </c>
      <c r="O211" s="13"/>
      <c r="P211" s="19"/>
    </row>
    <row r="212" spans="1:16" ht="15.75" customHeight="1" x14ac:dyDescent="0.3">
      <c r="A212" s="8" t="str">
        <f ca="1">IFERROR(__xludf.DUMMYFUNCTION("IF(B212="""","""",RIGHT(regexreplace(B212&amp;"""",""[^0-9]"",""""),9))"),"")</f>
        <v/>
      </c>
      <c r="B212" s="5"/>
      <c r="C212" s="5"/>
      <c r="D212" s="5"/>
      <c r="E212" s="15"/>
      <c r="F212" s="15"/>
      <c r="G212" s="15"/>
      <c r="H212" s="15"/>
      <c r="I212" s="15"/>
      <c r="J212" s="15"/>
      <c r="K212" s="9" t="str">
        <f ca="1">IF(COUNTIFS($A$2:A212,A212,$L$2:L212,L212)&gt;1,"DUPLICATE - CHECK","")</f>
        <v/>
      </c>
      <c r="L212" s="17"/>
      <c r="M212" s="17"/>
      <c r="N212" s="9" t="str">
        <f t="array" aca="1" ref="N212" ca="1">IF(COUNTIF($A$2:A211,A)&gt;0,INDEX($C$2:C211,MATCH(A212,$A$2:A211,0)),"")</f>
        <v/>
      </c>
      <c r="O212" s="13"/>
      <c r="P212" s="19"/>
    </row>
    <row r="213" spans="1:16" ht="15.75" customHeight="1" x14ac:dyDescent="0.3">
      <c r="A213" s="8" t="str">
        <f ca="1">IFERROR(__xludf.DUMMYFUNCTION("IF(B213="""","""",RIGHT(regexreplace(B213&amp;"""",""[^0-9]"",""""),9))"),"")</f>
        <v/>
      </c>
      <c r="B213" s="5"/>
      <c r="C213" s="5"/>
      <c r="D213" s="5"/>
      <c r="E213" s="15"/>
      <c r="F213" s="15"/>
      <c r="G213" s="15"/>
      <c r="H213" s="15"/>
      <c r="I213" s="15"/>
      <c r="J213" s="15"/>
      <c r="K213" s="9" t="str">
        <f ca="1">IF(COUNTIFS($A$2:A213,A213,$L$2:L213,L213)&gt;1,"DUPLICATE - CHECK","")</f>
        <v/>
      </c>
      <c r="L213" s="17"/>
      <c r="M213" s="17"/>
      <c r="N213" s="9">
        <f ca="1">IF(COUNTIF($A$2:A212,A213)&gt;0,INDEX($C$2:C212,MATCH(A213,$A$2:A212,0)),"")</f>
        <v>0</v>
      </c>
      <c r="O213" s="13"/>
      <c r="P213" s="19"/>
    </row>
    <row r="214" spans="1:16" ht="15.75" customHeight="1" x14ac:dyDescent="0.3">
      <c r="A214" s="8" t="str">
        <f ca="1">IFERROR(__xludf.DUMMYFUNCTION("IF(B214="""","""",RIGHT(regexreplace(B214&amp;"""",""[^0-9]"",""""),9))"),"")</f>
        <v/>
      </c>
      <c r="B214" s="5"/>
      <c r="C214" s="5"/>
      <c r="D214" s="5"/>
      <c r="E214" s="15"/>
      <c r="F214" s="15"/>
      <c r="G214" s="15"/>
      <c r="H214" s="15"/>
      <c r="I214" s="15"/>
      <c r="J214" s="15"/>
      <c r="K214" s="9" t="str">
        <f ca="1">IF(COUNTIFS($A$2:A214,A214,$L$2:L214,L214)&gt;1,"DUPLICATE - CHECK","")</f>
        <v/>
      </c>
      <c r="L214" s="17"/>
      <c r="M214" s="17"/>
      <c r="N214" s="9">
        <f ca="1">IF(COUNTIF($A$2:A213,A214)&gt;0,INDEX($C$2:C213,MATCH(A214,$A$2:A213,0)),"")</f>
        <v>0</v>
      </c>
      <c r="O214" s="13"/>
      <c r="P214" s="19"/>
    </row>
    <row r="215" spans="1:16" ht="15.75" customHeight="1" x14ac:dyDescent="0.3">
      <c r="A215" s="8" t="str">
        <f ca="1">IFERROR(__xludf.DUMMYFUNCTION("IF(B215="""","""",RIGHT(regexreplace(B215&amp;"""",""[^0-9]"",""""),9))"),"")</f>
        <v/>
      </c>
      <c r="B215" s="5"/>
      <c r="C215" s="5"/>
      <c r="D215" s="5"/>
      <c r="E215" s="15"/>
      <c r="F215" s="15"/>
      <c r="G215" s="15"/>
      <c r="H215" s="15"/>
      <c r="I215" s="15"/>
      <c r="J215" s="15"/>
      <c r="K215" s="9" t="str">
        <f ca="1">IF(COUNTIFS($A$2:A215,A215,$L$2:L215,L215)&gt;1,"DUPLICATE - CHECK","")</f>
        <v/>
      </c>
      <c r="L215" s="17"/>
      <c r="M215" s="17"/>
      <c r="N215" s="9" t="str">
        <f t="array" aca="1" ref="N215" ca="1">IF(COUNTIF($A$2:A214,A)&gt;0,INDEX($C$2:C214,MATCH(A215,$A$2:A214,0)),"")</f>
        <v/>
      </c>
      <c r="O215" s="13"/>
      <c r="P215" s="19"/>
    </row>
    <row r="216" spans="1:16" ht="15.75" customHeight="1" x14ac:dyDescent="0.3">
      <c r="A216" s="8" t="str">
        <f ca="1">IFERROR(__xludf.DUMMYFUNCTION("IF(B216="""","""",RIGHT(regexreplace(B216&amp;"""",""[^0-9]"",""""),9))"),"")</f>
        <v/>
      </c>
      <c r="B216" s="5"/>
      <c r="C216" s="5"/>
      <c r="D216" s="5"/>
      <c r="E216" s="15"/>
      <c r="F216" s="15"/>
      <c r="G216" s="15"/>
      <c r="H216" s="15"/>
      <c r="I216" s="15"/>
      <c r="J216" s="15"/>
      <c r="K216" s="9" t="str">
        <f ca="1">IF(COUNTIFS($A$2:A216,A216,$L$2:L216,L216)&gt;1,"DUPLICATE - CHECK","")</f>
        <v/>
      </c>
      <c r="L216" s="17"/>
      <c r="M216" s="17"/>
      <c r="N216" s="9">
        <f ca="1">IF(COUNTIF($A$2:A215,A216)&gt;0,INDEX($C$2:C215,MATCH(A216,$A$2:A215,0)),"")</f>
        <v>0</v>
      </c>
      <c r="O216" s="13"/>
      <c r="P216" s="19"/>
    </row>
    <row r="217" spans="1:16" ht="15.75" customHeight="1" x14ac:dyDescent="0.3">
      <c r="A217" s="8" t="str">
        <f ca="1">IFERROR(__xludf.DUMMYFUNCTION("IF(B217="""","""",RIGHT(regexreplace(B217&amp;"""",""[^0-9]"",""""),9))"),"")</f>
        <v/>
      </c>
      <c r="B217" s="5"/>
      <c r="C217" s="5"/>
      <c r="D217" s="5"/>
      <c r="E217" s="15"/>
      <c r="F217" s="15"/>
      <c r="G217" s="15"/>
      <c r="H217" s="15"/>
      <c r="I217" s="15"/>
      <c r="J217" s="15"/>
      <c r="K217" s="9" t="str">
        <f ca="1">IF(COUNTIFS($A$2:A217,A217,$L$2:L217,L217)&gt;1,"DUPLICATE - CHECK","")</f>
        <v/>
      </c>
      <c r="L217" s="17"/>
      <c r="M217" s="17"/>
      <c r="N217" s="9">
        <f ca="1">IF(COUNTIF($A$2:A216,A217)&gt;0,INDEX($C$2:C216,MATCH(A217,$A$2:A216,0)),"")</f>
        <v>0</v>
      </c>
      <c r="O217" s="13"/>
      <c r="P217" s="19"/>
    </row>
    <row r="218" spans="1:16" ht="15.75" customHeight="1" x14ac:dyDescent="0.3">
      <c r="A218" s="8" t="str">
        <f ca="1">IFERROR(__xludf.DUMMYFUNCTION("IF(B218="""","""",RIGHT(regexreplace(B218&amp;"""",""[^0-9]"",""""),9))"),"")</f>
        <v/>
      </c>
      <c r="B218" s="5"/>
      <c r="C218" s="5"/>
      <c r="D218" s="5"/>
      <c r="E218" s="15"/>
      <c r="F218" s="15"/>
      <c r="G218" s="15"/>
      <c r="H218" s="15"/>
      <c r="I218" s="15"/>
      <c r="J218" s="15"/>
      <c r="K218" s="9" t="str">
        <f ca="1">IF(COUNTIFS($A$2:A218,A218,$L$2:L218,L218)&gt;1,"DUPLICATE - CHECK","")</f>
        <v/>
      </c>
      <c r="L218" s="17"/>
      <c r="M218" s="17"/>
      <c r="N218" s="9" t="str">
        <f t="array" aca="1" ref="N218" ca="1">IF(COUNTIF($A$2:A217,A)&gt;0,INDEX($C$2:C217,MATCH(A218,$A$2:A217,0)),"")</f>
        <v/>
      </c>
      <c r="O218" s="13"/>
      <c r="P218" s="19"/>
    </row>
    <row r="219" spans="1:16" ht="15.75" customHeight="1" x14ac:dyDescent="0.3">
      <c r="A219" s="8" t="str">
        <f ca="1">IFERROR(__xludf.DUMMYFUNCTION("IF(B219="""","""",RIGHT(regexreplace(B219&amp;"""",""[^0-9]"",""""),9))"),"")</f>
        <v/>
      </c>
      <c r="B219" s="5"/>
      <c r="C219" s="5"/>
      <c r="D219" s="5"/>
      <c r="E219" s="15"/>
      <c r="F219" s="15"/>
      <c r="G219" s="15"/>
      <c r="H219" s="15"/>
      <c r="I219" s="15"/>
      <c r="J219" s="15"/>
      <c r="K219" s="9" t="str">
        <f ca="1">IF(COUNTIFS($A$2:A219,A219,$L$2:L219,L219)&gt;1,"DUPLICATE - CHECK","")</f>
        <v/>
      </c>
      <c r="L219" s="17"/>
      <c r="M219" s="17"/>
      <c r="N219" s="9">
        <f ca="1">IF(COUNTIF($A$2:A218,A219)&gt;0,INDEX($C$2:C218,MATCH(A219,$A$2:A218,0)),"")</f>
        <v>0</v>
      </c>
      <c r="O219" s="13"/>
      <c r="P219" s="19"/>
    </row>
    <row r="220" spans="1:16" ht="15.75" customHeight="1" x14ac:dyDescent="0.3">
      <c r="A220" s="8" t="str">
        <f ca="1">IFERROR(__xludf.DUMMYFUNCTION("IF(B220="""","""",RIGHT(regexreplace(B220&amp;"""",""[^0-9]"",""""),9))"),"")</f>
        <v/>
      </c>
      <c r="B220" s="5"/>
      <c r="C220" s="5"/>
      <c r="D220" s="5"/>
      <c r="E220" s="15"/>
      <c r="F220" s="15"/>
      <c r="G220" s="15"/>
      <c r="H220" s="15"/>
      <c r="I220" s="15"/>
      <c r="J220" s="15"/>
      <c r="K220" s="9" t="str">
        <f ca="1">IF(COUNTIFS($A$2:A220,A220,$L$2:L220,L220)&gt;1,"DUPLICATE - CHECK","")</f>
        <v/>
      </c>
      <c r="L220" s="17"/>
      <c r="M220" s="17"/>
      <c r="N220" s="9">
        <f ca="1">IF(COUNTIF($A$2:A219,A220)&gt;0,INDEX($C$2:C219,MATCH(A220,$A$2:A219,0)),"")</f>
        <v>0</v>
      </c>
      <c r="O220" s="13"/>
      <c r="P220" s="19"/>
    </row>
    <row r="221" spans="1:16" ht="15.75" customHeight="1" x14ac:dyDescent="0.3">
      <c r="A221" s="8" t="str">
        <f ca="1">IFERROR(__xludf.DUMMYFUNCTION("IF(B221="""","""",RIGHT(regexreplace(B221&amp;"""",""[^0-9]"",""""),9))"),"")</f>
        <v/>
      </c>
      <c r="B221" s="5"/>
      <c r="C221" s="5"/>
      <c r="D221" s="5"/>
      <c r="E221" s="15"/>
      <c r="F221" s="15"/>
      <c r="G221" s="15"/>
      <c r="H221" s="15"/>
      <c r="I221" s="15"/>
      <c r="J221" s="15"/>
      <c r="K221" s="9" t="str">
        <f ca="1">IF(COUNTIFS($A$2:A221,A221,$L$2:L221,L221)&gt;1,"DUPLICATE - CHECK","")</f>
        <v/>
      </c>
      <c r="L221" s="17"/>
      <c r="M221" s="17"/>
      <c r="N221" s="9" t="str">
        <f t="array" aca="1" ref="N221" ca="1">IF(COUNTIF($A$2:A220,A)&gt;0,INDEX($C$2:C220,MATCH(A221,$A$2:A220,0)),"")</f>
        <v/>
      </c>
      <c r="O221" s="13"/>
      <c r="P221" s="19"/>
    </row>
    <row r="222" spans="1:16" ht="15.75" customHeight="1" x14ac:dyDescent="0.3">
      <c r="A222" s="8" t="str">
        <f ca="1">IFERROR(__xludf.DUMMYFUNCTION("IF(B222="""","""",RIGHT(regexreplace(B222&amp;"""",""[^0-9]"",""""),9))"),"")</f>
        <v/>
      </c>
      <c r="B222" s="5"/>
      <c r="C222" s="5"/>
      <c r="D222" s="5"/>
      <c r="E222" s="15"/>
      <c r="F222" s="15"/>
      <c r="G222" s="15"/>
      <c r="H222" s="15"/>
      <c r="I222" s="15"/>
      <c r="J222" s="15"/>
      <c r="K222" s="9" t="str">
        <f ca="1">IF(COUNTIFS($A$2:A222,A222,$L$2:L222,L222)&gt;1,"DUPLICATE - CHECK","")</f>
        <v/>
      </c>
      <c r="L222" s="17"/>
      <c r="M222" s="17"/>
      <c r="N222" s="9">
        <f ca="1">IF(COUNTIF($A$2:A221,A222)&gt;0,INDEX($C$2:C221,MATCH(A222,$A$2:A221,0)),"")</f>
        <v>0</v>
      </c>
      <c r="O222" s="13"/>
      <c r="P222" s="19"/>
    </row>
    <row r="223" spans="1:16" ht="15.75" customHeight="1" x14ac:dyDescent="0.3">
      <c r="A223" s="8" t="str">
        <f ca="1">IFERROR(__xludf.DUMMYFUNCTION("IF(B223="""","""",RIGHT(regexreplace(B223&amp;"""",""[^0-9]"",""""),9))"),"")</f>
        <v/>
      </c>
      <c r="B223" s="5"/>
      <c r="C223" s="5"/>
      <c r="D223" s="5"/>
      <c r="E223" s="15"/>
      <c r="F223" s="15"/>
      <c r="G223" s="15"/>
      <c r="H223" s="15"/>
      <c r="I223" s="15"/>
      <c r="J223" s="15"/>
      <c r="K223" s="9" t="str">
        <f ca="1">IF(COUNTIFS($A$2:A223,A223,$L$2:L223,L223)&gt;1,"DUPLICATE - CHECK","")</f>
        <v/>
      </c>
      <c r="L223" s="17"/>
      <c r="M223" s="17"/>
      <c r="N223" s="9">
        <f ca="1">IF(COUNTIF($A$2:A222,A223)&gt;0,INDEX($C$2:C222,MATCH(A223,$A$2:A222,0)),"")</f>
        <v>0</v>
      </c>
      <c r="O223" s="13"/>
      <c r="P223" s="19"/>
    </row>
    <row r="224" spans="1:16" ht="15.75" customHeight="1" x14ac:dyDescent="0.3">
      <c r="A224" s="8" t="str">
        <f ca="1">IFERROR(__xludf.DUMMYFUNCTION("IF(B224="""","""",RIGHT(regexreplace(B224&amp;"""",""[^0-9]"",""""),9))"),"")</f>
        <v/>
      </c>
      <c r="B224" s="5"/>
      <c r="C224" s="5"/>
      <c r="D224" s="5"/>
      <c r="E224" s="15"/>
      <c r="F224" s="15"/>
      <c r="G224" s="15"/>
      <c r="H224" s="15"/>
      <c r="I224" s="15"/>
      <c r="J224" s="15"/>
      <c r="K224" s="9" t="str">
        <f ca="1">IF(COUNTIFS($A$2:A224,A224,$L$2:L224,L224)&gt;1,"DUPLICATE - CHECK","")</f>
        <v/>
      </c>
      <c r="L224" s="17"/>
      <c r="M224" s="17"/>
      <c r="N224" s="9" t="str">
        <f t="array" aca="1" ref="N224" ca="1">IF(COUNTIF($A$2:A223,A)&gt;0,INDEX($C$2:C223,MATCH(A224,$A$2:A223,0)),"")</f>
        <v/>
      </c>
      <c r="O224" s="13"/>
      <c r="P224" s="19"/>
    </row>
    <row r="225" spans="1:16" ht="15.75" customHeight="1" x14ac:dyDescent="0.3">
      <c r="A225" s="8" t="str">
        <f ca="1">IFERROR(__xludf.DUMMYFUNCTION("IF(B225="""","""",RIGHT(regexreplace(B225&amp;"""",""[^0-9]"",""""),9))"),"")</f>
        <v/>
      </c>
      <c r="B225" s="5"/>
      <c r="C225" s="5"/>
      <c r="D225" s="5"/>
      <c r="E225" s="15"/>
      <c r="F225" s="15"/>
      <c r="G225" s="15"/>
      <c r="H225" s="15"/>
      <c r="I225" s="15"/>
      <c r="J225" s="15"/>
      <c r="K225" s="9" t="str">
        <f ca="1">IF(COUNTIFS($A$2:A225,A225,$L$2:L225,L225)&gt;1,"DUPLICATE - CHECK","")</f>
        <v/>
      </c>
      <c r="L225" s="17"/>
      <c r="M225" s="17"/>
      <c r="N225" s="9">
        <f ca="1">IF(COUNTIF($A$2:A224,A225)&gt;0,INDEX($C$2:C224,MATCH(A225,$A$2:A224,0)),"")</f>
        <v>0</v>
      </c>
      <c r="O225" s="13"/>
      <c r="P225" s="19"/>
    </row>
    <row r="226" spans="1:16" ht="15.75" customHeight="1" x14ac:dyDescent="0.3">
      <c r="A226" s="8" t="str">
        <f ca="1">IFERROR(__xludf.DUMMYFUNCTION("IF(B226="""","""",RIGHT(regexreplace(B226&amp;"""",""[^0-9]"",""""),9))"),"")</f>
        <v/>
      </c>
      <c r="B226" s="5"/>
      <c r="C226" s="5"/>
      <c r="D226" s="5"/>
      <c r="E226" s="15"/>
      <c r="F226" s="15"/>
      <c r="G226" s="15"/>
      <c r="H226" s="15"/>
      <c r="I226" s="15"/>
      <c r="J226" s="15"/>
      <c r="K226" s="9" t="str">
        <f ca="1">IF(COUNTIFS($A$2:A226,A226,$L$2:L226,L226)&gt;1,"DUPLICATE - CHECK","")</f>
        <v/>
      </c>
      <c r="L226" s="17"/>
      <c r="M226" s="17"/>
      <c r="N226" s="9">
        <f ca="1">IF(COUNTIF($A$2:A225,A226)&gt;0,INDEX($C$2:C225,MATCH(A226,$A$2:A225,0)),"")</f>
        <v>0</v>
      </c>
      <c r="O226" s="13"/>
      <c r="P226" s="19"/>
    </row>
    <row r="227" spans="1:16" ht="15.75" customHeight="1" x14ac:dyDescent="0.3">
      <c r="A227" s="8" t="str">
        <f ca="1">IFERROR(__xludf.DUMMYFUNCTION("IF(B227="""","""",RIGHT(regexreplace(B227&amp;"""",""[^0-9]"",""""),9))"),"")</f>
        <v/>
      </c>
      <c r="B227" s="5"/>
      <c r="C227" s="5"/>
      <c r="D227" s="5"/>
      <c r="E227" s="15"/>
      <c r="F227" s="15"/>
      <c r="G227" s="15"/>
      <c r="H227" s="15"/>
      <c r="I227" s="15"/>
      <c r="J227" s="15"/>
      <c r="K227" s="9" t="str">
        <f ca="1">IF(COUNTIFS($A$2:A227,A227,$L$2:L227,L227)&gt;1,"DUPLICATE - CHECK","")</f>
        <v/>
      </c>
      <c r="L227" s="17"/>
      <c r="M227" s="17"/>
      <c r="N227" s="9" t="str">
        <f t="array" aca="1" ref="N227" ca="1">IF(COUNTIF($A$2:A226,A)&gt;0,INDEX($C$2:C226,MATCH(A227,$A$2:A226,0)),"")</f>
        <v/>
      </c>
      <c r="O227" s="13"/>
      <c r="P227" s="19"/>
    </row>
    <row r="228" spans="1:16" ht="15.75" customHeight="1" x14ac:dyDescent="0.3">
      <c r="A228" s="8" t="str">
        <f ca="1">IFERROR(__xludf.DUMMYFUNCTION("IF(B228="""","""",RIGHT(regexreplace(B228&amp;"""",""[^0-9]"",""""),9))"),"")</f>
        <v/>
      </c>
      <c r="B228" s="5"/>
      <c r="C228" s="5"/>
      <c r="D228" s="5"/>
      <c r="E228" s="15"/>
      <c r="F228" s="15"/>
      <c r="G228" s="15"/>
      <c r="H228" s="15"/>
      <c r="I228" s="15"/>
      <c r="J228" s="15"/>
      <c r="K228" s="9" t="str">
        <f ca="1">IF(COUNTIFS($A$2:A228,A228,$L$2:L228,L228)&gt;1,"DUPLICATE - CHECK","")</f>
        <v/>
      </c>
      <c r="L228" s="17"/>
      <c r="M228" s="17"/>
      <c r="N228" s="9">
        <f ca="1">IF(COUNTIF($A$2:A227,A228)&gt;0,INDEX($C$2:C227,MATCH(A228,$A$2:A227,0)),"")</f>
        <v>0</v>
      </c>
      <c r="O228" s="13"/>
      <c r="P228" s="19"/>
    </row>
    <row r="229" spans="1:16" ht="15.75" customHeight="1" x14ac:dyDescent="0.3">
      <c r="A229" s="8" t="str">
        <f ca="1">IFERROR(__xludf.DUMMYFUNCTION("IF(B229="""","""",RIGHT(regexreplace(B229&amp;"""",""[^0-9]"",""""),9))"),"")</f>
        <v/>
      </c>
      <c r="B229" s="5"/>
      <c r="C229" s="5"/>
      <c r="D229" s="5"/>
      <c r="E229" s="15"/>
      <c r="F229" s="15"/>
      <c r="G229" s="15"/>
      <c r="H229" s="15"/>
      <c r="I229" s="15"/>
      <c r="J229" s="15"/>
      <c r="K229" s="9" t="str">
        <f ca="1">IF(COUNTIFS($A$2:A229,A229,$L$2:L229,L229)&gt;1,"DUPLICATE - CHECK","")</f>
        <v/>
      </c>
      <c r="L229" s="17"/>
      <c r="M229" s="17"/>
      <c r="N229" s="9">
        <f ca="1">IF(COUNTIF($A$2:A228,A229)&gt;0,INDEX($C$2:C228,MATCH(A229,$A$2:A228,0)),"")</f>
        <v>0</v>
      </c>
      <c r="O229" s="13"/>
      <c r="P229" s="19"/>
    </row>
    <row r="230" spans="1:16" ht="15.75" customHeight="1" x14ac:dyDescent="0.3">
      <c r="A230" s="8" t="str">
        <f ca="1">IFERROR(__xludf.DUMMYFUNCTION("IF(B230="""","""",RIGHT(regexreplace(B230&amp;"""",""[^0-9]"",""""),9))"),"")</f>
        <v/>
      </c>
      <c r="B230" s="5"/>
      <c r="C230" s="5"/>
      <c r="D230" s="5"/>
      <c r="E230" s="15"/>
      <c r="F230" s="15"/>
      <c r="G230" s="15"/>
      <c r="H230" s="15"/>
      <c r="I230" s="15"/>
      <c r="J230" s="15"/>
      <c r="K230" s="9" t="str">
        <f ca="1">IF(COUNTIFS($A$2:A230,A230,$L$2:L230,L230)&gt;1,"DUPLICATE - CHECK","")</f>
        <v/>
      </c>
      <c r="L230" s="17"/>
      <c r="M230" s="17"/>
      <c r="N230" s="9" t="str">
        <f t="array" aca="1" ref="N230" ca="1">IF(COUNTIF($A$2:A229,A)&gt;0,INDEX($C$2:C229,MATCH(A230,$A$2:A229,0)),"")</f>
        <v/>
      </c>
      <c r="O230" s="13"/>
      <c r="P230" s="19"/>
    </row>
    <row r="231" spans="1:16" ht="15.75" customHeight="1" x14ac:dyDescent="0.3">
      <c r="A231" s="8" t="str">
        <f ca="1">IFERROR(__xludf.DUMMYFUNCTION("IF(B231="""","""",RIGHT(regexreplace(B231&amp;"""",""[^0-9]"",""""),9))"),"")</f>
        <v/>
      </c>
      <c r="B231" s="5"/>
      <c r="C231" s="5"/>
      <c r="D231" s="5"/>
      <c r="E231" s="15"/>
      <c r="F231" s="15"/>
      <c r="G231" s="15"/>
      <c r="H231" s="15"/>
      <c r="I231" s="15"/>
      <c r="J231" s="15"/>
      <c r="K231" s="9" t="str">
        <f ca="1">IF(COUNTIFS($A$2:A231,A231,$L$2:L231,L231)&gt;1,"DUPLICATE - CHECK","")</f>
        <v/>
      </c>
      <c r="L231" s="17"/>
      <c r="M231" s="17"/>
      <c r="N231" s="9">
        <f ca="1">IF(COUNTIF($A$2:A230,A231)&gt;0,INDEX($C$2:C230,MATCH(A231,$A$2:A230,0)),"")</f>
        <v>0</v>
      </c>
      <c r="O231" s="13"/>
      <c r="P231" s="19"/>
    </row>
    <row r="232" spans="1:16" ht="15.75" customHeight="1" x14ac:dyDescent="0.3">
      <c r="A232" s="8" t="str">
        <f ca="1">IFERROR(__xludf.DUMMYFUNCTION("IF(B232="""","""",RIGHT(regexreplace(B232&amp;"""",""[^0-9]"",""""),9))"),"")</f>
        <v/>
      </c>
      <c r="B232" s="5"/>
      <c r="C232" s="5"/>
      <c r="D232" s="5"/>
      <c r="E232" s="15"/>
      <c r="F232" s="15"/>
      <c r="G232" s="15"/>
      <c r="H232" s="15"/>
      <c r="I232" s="15"/>
      <c r="J232" s="15"/>
      <c r="K232" s="9" t="str">
        <f ca="1">IF(COUNTIFS($A$2:A232,A232,$L$2:L232,L232)&gt;1,"DUPLICATE - CHECK","")</f>
        <v/>
      </c>
      <c r="L232" s="17"/>
      <c r="M232" s="17"/>
      <c r="N232" s="9">
        <f ca="1">IF(COUNTIF($A$2:A231,A232)&gt;0,INDEX($C$2:C231,MATCH(A232,$A$2:A231,0)),"")</f>
        <v>0</v>
      </c>
      <c r="O232" s="13"/>
      <c r="P232" s="19"/>
    </row>
    <row r="233" spans="1:16" ht="15.75" customHeight="1" x14ac:dyDescent="0.3">
      <c r="A233" s="8" t="str">
        <f ca="1">IFERROR(__xludf.DUMMYFUNCTION("IF(B233="""","""",RIGHT(regexreplace(B233&amp;"""",""[^0-9]"",""""),9))"),"")</f>
        <v/>
      </c>
      <c r="B233" s="5"/>
      <c r="C233" s="5"/>
      <c r="D233" s="5"/>
      <c r="E233" s="15"/>
      <c r="F233" s="15"/>
      <c r="G233" s="15"/>
      <c r="H233" s="15"/>
      <c r="I233" s="15"/>
      <c r="J233" s="15"/>
      <c r="K233" s="9" t="str">
        <f ca="1">IF(COUNTIFS($A$2:A233,A233,$L$2:L233,L233)&gt;1,"DUPLICATE - CHECK","")</f>
        <v/>
      </c>
      <c r="L233" s="17"/>
      <c r="M233" s="17"/>
      <c r="N233" s="9" t="str">
        <f t="array" aca="1" ref="N233" ca="1">IF(COUNTIF($A$2:A232,A)&gt;0,INDEX($C$2:C232,MATCH(A233,$A$2:A232,0)),"")</f>
        <v/>
      </c>
      <c r="O233" s="13"/>
      <c r="P233" s="19"/>
    </row>
    <row r="234" spans="1:16" ht="15.75" customHeight="1" x14ac:dyDescent="0.3">
      <c r="A234" s="8" t="str">
        <f ca="1">IFERROR(__xludf.DUMMYFUNCTION("IF(B234="""","""",RIGHT(regexreplace(B234&amp;"""",""[^0-9]"",""""),9))"),"")</f>
        <v/>
      </c>
      <c r="B234" s="5"/>
      <c r="C234" s="5"/>
      <c r="D234" s="5"/>
      <c r="E234" s="15"/>
      <c r="F234" s="15"/>
      <c r="G234" s="15"/>
      <c r="H234" s="15"/>
      <c r="I234" s="15"/>
      <c r="J234" s="15"/>
      <c r="K234" s="9" t="str">
        <f ca="1">IF(COUNTIFS($A$2:A234,A234,$L$2:L234,L234)&gt;1,"DUPLICATE - CHECK","")</f>
        <v/>
      </c>
      <c r="L234" s="17"/>
      <c r="M234" s="17"/>
      <c r="N234" s="9">
        <f ca="1">IF(COUNTIF($A$2:A233,A234)&gt;0,INDEX($C$2:C233,MATCH(A234,$A$2:A233,0)),"")</f>
        <v>0</v>
      </c>
      <c r="O234" s="13"/>
      <c r="P234" s="19"/>
    </row>
    <row r="235" spans="1:16" ht="15.75" customHeight="1" x14ac:dyDescent="0.3">
      <c r="A235" s="8" t="str">
        <f ca="1">IFERROR(__xludf.DUMMYFUNCTION("IF(B235="""","""",RIGHT(regexreplace(B235&amp;"""",""[^0-9]"",""""),9))"),"")</f>
        <v/>
      </c>
      <c r="B235" s="5"/>
      <c r="C235" s="5"/>
      <c r="D235" s="5"/>
      <c r="E235" s="15"/>
      <c r="F235" s="15"/>
      <c r="G235" s="15"/>
      <c r="H235" s="15"/>
      <c r="I235" s="15"/>
      <c r="J235" s="15"/>
      <c r="K235" s="9" t="str">
        <f ca="1">IF(COUNTIFS($A$2:A235,A235,$L$2:L235,L235)&gt;1,"DUPLICATE - CHECK","")</f>
        <v/>
      </c>
      <c r="L235" s="17"/>
      <c r="M235" s="17"/>
      <c r="N235" s="9">
        <f ca="1">IF(COUNTIF($A$2:A234,A235)&gt;0,INDEX($C$2:C234,MATCH(A235,$A$2:A234,0)),"")</f>
        <v>0</v>
      </c>
      <c r="O235" s="13"/>
      <c r="P235" s="19"/>
    </row>
    <row r="236" spans="1:16" ht="15.75" customHeight="1" x14ac:dyDescent="0.3">
      <c r="A236" s="8" t="str">
        <f ca="1">IFERROR(__xludf.DUMMYFUNCTION("IF(B236="""","""",RIGHT(regexreplace(B236&amp;"""",""[^0-9]"",""""),9))"),"")</f>
        <v/>
      </c>
      <c r="B236" s="5"/>
      <c r="C236" s="5"/>
      <c r="D236" s="5"/>
      <c r="E236" s="15"/>
      <c r="F236" s="15"/>
      <c r="G236" s="15"/>
      <c r="H236" s="15"/>
      <c r="I236" s="15"/>
      <c r="J236" s="15"/>
      <c r="K236" s="9" t="str">
        <f ca="1">IF(COUNTIFS($A$2:A236,A236,$L$2:L236,L236)&gt;1,"DUPLICATE - CHECK","")</f>
        <v/>
      </c>
      <c r="L236" s="17"/>
      <c r="M236" s="17"/>
      <c r="N236" s="9" t="str">
        <f t="array" aca="1" ref="N236" ca="1">IF(COUNTIF($A$2:A235,A)&gt;0,INDEX($C$2:C235,MATCH(A236,$A$2:A235,0)),"")</f>
        <v/>
      </c>
      <c r="O236" s="13"/>
      <c r="P236" s="19"/>
    </row>
    <row r="237" spans="1:16" ht="15.75" customHeight="1" x14ac:dyDescent="0.3">
      <c r="A237" s="8" t="str">
        <f ca="1">IFERROR(__xludf.DUMMYFUNCTION("IF(B237="""","""",RIGHT(regexreplace(B237&amp;"""",""[^0-9]"",""""),9))"),"")</f>
        <v/>
      </c>
      <c r="B237" s="5"/>
      <c r="C237" s="5"/>
      <c r="D237" s="5"/>
      <c r="E237" s="15"/>
      <c r="F237" s="15"/>
      <c r="G237" s="15"/>
      <c r="H237" s="15"/>
      <c r="I237" s="15"/>
      <c r="J237" s="15"/>
      <c r="K237" s="9" t="str">
        <f ca="1">IF(COUNTIFS($A$2:A237,A237,$L$2:L237,L237)&gt;1,"DUPLICATE - CHECK","")</f>
        <v/>
      </c>
      <c r="L237" s="17"/>
      <c r="M237" s="17"/>
      <c r="N237" s="9">
        <f ca="1">IF(COUNTIF($A$2:A236,A237)&gt;0,INDEX($C$2:C236,MATCH(A237,$A$2:A236,0)),"")</f>
        <v>0</v>
      </c>
      <c r="O237" s="13"/>
      <c r="P237" s="19"/>
    </row>
    <row r="238" spans="1:16" ht="15.75" customHeight="1" x14ac:dyDescent="0.3">
      <c r="A238" s="8" t="str">
        <f ca="1">IFERROR(__xludf.DUMMYFUNCTION("IF(B238="""","""",RIGHT(regexreplace(B238&amp;"""",""[^0-9]"",""""),9))"),"")</f>
        <v/>
      </c>
      <c r="B238" s="5"/>
      <c r="C238" s="5"/>
      <c r="D238" s="5"/>
      <c r="E238" s="15"/>
      <c r="F238" s="15"/>
      <c r="G238" s="15"/>
      <c r="H238" s="15"/>
      <c r="I238" s="15"/>
      <c r="J238" s="15"/>
      <c r="K238" s="9" t="str">
        <f ca="1">IF(COUNTIFS($A$2:A238,A238,$L$2:L238,L238)&gt;1,"DUPLICATE - CHECK","")</f>
        <v/>
      </c>
      <c r="L238" s="17"/>
      <c r="M238" s="17"/>
      <c r="N238" s="9">
        <f ca="1">IF(COUNTIF($A$2:A237,A238)&gt;0,INDEX($C$2:C237,MATCH(A238,$A$2:A237,0)),"")</f>
        <v>0</v>
      </c>
      <c r="O238" s="13"/>
      <c r="P238" s="19"/>
    </row>
    <row r="239" spans="1:16" ht="15.75" customHeight="1" x14ac:dyDescent="0.3">
      <c r="A239" s="8" t="str">
        <f ca="1">IFERROR(__xludf.DUMMYFUNCTION("IF(B239="""","""",RIGHT(regexreplace(B239&amp;"""",""[^0-9]"",""""),9))"),"")</f>
        <v/>
      </c>
      <c r="B239" s="5"/>
      <c r="C239" s="5"/>
      <c r="D239" s="5"/>
      <c r="E239" s="15"/>
      <c r="F239" s="15"/>
      <c r="G239" s="15"/>
      <c r="H239" s="15"/>
      <c r="I239" s="15"/>
      <c r="J239" s="15"/>
      <c r="K239" s="9" t="str">
        <f ca="1">IF(COUNTIFS($A$2:A239,A239,$L$2:L239,L239)&gt;1,"DUPLICATE - CHECK","")</f>
        <v/>
      </c>
      <c r="L239" s="17"/>
      <c r="M239" s="17"/>
      <c r="N239" s="9" t="str">
        <f t="array" aca="1" ref="N239" ca="1">IF(COUNTIF($A$2:A238,A)&gt;0,INDEX($C$2:C238,MATCH(A239,$A$2:A238,0)),"")</f>
        <v/>
      </c>
      <c r="O239" s="13"/>
      <c r="P239" s="19"/>
    </row>
    <row r="240" spans="1:16" ht="15.75" customHeight="1" x14ac:dyDescent="0.3">
      <c r="A240" s="8" t="str">
        <f ca="1">IFERROR(__xludf.DUMMYFUNCTION("IF(B240="""","""",RIGHT(regexreplace(B240&amp;"""",""[^0-9]"",""""),9))"),"")</f>
        <v/>
      </c>
      <c r="B240" s="5"/>
      <c r="C240" s="5"/>
      <c r="D240" s="5"/>
      <c r="E240" s="15"/>
      <c r="F240" s="15"/>
      <c r="G240" s="15"/>
      <c r="H240" s="15"/>
      <c r="I240" s="15"/>
      <c r="J240" s="15"/>
      <c r="K240" s="9" t="str">
        <f ca="1">IF(COUNTIFS($A$2:A240,A240,$L$2:L240,L240)&gt;1,"DUPLICATE - CHECK","")</f>
        <v/>
      </c>
      <c r="L240" s="17"/>
      <c r="M240" s="17"/>
      <c r="N240" s="9">
        <f ca="1">IF(COUNTIF($A$2:A239,A240)&gt;0,INDEX($C$2:C239,MATCH(A240,$A$2:A239,0)),"")</f>
        <v>0</v>
      </c>
      <c r="O240" s="13"/>
      <c r="P240" s="19"/>
    </row>
    <row r="241" spans="1:16" ht="15.75" customHeight="1" x14ac:dyDescent="0.3">
      <c r="A241" s="8" t="str">
        <f ca="1">IFERROR(__xludf.DUMMYFUNCTION("IF(B241="""","""",RIGHT(regexreplace(B241&amp;"""",""[^0-9]"",""""),9))"),"")</f>
        <v/>
      </c>
      <c r="B241" s="5"/>
      <c r="C241" s="5"/>
      <c r="D241" s="5"/>
      <c r="E241" s="15"/>
      <c r="F241" s="15"/>
      <c r="G241" s="15"/>
      <c r="H241" s="15"/>
      <c r="I241" s="15"/>
      <c r="J241" s="15"/>
      <c r="K241" s="9" t="str">
        <f ca="1">IF(COUNTIFS($A$2:A241,A241,$L$2:L241,L241)&gt;1,"DUPLICATE - CHECK","")</f>
        <v/>
      </c>
      <c r="L241" s="17"/>
      <c r="M241" s="17"/>
      <c r="N241" s="9">
        <f ca="1">IF(COUNTIF($A$2:A240,A241)&gt;0,INDEX($C$2:C240,MATCH(A241,$A$2:A240,0)),"")</f>
        <v>0</v>
      </c>
      <c r="O241" s="13"/>
      <c r="P241" s="19"/>
    </row>
    <row r="242" spans="1:16" ht="15.75" customHeight="1" x14ac:dyDescent="0.3">
      <c r="A242" s="8" t="str">
        <f ca="1">IFERROR(__xludf.DUMMYFUNCTION("IF(B242="""","""",RIGHT(regexreplace(B242&amp;"""",""[^0-9]"",""""),9))"),"")</f>
        <v/>
      </c>
      <c r="B242" s="5"/>
      <c r="C242" s="5"/>
      <c r="D242" s="5"/>
      <c r="E242" s="15"/>
      <c r="F242" s="15"/>
      <c r="G242" s="15"/>
      <c r="H242" s="15"/>
      <c r="I242" s="15"/>
      <c r="J242" s="15"/>
      <c r="K242" s="9" t="str">
        <f ca="1">IF(COUNTIFS($A$2:A242,A242,$L$2:L242,L242)&gt;1,"DUPLICATE - CHECK","")</f>
        <v/>
      </c>
      <c r="L242" s="17"/>
      <c r="M242" s="17"/>
      <c r="N242" s="9" t="str">
        <f t="array" aca="1" ref="N242" ca="1">IF(COUNTIF($A$2:A241,A)&gt;0,INDEX($C$2:C241,MATCH(A242,$A$2:A241,0)),"")</f>
        <v/>
      </c>
      <c r="O242" s="13"/>
      <c r="P242" s="19"/>
    </row>
    <row r="243" spans="1:16" ht="15.75" customHeight="1" x14ac:dyDescent="0.3">
      <c r="A243" s="8" t="str">
        <f ca="1">IFERROR(__xludf.DUMMYFUNCTION("IF(B243="""","""",RIGHT(regexreplace(B243&amp;"""",""[^0-9]"",""""),9))"),"")</f>
        <v/>
      </c>
      <c r="B243" s="5"/>
      <c r="C243" s="5"/>
      <c r="D243" s="5"/>
      <c r="E243" s="15"/>
      <c r="F243" s="15"/>
      <c r="G243" s="15"/>
      <c r="H243" s="15"/>
      <c r="I243" s="15"/>
      <c r="J243" s="15"/>
      <c r="K243" s="9" t="str">
        <f ca="1">IF(COUNTIFS($A$2:A243,A243,$L$2:L243,L243)&gt;1,"DUPLICATE - CHECK","")</f>
        <v/>
      </c>
      <c r="L243" s="17"/>
      <c r="M243" s="17"/>
      <c r="N243" s="9">
        <f ca="1">IF(COUNTIF($A$2:A242,A243)&gt;0,INDEX($C$2:C242,MATCH(A243,$A$2:A242,0)),"")</f>
        <v>0</v>
      </c>
      <c r="O243" s="13"/>
      <c r="P243" s="19"/>
    </row>
    <row r="244" spans="1:16" ht="15.75" customHeight="1" x14ac:dyDescent="0.3">
      <c r="A244" s="8" t="str">
        <f ca="1">IFERROR(__xludf.DUMMYFUNCTION("IF(B244="""","""",RIGHT(regexreplace(B244&amp;"""",""[^0-9]"",""""),9))"),"")</f>
        <v/>
      </c>
      <c r="B244" s="5"/>
      <c r="C244" s="5"/>
      <c r="D244" s="5"/>
      <c r="E244" s="15"/>
      <c r="F244" s="15"/>
      <c r="G244" s="15"/>
      <c r="H244" s="15"/>
      <c r="I244" s="15"/>
      <c r="J244" s="15"/>
      <c r="K244" s="9" t="str">
        <f ca="1">IF(COUNTIFS($A$2:A244,A244,$L$2:L244,L244)&gt;1,"DUPLICATE - CHECK","")</f>
        <v/>
      </c>
      <c r="L244" s="17"/>
      <c r="M244" s="17"/>
      <c r="N244" s="9">
        <f ca="1">IF(COUNTIF($A$2:A243,A244)&gt;0,INDEX($C$2:C243,MATCH(A244,$A$2:A243,0)),"")</f>
        <v>0</v>
      </c>
      <c r="O244" s="13"/>
      <c r="P244" s="19"/>
    </row>
    <row r="245" spans="1:16" ht="15.75" customHeight="1" x14ac:dyDescent="0.3">
      <c r="A245" s="8" t="str">
        <f ca="1">IFERROR(__xludf.DUMMYFUNCTION("IF(B245="""","""",RIGHT(regexreplace(B245&amp;"""",""[^0-9]"",""""),9))"),"")</f>
        <v/>
      </c>
      <c r="B245" s="5"/>
      <c r="C245" s="5"/>
      <c r="D245" s="5"/>
      <c r="E245" s="15"/>
      <c r="F245" s="15"/>
      <c r="G245" s="15"/>
      <c r="H245" s="15"/>
      <c r="I245" s="15"/>
      <c r="J245" s="15"/>
      <c r="K245" s="9" t="str">
        <f ca="1">IF(COUNTIFS($A$2:A245,A245,$L$2:L245,L245)&gt;1,"DUPLICATE - CHECK","")</f>
        <v/>
      </c>
      <c r="L245" s="17"/>
      <c r="M245" s="17"/>
      <c r="N245" s="9" t="str">
        <f t="array" aca="1" ref="N245" ca="1">IF(COUNTIF($A$2:A244,A)&gt;0,INDEX($C$2:C244,MATCH(A245,$A$2:A244,0)),"")</f>
        <v/>
      </c>
      <c r="O245" s="13"/>
      <c r="P245" s="19"/>
    </row>
    <row r="246" spans="1:16" ht="15.75" customHeight="1" x14ac:dyDescent="0.3">
      <c r="A246" s="8" t="str">
        <f ca="1">IFERROR(__xludf.DUMMYFUNCTION("IF(B246="""","""",RIGHT(regexreplace(B246&amp;"""",""[^0-9]"",""""),9))"),"")</f>
        <v/>
      </c>
      <c r="B246" s="5"/>
      <c r="C246" s="5"/>
      <c r="D246" s="5"/>
      <c r="E246" s="15"/>
      <c r="F246" s="15"/>
      <c r="G246" s="15"/>
      <c r="H246" s="15"/>
      <c r="I246" s="15"/>
      <c r="J246" s="15"/>
      <c r="K246" s="9" t="str">
        <f ca="1">IF(COUNTIFS($A$2:A246,A246,$L$2:L246,L246)&gt;1,"DUPLICATE - CHECK","")</f>
        <v/>
      </c>
      <c r="L246" s="17"/>
      <c r="M246" s="17"/>
      <c r="N246" s="9">
        <f ca="1">IF(COUNTIF($A$2:A245,A246)&gt;0,INDEX($C$2:C245,MATCH(A246,$A$2:A245,0)),"")</f>
        <v>0</v>
      </c>
      <c r="O246" s="13"/>
      <c r="P246" s="19"/>
    </row>
    <row r="247" spans="1:16" ht="15.75" customHeight="1" x14ac:dyDescent="0.3">
      <c r="A247" s="8" t="str">
        <f ca="1">IFERROR(__xludf.DUMMYFUNCTION("IF(B247="""","""",RIGHT(regexreplace(B247&amp;"""",""[^0-9]"",""""),9))"),"")</f>
        <v/>
      </c>
      <c r="B247" s="5"/>
      <c r="C247" s="5"/>
      <c r="D247" s="5"/>
      <c r="E247" s="15"/>
      <c r="F247" s="15"/>
      <c r="G247" s="15"/>
      <c r="H247" s="15"/>
      <c r="I247" s="15"/>
      <c r="J247" s="15"/>
      <c r="K247" s="9" t="str">
        <f ca="1">IF(COUNTIFS($A$2:A247,A247,$L$2:L247,L247)&gt;1,"DUPLICATE - CHECK","")</f>
        <v/>
      </c>
      <c r="L247" s="17"/>
      <c r="M247" s="17"/>
      <c r="N247" s="9">
        <f ca="1">IF(COUNTIF($A$2:A246,A247)&gt;0,INDEX($C$2:C246,MATCH(A247,$A$2:A246,0)),"")</f>
        <v>0</v>
      </c>
      <c r="O247" s="13"/>
      <c r="P247" s="19"/>
    </row>
    <row r="248" spans="1:16" ht="15.75" customHeight="1" x14ac:dyDescent="0.3">
      <c r="A248" s="8" t="str">
        <f ca="1">IFERROR(__xludf.DUMMYFUNCTION("IF(B248="""","""",RIGHT(regexreplace(B248&amp;"""",""[^0-9]"",""""),9))"),"")</f>
        <v/>
      </c>
      <c r="B248" s="5"/>
      <c r="C248" s="5"/>
      <c r="D248" s="5"/>
      <c r="E248" s="15"/>
      <c r="F248" s="15"/>
      <c r="G248" s="15"/>
      <c r="H248" s="15"/>
      <c r="I248" s="15"/>
      <c r="J248" s="15"/>
      <c r="K248" s="9" t="str">
        <f ca="1">IF(COUNTIFS($A$2:A248,A248,$L$2:L248,L248)&gt;1,"DUPLICATE - CHECK","")</f>
        <v/>
      </c>
      <c r="L248" s="17"/>
      <c r="M248" s="17"/>
      <c r="N248" s="9" t="str">
        <f t="array" aca="1" ref="N248" ca="1">IF(COUNTIF($A$2:A247,A)&gt;0,INDEX($C$2:C247,MATCH(A248,$A$2:A247,0)),"")</f>
        <v/>
      </c>
      <c r="O248" s="13"/>
      <c r="P248" s="19"/>
    </row>
    <row r="249" spans="1:16" ht="15.75" customHeight="1" x14ac:dyDescent="0.3">
      <c r="A249" s="8" t="str">
        <f ca="1">IFERROR(__xludf.DUMMYFUNCTION("IF(B249="""","""",RIGHT(regexreplace(B249&amp;"""",""[^0-9]"",""""),9))"),"")</f>
        <v/>
      </c>
      <c r="B249" s="5"/>
      <c r="C249" s="5"/>
      <c r="D249" s="5"/>
      <c r="E249" s="15"/>
      <c r="F249" s="15"/>
      <c r="G249" s="15"/>
      <c r="H249" s="15"/>
      <c r="I249" s="15"/>
      <c r="J249" s="15"/>
      <c r="K249" s="9" t="str">
        <f ca="1">IF(COUNTIFS($A$2:A249,A249,$L$2:L249,L249)&gt;1,"DUPLICATE - CHECK","")</f>
        <v/>
      </c>
      <c r="L249" s="17"/>
      <c r="M249" s="17"/>
      <c r="N249" s="9">
        <f ca="1">IF(COUNTIF($A$2:A248,A249)&gt;0,INDEX($C$2:C248,MATCH(A249,$A$2:A248,0)),"")</f>
        <v>0</v>
      </c>
      <c r="O249" s="13"/>
      <c r="P249" s="19"/>
    </row>
    <row r="250" spans="1:16" ht="15.75" customHeight="1" x14ac:dyDescent="0.3">
      <c r="A250" s="8" t="str">
        <f ca="1">IFERROR(__xludf.DUMMYFUNCTION("IF(B250="""","""",RIGHT(regexreplace(B250&amp;"""",""[^0-9]"",""""),9))"),"")</f>
        <v/>
      </c>
      <c r="B250" s="5"/>
      <c r="C250" s="5"/>
      <c r="D250" s="5"/>
      <c r="E250" s="15"/>
      <c r="F250" s="15"/>
      <c r="G250" s="15"/>
      <c r="H250" s="15"/>
      <c r="I250" s="15"/>
      <c r="J250" s="15"/>
      <c r="K250" s="9" t="str">
        <f ca="1">IF(COUNTIFS($A$2:A250,A250,$L$2:L250,L250)&gt;1,"DUPLICATE - CHECK","")</f>
        <v/>
      </c>
      <c r="L250" s="17"/>
      <c r="M250" s="17"/>
      <c r="N250" s="9">
        <f ca="1">IF(COUNTIF($A$2:A249,A250)&gt;0,INDEX($C$2:C249,MATCH(A250,$A$2:A249,0)),"")</f>
        <v>0</v>
      </c>
      <c r="O250" s="13"/>
      <c r="P250" s="19"/>
    </row>
    <row r="251" spans="1:16" ht="15.75" customHeight="1" x14ac:dyDescent="0.3">
      <c r="A251" s="8" t="str">
        <f ca="1">IFERROR(__xludf.DUMMYFUNCTION("IF(B251="""","""",RIGHT(regexreplace(B251&amp;"""",""[^0-9]"",""""),9))"),"")</f>
        <v/>
      </c>
      <c r="B251" s="5"/>
      <c r="C251" s="5"/>
      <c r="D251" s="5"/>
      <c r="E251" s="15"/>
      <c r="F251" s="15"/>
      <c r="G251" s="15"/>
      <c r="H251" s="15"/>
      <c r="I251" s="15"/>
      <c r="J251" s="15"/>
      <c r="K251" s="9" t="str">
        <f ca="1">IF(COUNTIFS($A$2:A251,A251,$L$2:L251,L251)&gt;1,"DUPLICATE - CHECK","")</f>
        <v/>
      </c>
      <c r="L251" s="17"/>
      <c r="M251" s="17"/>
      <c r="N251" s="9" t="str">
        <f t="array" aca="1" ref="N251" ca="1">IF(COUNTIF($A$2:A250,A)&gt;0,INDEX($C$2:C250,MATCH(A251,$A$2:A250,0)),"")</f>
        <v/>
      </c>
      <c r="O251" s="13"/>
      <c r="P251" s="19"/>
    </row>
    <row r="252" spans="1:16" ht="15.75" customHeight="1" x14ac:dyDescent="0.3">
      <c r="A252" s="8" t="str">
        <f ca="1">IFERROR(__xludf.DUMMYFUNCTION("IF(B252="""","""",RIGHT(regexreplace(B252&amp;"""",""[^0-9]"",""""),9))"),"")</f>
        <v/>
      </c>
      <c r="B252" s="5"/>
      <c r="C252" s="5"/>
      <c r="D252" s="5"/>
      <c r="E252" s="15"/>
      <c r="F252" s="15"/>
      <c r="G252" s="15"/>
      <c r="H252" s="15"/>
      <c r="I252" s="15"/>
      <c r="J252" s="15"/>
      <c r="K252" s="9" t="str">
        <f ca="1">IF(COUNTIFS($A$2:A252,A252,$L$2:L252,L252)&gt;1,"DUPLICATE - CHECK","")</f>
        <v/>
      </c>
      <c r="L252" s="17"/>
      <c r="M252" s="17"/>
      <c r="N252" s="9">
        <f ca="1">IF(COUNTIF($A$2:A251,A252)&gt;0,INDEX($C$2:C251,MATCH(A252,$A$2:A251,0)),"")</f>
        <v>0</v>
      </c>
      <c r="O252" s="13"/>
      <c r="P252" s="19"/>
    </row>
    <row r="253" spans="1:16" ht="15.75" customHeight="1" x14ac:dyDescent="0.3">
      <c r="A253" s="8" t="str">
        <f ca="1">IFERROR(__xludf.DUMMYFUNCTION("IF(B253="""","""",RIGHT(regexreplace(B253&amp;"""",""[^0-9]"",""""),9))"),"")</f>
        <v/>
      </c>
      <c r="B253" s="5"/>
      <c r="C253" s="5"/>
      <c r="D253" s="5"/>
      <c r="E253" s="15"/>
      <c r="F253" s="15"/>
      <c r="G253" s="15"/>
      <c r="H253" s="15"/>
      <c r="I253" s="15"/>
      <c r="J253" s="15"/>
      <c r="K253" s="9" t="str">
        <f ca="1">IF(COUNTIFS($A$2:A253,A253,$L$2:L253,L253)&gt;1,"DUPLICATE - CHECK","")</f>
        <v/>
      </c>
      <c r="L253" s="17"/>
      <c r="M253" s="17"/>
      <c r="N253" s="9">
        <f ca="1">IF(COUNTIF($A$2:A252,A253)&gt;0,INDEX($C$2:C252,MATCH(A253,$A$2:A252,0)),"")</f>
        <v>0</v>
      </c>
      <c r="O253" s="13"/>
      <c r="P253" s="19"/>
    </row>
    <row r="254" spans="1:16" ht="15.75" customHeight="1" x14ac:dyDescent="0.3">
      <c r="A254" s="8" t="str">
        <f ca="1">IFERROR(__xludf.DUMMYFUNCTION("IF(B254="""","""",RIGHT(regexreplace(B254&amp;"""",""[^0-9]"",""""),9))"),"")</f>
        <v/>
      </c>
      <c r="B254" s="5"/>
      <c r="C254" s="5"/>
      <c r="D254" s="5"/>
      <c r="E254" s="15"/>
      <c r="F254" s="15"/>
      <c r="G254" s="15"/>
      <c r="H254" s="15"/>
      <c r="I254" s="15"/>
      <c r="J254" s="15"/>
      <c r="K254" s="9" t="str">
        <f ca="1">IF(COUNTIFS($A$2:A254,A254,$L$2:L254,L254)&gt;1,"DUPLICATE - CHECK","")</f>
        <v/>
      </c>
      <c r="L254" s="17"/>
      <c r="M254" s="17"/>
      <c r="N254" s="9" t="str">
        <f t="array" aca="1" ref="N254" ca="1">IF(COUNTIF($A$2:A253,A)&gt;0,INDEX($C$2:C253,MATCH(A254,$A$2:A253,0)),"")</f>
        <v/>
      </c>
      <c r="O254" s="13"/>
      <c r="P254" s="19"/>
    </row>
    <row r="255" spans="1:16" ht="15.75" customHeight="1" x14ac:dyDescent="0.3">
      <c r="A255" s="8" t="str">
        <f ca="1">IFERROR(__xludf.DUMMYFUNCTION("IF(B255="""","""",RIGHT(regexreplace(B255&amp;"""",""[^0-9]"",""""),9))"),"")</f>
        <v/>
      </c>
      <c r="B255" s="5"/>
      <c r="C255" s="5"/>
      <c r="D255" s="5"/>
      <c r="E255" s="15"/>
      <c r="F255" s="15"/>
      <c r="G255" s="15"/>
      <c r="H255" s="15"/>
      <c r="I255" s="15"/>
      <c r="J255" s="15"/>
      <c r="K255" s="9" t="str">
        <f ca="1">IF(COUNTIFS($A$2:A255,A255,$L$2:L255,L255)&gt;1,"DUPLICATE - CHECK","")</f>
        <v/>
      </c>
      <c r="L255" s="17"/>
      <c r="M255" s="17"/>
      <c r="N255" s="9">
        <f ca="1">IF(COUNTIF($A$2:A254,A255)&gt;0,INDEX($C$2:C254,MATCH(A255,$A$2:A254,0)),"")</f>
        <v>0</v>
      </c>
      <c r="O255" s="13"/>
      <c r="P255" s="19"/>
    </row>
    <row r="256" spans="1:16" ht="15.75" customHeight="1" x14ac:dyDescent="0.3">
      <c r="A256" s="8" t="str">
        <f ca="1">IFERROR(__xludf.DUMMYFUNCTION("IF(B256="""","""",RIGHT(regexreplace(B256&amp;"""",""[^0-9]"",""""),9))"),"")</f>
        <v/>
      </c>
      <c r="B256" s="5"/>
      <c r="C256" s="5"/>
      <c r="D256" s="5"/>
      <c r="E256" s="15"/>
      <c r="F256" s="15"/>
      <c r="G256" s="15"/>
      <c r="H256" s="15"/>
      <c r="I256" s="15"/>
      <c r="J256" s="15"/>
      <c r="K256" s="9" t="str">
        <f ca="1">IF(COUNTIFS($A$2:A256,A256,$L$2:L256,L256)&gt;1,"DUPLICATE - CHECK","")</f>
        <v/>
      </c>
      <c r="L256" s="17"/>
      <c r="M256" s="17"/>
      <c r="N256" s="9">
        <f ca="1">IF(COUNTIF($A$2:A255,A256)&gt;0,INDEX($C$2:C255,MATCH(A256,$A$2:A255,0)),"")</f>
        <v>0</v>
      </c>
      <c r="O256" s="13"/>
      <c r="P256" s="19"/>
    </row>
    <row r="257" spans="1:16" ht="15.75" customHeight="1" x14ac:dyDescent="0.3">
      <c r="A257" s="8" t="str">
        <f ca="1">IFERROR(__xludf.DUMMYFUNCTION("IF(B257="""","""",RIGHT(regexreplace(B257&amp;"""",""[^0-9]"",""""),9))"),"")</f>
        <v/>
      </c>
      <c r="B257" s="5"/>
      <c r="C257" s="5"/>
      <c r="D257" s="5"/>
      <c r="E257" s="15"/>
      <c r="F257" s="15"/>
      <c r="G257" s="15"/>
      <c r="H257" s="15"/>
      <c r="I257" s="15"/>
      <c r="J257" s="15"/>
      <c r="K257" s="9" t="str">
        <f ca="1">IF(COUNTIFS($A$2:A257,A257,$L$2:L257,L257)&gt;1,"DUPLICATE - CHECK","")</f>
        <v/>
      </c>
      <c r="L257" s="17"/>
      <c r="M257" s="17"/>
      <c r="N257" s="9" t="str">
        <f t="array" aca="1" ref="N257" ca="1">IF(COUNTIF($A$2:A256,A)&gt;0,INDEX($C$2:C256,MATCH(A257,$A$2:A256,0)),"")</f>
        <v/>
      </c>
      <c r="O257" s="13"/>
      <c r="P257" s="19"/>
    </row>
    <row r="258" spans="1:16" ht="15.75" customHeight="1" x14ac:dyDescent="0.3">
      <c r="A258" s="8" t="str">
        <f ca="1">IFERROR(__xludf.DUMMYFUNCTION("IF(B258="""","""",RIGHT(regexreplace(B258&amp;"""",""[^0-9]"",""""),9))"),"")</f>
        <v/>
      </c>
      <c r="B258" s="5"/>
      <c r="C258" s="5"/>
      <c r="D258" s="5"/>
      <c r="E258" s="15"/>
      <c r="F258" s="15"/>
      <c r="G258" s="15"/>
      <c r="H258" s="15"/>
      <c r="I258" s="15"/>
      <c r="J258" s="15"/>
      <c r="K258" s="9" t="str">
        <f ca="1">IF(COUNTIFS($A$2:A258,A258,$L$2:L258,L258)&gt;1,"DUPLICATE - CHECK","")</f>
        <v/>
      </c>
      <c r="L258" s="17"/>
      <c r="M258" s="17"/>
      <c r="N258" s="9">
        <f ca="1">IF(COUNTIF($A$2:A257,A258)&gt;0,INDEX($C$2:C257,MATCH(A258,$A$2:A257,0)),"")</f>
        <v>0</v>
      </c>
      <c r="O258" s="13"/>
      <c r="P258" s="19"/>
    </row>
    <row r="259" spans="1:16" ht="15.75" customHeight="1" x14ac:dyDescent="0.3">
      <c r="A259" s="8" t="str">
        <f ca="1">IFERROR(__xludf.DUMMYFUNCTION("IF(B259="""","""",RIGHT(regexreplace(B259&amp;"""",""[^0-9]"",""""),9))"),"")</f>
        <v/>
      </c>
      <c r="B259" s="5"/>
      <c r="C259" s="5"/>
      <c r="D259" s="5"/>
      <c r="E259" s="15"/>
      <c r="F259" s="15"/>
      <c r="G259" s="15"/>
      <c r="H259" s="15"/>
      <c r="I259" s="15"/>
      <c r="J259" s="15"/>
      <c r="K259" s="9" t="str">
        <f ca="1">IF(COUNTIFS($A$2:A259,A259,$L$2:L259,L259)&gt;1,"DUPLICATE - CHECK","")</f>
        <v/>
      </c>
      <c r="L259" s="17"/>
      <c r="M259" s="17"/>
      <c r="N259" s="9">
        <f ca="1">IF(COUNTIF($A$2:A258,A259)&gt;0,INDEX($C$2:C258,MATCH(A259,$A$2:A258,0)),"")</f>
        <v>0</v>
      </c>
      <c r="O259" s="13"/>
      <c r="P259" s="19"/>
    </row>
    <row r="260" spans="1:16" ht="15.75" customHeight="1" x14ac:dyDescent="0.3">
      <c r="A260" s="8" t="str">
        <f ca="1">IFERROR(__xludf.DUMMYFUNCTION("IF(B260="""","""",RIGHT(regexreplace(B260&amp;"""",""[^0-9]"",""""),9))"),"")</f>
        <v/>
      </c>
      <c r="B260" s="5"/>
      <c r="C260" s="5"/>
      <c r="D260" s="5"/>
      <c r="E260" s="15"/>
      <c r="F260" s="15"/>
      <c r="G260" s="15"/>
      <c r="H260" s="15"/>
      <c r="I260" s="15"/>
      <c r="J260" s="15"/>
      <c r="K260" s="9" t="str">
        <f ca="1">IF(COUNTIFS($A$2:A260,A260,$L$2:L260,L260)&gt;1,"DUPLICATE - CHECK","")</f>
        <v/>
      </c>
      <c r="L260" s="17"/>
      <c r="M260" s="17"/>
      <c r="N260" s="9" t="str">
        <f t="array" aca="1" ref="N260" ca="1">IF(COUNTIF($A$2:A259,A)&gt;0,INDEX($C$2:C259,MATCH(A260,$A$2:A259,0)),"")</f>
        <v/>
      </c>
      <c r="O260" s="13"/>
      <c r="P260" s="19"/>
    </row>
    <row r="261" spans="1:16" ht="15.75" customHeight="1" x14ac:dyDescent="0.3">
      <c r="A261" s="8" t="str">
        <f ca="1">IFERROR(__xludf.DUMMYFUNCTION("IF(B261="""","""",RIGHT(regexreplace(B261&amp;"""",""[^0-9]"",""""),9))"),"")</f>
        <v/>
      </c>
      <c r="B261" s="5"/>
      <c r="C261" s="5"/>
      <c r="D261" s="5"/>
      <c r="E261" s="15"/>
      <c r="F261" s="15"/>
      <c r="G261" s="15"/>
      <c r="H261" s="15"/>
      <c r="I261" s="15"/>
      <c r="J261" s="15"/>
      <c r="K261" s="9" t="str">
        <f ca="1">IF(COUNTIFS($A$2:A261,A261,$L$2:L261,L261)&gt;1,"DUPLICATE - CHECK","")</f>
        <v/>
      </c>
      <c r="L261" s="17"/>
      <c r="M261" s="17"/>
      <c r="N261" s="9">
        <f ca="1">IF(COUNTIF($A$2:A260,A261)&gt;0,INDEX($C$2:C260,MATCH(A261,$A$2:A260,0)),"")</f>
        <v>0</v>
      </c>
      <c r="O261" s="13"/>
      <c r="P261" s="19"/>
    </row>
    <row r="262" spans="1:16" ht="15.75" customHeight="1" x14ac:dyDescent="0.3">
      <c r="A262" s="8" t="str">
        <f ca="1">IFERROR(__xludf.DUMMYFUNCTION("IF(B262="""","""",RIGHT(regexreplace(B262&amp;"""",""[^0-9]"",""""),9))"),"")</f>
        <v/>
      </c>
      <c r="B262" s="5"/>
      <c r="C262" s="5"/>
      <c r="D262" s="5"/>
      <c r="E262" s="15"/>
      <c r="F262" s="15"/>
      <c r="G262" s="15"/>
      <c r="H262" s="15"/>
      <c r="I262" s="15"/>
      <c r="J262" s="15"/>
      <c r="K262" s="9" t="str">
        <f ca="1">IF(COUNTIFS($A$2:A262,A262,$L$2:L262,L262)&gt;1,"DUPLICATE - CHECK","")</f>
        <v/>
      </c>
      <c r="L262" s="17"/>
      <c r="M262" s="17"/>
      <c r="N262" s="9">
        <f ca="1">IF(COUNTIF($A$2:A261,A262)&gt;0,INDEX($C$2:C261,MATCH(A262,$A$2:A261,0)),"")</f>
        <v>0</v>
      </c>
      <c r="O262" s="13"/>
      <c r="P262" s="19"/>
    </row>
    <row r="263" spans="1:16" ht="15.75" customHeight="1" x14ac:dyDescent="0.3">
      <c r="A263" s="8" t="str">
        <f ca="1">IFERROR(__xludf.DUMMYFUNCTION("IF(B263="""","""",RIGHT(regexreplace(B263&amp;"""",""[^0-9]"",""""),9))"),"")</f>
        <v/>
      </c>
      <c r="B263" s="5"/>
      <c r="C263" s="5"/>
      <c r="D263" s="5"/>
      <c r="E263" s="15"/>
      <c r="F263" s="15"/>
      <c r="G263" s="15"/>
      <c r="H263" s="15"/>
      <c r="I263" s="15"/>
      <c r="J263" s="15"/>
      <c r="K263" s="9" t="str">
        <f ca="1">IF(COUNTIFS($A$2:A263,A263,$L$2:L263,L263)&gt;1,"DUPLICATE - CHECK","")</f>
        <v/>
      </c>
      <c r="L263" s="17"/>
      <c r="M263" s="17"/>
      <c r="N263" s="9" t="str">
        <f t="array" aca="1" ref="N263" ca="1">IF(COUNTIF($A$2:A262,A)&gt;0,INDEX($C$2:C262,MATCH(A263,$A$2:A262,0)),"")</f>
        <v/>
      </c>
      <c r="O263" s="13"/>
      <c r="P263" s="19"/>
    </row>
    <row r="264" spans="1:16" ht="15.75" customHeight="1" x14ac:dyDescent="0.3">
      <c r="A264" s="8" t="str">
        <f ca="1">IFERROR(__xludf.DUMMYFUNCTION("IF(B264="""","""",RIGHT(regexreplace(B264&amp;"""",""[^0-9]"",""""),9))"),"")</f>
        <v/>
      </c>
      <c r="B264" s="5"/>
      <c r="C264" s="5"/>
      <c r="D264" s="5"/>
      <c r="E264" s="15"/>
      <c r="F264" s="15"/>
      <c r="G264" s="15"/>
      <c r="H264" s="15"/>
      <c r="I264" s="15"/>
      <c r="J264" s="15"/>
      <c r="K264" s="9" t="str">
        <f ca="1">IF(COUNTIFS($A$2:A264,A264,$L$2:L264,L264)&gt;1,"DUPLICATE - CHECK","")</f>
        <v/>
      </c>
      <c r="L264" s="17"/>
      <c r="M264" s="17"/>
      <c r="N264" s="9">
        <f ca="1">IF(COUNTIF($A$2:A263,A264)&gt;0,INDEX($C$2:C263,MATCH(A264,$A$2:A263,0)),"")</f>
        <v>0</v>
      </c>
      <c r="O264" s="13"/>
      <c r="P264" s="19"/>
    </row>
    <row r="265" spans="1:16" ht="15.75" customHeight="1" x14ac:dyDescent="0.3">
      <c r="A265" s="8" t="str">
        <f ca="1">IFERROR(__xludf.DUMMYFUNCTION("IF(B265="""","""",RIGHT(regexreplace(B265&amp;"""",""[^0-9]"",""""),9))"),"")</f>
        <v/>
      </c>
      <c r="B265" s="5"/>
      <c r="C265" s="5"/>
      <c r="D265" s="5"/>
      <c r="E265" s="15"/>
      <c r="F265" s="15"/>
      <c r="G265" s="15"/>
      <c r="H265" s="15"/>
      <c r="I265" s="15"/>
      <c r="J265" s="15"/>
      <c r="K265" s="9" t="str">
        <f ca="1">IF(COUNTIFS($A$2:A265,A265,$L$2:L265,L265)&gt;1,"DUPLICATE - CHECK","")</f>
        <v/>
      </c>
      <c r="L265" s="17"/>
      <c r="M265" s="17"/>
      <c r="N265" s="9">
        <f ca="1">IF(COUNTIF($A$2:A264,A265)&gt;0,INDEX($C$2:C264,MATCH(A265,$A$2:A264,0)),"")</f>
        <v>0</v>
      </c>
      <c r="O265" s="13"/>
      <c r="P265" s="19"/>
    </row>
    <row r="266" spans="1:16" ht="15.75" customHeight="1" x14ac:dyDescent="0.3">
      <c r="A266" s="8" t="str">
        <f ca="1">IFERROR(__xludf.DUMMYFUNCTION("IF(B266="""","""",RIGHT(regexreplace(B266&amp;"""",""[^0-9]"",""""),9))"),"")</f>
        <v/>
      </c>
      <c r="B266" s="5"/>
      <c r="C266" s="5"/>
      <c r="D266" s="5"/>
      <c r="E266" s="15"/>
      <c r="F266" s="15"/>
      <c r="G266" s="15"/>
      <c r="H266" s="15"/>
      <c r="I266" s="15"/>
      <c r="J266" s="15"/>
      <c r="K266" s="9" t="str">
        <f ca="1">IF(COUNTIFS($A$2:A266,A266,$L$2:L266,L266)&gt;1,"DUPLICATE - CHECK","")</f>
        <v/>
      </c>
      <c r="L266" s="17"/>
      <c r="M266" s="17"/>
      <c r="N266" s="9" t="str">
        <f t="array" aca="1" ref="N266" ca="1">IF(COUNTIF($A$2:A265,A)&gt;0,INDEX($C$2:C265,MATCH(A266,$A$2:A265,0)),"")</f>
        <v/>
      </c>
      <c r="O266" s="13"/>
      <c r="P266" s="19"/>
    </row>
    <row r="267" spans="1:16" ht="15.75" customHeight="1" x14ac:dyDescent="0.3">
      <c r="A267" s="8" t="str">
        <f ca="1">IFERROR(__xludf.DUMMYFUNCTION("IF(B267="""","""",RIGHT(regexreplace(B267&amp;"""",""[^0-9]"",""""),9))"),"")</f>
        <v/>
      </c>
      <c r="B267" s="5"/>
      <c r="C267" s="5"/>
      <c r="D267" s="5"/>
      <c r="E267" s="15"/>
      <c r="F267" s="15"/>
      <c r="G267" s="15"/>
      <c r="H267" s="15"/>
      <c r="I267" s="15"/>
      <c r="J267" s="15"/>
      <c r="K267" s="9" t="str">
        <f ca="1">IF(COUNTIFS($A$2:A267,A267,$L$2:L267,L267)&gt;1,"DUPLICATE - CHECK","")</f>
        <v/>
      </c>
      <c r="L267" s="17"/>
      <c r="M267" s="17"/>
      <c r="N267" s="9">
        <f ca="1">IF(COUNTIF($A$2:A266,A267)&gt;0,INDEX($C$2:C266,MATCH(A267,$A$2:A266,0)),"")</f>
        <v>0</v>
      </c>
      <c r="O267" s="13"/>
      <c r="P267" s="19"/>
    </row>
    <row r="268" spans="1:16" ht="15.75" customHeight="1" x14ac:dyDescent="0.3">
      <c r="A268" s="8" t="str">
        <f ca="1">IFERROR(__xludf.DUMMYFUNCTION("IF(B268="""","""",RIGHT(regexreplace(B268&amp;"""",""[^0-9]"",""""),9))"),"")</f>
        <v/>
      </c>
      <c r="B268" s="5"/>
      <c r="C268" s="5"/>
      <c r="D268" s="5"/>
      <c r="E268" s="15"/>
      <c r="F268" s="15"/>
      <c r="G268" s="15"/>
      <c r="H268" s="15"/>
      <c r="I268" s="15"/>
      <c r="J268" s="15"/>
      <c r="K268" s="9" t="str">
        <f ca="1">IF(COUNTIFS($A$2:A268,A268,$L$2:L268,L268)&gt;1,"DUPLICATE - CHECK","")</f>
        <v/>
      </c>
      <c r="L268" s="17"/>
      <c r="M268" s="17"/>
      <c r="N268" s="9">
        <f ca="1">IF(COUNTIF($A$2:A267,A268)&gt;0,INDEX($C$2:C267,MATCH(A268,$A$2:A267,0)),"")</f>
        <v>0</v>
      </c>
      <c r="O268" s="13"/>
      <c r="P268" s="19"/>
    </row>
    <row r="269" spans="1:16" ht="15.75" customHeight="1" x14ac:dyDescent="0.3">
      <c r="A269" s="8" t="str">
        <f ca="1">IFERROR(__xludf.DUMMYFUNCTION("IF(B269="""","""",RIGHT(regexreplace(B269&amp;"""",""[^0-9]"",""""),9))"),"")</f>
        <v/>
      </c>
      <c r="B269" s="5"/>
      <c r="C269" s="5"/>
      <c r="D269" s="5"/>
      <c r="E269" s="15"/>
      <c r="F269" s="15"/>
      <c r="G269" s="15"/>
      <c r="H269" s="15"/>
      <c r="I269" s="15"/>
      <c r="J269" s="15"/>
      <c r="K269" s="9" t="str">
        <f ca="1">IF(COUNTIFS($A$2:A269,A269,$L$2:L269,L269)&gt;1,"DUPLICATE - CHECK","")</f>
        <v/>
      </c>
      <c r="L269" s="17"/>
      <c r="M269" s="17"/>
      <c r="N269" s="9" t="str">
        <f t="array" aca="1" ref="N269" ca="1">IF(COUNTIF($A$2:A268,A)&gt;0,INDEX($C$2:C268,MATCH(A269,$A$2:A268,0)),"")</f>
        <v/>
      </c>
      <c r="O269" s="13"/>
      <c r="P269" s="19"/>
    </row>
    <row r="270" spans="1:16" ht="15.75" customHeight="1" x14ac:dyDescent="0.3">
      <c r="A270" s="8" t="str">
        <f ca="1">IFERROR(__xludf.DUMMYFUNCTION("IF(B270="""","""",RIGHT(regexreplace(B270&amp;"""",""[^0-9]"",""""),9))"),"")</f>
        <v/>
      </c>
      <c r="B270" s="5"/>
      <c r="C270" s="5"/>
      <c r="D270" s="5"/>
      <c r="E270" s="15"/>
      <c r="F270" s="15"/>
      <c r="G270" s="15"/>
      <c r="H270" s="15"/>
      <c r="I270" s="15"/>
      <c r="J270" s="15"/>
      <c r="K270" s="9" t="str">
        <f ca="1">IF(COUNTIFS($A$2:A270,A270,$L$2:L270,L270)&gt;1,"DUPLICATE - CHECK","")</f>
        <v/>
      </c>
      <c r="L270" s="17"/>
      <c r="M270" s="17"/>
      <c r="N270" s="9">
        <f ca="1">IF(COUNTIF($A$2:A269,A270)&gt;0,INDEX($C$2:C269,MATCH(A270,$A$2:A269,0)),"")</f>
        <v>0</v>
      </c>
      <c r="O270" s="13"/>
      <c r="P270" s="19"/>
    </row>
    <row r="271" spans="1:16" ht="15.75" customHeight="1" x14ac:dyDescent="0.3">
      <c r="A271" s="8" t="str">
        <f ca="1">IFERROR(__xludf.DUMMYFUNCTION("IF(B271="""","""",RIGHT(regexreplace(B271&amp;"""",""[^0-9]"",""""),9))"),"")</f>
        <v/>
      </c>
      <c r="B271" s="5"/>
      <c r="C271" s="5"/>
      <c r="D271" s="5"/>
      <c r="E271" s="15"/>
      <c r="F271" s="15"/>
      <c r="G271" s="15"/>
      <c r="H271" s="15"/>
      <c r="I271" s="15"/>
      <c r="J271" s="15"/>
      <c r="K271" s="9" t="str">
        <f ca="1">IF(COUNTIFS($A$2:A271,A271,$L$2:L271,L271)&gt;1,"DUPLICATE - CHECK","")</f>
        <v/>
      </c>
      <c r="L271" s="17"/>
      <c r="M271" s="17"/>
      <c r="N271" s="9">
        <f ca="1">IF(COUNTIF($A$2:A270,A271)&gt;0,INDEX($C$2:C270,MATCH(A271,$A$2:A270,0)),"")</f>
        <v>0</v>
      </c>
      <c r="O271" s="13"/>
      <c r="P271" s="19"/>
    </row>
    <row r="272" spans="1:16" ht="15.75" customHeight="1" x14ac:dyDescent="0.3">
      <c r="A272" s="8" t="str">
        <f ca="1">IFERROR(__xludf.DUMMYFUNCTION("IF(B272="""","""",RIGHT(regexreplace(B272&amp;"""",""[^0-9]"",""""),9))"),"")</f>
        <v/>
      </c>
      <c r="B272" s="5"/>
      <c r="C272" s="5"/>
      <c r="D272" s="5"/>
      <c r="E272" s="15"/>
      <c r="F272" s="15"/>
      <c r="G272" s="15"/>
      <c r="H272" s="15"/>
      <c r="I272" s="15"/>
      <c r="J272" s="15"/>
      <c r="K272" s="9" t="str">
        <f ca="1">IF(COUNTIFS($A$2:A272,A272,$L$2:L272,L272)&gt;1,"DUPLICATE - CHECK","")</f>
        <v/>
      </c>
      <c r="L272" s="17"/>
      <c r="M272" s="17"/>
      <c r="N272" s="9" t="str">
        <f t="array" aca="1" ref="N272" ca="1">IF(COUNTIF($A$2:A271,A)&gt;0,INDEX($C$2:C271,MATCH(A272,$A$2:A271,0)),"")</f>
        <v/>
      </c>
      <c r="O272" s="13"/>
      <c r="P272" s="19"/>
    </row>
    <row r="273" spans="1:16" ht="15.75" customHeight="1" x14ac:dyDescent="0.3">
      <c r="A273" s="8" t="str">
        <f ca="1">IFERROR(__xludf.DUMMYFUNCTION("IF(B273="""","""",RIGHT(regexreplace(B273&amp;"""",""[^0-9]"",""""),9))"),"")</f>
        <v/>
      </c>
      <c r="B273" s="5"/>
      <c r="C273" s="5"/>
      <c r="D273" s="5"/>
      <c r="E273" s="15"/>
      <c r="F273" s="15"/>
      <c r="G273" s="15"/>
      <c r="H273" s="15"/>
      <c r="I273" s="15"/>
      <c r="J273" s="15"/>
      <c r="K273" s="9" t="str">
        <f ca="1">IF(COUNTIFS($A$2:A273,A273,$L$2:L273,L273)&gt;1,"DUPLICATE - CHECK","")</f>
        <v/>
      </c>
      <c r="L273" s="17"/>
      <c r="M273" s="17"/>
      <c r="N273" s="9">
        <f ca="1">IF(COUNTIF($A$2:A272,A273)&gt;0,INDEX($C$2:C272,MATCH(A273,$A$2:A272,0)),"")</f>
        <v>0</v>
      </c>
      <c r="O273" s="13"/>
      <c r="P273" s="19"/>
    </row>
    <row r="274" spans="1:16" ht="15.75" customHeight="1" x14ac:dyDescent="0.3">
      <c r="A274" s="8" t="str">
        <f ca="1">IFERROR(__xludf.DUMMYFUNCTION("IF(B274="""","""",RIGHT(regexreplace(B274&amp;"""",""[^0-9]"",""""),9))"),"")</f>
        <v/>
      </c>
      <c r="B274" s="5"/>
      <c r="C274" s="5"/>
      <c r="D274" s="5"/>
      <c r="E274" s="15"/>
      <c r="F274" s="15"/>
      <c r="G274" s="15"/>
      <c r="H274" s="15"/>
      <c r="I274" s="15"/>
      <c r="J274" s="15"/>
      <c r="K274" s="9" t="str">
        <f ca="1">IF(COUNTIFS($A$2:A274,A274,$L$2:L274,L274)&gt;1,"DUPLICATE - CHECK","")</f>
        <v/>
      </c>
      <c r="L274" s="17"/>
      <c r="M274" s="17"/>
      <c r="N274" s="9">
        <f ca="1">IF(COUNTIF($A$2:A273,A274)&gt;0,INDEX($C$2:C273,MATCH(A274,$A$2:A273,0)),"")</f>
        <v>0</v>
      </c>
      <c r="O274" s="13"/>
      <c r="P274" s="19"/>
    </row>
    <row r="275" spans="1:16" ht="15.75" customHeight="1" x14ac:dyDescent="0.3">
      <c r="A275" s="8" t="str">
        <f ca="1">IFERROR(__xludf.DUMMYFUNCTION("IF(B275="""","""",RIGHT(regexreplace(B275&amp;"""",""[^0-9]"",""""),9))"),"")</f>
        <v/>
      </c>
      <c r="B275" s="5"/>
      <c r="C275" s="5"/>
      <c r="D275" s="5"/>
      <c r="E275" s="15"/>
      <c r="F275" s="15"/>
      <c r="G275" s="15"/>
      <c r="H275" s="15"/>
      <c r="I275" s="15"/>
      <c r="J275" s="15"/>
      <c r="K275" s="9" t="str">
        <f ca="1">IF(COUNTIFS($A$2:A275,A275,$L$2:L275,L275)&gt;1,"DUPLICATE - CHECK","")</f>
        <v/>
      </c>
      <c r="L275" s="17"/>
      <c r="M275" s="17"/>
      <c r="N275" s="9" t="str">
        <f t="array" aca="1" ref="N275" ca="1">IF(COUNTIF($A$2:A274,A)&gt;0,INDEX($C$2:C274,MATCH(A275,$A$2:A274,0)),"")</f>
        <v/>
      </c>
      <c r="O275" s="13"/>
      <c r="P275" s="19"/>
    </row>
    <row r="276" spans="1:16" ht="15.75" customHeight="1" x14ac:dyDescent="0.3">
      <c r="A276" s="8" t="str">
        <f ca="1">IFERROR(__xludf.DUMMYFUNCTION("IF(B276="""","""",RIGHT(regexreplace(B276&amp;"""",""[^0-9]"",""""),9))"),"")</f>
        <v/>
      </c>
      <c r="B276" s="5"/>
      <c r="C276" s="5"/>
      <c r="D276" s="5"/>
      <c r="E276" s="15"/>
      <c r="F276" s="15"/>
      <c r="G276" s="15"/>
      <c r="H276" s="15"/>
      <c r="I276" s="15"/>
      <c r="J276" s="15"/>
      <c r="K276" s="9" t="str">
        <f ca="1">IF(COUNTIFS($A$2:A276,A276,$L$2:L276,L276)&gt;1,"DUPLICATE - CHECK","")</f>
        <v/>
      </c>
      <c r="L276" s="17"/>
      <c r="M276" s="17"/>
      <c r="N276" s="9">
        <f ca="1">IF(COUNTIF($A$2:A275,A276)&gt;0,INDEX($C$2:C275,MATCH(A276,$A$2:A275,0)),"")</f>
        <v>0</v>
      </c>
      <c r="O276" s="13"/>
      <c r="P276" s="19"/>
    </row>
    <row r="277" spans="1:16" ht="15.75" customHeight="1" x14ac:dyDescent="0.3">
      <c r="A277" s="8" t="str">
        <f ca="1">IFERROR(__xludf.DUMMYFUNCTION("IF(B277="""","""",RIGHT(regexreplace(B277&amp;"""",""[^0-9]"",""""),9))"),"")</f>
        <v/>
      </c>
      <c r="B277" s="5"/>
      <c r="C277" s="5"/>
      <c r="D277" s="5"/>
      <c r="E277" s="15"/>
      <c r="F277" s="15"/>
      <c r="G277" s="15"/>
      <c r="H277" s="15"/>
      <c r="I277" s="15"/>
      <c r="J277" s="15"/>
      <c r="K277" s="9" t="str">
        <f ca="1">IF(COUNTIFS($A$2:A277,A277,$L$2:L277,L277)&gt;1,"DUPLICATE - CHECK","")</f>
        <v/>
      </c>
      <c r="L277" s="17"/>
      <c r="M277" s="17"/>
      <c r="N277" s="9">
        <f ca="1">IF(COUNTIF($A$2:A276,A277)&gt;0,INDEX($C$2:C276,MATCH(A277,$A$2:A276,0)),"")</f>
        <v>0</v>
      </c>
      <c r="O277" s="13"/>
      <c r="P277" s="19"/>
    </row>
    <row r="278" spans="1:16" ht="15.75" customHeight="1" x14ac:dyDescent="0.3">
      <c r="A278" s="8" t="str">
        <f ca="1">IFERROR(__xludf.DUMMYFUNCTION("IF(B278="""","""",RIGHT(regexreplace(B278&amp;"""",""[^0-9]"",""""),9))"),"")</f>
        <v/>
      </c>
      <c r="B278" s="5"/>
      <c r="C278" s="5"/>
      <c r="D278" s="5"/>
      <c r="E278" s="15"/>
      <c r="F278" s="15"/>
      <c r="G278" s="15"/>
      <c r="H278" s="15"/>
      <c r="I278" s="15"/>
      <c r="J278" s="15"/>
      <c r="K278" s="9" t="str">
        <f ca="1">IF(COUNTIFS($A$2:A278,A278,$L$2:L278,L278)&gt;1,"DUPLICATE - CHECK","")</f>
        <v/>
      </c>
      <c r="L278" s="17"/>
      <c r="M278" s="17"/>
      <c r="N278" s="9" t="str">
        <f t="array" aca="1" ref="N278" ca="1">IF(COUNTIF($A$2:A277,A)&gt;0,INDEX($C$2:C277,MATCH(A278,$A$2:A277,0)),"")</f>
        <v/>
      </c>
      <c r="O278" s="13"/>
      <c r="P278" s="19"/>
    </row>
    <row r="279" spans="1:16" ht="15.75" customHeight="1" x14ac:dyDescent="0.3">
      <c r="A279" s="8" t="str">
        <f ca="1">IFERROR(__xludf.DUMMYFUNCTION("IF(B279="""","""",RIGHT(regexreplace(B279&amp;"""",""[^0-9]"",""""),9))"),"")</f>
        <v/>
      </c>
      <c r="B279" s="5"/>
      <c r="C279" s="5"/>
      <c r="D279" s="5"/>
      <c r="E279" s="15"/>
      <c r="F279" s="15"/>
      <c r="G279" s="15"/>
      <c r="H279" s="15"/>
      <c r="I279" s="15"/>
      <c r="J279" s="15"/>
      <c r="K279" s="9" t="str">
        <f ca="1">IF(COUNTIFS($A$2:A279,A279,$L$2:L279,L279)&gt;1,"DUPLICATE - CHECK","")</f>
        <v/>
      </c>
      <c r="L279" s="17"/>
      <c r="M279" s="17"/>
      <c r="N279" s="9">
        <f ca="1">IF(COUNTIF($A$2:A278,A279)&gt;0,INDEX($C$2:C278,MATCH(A279,$A$2:A278,0)),"")</f>
        <v>0</v>
      </c>
      <c r="O279" s="13"/>
      <c r="P279" s="19"/>
    </row>
    <row r="280" spans="1:16" ht="15.75" customHeight="1" x14ac:dyDescent="0.3">
      <c r="A280" s="8" t="str">
        <f ca="1">IFERROR(__xludf.DUMMYFUNCTION("IF(B280="""","""",RIGHT(regexreplace(B280&amp;"""",""[^0-9]"",""""),9))"),"")</f>
        <v/>
      </c>
      <c r="B280" s="5"/>
      <c r="C280" s="5"/>
      <c r="D280" s="5"/>
      <c r="E280" s="15"/>
      <c r="F280" s="15"/>
      <c r="G280" s="15"/>
      <c r="H280" s="15"/>
      <c r="I280" s="15"/>
      <c r="J280" s="15"/>
      <c r="K280" s="9" t="str">
        <f ca="1">IF(COUNTIFS($A$2:A280,A280,$L$2:L280,L280)&gt;1,"DUPLICATE - CHECK","")</f>
        <v/>
      </c>
      <c r="L280" s="17"/>
      <c r="M280" s="17"/>
      <c r="N280" s="9">
        <f ca="1">IF(COUNTIF($A$2:A279,A280)&gt;0,INDEX($C$2:C279,MATCH(A280,$A$2:A279,0)),"")</f>
        <v>0</v>
      </c>
      <c r="O280" s="13"/>
      <c r="P280" s="19"/>
    </row>
    <row r="281" spans="1:16" ht="15.75" customHeight="1" x14ac:dyDescent="0.3">
      <c r="A281" s="8" t="str">
        <f ca="1">IFERROR(__xludf.DUMMYFUNCTION("IF(B281="""","""",RIGHT(regexreplace(B281&amp;"""",""[^0-9]"",""""),9))"),"")</f>
        <v/>
      </c>
      <c r="B281" s="5"/>
      <c r="C281" s="5"/>
      <c r="D281" s="5"/>
      <c r="E281" s="15"/>
      <c r="F281" s="15"/>
      <c r="G281" s="15"/>
      <c r="H281" s="15"/>
      <c r="I281" s="15"/>
      <c r="J281" s="15"/>
      <c r="K281" s="9" t="str">
        <f ca="1">IF(COUNTIFS($A$2:A281,A281,$L$2:L281,L281)&gt;1,"DUPLICATE - CHECK","")</f>
        <v/>
      </c>
      <c r="L281" s="17"/>
      <c r="M281" s="17"/>
      <c r="N281" s="9" t="str">
        <f t="array" aca="1" ref="N281" ca="1">IF(COUNTIF($A$2:A280,A)&gt;0,INDEX($C$2:C280,MATCH(A281,$A$2:A280,0)),"")</f>
        <v/>
      </c>
      <c r="O281" s="13"/>
      <c r="P281" s="19"/>
    </row>
    <row r="282" spans="1:16" ht="15.75" customHeight="1" x14ac:dyDescent="0.3">
      <c r="A282" s="8" t="str">
        <f ca="1">IFERROR(__xludf.DUMMYFUNCTION("IF(B282="""","""",RIGHT(regexreplace(B282&amp;"""",""[^0-9]"",""""),9))"),"")</f>
        <v/>
      </c>
      <c r="B282" s="5"/>
      <c r="C282" s="5"/>
      <c r="D282" s="5"/>
      <c r="E282" s="15"/>
      <c r="F282" s="15"/>
      <c r="G282" s="15"/>
      <c r="H282" s="15"/>
      <c r="I282" s="15"/>
      <c r="J282" s="15"/>
      <c r="K282" s="9" t="str">
        <f ca="1">IF(COUNTIFS($A$2:A282,A282,$L$2:L282,L282)&gt;1,"DUPLICATE - CHECK","")</f>
        <v/>
      </c>
      <c r="L282" s="17"/>
      <c r="M282" s="17"/>
      <c r="N282" s="9">
        <f ca="1">IF(COUNTIF($A$2:A281,A282)&gt;0,INDEX($C$2:C281,MATCH(A282,$A$2:A281,0)),"")</f>
        <v>0</v>
      </c>
      <c r="O282" s="13"/>
      <c r="P282" s="19"/>
    </row>
    <row r="283" spans="1:16" ht="15.75" customHeight="1" x14ac:dyDescent="0.3">
      <c r="A283" s="8" t="str">
        <f ca="1">IFERROR(__xludf.DUMMYFUNCTION("IF(B283="""","""",RIGHT(regexreplace(B283&amp;"""",""[^0-9]"",""""),9))"),"")</f>
        <v/>
      </c>
      <c r="B283" s="5"/>
      <c r="C283" s="5"/>
      <c r="D283" s="5"/>
      <c r="E283" s="15"/>
      <c r="F283" s="15"/>
      <c r="G283" s="15"/>
      <c r="H283" s="15"/>
      <c r="I283" s="15"/>
      <c r="J283" s="15"/>
      <c r="K283" s="9" t="str">
        <f ca="1">IF(COUNTIFS($A$2:A283,A283,$L$2:L283,L283)&gt;1,"DUPLICATE - CHECK","")</f>
        <v/>
      </c>
      <c r="L283" s="17"/>
      <c r="M283" s="17"/>
      <c r="N283" s="9">
        <f ca="1">IF(COUNTIF($A$2:A282,A283)&gt;0,INDEX($C$2:C282,MATCH(A283,$A$2:A282,0)),"")</f>
        <v>0</v>
      </c>
      <c r="O283" s="13"/>
      <c r="P283" s="19"/>
    </row>
    <row r="284" spans="1:16" ht="15.75" customHeight="1" x14ac:dyDescent="0.3">
      <c r="A284" s="8" t="str">
        <f ca="1">IFERROR(__xludf.DUMMYFUNCTION("IF(B284="""","""",RIGHT(regexreplace(B284&amp;"""",""[^0-9]"",""""),9))"),"")</f>
        <v/>
      </c>
      <c r="B284" s="5"/>
      <c r="C284" s="5"/>
      <c r="D284" s="5"/>
      <c r="E284" s="15"/>
      <c r="F284" s="15"/>
      <c r="G284" s="15"/>
      <c r="H284" s="15"/>
      <c r="I284" s="15"/>
      <c r="J284" s="15"/>
      <c r="K284" s="9" t="str">
        <f ca="1">IF(COUNTIFS($A$2:A284,A284,$L$2:L284,L284)&gt;1,"DUPLICATE - CHECK","")</f>
        <v/>
      </c>
      <c r="L284" s="17"/>
      <c r="M284" s="17"/>
      <c r="N284" s="9" t="str">
        <f t="array" aca="1" ref="N284" ca="1">IF(COUNTIF($A$2:A283,A)&gt;0,INDEX($C$2:C283,MATCH(A284,$A$2:A283,0)),"")</f>
        <v/>
      </c>
      <c r="O284" s="13"/>
      <c r="P284" s="19"/>
    </row>
    <row r="285" spans="1:16" ht="15.75" customHeight="1" x14ac:dyDescent="0.3">
      <c r="A285" s="8" t="str">
        <f ca="1">IFERROR(__xludf.DUMMYFUNCTION("IF(B285="""","""",RIGHT(regexreplace(B285&amp;"""",""[^0-9]"",""""),9))"),"")</f>
        <v/>
      </c>
      <c r="B285" s="5"/>
      <c r="C285" s="5"/>
      <c r="D285" s="5"/>
      <c r="E285" s="15"/>
      <c r="F285" s="15"/>
      <c r="G285" s="15"/>
      <c r="H285" s="15"/>
      <c r="I285" s="15"/>
      <c r="J285" s="15"/>
      <c r="K285" s="9" t="str">
        <f ca="1">IF(COUNTIFS($A$2:A285,A285,$L$2:L285,L285)&gt;1,"DUPLICATE - CHECK","")</f>
        <v/>
      </c>
      <c r="L285" s="17"/>
      <c r="M285" s="17"/>
      <c r="N285" s="9">
        <f ca="1">IF(COUNTIF($A$2:A284,A285)&gt;0,INDEX($C$2:C284,MATCH(A285,$A$2:A284,0)),"")</f>
        <v>0</v>
      </c>
      <c r="O285" s="13"/>
      <c r="P285" s="19"/>
    </row>
    <row r="286" spans="1:16" ht="15.75" customHeight="1" x14ac:dyDescent="0.3">
      <c r="A286" s="8" t="str">
        <f ca="1">IFERROR(__xludf.DUMMYFUNCTION("IF(B286="""","""",RIGHT(regexreplace(B286&amp;"""",""[^0-9]"",""""),9))"),"")</f>
        <v/>
      </c>
      <c r="B286" s="5"/>
      <c r="C286" s="5"/>
      <c r="D286" s="5"/>
      <c r="E286" s="15"/>
      <c r="F286" s="15"/>
      <c r="G286" s="15"/>
      <c r="H286" s="15"/>
      <c r="I286" s="15"/>
      <c r="J286" s="15"/>
      <c r="K286" s="9" t="str">
        <f ca="1">IF(COUNTIFS($A$2:A286,A286,$L$2:L286,L286)&gt;1,"DUPLICATE - CHECK","")</f>
        <v/>
      </c>
      <c r="L286" s="17"/>
      <c r="M286" s="17"/>
      <c r="N286" s="9">
        <f ca="1">IF(COUNTIF($A$2:A285,A286)&gt;0,INDEX($C$2:C285,MATCH(A286,$A$2:A285,0)),"")</f>
        <v>0</v>
      </c>
      <c r="O286" s="13"/>
      <c r="P286" s="19"/>
    </row>
    <row r="287" spans="1:16" ht="15.75" customHeight="1" x14ac:dyDescent="0.3">
      <c r="A287" s="8" t="str">
        <f ca="1">IFERROR(__xludf.DUMMYFUNCTION("IF(B287="""","""",RIGHT(regexreplace(B287&amp;"""",""[^0-9]"",""""),9))"),"")</f>
        <v/>
      </c>
      <c r="B287" s="5"/>
      <c r="C287" s="5"/>
      <c r="D287" s="5"/>
      <c r="E287" s="15"/>
      <c r="F287" s="15"/>
      <c r="G287" s="15"/>
      <c r="H287" s="15"/>
      <c r="I287" s="15"/>
      <c r="J287" s="15"/>
      <c r="K287" s="9" t="str">
        <f ca="1">IF(COUNTIFS($A$2:A287,A287,$L$2:L287,L287)&gt;1,"DUPLICATE - CHECK","")</f>
        <v/>
      </c>
      <c r="L287" s="17"/>
      <c r="M287" s="17"/>
      <c r="N287" s="9" t="str">
        <f t="array" aca="1" ref="N287" ca="1">IF(COUNTIF($A$2:A286,A)&gt;0,INDEX($C$2:C286,MATCH(A287,$A$2:A286,0)),"")</f>
        <v/>
      </c>
      <c r="O287" s="13"/>
      <c r="P287" s="19"/>
    </row>
    <row r="288" spans="1:16" ht="15.75" customHeight="1" x14ac:dyDescent="0.3">
      <c r="A288" s="8" t="str">
        <f ca="1">IFERROR(__xludf.DUMMYFUNCTION("IF(B288="""","""",RIGHT(regexreplace(B288&amp;"""",""[^0-9]"",""""),9))"),"")</f>
        <v/>
      </c>
      <c r="B288" s="5"/>
      <c r="C288" s="5"/>
      <c r="D288" s="5"/>
      <c r="E288" s="15"/>
      <c r="F288" s="15"/>
      <c r="G288" s="15"/>
      <c r="H288" s="15"/>
      <c r="I288" s="15"/>
      <c r="J288" s="15"/>
      <c r="K288" s="9" t="str">
        <f ca="1">IF(COUNTIFS($A$2:A288,A288,$L$2:L288,L288)&gt;1,"DUPLICATE - CHECK","")</f>
        <v/>
      </c>
      <c r="L288" s="17"/>
      <c r="M288" s="17"/>
      <c r="N288" s="9">
        <f ca="1">IF(COUNTIF($A$2:A287,A288)&gt;0,INDEX($C$2:C287,MATCH(A288,$A$2:A287,0)),"")</f>
        <v>0</v>
      </c>
      <c r="O288" s="13"/>
      <c r="P288" s="19"/>
    </row>
    <row r="289" spans="1:16" ht="15.75" customHeight="1" x14ac:dyDescent="0.3">
      <c r="A289" s="8" t="str">
        <f ca="1">IFERROR(__xludf.DUMMYFUNCTION("IF(B289="""","""",RIGHT(regexreplace(B289&amp;"""",""[^0-9]"",""""),9))"),"")</f>
        <v/>
      </c>
      <c r="B289" s="5"/>
      <c r="C289" s="5"/>
      <c r="D289" s="5"/>
      <c r="E289" s="15"/>
      <c r="F289" s="15"/>
      <c r="G289" s="15"/>
      <c r="H289" s="15"/>
      <c r="I289" s="15"/>
      <c r="J289" s="15"/>
      <c r="K289" s="9" t="str">
        <f ca="1">IF(COUNTIFS($A$2:A289,A289,$L$2:L289,L289)&gt;1,"DUPLICATE - CHECK","")</f>
        <v/>
      </c>
      <c r="L289" s="17"/>
      <c r="M289" s="17"/>
      <c r="N289" s="9">
        <f ca="1">IF(COUNTIF($A$2:A288,A289)&gt;0,INDEX($C$2:C288,MATCH(A289,$A$2:A288,0)),"")</f>
        <v>0</v>
      </c>
      <c r="O289" s="13"/>
      <c r="P289" s="19"/>
    </row>
    <row r="290" spans="1:16" ht="15.75" customHeight="1" x14ac:dyDescent="0.3">
      <c r="A290" s="8" t="str">
        <f ca="1">IFERROR(__xludf.DUMMYFUNCTION("IF(B290="""","""",RIGHT(regexreplace(B290&amp;"""",""[^0-9]"",""""),9))"),"")</f>
        <v/>
      </c>
      <c r="B290" s="5"/>
      <c r="C290" s="5"/>
      <c r="D290" s="5"/>
      <c r="E290" s="15"/>
      <c r="F290" s="15"/>
      <c r="G290" s="15"/>
      <c r="H290" s="15"/>
      <c r="I290" s="15"/>
      <c r="J290" s="15"/>
      <c r="K290" s="9" t="str">
        <f ca="1">IF(COUNTIFS($A$2:A290,A290,$L$2:L290,L290)&gt;1,"DUPLICATE - CHECK","")</f>
        <v/>
      </c>
      <c r="L290" s="17"/>
      <c r="M290" s="17"/>
      <c r="N290" s="9" t="str">
        <f t="array" aca="1" ref="N290" ca="1">IF(COUNTIF($A$2:A289,A)&gt;0,INDEX($C$2:C289,MATCH(A290,$A$2:A289,0)),"")</f>
        <v/>
      </c>
      <c r="O290" s="13"/>
      <c r="P290" s="19"/>
    </row>
    <row r="291" spans="1:16" ht="15.75" customHeight="1" x14ac:dyDescent="0.3">
      <c r="A291" s="8" t="str">
        <f ca="1">IFERROR(__xludf.DUMMYFUNCTION("IF(B291="""","""",RIGHT(regexreplace(B291&amp;"""",""[^0-9]"",""""),9))"),"")</f>
        <v/>
      </c>
      <c r="B291" s="5"/>
      <c r="C291" s="5"/>
      <c r="D291" s="5"/>
      <c r="E291" s="15"/>
      <c r="F291" s="15"/>
      <c r="G291" s="15"/>
      <c r="H291" s="15"/>
      <c r="I291" s="15"/>
      <c r="J291" s="15"/>
      <c r="K291" s="9" t="str">
        <f ca="1">IF(COUNTIFS($A$2:A291,A291,$L$2:L291,L291)&gt;1,"DUPLICATE - CHECK","")</f>
        <v/>
      </c>
      <c r="L291" s="17"/>
      <c r="M291" s="17"/>
      <c r="N291" s="9">
        <f ca="1">IF(COUNTIF($A$2:A290,A291)&gt;0,INDEX($C$2:C290,MATCH(A291,$A$2:A290,0)),"")</f>
        <v>0</v>
      </c>
      <c r="O291" s="13"/>
      <c r="P291" s="19"/>
    </row>
    <row r="292" spans="1:16" ht="15.75" customHeight="1" x14ac:dyDescent="0.3">
      <c r="A292" s="8" t="str">
        <f ca="1">IFERROR(__xludf.DUMMYFUNCTION("IF(B292="""","""",RIGHT(regexreplace(B292&amp;"""",""[^0-9]"",""""),9))"),"")</f>
        <v/>
      </c>
      <c r="B292" s="5"/>
      <c r="C292" s="5"/>
      <c r="D292" s="5"/>
      <c r="E292" s="15"/>
      <c r="F292" s="15"/>
      <c r="G292" s="15"/>
      <c r="H292" s="15"/>
      <c r="I292" s="15"/>
      <c r="J292" s="15"/>
      <c r="K292" s="9" t="str">
        <f ca="1">IF(COUNTIFS($A$2:A292,A292,$L$2:L292,L292)&gt;1,"DUPLICATE - CHECK","")</f>
        <v/>
      </c>
      <c r="L292" s="17"/>
      <c r="M292" s="17"/>
      <c r="N292" s="9">
        <f ca="1">IF(COUNTIF($A$2:A291,A292)&gt;0,INDEX($C$2:C291,MATCH(A292,$A$2:A291,0)),"")</f>
        <v>0</v>
      </c>
      <c r="O292" s="13"/>
      <c r="P292" s="19"/>
    </row>
    <row r="293" spans="1:16" ht="15.75" customHeight="1" x14ac:dyDescent="0.3">
      <c r="A293" s="8" t="str">
        <f ca="1">IFERROR(__xludf.DUMMYFUNCTION("IF(B293="""","""",RIGHT(regexreplace(B293&amp;"""",""[^0-9]"",""""),9))"),"")</f>
        <v/>
      </c>
      <c r="B293" s="5"/>
      <c r="C293" s="5"/>
      <c r="D293" s="5"/>
      <c r="E293" s="15"/>
      <c r="F293" s="15"/>
      <c r="G293" s="15"/>
      <c r="H293" s="15"/>
      <c r="I293" s="15"/>
      <c r="J293" s="15"/>
      <c r="K293" s="9" t="str">
        <f ca="1">IF(COUNTIFS($A$2:A293,A293,$L$2:L293,L293)&gt;1,"DUPLICATE - CHECK","")</f>
        <v/>
      </c>
      <c r="L293" s="17"/>
      <c r="M293" s="17"/>
      <c r="N293" s="9" t="str">
        <f t="array" aca="1" ref="N293" ca="1">IF(COUNTIF($A$2:A292,A)&gt;0,INDEX($C$2:C292,MATCH(A293,$A$2:A292,0)),"")</f>
        <v/>
      </c>
      <c r="O293" s="13"/>
      <c r="P293" s="19"/>
    </row>
    <row r="294" spans="1:16" ht="15.75" customHeight="1" x14ac:dyDescent="0.3">
      <c r="A294" s="8" t="str">
        <f ca="1">IFERROR(__xludf.DUMMYFUNCTION("IF(B294="""","""",RIGHT(regexreplace(B294&amp;"""",""[^0-9]"",""""),9))"),"")</f>
        <v/>
      </c>
      <c r="B294" s="5"/>
      <c r="C294" s="5"/>
      <c r="D294" s="5"/>
      <c r="E294" s="15"/>
      <c r="F294" s="15"/>
      <c r="G294" s="15"/>
      <c r="H294" s="15"/>
      <c r="I294" s="15"/>
      <c r="J294" s="15"/>
      <c r="K294" s="9" t="str">
        <f ca="1">IF(COUNTIFS($A$2:A294,A294,$L$2:L294,L294)&gt;1,"DUPLICATE - CHECK","")</f>
        <v/>
      </c>
      <c r="L294" s="17"/>
      <c r="M294" s="17"/>
      <c r="N294" s="9">
        <f ca="1">IF(COUNTIF($A$2:A293,A294)&gt;0,INDEX($C$2:C293,MATCH(A294,$A$2:A293,0)),"")</f>
        <v>0</v>
      </c>
      <c r="O294" s="13"/>
      <c r="P294" s="19"/>
    </row>
    <row r="295" spans="1:16" ht="15.75" customHeight="1" x14ac:dyDescent="0.3">
      <c r="A295" s="8" t="str">
        <f ca="1">IFERROR(__xludf.DUMMYFUNCTION("IF(B295="""","""",RIGHT(regexreplace(B295&amp;"""",""[^0-9]"",""""),9))"),"")</f>
        <v/>
      </c>
      <c r="B295" s="5"/>
      <c r="C295" s="5"/>
      <c r="D295" s="5"/>
      <c r="E295" s="15"/>
      <c r="F295" s="15"/>
      <c r="G295" s="15"/>
      <c r="H295" s="15"/>
      <c r="I295" s="15"/>
      <c r="J295" s="15"/>
      <c r="K295" s="9" t="str">
        <f ca="1">IF(COUNTIFS($A$2:A295,A295,$L$2:L295,L295)&gt;1,"DUPLICATE - CHECK","")</f>
        <v/>
      </c>
      <c r="L295" s="17"/>
      <c r="M295" s="17"/>
      <c r="N295" s="9">
        <f ca="1">IF(COUNTIF($A$2:A294,A295)&gt;0,INDEX($C$2:C294,MATCH(A295,$A$2:A294,0)),"")</f>
        <v>0</v>
      </c>
      <c r="O295" s="13"/>
      <c r="P295" s="19"/>
    </row>
    <row r="296" spans="1:16" ht="15.75" customHeight="1" x14ac:dyDescent="0.3">
      <c r="A296" s="8" t="str">
        <f ca="1">IFERROR(__xludf.DUMMYFUNCTION("IF(B296="""","""",RIGHT(regexreplace(B296&amp;"""",""[^0-9]"",""""),9))"),"")</f>
        <v/>
      </c>
      <c r="B296" s="5"/>
      <c r="C296" s="5"/>
      <c r="D296" s="5"/>
      <c r="E296" s="15"/>
      <c r="F296" s="15"/>
      <c r="G296" s="15"/>
      <c r="H296" s="15"/>
      <c r="I296" s="15"/>
      <c r="J296" s="15"/>
      <c r="K296" s="9" t="str">
        <f ca="1">IF(COUNTIFS($A$2:A296,A296,$L$2:L296,L296)&gt;1,"DUPLICATE - CHECK","")</f>
        <v/>
      </c>
      <c r="L296" s="17"/>
      <c r="M296" s="17"/>
      <c r="N296" s="9" t="str">
        <f t="array" aca="1" ref="N296" ca="1">IF(COUNTIF($A$2:A295,A)&gt;0,INDEX($C$2:C295,MATCH(A296,$A$2:A295,0)),"")</f>
        <v/>
      </c>
      <c r="O296" s="13"/>
      <c r="P296" s="19"/>
    </row>
    <row r="297" spans="1:16" ht="15.75" customHeight="1" x14ac:dyDescent="0.3">
      <c r="A297" s="8" t="str">
        <f ca="1">IFERROR(__xludf.DUMMYFUNCTION("IF(B297="""","""",RIGHT(regexreplace(B297&amp;"""",""[^0-9]"",""""),9))"),"")</f>
        <v/>
      </c>
      <c r="B297" s="5"/>
      <c r="C297" s="5"/>
      <c r="D297" s="5"/>
      <c r="E297" s="15"/>
      <c r="F297" s="15"/>
      <c r="G297" s="15"/>
      <c r="H297" s="15"/>
      <c r="I297" s="15"/>
      <c r="J297" s="15"/>
      <c r="K297" s="9" t="str">
        <f ca="1">IF(COUNTIFS($A$2:A297,A297,$L$2:L297,L297)&gt;1,"DUPLICATE - CHECK","")</f>
        <v/>
      </c>
      <c r="L297" s="17"/>
      <c r="M297" s="17"/>
      <c r="N297" s="9">
        <f ca="1">IF(COUNTIF($A$2:A296,A297)&gt;0,INDEX($C$2:C296,MATCH(A297,$A$2:A296,0)),"")</f>
        <v>0</v>
      </c>
      <c r="O297" s="13"/>
      <c r="P297" s="19"/>
    </row>
    <row r="298" spans="1:16" ht="15.75" customHeight="1" x14ac:dyDescent="0.3">
      <c r="A298" s="8" t="str">
        <f ca="1">IFERROR(__xludf.DUMMYFUNCTION("IF(B298="""","""",RIGHT(regexreplace(B298&amp;"""",""[^0-9]"",""""),9))"),"")</f>
        <v/>
      </c>
      <c r="B298" s="5"/>
      <c r="C298" s="5"/>
      <c r="D298" s="5"/>
      <c r="E298" s="15"/>
      <c r="F298" s="15"/>
      <c r="G298" s="15"/>
      <c r="H298" s="15"/>
      <c r="I298" s="15"/>
      <c r="J298" s="15"/>
      <c r="K298" s="9" t="str">
        <f ca="1">IF(COUNTIFS($A$2:A298,A298,$L$2:L298,L298)&gt;1,"DUPLICATE - CHECK","")</f>
        <v/>
      </c>
      <c r="L298" s="17"/>
      <c r="M298" s="17"/>
      <c r="N298" s="9">
        <f ca="1">IF(COUNTIF($A$2:A297,A298)&gt;0,INDEX($C$2:C297,MATCH(A298,$A$2:A297,0)),"")</f>
        <v>0</v>
      </c>
      <c r="O298" s="13"/>
      <c r="P298" s="19"/>
    </row>
    <row r="299" spans="1:16" ht="15.75" customHeight="1" x14ac:dyDescent="0.3">
      <c r="A299" s="8" t="str">
        <f ca="1">IFERROR(__xludf.DUMMYFUNCTION("IF(B299="""","""",RIGHT(regexreplace(B299&amp;"""",""[^0-9]"",""""),9))"),"")</f>
        <v/>
      </c>
      <c r="B299" s="5"/>
      <c r="C299" s="5"/>
      <c r="D299" s="5"/>
      <c r="E299" s="15"/>
      <c r="F299" s="15"/>
      <c r="G299" s="15"/>
      <c r="H299" s="15"/>
      <c r="I299" s="15"/>
      <c r="J299" s="15"/>
      <c r="K299" s="9" t="str">
        <f ca="1">IF(COUNTIFS($A$2:A299,A299,$L$2:L299,L299)&gt;1,"DUPLICATE - CHECK","")</f>
        <v/>
      </c>
      <c r="L299" s="17"/>
      <c r="M299" s="17"/>
      <c r="N299" s="9" t="str">
        <f t="array" aca="1" ref="N299" ca="1">IF(COUNTIF($A$2:A298,A)&gt;0,INDEX($C$2:C298,MATCH(A299,$A$2:A298,0)),"")</f>
        <v/>
      </c>
      <c r="O299" s="13"/>
      <c r="P299" s="19"/>
    </row>
    <row r="300" spans="1:16" ht="15.75" customHeight="1" x14ac:dyDescent="0.3">
      <c r="A300" s="8" t="str">
        <f ca="1">IFERROR(__xludf.DUMMYFUNCTION("IF(B300="""","""",RIGHT(regexreplace(B300&amp;"""",""[^0-9]"",""""),9))"),"")</f>
        <v/>
      </c>
      <c r="B300" s="5"/>
      <c r="C300" s="5"/>
      <c r="D300" s="5"/>
      <c r="E300" s="15"/>
      <c r="F300" s="15"/>
      <c r="G300" s="15"/>
      <c r="H300" s="15"/>
      <c r="I300" s="15"/>
      <c r="J300" s="15"/>
      <c r="K300" s="9" t="str">
        <f ca="1">IF(COUNTIFS($A$2:A300,A300,$L$2:L300,L300)&gt;1,"DUPLICATE - CHECK","")</f>
        <v/>
      </c>
      <c r="L300" s="17"/>
      <c r="M300" s="17"/>
      <c r="N300" s="9">
        <f ca="1">IF(COUNTIF($A$2:A299,A300)&gt;0,INDEX($C$2:C299,MATCH(A300,$A$2:A299,0)),"")</f>
        <v>0</v>
      </c>
      <c r="O300" s="13"/>
      <c r="P300" s="19"/>
    </row>
    <row r="301" spans="1:16" ht="15.75" customHeight="1" x14ac:dyDescent="0.3">
      <c r="A301" s="8" t="str">
        <f ca="1">IFERROR(__xludf.DUMMYFUNCTION("IF(B301="""","""",RIGHT(regexreplace(B301&amp;"""",""[^0-9]"",""""),9))"),"")</f>
        <v/>
      </c>
      <c r="B301" s="5"/>
      <c r="C301" s="5"/>
      <c r="D301" s="5"/>
      <c r="E301" s="15"/>
      <c r="F301" s="15"/>
      <c r="G301" s="15"/>
      <c r="H301" s="15"/>
      <c r="I301" s="15"/>
      <c r="J301" s="15"/>
      <c r="K301" s="9" t="str">
        <f ca="1">IF(COUNTIFS($A$2:A301,A301,$L$2:L301,L301)&gt;1,"DUPLICATE - CHECK","")</f>
        <v/>
      </c>
      <c r="L301" s="17"/>
      <c r="M301" s="17"/>
      <c r="N301" s="9">
        <f ca="1">IF(COUNTIF($A$2:A300,A301)&gt;0,INDEX($C$2:C300,MATCH(A301,$A$2:A300,0)),"")</f>
        <v>0</v>
      </c>
      <c r="O301" s="13"/>
      <c r="P301" s="19"/>
    </row>
    <row r="302" spans="1:16" ht="15.75" customHeight="1" x14ac:dyDescent="0.3">
      <c r="A302" s="8" t="str">
        <f ca="1">IFERROR(__xludf.DUMMYFUNCTION("IF(B302="""","""",RIGHT(regexreplace(B302&amp;"""",""[^0-9]"",""""),9))"),"")</f>
        <v/>
      </c>
      <c r="B302" s="5"/>
      <c r="C302" s="5"/>
      <c r="D302" s="5"/>
      <c r="E302" s="15"/>
      <c r="F302" s="15"/>
      <c r="G302" s="15"/>
      <c r="H302" s="15"/>
      <c r="I302" s="15"/>
      <c r="J302" s="15"/>
      <c r="K302" s="9" t="str">
        <f ca="1">IF(COUNTIFS($A$2:A302,A302,$L$2:L302,L302)&gt;1,"DUPLICATE - CHECK","")</f>
        <v/>
      </c>
      <c r="L302" s="17"/>
      <c r="M302" s="17"/>
      <c r="N302" s="9" t="str">
        <f t="array" aca="1" ref="N302" ca="1">IF(COUNTIF($A$2:A301,A)&gt;0,INDEX($C$2:C301,MATCH(A302,$A$2:A301,0)),"")</f>
        <v/>
      </c>
      <c r="O302" s="13"/>
      <c r="P302" s="19"/>
    </row>
    <row r="303" spans="1:16" ht="15.75" customHeight="1" x14ac:dyDescent="0.3">
      <c r="A303" s="8" t="str">
        <f ca="1">IFERROR(__xludf.DUMMYFUNCTION("IF(B303="""","""",RIGHT(regexreplace(B303&amp;"""",""[^0-9]"",""""),9))"),"")</f>
        <v/>
      </c>
      <c r="B303" s="5"/>
      <c r="C303" s="5"/>
      <c r="D303" s="5"/>
      <c r="E303" s="15"/>
      <c r="F303" s="15"/>
      <c r="G303" s="15"/>
      <c r="H303" s="15"/>
      <c r="I303" s="15"/>
      <c r="J303" s="15"/>
      <c r="K303" s="9" t="str">
        <f ca="1">IF(COUNTIFS($A$2:A303,A303,$L$2:L303,L303)&gt;1,"DUPLICATE - CHECK","")</f>
        <v/>
      </c>
      <c r="L303" s="17"/>
      <c r="M303" s="17"/>
      <c r="N303" s="9">
        <f ca="1">IF(COUNTIF($A$2:A302,A303)&gt;0,INDEX($C$2:C302,MATCH(A303,$A$2:A302,0)),"")</f>
        <v>0</v>
      </c>
      <c r="O303" s="13"/>
      <c r="P303" s="19"/>
    </row>
    <row r="304" spans="1:16" ht="15.75" customHeight="1" x14ac:dyDescent="0.3">
      <c r="A304" s="8" t="str">
        <f ca="1">IFERROR(__xludf.DUMMYFUNCTION("IF(B304="""","""",RIGHT(regexreplace(B304&amp;"""",""[^0-9]"",""""),9))"),"")</f>
        <v/>
      </c>
      <c r="B304" s="5"/>
      <c r="C304" s="5"/>
      <c r="D304" s="5"/>
      <c r="E304" s="15"/>
      <c r="F304" s="15"/>
      <c r="G304" s="15"/>
      <c r="H304" s="15"/>
      <c r="I304" s="15"/>
      <c r="J304" s="15"/>
      <c r="K304" s="9" t="str">
        <f ca="1">IF(COUNTIFS($A$2:A304,A304,$L$2:L304,L304)&gt;1,"DUPLICATE - CHECK","")</f>
        <v/>
      </c>
      <c r="L304" s="17"/>
      <c r="M304" s="17"/>
      <c r="N304" s="9">
        <f ca="1">IF(COUNTIF($A$2:A303,A304)&gt;0,INDEX($C$2:C303,MATCH(A304,$A$2:A303,0)),"")</f>
        <v>0</v>
      </c>
      <c r="O304" s="13"/>
      <c r="P304" s="19"/>
    </row>
    <row r="305" spans="1:16" ht="15.75" customHeight="1" x14ac:dyDescent="0.3">
      <c r="A305" s="8" t="str">
        <f ca="1">IFERROR(__xludf.DUMMYFUNCTION("IF(B305="""","""",RIGHT(regexreplace(B305&amp;"""",""[^0-9]"",""""),9))"),"")</f>
        <v/>
      </c>
      <c r="B305" s="5"/>
      <c r="C305" s="5"/>
      <c r="D305" s="5"/>
      <c r="E305" s="15"/>
      <c r="F305" s="15"/>
      <c r="G305" s="15"/>
      <c r="H305" s="15"/>
      <c r="I305" s="15"/>
      <c r="J305" s="15"/>
      <c r="K305" s="9" t="str">
        <f ca="1">IF(COUNTIFS($A$2:A305,A305,$L$2:L305,L305)&gt;1,"DUPLICATE - CHECK","")</f>
        <v/>
      </c>
      <c r="L305" s="17"/>
      <c r="M305" s="17"/>
      <c r="N305" s="9" t="str">
        <f t="array" aca="1" ref="N305" ca="1">IF(COUNTIF($A$2:A304,A)&gt;0,INDEX($C$2:C304,MATCH(A305,$A$2:A304,0)),"")</f>
        <v/>
      </c>
      <c r="O305" s="13"/>
      <c r="P305" s="19"/>
    </row>
    <row r="306" spans="1:16" ht="15.75" customHeight="1" x14ac:dyDescent="0.3">
      <c r="A306" s="8" t="str">
        <f ca="1">IFERROR(__xludf.DUMMYFUNCTION("IF(B306="""","""",RIGHT(regexreplace(B306&amp;"""",""[^0-9]"",""""),9))"),"")</f>
        <v/>
      </c>
      <c r="B306" s="5"/>
      <c r="C306" s="5"/>
      <c r="D306" s="5"/>
      <c r="E306" s="15"/>
      <c r="F306" s="15"/>
      <c r="G306" s="15"/>
      <c r="H306" s="15"/>
      <c r="I306" s="15"/>
      <c r="J306" s="15"/>
      <c r="K306" s="9" t="str">
        <f ca="1">IF(COUNTIFS($A$2:A306,A306,$L$2:L306,L306)&gt;1,"DUPLICATE - CHECK","")</f>
        <v/>
      </c>
      <c r="L306" s="17"/>
      <c r="M306" s="17"/>
      <c r="N306" s="9">
        <f ca="1">IF(COUNTIF($A$2:A305,A306)&gt;0,INDEX($C$2:C305,MATCH(A306,$A$2:A305,0)),"")</f>
        <v>0</v>
      </c>
      <c r="O306" s="13"/>
      <c r="P306" s="19"/>
    </row>
    <row r="307" spans="1:16" ht="15.75" customHeight="1" x14ac:dyDescent="0.3">
      <c r="A307" s="8" t="str">
        <f ca="1">IFERROR(__xludf.DUMMYFUNCTION("IF(B307="""","""",RIGHT(regexreplace(B307&amp;"""",""[^0-9]"",""""),9))"),"")</f>
        <v/>
      </c>
      <c r="B307" s="5"/>
      <c r="C307" s="5"/>
      <c r="D307" s="5"/>
      <c r="E307" s="15"/>
      <c r="F307" s="15"/>
      <c r="G307" s="15"/>
      <c r="H307" s="15"/>
      <c r="I307" s="15"/>
      <c r="J307" s="15"/>
      <c r="K307" s="9" t="str">
        <f ca="1">IF(COUNTIFS($A$2:A307,A307,$L$2:L307,L307)&gt;1,"DUPLICATE - CHECK","")</f>
        <v/>
      </c>
      <c r="L307" s="17"/>
      <c r="M307" s="17"/>
      <c r="N307" s="9">
        <f ca="1">IF(COUNTIF($A$2:A306,A307)&gt;0,INDEX($C$2:C306,MATCH(A307,$A$2:A306,0)),"")</f>
        <v>0</v>
      </c>
      <c r="O307" s="13"/>
      <c r="P307" s="19"/>
    </row>
    <row r="308" spans="1:16" ht="15.75" customHeight="1" x14ac:dyDescent="0.3">
      <c r="A308" s="8" t="str">
        <f ca="1">IFERROR(__xludf.DUMMYFUNCTION("IF(B308="""","""",RIGHT(regexreplace(B308&amp;"""",""[^0-9]"",""""),9))"),"")</f>
        <v/>
      </c>
      <c r="B308" s="5"/>
      <c r="C308" s="5"/>
      <c r="D308" s="5"/>
      <c r="E308" s="15"/>
      <c r="F308" s="15"/>
      <c r="G308" s="15"/>
      <c r="H308" s="15"/>
      <c r="I308" s="15"/>
      <c r="J308" s="15"/>
      <c r="K308" s="9" t="str">
        <f ca="1">IF(COUNTIFS($A$2:A308,A308,$L$2:L308,L308)&gt;1,"DUPLICATE - CHECK","")</f>
        <v/>
      </c>
      <c r="L308" s="17"/>
      <c r="M308" s="17"/>
      <c r="N308" s="9" t="str">
        <f t="array" aca="1" ref="N308" ca="1">IF(COUNTIF($A$2:A307,A)&gt;0,INDEX($C$2:C307,MATCH(A308,$A$2:A307,0)),"")</f>
        <v/>
      </c>
      <c r="O308" s="13"/>
      <c r="P308" s="19"/>
    </row>
    <row r="309" spans="1:16" ht="15.75" customHeight="1" x14ac:dyDescent="0.3">
      <c r="A309" s="8" t="str">
        <f ca="1">IFERROR(__xludf.DUMMYFUNCTION("IF(B309="""","""",RIGHT(regexreplace(B309&amp;"""",""[^0-9]"",""""),9))"),"")</f>
        <v/>
      </c>
      <c r="B309" s="5"/>
      <c r="C309" s="5"/>
      <c r="D309" s="5"/>
      <c r="E309" s="15"/>
      <c r="F309" s="15"/>
      <c r="G309" s="15"/>
      <c r="H309" s="15"/>
      <c r="I309" s="15"/>
      <c r="J309" s="15"/>
      <c r="K309" s="9" t="str">
        <f ca="1">IF(COUNTIFS($A$2:A309,A309,$L$2:L309,L309)&gt;1,"DUPLICATE - CHECK","")</f>
        <v/>
      </c>
      <c r="L309" s="17"/>
      <c r="M309" s="17"/>
      <c r="N309" s="9">
        <f ca="1">IF(COUNTIF($A$2:A308,A309)&gt;0,INDEX($C$2:C308,MATCH(A309,$A$2:A308,0)),"")</f>
        <v>0</v>
      </c>
      <c r="O309" s="13"/>
      <c r="P309" s="19"/>
    </row>
    <row r="310" spans="1:16" ht="15.75" customHeight="1" x14ac:dyDescent="0.3">
      <c r="A310" s="8" t="str">
        <f ca="1">IFERROR(__xludf.DUMMYFUNCTION("IF(B310="""","""",RIGHT(regexreplace(B310&amp;"""",""[^0-9]"",""""),9))"),"")</f>
        <v/>
      </c>
      <c r="B310" s="5"/>
      <c r="C310" s="5"/>
      <c r="D310" s="5"/>
      <c r="E310" s="15"/>
      <c r="F310" s="15"/>
      <c r="G310" s="15"/>
      <c r="H310" s="15"/>
      <c r="I310" s="15"/>
      <c r="J310" s="15"/>
      <c r="K310" s="9" t="str">
        <f ca="1">IF(COUNTIFS($A$2:A310,A310,$L$2:L310,L310)&gt;1,"DUPLICATE - CHECK","")</f>
        <v/>
      </c>
      <c r="L310" s="17"/>
      <c r="M310" s="17"/>
      <c r="N310" s="9">
        <f ca="1">IF(COUNTIF($A$2:A309,A310)&gt;0,INDEX($C$2:C309,MATCH(A310,$A$2:A309,0)),"")</f>
        <v>0</v>
      </c>
      <c r="O310" s="13"/>
      <c r="P310" s="19"/>
    </row>
    <row r="311" spans="1:16" ht="15.75" customHeight="1" x14ac:dyDescent="0.3">
      <c r="A311" s="8" t="str">
        <f ca="1">IFERROR(__xludf.DUMMYFUNCTION("IF(B311="""","""",RIGHT(regexreplace(B311&amp;"""",""[^0-9]"",""""),9))"),"")</f>
        <v/>
      </c>
      <c r="B311" s="5"/>
      <c r="C311" s="5"/>
      <c r="D311" s="5"/>
      <c r="E311" s="15"/>
      <c r="F311" s="15"/>
      <c r="G311" s="15"/>
      <c r="H311" s="15"/>
      <c r="I311" s="15"/>
      <c r="J311" s="15"/>
      <c r="K311" s="9" t="str">
        <f ca="1">IF(COUNTIFS($A$2:A311,A311,$L$2:L311,L311)&gt;1,"DUPLICATE - CHECK","")</f>
        <v/>
      </c>
      <c r="L311" s="17"/>
      <c r="M311" s="17"/>
      <c r="N311" s="9" t="str">
        <f t="array" aca="1" ref="N311" ca="1">IF(COUNTIF($A$2:A310,A)&gt;0,INDEX($C$2:C310,MATCH(A311,$A$2:A310,0)),"")</f>
        <v/>
      </c>
      <c r="O311" s="13"/>
      <c r="P311" s="19"/>
    </row>
    <row r="312" spans="1:16" ht="15.75" customHeight="1" x14ac:dyDescent="0.3">
      <c r="A312" s="8" t="str">
        <f ca="1">IFERROR(__xludf.DUMMYFUNCTION("IF(B312="""","""",RIGHT(regexreplace(B312&amp;"""",""[^0-9]"",""""),9))"),"")</f>
        <v/>
      </c>
      <c r="B312" s="5"/>
      <c r="C312" s="5"/>
      <c r="D312" s="5"/>
      <c r="E312" s="15"/>
      <c r="F312" s="15"/>
      <c r="G312" s="15"/>
      <c r="H312" s="15"/>
      <c r="I312" s="15"/>
      <c r="J312" s="15"/>
      <c r="K312" s="9" t="str">
        <f ca="1">IF(COUNTIFS($A$2:A312,A312,$L$2:L312,L312)&gt;1,"DUPLICATE - CHECK","")</f>
        <v/>
      </c>
      <c r="L312" s="17"/>
      <c r="M312" s="17"/>
      <c r="N312" s="9">
        <f ca="1">IF(COUNTIF($A$2:A311,A312)&gt;0,INDEX($C$2:C311,MATCH(A312,$A$2:A311,0)),"")</f>
        <v>0</v>
      </c>
      <c r="O312" s="13"/>
      <c r="P312" s="19"/>
    </row>
    <row r="313" spans="1:16" ht="15.75" customHeight="1" x14ac:dyDescent="0.3">
      <c r="A313" s="8" t="str">
        <f ca="1">IFERROR(__xludf.DUMMYFUNCTION("IF(B313="""","""",RIGHT(regexreplace(B313&amp;"""",""[^0-9]"",""""),9))"),"")</f>
        <v/>
      </c>
      <c r="B313" s="5"/>
      <c r="C313" s="5"/>
      <c r="D313" s="5"/>
      <c r="E313" s="15"/>
      <c r="F313" s="15"/>
      <c r="G313" s="15"/>
      <c r="H313" s="15"/>
      <c r="I313" s="15"/>
      <c r="J313" s="15"/>
      <c r="K313" s="9" t="str">
        <f ca="1">IF(COUNTIFS($A$2:A313,A313,$L$2:L313,L313)&gt;1,"DUPLICATE - CHECK","")</f>
        <v/>
      </c>
      <c r="L313" s="17"/>
      <c r="M313" s="17"/>
      <c r="N313" s="9">
        <f ca="1">IF(COUNTIF($A$2:A312,A313)&gt;0,INDEX($C$2:C312,MATCH(A313,$A$2:A312,0)),"")</f>
        <v>0</v>
      </c>
      <c r="O313" s="13"/>
      <c r="P313" s="19"/>
    </row>
    <row r="314" spans="1:16" ht="15.75" customHeight="1" x14ac:dyDescent="0.3">
      <c r="A314" s="8" t="str">
        <f ca="1">IFERROR(__xludf.DUMMYFUNCTION("IF(B314="""","""",RIGHT(regexreplace(B314&amp;"""",""[^0-9]"",""""),9))"),"")</f>
        <v/>
      </c>
      <c r="B314" s="5"/>
      <c r="C314" s="5"/>
      <c r="D314" s="5"/>
      <c r="E314" s="15"/>
      <c r="F314" s="15"/>
      <c r="G314" s="15"/>
      <c r="H314" s="15"/>
      <c r="I314" s="15"/>
      <c r="J314" s="15"/>
      <c r="K314" s="9" t="str">
        <f ca="1">IF(COUNTIFS($A$2:A314,A314,$L$2:L314,L314)&gt;1,"DUPLICATE - CHECK","")</f>
        <v/>
      </c>
      <c r="L314" s="17"/>
      <c r="M314" s="17"/>
      <c r="N314" s="9" t="str">
        <f t="array" aca="1" ref="N314" ca="1">IF(COUNTIF($A$2:A313,A)&gt;0,INDEX($C$2:C313,MATCH(A314,$A$2:A313,0)),"")</f>
        <v/>
      </c>
      <c r="O314" s="13"/>
      <c r="P314" s="19"/>
    </row>
    <row r="315" spans="1:16" ht="15.75" customHeight="1" x14ac:dyDescent="0.3">
      <c r="A315" s="8" t="str">
        <f ca="1">IFERROR(__xludf.DUMMYFUNCTION("IF(B315="""","""",RIGHT(regexreplace(B315&amp;"""",""[^0-9]"",""""),9))"),"")</f>
        <v/>
      </c>
      <c r="B315" s="5"/>
      <c r="C315" s="5"/>
      <c r="D315" s="5"/>
      <c r="E315" s="15"/>
      <c r="F315" s="15"/>
      <c r="G315" s="15"/>
      <c r="H315" s="15"/>
      <c r="I315" s="15"/>
      <c r="J315" s="15"/>
      <c r="K315" s="9" t="str">
        <f ca="1">IF(COUNTIFS($A$2:A315,A315,$L$2:L315,L315)&gt;1,"DUPLICATE - CHECK","")</f>
        <v/>
      </c>
      <c r="L315" s="17"/>
      <c r="M315" s="17"/>
      <c r="N315" s="9">
        <f ca="1">IF(COUNTIF($A$2:A314,A315)&gt;0,INDEX($C$2:C314,MATCH(A315,$A$2:A314,0)),"")</f>
        <v>0</v>
      </c>
      <c r="O315" s="13"/>
      <c r="P315" s="19"/>
    </row>
    <row r="316" spans="1:16" ht="15.75" customHeight="1" x14ac:dyDescent="0.3">
      <c r="A316" s="8" t="str">
        <f ca="1">IFERROR(__xludf.DUMMYFUNCTION("IF(B316="""","""",RIGHT(regexreplace(B316&amp;"""",""[^0-9]"",""""),9))"),"")</f>
        <v/>
      </c>
      <c r="B316" s="5"/>
      <c r="C316" s="5"/>
      <c r="D316" s="5"/>
      <c r="E316" s="15"/>
      <c r="F316" s="15"/>
      <c r="G316" s="15"/>
      <c r="H316" s="15"/>
      <c r="I316" s="15"/>
      <c r="J316" s="15"/>
      <c r="K316" s="9" t="str">
        <f ca="1">IF(COUNTIFS($A$2:A316,A316,$L$2:L316,L316)&gt;1,"DUPLICATE - CHECK","")</f>
        <v/>
      </c>
      <c r="L316" s="17"/>
      <c r="M316" s="17"/>
      <c r="N316" s="9">
        <f ca="1">IF(COUNTIF($A$2:A315,A316)&gt;0,INDEX($C$2:C315,MATCH(A316,$A$2:A315,0)),"")</f>
        <v>0</v>
      </c>
      <c r="O316" s="13"/>
      <c r="P316" s="19"/>
    </row>
    <row r="317" spans="1:16" ht="15.75" customHeight="1" x14ac:dyDescent="0.3">
      <c r="A317" s="8" t="str">
        <f ca="1">IFERROR(__xludf.DUMMYFUNCTION("IF(B317="""","""",RIGHT(regexreplace(B317&amp;"""",""[^0-9]"",""""),9))"),"")</f>
        <v/>
      </c>
      <c r="B317" s="5"/>
      <c r="C317" s="5"/>
      <c r="D317" s="5"/>
      <c r="E317" s="15"/>
      <c r="F317" s="15"/>
      <c r="G317" s="15"/>
      <c r="H317" s="15"/>
      <c r="I317" s="15"/>
      <c r="J317" s="15"/>
      <c r="K317" s="9" t="str">
        <f ca="1">IF(COUNTIFS($A$2:A317,A317,$L$2:L317,L317)&gt;1,"DUPLICATE - CHECK","")</f>
        <v/>
      </c>
      <c r="L317" s="17"/>
      <c r="M317" s="17"/>
      <c r="N317" s="9" t="str">
        <f t="array" aca="1" ref="N317" ca="1">IF(COUNTIF($A$2:A316,A)&gt;0,INDEX($C$2:C316,MATCH(A317,$A$2:A316,0)),"")</f>
        <v/>
      </c>
      <c r="O317" s="13"/>
      <c r="P317" s="19"/>
    </row>
    <row r="318" spans="1:16" ht="15.75" customHeight="1" x14ac:dyDescent="0.3">
      <c r="A318" s="8" t="str">
        <f ca="1">IFERROR(__xludf.DUMMYFUNCTION("IF(B318="""","""",RIGHT(regexreplace(B318&amp;"""",""[^0-9]"",""""),9))"),"")</f>
        <v/>
      </c>
      <c r="B318" s="5"/>
      <c r="C318" s="5"/>
      <c r="D318" s="5"/>
      <c r="E318" s="15"/>
      <c r="F318" s="15"/>
      <c r="G318" s="15"/>
      <c r="H318" s="15"/>
      <c r="I318" s="15"/>
      <c r="J318" s="15"/>
      <c r="K318" s="9" t="str">
        <f ca="1">IF(COUNTIFS($A$2:A318,A318,$L$2:L318,L318)&gt;1,"DUPLICATE - CHECK","")</f>
        <v/>
      </c>
      <c r="L318" s="17"/>
      <c r="M318" s="17"/>
      <c r="N318" s="9">
        <f ca="1">IF(COUNTIF($A$2:A317,A318)&gt;0,INDEX($C$2:C317,MATCH(A318,$A$2:A317,0)),"")</f>
        <v>0</v>
      </c>
      <c r="O318" s="13"/>
      <c r="P318" s="19"/>
    </row>
    <row r="319" spans="1:16" ht="15.75" customHeight="1" x14ac:dyDescent="0.3">
      <c r="A319" s="8" t="str">
        <f ca="1">IFERROR(__xludf.DUMMYFUNCTION("IF(B319="""","""",RIGHT(regexreplace(B319&amp;"""",""[^0-9]"",""""),9))"),"")</f>
        <v/>
      </c>
      <c r="B319" s="5"/>
      <c r="C319" s="5"/>
      <c r="D319" s="5"/>
      <c r="E319" s="15"/>
      <c r="F319" s="15"/>
      <c r="G319" s="15"/>
      <c r="H319" s="15"/>
      <c r="I319" s="15"/>
      <c r="J319" s="15"/>
      <c r="K319" s="9" t="str">
        <f ca="1">IF(COUNTIFS($A$2:A319,A319,$L$2:L319,L319)&gt;1,"DUPLICATE - CHECK","")</f>
        <v/>
      </c>
      <c r="L319" s="17"/>
      <c r="M319" s="17"/>
      <c r="N319" s="9">
        <f ca="1">IF(COUNTIF($A$2:A318,A319)&gt;0,INDEX($C$2:C318,MATCH(A319,$A$2:A318,0)),"")</f>
        <v>0</v>
      </c>
      <c r="O319" s="13"/>
      <c r="P319" s="19"/>
    </row>
    <row r="320" spans="1:16" ht="15.75" customHeight="1" x14ac:dyDescent="0.3">
      <c r="A320" s="8" t="str">
        <f ca="1">IFERROR(__xludf.DUMMYFUNCTION("IF(B320="""","""",RIGHT(regexreplace(B320&amp;"""",""[^0-9]"",""""),9))"),"")</f>
        <v/>
      </c>
      <c r="B320" s="5"/>
      <c r="C320" s="5"/>
      <c r="D320" s="5"/>
      <c r="E320" s="15"/>
      <c r="F320" s="15"/>
      <c r="G320" s="15"/>
      <c r="H320" s="15"/>
      <c r="I320" s="15"/>
      <c r="J320" s="15"/>
      <c r="K320" s="9" t="str">
        <f ca="1">IF(COUNTIFS($A$2:A320,A320,$L$2:L320,L320)&gt;1,"DUPLICATE - CHECK","")</f>
        <v/>
      </c>
      <c r="L320" s="17"/>
      <c r="M320" s="17"/>
      <c r="N320" s="9" t="str">
        <f t="array" aca="1" ref="N320" ca="1">IF(COUNTIF($A$2:A319,A)&gt;0,INDEX($C$2:C319,MATCH(A320,$A$2:A319,0)),"")</f>
        <v/>
      </c>
      <c r="O320" s="13"/>
      <c r="P320" s="19"/>
    </row>
    <row r="321" spans="1:16" ht="15.75" customHeight="1" x14ac:dyDescent="0.3">
      <c r="A321" s="8" t="str">
        <f ca="1">IFERROR(__xludf.DUMMYFUNCTION("IF(B321="""","""",RIGHT(regexreplace(B321&amp;"""",""[^0-9]"",""""),9))"),"")</f>
        <v/>
      </c>
      <c r="B321" s="5"/>
      <c r="C321" s="5"/>
      <c r="D321" s="5"/>
      <c r="E321" s="15"/>
      <c r="F321" s="15"/>
      <c r="G321" s="15"/>
      <c r="H321" s="15"/>
      <c r="I321" s="15"/>
      <c r="J321" s="15"/>
      <c r="K321" s="9" t="str">
        <f ca="1">IF(COUNTIFS($A$2:A321,A321,$L$2:L321,L321)&gt;1,"DUPLICATE - CHECK","")</f>
        <v/>
      </c>
      <c r="L321" s="17"/>
      <c r="M321" s="17"/>
      <c r="N321" s="9">
        <f ca="1">IF(COUNTIF($A$2:A320,A321)&gt;0,INDEX($C$2:C320,MATCH(A321,$A$2:A320,0)),"")</f>
        <v>0</v>
      </c>
      <c r="O321" s="13"/>
      <c r="P321" s="19"/>
    </row>
    <row r="322" spans="1:16" ht="15.75" customHeight="1" x14ac:dyDescent="0.3">
      <c r="A322" s="8" t="str">
        <f ca="1">IFERROR(__xludf.DUMMYFUNCTION("IF(B322="""","""",RIGHT(regexreplace(B322&amp;"""",""[^0-9]"",""""),9))"),"")</f>
        <v/>
      </c>
      <c r="B322" s="5"/>
      <c r="C322" s="5"/>
      <c r="D322" s="5"/>
      <c r="E322" s="15"/>
      <c r="F322" s="15"/>
      <c r="G322" s="15"/>
      <c r="H322" s="15"/>
      <c r="I322" s="15"/>
      <c r="J322" s="15"/>
      <c r="K322" s="9" t="str">
        <f ca="1">IF(COUNTIFS($A$2:A322,A322,$L$2:L322,L322)&gt;1,"DUPLICATE - CHECK","")</f>
        <v/>
      </c>
      <c r="L322" s="17"/>
      <c r="M322" s="17"/>
      <c r="N322" s="9">
        <f ca="1">IF(COUNTIF($A$2:A321,A322)&gt;0,INDEX($C$2:C321,MATCH(A322,$A$2:A321,0)),"")</f>
        <v>0</v>
      </c>
      <c r="O322" s="13"/>
      <c r="P322" s="19"/>
    </row>
    <row r="323" spans="1:16" ht="15.75" customHeight="1" x14ac:dyDescent="0.3">
      <c r="A323" s="8" t="str">
        <f ca="1">IFERROR(__xludf.DUMMYFUNCTION("IF(B323="""","""",RIGHT(regexreplace(B323&amp;"""",""[^0-9]"",""""),9))"),"")</f>
        <v/>
      </c>
      <c r="B323" s="5"/>
      <c r="C323" s="5"/>
      <c r="D323" s="5"/>
      <c r="E323" s="15"/>
      <c r="F323" s="15"/>
      <c r="G323" s="15"/>
      <c r="H323" s="15"/>
      <c r="I323" s="15"/>
      <c r="J323" s="15"/>
      <c r="K323" s="9" t="str">
        <f ca="1">IF(COUNTIFS($A$2:A323,A323,$L$2:L323,L323)&gt;1,"DUPLICATE - CHECK","")</f>
        <v/>
      </c>
      <c r="L323" s="17"/>
      <c r="M323" s="17"/>
      <c r="N323" s="9" t="str">
        <f t="array" aca="1" ref="N323" ca="1">IF(COUNTIF($A$2:A322,A)&gt;0,INDEX($C$2:C322,MATCH(A323,$A$2:A322,0)),"")</f>
        <v/>
      </c>
      <c r="O323" s="13"/>
      <c r="P323" s="19"/>
    </row>
    <row r="324" spans="1:16" ht="15.75" customHeight="1" x14ac:dyDescent="0.3">
      <c r="A324" s="8" t="str">
        <f ca="1">IFERROR(__xludf.DUMMYFUNCTION("IF(B324="""","""",RIGHT(regexreplace(B324&amp;"""",""[^0-9]"",""""),9))"),"")</f>
        <v/>
      </c>
      <c r="B324" s="5"/>
      <c r="C324" s="5"/>
      <c r="D324" s="5"/>
      <c r="E324" s="15"/>
      <c r="F324" s="15"/>
      <c r="G324" s="15"/>
      <c r="H324" s="15"/>
      <c r="I324" s="15"/>
      <c r="J324" s="15"/>
      <c r="K324" s="9" t="str">
        <f ca="1">IF(COUNTIFS($A$2:A324,A324,$L$2:L324,L324)&gt;1,"DUPLICATE - CHECK","")</f>
        <v/>
      </c>
      <c r="L324" s="17"/>
      <c r="M324" s="17"/>
      <c r="N324" s="9">
        <f ca="1">IF(COUNTIF($A$2:A323,A324)&gt;0,INDEX($C$2:C323,MATCH(A324,$A$2:A323,0)),"")</f>
        <v>0</v>
      </c>
      <c r="O324" s="13"/>
      <c r="P324" s="19"/>
    </row>
    <row r="325" spans="1:16" ht="15.75" customHeight="1" x14ac:dyDescent="0.3">
      <c r="A325" s="8" t="str">
        <f ca="1">IFERROR(__xludf.DUMMYFUNCTION("IF(B325="""","""",RIGHT(regexreplace(B325&amp;"""",""[^0-9]"",""""),9))"),"")</f>
        <v/>
      </c>
      <c r="B325" s="5"/>
      <c r="C325" s="5"/>
      <c r="D325" s="5"/>
      <c r="E325" s="15"/>
      <c r="F325" s="15"/>
      <c r="G325" s="15"/>
      <c r="H325" s="15"/>
      <c r="I325" s="15"/>
      <c r="J325" s="15"/>
      <c r="K325" s="9" t="str">
        <f ca="1">IF(COUNTIFS($A$2:A325,A325,$L$2:L325,L325)&gt;1,"DUPLICATE - CHECK","")</f>
        <v/>
      </c>
      <c r="L325" s="17"/>
      <c r="M325" s="17"/>
      <c r="N325" s="9">
        <f ca="1">IF(COUNTIF($A$2:A324,A325)&gt;0,INDEX($C$2:C324,MATCH(A325,$A$2:A324,0)),"")</f>
        <v>0</v>
      </c>
      <c r="O325" s="13"/>
      <c r="P325" s="19"/>
    </row>
    <row r="326" spans="1:16" ht="15.75" customHeight="1" x14ac:dyDescent="0.3">
      <c r="A326" s="8" t="str">
        <f ca="1">IFERROR(__xludf.DUMMYFUNCTION("IF(B326="""","""",RIGHT(regexreplace(B326&amp;"""",""[^0-9]"",""""),9))"),"")</f>
        <v/>
      </c>
      <c r="B326" s="5"/>
      <c r="C326" s="5"/>
      <c r="D326" s="5"/>
      <c r="E326" s="15"/>
      <c r="F326" s="15"/>
      <c r="G326" s="15"/>
      <c r="H326" s="15"/>
      <c r="I326" s="15"/>
      <c r="J326" s="15"/>
      <c r="K326" s="9" t="str">
        <f ca="1">IF(COUNTIFS($A$2:A326,A326,$L$2:L326,L326)&gt;1,"DUPLICATE - CHECK","")</f>
        <v/>
      </c>
      <c r="L326" s="17"/>
      <c r="M326" s="17"/>
      <c r="N326" s="9" t="str">
        <f t="array" aca="1" ref="N326" ca="1">IF(COUNTIF($A$2:A325,A)&gt;0,INDEX($C$2:C325,MATCH(A326,$A$2:A325,0)),"")</f>
        <v/>
      </c>
      <c r="O326" s="13"/>
      <c r="P326" s="19"/>
    </row>
    <row r="327" spans="1:16" ht="15.75" customHeight="1" x14ac:dyDescent="0.3">
      <c r="A327" s="8" t="str">
        <f ca="1">IFERROR(__xludf.DUMMYFUNCTION("IF(B327="""","""",RIGHT(regexreplace(B327&amp;"""",""[^0-9]"",""""),9))"),"")</f>
        <v/>
      </c>
      <c r="B327" s="5"/>
      <c r="C327" s="5"/>
      <c r="D327" s="5"/>
      <c r="E327" s="15"/>
      <c r="F327" s="15"/>
      <c r="G327" s="15"/>
      <c r="H327" s="15"/>
      <c r="I327" s="15"/>
      <c r="J327" s="15"/>
      <c r="K327" s="9" t="str">
        <f ca="1">IF(COUNTIFS($A$2:A327,A327,$L$2:L327,L327)&gt;1,"DUPLICATE - CHECK","")</f>
        <v/>
      </c>
      <c r="L327" s="17"/>
      <c r="M327" s="17"/>
      <c r="N327" s="9">
        <f ca="1">IF(COUNTIF($A$2:A326,A327)&gt;0,INDEX($C$2:C326,MATCH(A327,$A$2:A326,0)),"")</f>
        <v>0</v>
      </c>
      <c r="O327" s="13"/>
      <c r="P327" s="19"/>
    </row>
    <row r="328" spans="1:16" ht="15.75" customHeight="1" x14ac:dyDescent="0.3">
      <c r="A328" s="8" t="str">
        <f ca="1">IFERROR(__xludf.DUMMYFUNCTION("IF(B328="""","""",RIGHT(regexreplace(B328&amp;"""",""[^0-9]"",""""),9))"),"")</f>
        <v/>
      </c>
      <c r="B328" s="5"/>
      <c r="C328" s="5"/>
      <c r="D328" s="5"/>
      <c r="E328" s="15"/>
      <c r="F328" s="15"/>
      <c r="G328" s="15"/>
      <c r="H328" s="15"/>
      <c r="I328" s="15"/>
      <c r="J328" s="15"/>
      <c r="K328" s="9" t="str">
        <f ca="1">IF(COUNTIFS($A$2:A328,A328,$L$2:L328,L328)&gt;1,"DUPLICATE - CHECK","")</f>
        <v/>
      </c>
      <c r="L328" s="17"/>
      <c r="M328" s="17"/>
      <c r="N328" s="9">
        <f ca="1">IF(COUNTIF($A$2:A327,A328)&gt;0,INDEX($C$2:C327,MATCH(A328,$A$2:A327,0)),"")</f>
        <v>0</v>
      </c>
      <c r="O328" s="13"/>
      <c r="P328" s="19"/>
    </row>
    <row r="329" spans="1:16" ht="15.75" customHeight="1" x14ac:dyDescent="0.3">
      <c r="A329" s="8" t="str">
        <f ca="1">IFERROR(__xludf.DUMMYFUNCTION("IF(B329="""","""",RIGHT(regexreplace(B329&amp;"""",""[^0-9]"",""""),9))"),"")</f>
        <v/>
      </c>
      <c r="B329" s="5"/>
      <c r="C329" s="5"/>
      <c r="D329" s="5"/>
      <c r="E329" s="15"/>
      <c r="F329" s="15"/>
      <c r="G329" s="15"/>
      <c r="H329" s="15"/>
      <c r="I329" s="15"/>
      <c r="J329" s="15"/>
      <c r="K329" s="9" t="str">
        <f ca="1">IF(COUNTIFS($A$2:A329,A329,$L$2:L329,L329)&gt;1,"DUPLICATE - CHECK","")</f>
        <v/>
      </c>
      <c r="L329" s="17"/>
      <c r="M329" s="17"/>
      <c r="N329" s="9" t="str">
        <f t="array" aca="1" ref="N329" ca="1">IF(COUNTIF($A$2:A328,A)&gt;0,INDEX($C$2:C328,MATCH(A329,$A$2:A328,0)),"")</f>
        <v/>
      </c>
      <c r="O329" s="13"/>
      <c r="P329" s="19"/>
    </row>
    <row r="330" spans="1:16" ht="15.75" customHeight="1" x14ac:dyDescent="0.3">
      <c r="A330" s="8" t="str">
        <f ca="1">IFERROR(__xludf.DUMMYFUNCTION("IF(B330="""","""",RIGHT(regexreplace(B330&amp;"""",""[^0-9]"",""""),9))"),"")</f>
        <v/>
      </c>
      <c r="B330" s="5"/>
      <c r="C330" s="5"/>
      <c r="D330" s="5"/>
      <c r="E330" s="15"/>
      <c r="F330" s="15"/>
      <c r="G330" s="15"/>
      <c r="H330" s="15"/>
      <c r="I330" s="15"/>
      <c r="J330" s="15"/>
      <c r="K330" s="9" t="str">
        <f ca="1">IF(COUNTIFS($A$2:A330,A330,$L$2:L330,L330)&gt;1,"DUPLICATE - CHECK","")</f>
        <v/>
      </c>
      <c r="L330" s="17"/>
      <c r="M330" s="17"/>
      <c r="N330" s="9">
        <f ca="1">IF(COUNTIF($A$2:A329,A330)&gt;0,INDEX($C$2:C329,MATCH(A330,$A$2:A329,0)),"")</f>
        <v>0</v>
      </c>
      <c r="O330" s="13"/>
      <c r="P330" s="19"/>
    </row>
    <row r="331" spans="1:16" ht="15.75" customHeight="1" x14ac:dyDescent="0.3">
      <c r="A331" s="8" t="str">
        <f ca="1">IFERROR(__xludf.DUMMYFUNCTION("IF(B331="""","""",RIGHT(regexreplace(B331&amp;"""",""[^0-9]"",""""),9))"),"")</f>
        <v/>
      </c>
      <c r="B331" s="5"/>
      <c r="C331" s="5"/>
      <c r="D331" s="5"/>
      <c r="E331" s="15"/>
      <c r="F331" s="15"/>
      <c r="G331" s="15"/>
      <c r="H331" s="15"/>
      <c r="I331" s="15"/>
      <c r="J331" s="15"/>
      <c r="K331" s="9" t="str">
        <f ca="1">IF(COUNTIFS($A$2:A331,A331,$L$2:L331,L331)&gt;1,"DUPLICATE - CHECK","")</f>
        <v/>
      </c>
      <c r="L331" s="17"/>
      <c r="M331" s="17"/>
      <c r="N331" s="9">
        <f ca="1">IF(COUNTIF($A$2:A330,A331)&gt;0,INDEX($C$2:C330,MATCH(A331,$A$2:A330,0)),"")</f>
        <v>0</v>
      </c>
      <c r="O331" s="13"/>
      <c r="P331" s="19"/>
    </row>
    <row r="332" spans="1:16" ht="15.75" customHeight="1" x14ac:dyDescent="0.3">
      <c r="A332" s="8" t="str">
        <f ca="1">IFERROR(__xludf.DUMMYFUNCTION("IF(B332="""","""",RIGHT(regexreplace(B332&amp;"""",""[^0-9]"",""""),9))"),"")</f>
        <v/>
      </c>
      <c r="B332" s="5"/>
      <c r="C332" s="5"/>
      <c r="D332" s="5"/>
      <c r="E332" s="15"/>
      <c r="F332" s="15"/>
      <c r="G332" s="15"/>
      <c r="H332" s="15"/>
      <c r="I332" s="15"/>
      <c r="J332" s="15"/>
      <c r="K332" s="9" t="str">
        <f ca="1">IF(COUNTIFS($A$2:A332,A332,$L$2:L332,L332)&gt;1,"DUPLICATE - CHECK","")</f>
        <v/>
      </c>
      <c r="L332" s="17"/>
      <c r="M332" s="17"/>
      <c r="N332" s="9" t="str">
        <f t="array" aca="1" ref="N332" ca="1">IF(COUNTIF($A$2:A331,A)&gt;0,INDEX($C$2:C331,MATCH(A332,$A$2:A331,0)),"")</f>
        <v/>
      </c>
      <c r="O332" s="13"/>
      <c r="P332" s="19"/>
    </row>
    <row r="333" spans="1:16" ht="15.75" customHeight="1" x14ac:dyDescent="0.3">
      <c r="A333" s="8" t="str">
        <f ca="1">IFERROR(__xludf.DUMMYFUNCTION("IF(B333="""","""",RIGHT(regexreplace(B333&amp;"""",""[^0-9]"",""""),9))"),"")</f>
        <v/>
      </c>
      <c r="B333" s="5"/>
      <c r="C333" s="5"/>
      <c r="D333" s="5"/>
      <c r="E333" s="15"/>
      <c r="F333" s="15"/>
      <c r="G333" s="15"/>
      <c r="H333" s="15"/>
      <c r="I333" s="15"/>
      <c r="J333" s="15"/>
      <c r="K333" s="9" t="str">
        <f ca="1">IF(COUNTIFS($A$2:A333,A333,$L$2:L333,L333)&gt;1,"DUPLICATE - CHECK","")</f>
        <v/>
      </c>
      <c r="L333" s="17"/>
      <c r="M333" s="17"/>
      <c r="N333" s="9">
        <f ca="1">IF(COUNTIF($A$2:A332,A333)&gt;0,INDEX($C$2:C332,MATCH(A333,$A$2:A332,0)),"")</f>
        <v>0</v>
      </c>
      <c r="O333" s="13"/>
      <c r="P333" s="19"/>
    </row>
    <row r="334" spans="1:16" ht="15.75" customHeight="1" x14ac:dyDescent="0.3">
      <c r="A334" s="8" t="str">
        <f ca="1">IFERROR(__xludf.DUMMYFUNCTION("IF(B334="""","""",RIGHT(regexreplace(B334&amp;"""",""[^0-9]"",""""),9))"),"")</f>
        <v/>
      </c>
      <c r="B334" s="5"/>
      <c r="C334" s="5"/>
      <c r="D334" s="5"/>
      <c r="E334" s="15"/>
      <c r="F334" s="15"/>
      <c r="G334" s="15"/>
      <c r="H334" s="15"/>
      <c r="I334" s="15"/>
      <c r="J334" s="15"/>
      <c r="K334" s="9" t="str">
        <f ca="1">IF(COUNTIFS($A$2:A334,A334,$L$2:L334,L334)&gt;1,"DUPLICATE - CHECK","")</f>
        <v/>
      </c>
      <c r="L334" s="17"/>
      <c r="M334" s="17"/>
      <c r="N334" s="9">
        <f ca="1">IF(COUNTIF($A$2:A333,A334)&gt;0,INDEX($C$2:C333,MATCH(A334,$A$2:A333,0)),"")</f>
        <v>0</v>
      </c>
      <c r="O334" s="13"/>
      <c r="P334" s="19"/>
    </row>
    <row r="335" spans="1:16" ht="15.75" customHeight="1" x14ac:dyDescent="0.3">
      <c r="A335" s="8" t="str">
        <f ca="1">IFERROR(__xludf.DUMMYFUNCTION("IF(B335="""","""",RIGHT(regexreplace(B335&amp;"""",""[^0-9]"",""""),9))"),"")</f>
        <v/>
      </c>
      <c r="B335" s="5"/>
      <c r="C335" s="5"/>
      <c r="D335" s="5"/>
      <c r="E335" s="15"/>
      <c r="F335" s="15"/>
      <c r="G335" s="15"/>
      <c r="H335" s="15"/>
      <c r="I335" s="15"/>
      <c r="J335" s="15"/>
      <c r="K335" s="9" t="str">
        <f ca="1">IF(COUNTIFS($A$2:A335,A335,$L$2:L335,L335)&gt;1,"DUPLICATE - CHECK","")</f>
        <v/>
      </c>
      <c r="L335" s="17"/>
      <c r="M335" s="17"/>
      <c r="N335" s="9" t="str">
        <f t="array" aca="1" ref="N335" ca="1">IF(COUNTIF($A$2:A334,A)&gt;0,INDEX($C$2:C334,MATCH(A335,$A$2:A334,0)),"")</f>
        <v/>
      </c>
      <c r="O335" s="13"/>
      <c r="P335" s="19"/>
    </row>
    <row r="336" spans="1:16" ht="15.75" customHeight="1" x14ac:dyDescent="0.3">
      <c r="A336" s="8" t="str">
        <f ca="1">IFERROR(__xludf.DUMMYFUNCTION("IF(B336="""","""",RIGHT(regexreplace(B336&amp;"""",""[^0-9]"",""""),9))"),"")</f>
        <v/>
      </c>
      <c r="B336" s="5"/>
      <c r="C336" s="5"/>
      <c r="D336" s="5"/>
      <c r="E336" s="15"/>
      <c r="F336" s="15"/>
      <c r="G336" s="15"/>
      <c r="H336" s="15"/>
      <c r="I336" s="15"/>
      <c r="J336" s="15"/>
      <c r="K336" s="9" t="str">
        <f ca="1">IF(COUNTIFS($A$2:A336,A336,$L$2:L336,L336)&gt;1,"DUPLICATE - CHECK","")</f>
        <v/>
      </c>
      <c r="L336" s="17"/>
      <c r="M336" s="17"/>
      <c r="N336" s="9">
        <f ca="1">IF(COUNTIF($A$2:A335,A336)&gt;0,INDEX($C$2:C335,MATCH(A336,$A$2:A335,0)),"")</f>
        <v>0</v>
      </c>
      <c r="O336" s="13"/>
      <c r="P336" s="19"/>
    </row>
    <row r="337" spans="1:16" ht="15.75" customHeight="1" x14ac:dyDescent="0.3">
      <c r="A337" s="8" t="str">
        <f ca="1">IFERROR(__xludf.DUMMYFUNCTION("IF(B337="""","""",RIGHT(regexreplace(B337&amp;"""",""[^0-9]"",""""),9))"),"")</f>
        <v/>
      </c>
      <c r="B337" s="5"/>
      <c r="C337" s="5"/>
      <c r="D337" s="5"/>
      <c r="E337" s="15"/>
      <c r="F337" s="15"/>
      <c r="G337" s="15"/>
      <c r="H337" s="15"/>
      <c r="I337" s="15"/>
      <c r="J337" s="15"/>
      <c r="K337" s="9" t="str">
        <f ca="1">IF(COUNTIFS($A$2:A337,A337,$L$2:L337,L337)&gt;1,"DUPLICATE - CHECK","")</f>
        <v/>
      </c>
      <c r="L337" s="17"/>
      <c r="M337" s="17"/>
      <c r="N337" s="9">
        <f ca="1">IF(COUNTIF($A$2:A336,A337)&gt;0,INDEX($C$2:C336,MATCH(A337,$A$2:A336,0)),"")</f>
        <v>0</v>
      </c>
      <c r="O337" s="13"/>
      <c r="P337" s="19"/>
    </row>
    <row r="338" spans="1:16" ht="15.75" customHeight="1" x14ac:dyDescent="0.3">
      <c r="A338" s="8" t="str">
        <f ca="1">IFERROR(__xludf.DUMMYFUNCTION("IF(B338="""","""",RIGHT(regexreplace(B338&amp;"""",""[^0-9]"",""""),9))"),"")</f>
        <v/>
      </c>
      <c r="B338" s="5"/>
      <c r="C338" s="5"/>
      <c r="D338" s="5"/>
      <c r="E338" s="15"/>
      <c r="F338" s="15"/>
      <c r="G338" s="15"/>
      <c r="H338" s="15"/>
      <c r="I338" s="15"/>
      <c r="J338" s="15"/>
      <c r="K338" s="9" t="str">
        <f ca="1">IF(COUNTIFS($A$2:A338,A338,$L$2:L338,L338)&gt;1,"DUPLICATE - CHECK","")</f>
        <v/>
      </c>
      <c r="L338" s="17"/>
      <c r="M338" s="17"/>
      <c r="N338" s="9" t="str">
        <f t="array" aca="1" ref="N338" ca="1">IF(COUNTIF($A$2:A337,A)&gt;0,INDEX($C$2:C337,MATCH(A338,$A$2:A337,0)),"")</f>
        <v/>
      </c>
      <c r="O338" s="13"/>
      <c r="P338" s="19"/>
    </row>
    <row r="339" spans="1:16" ht="15.75" customHeight="1" x14ac:dyDescent="0.3">
      <c r="A339" s="8" t="str">
        <f ca="1">IFERROR(__xludf.DUMMYFUNCTION("IF(B339="""","""",RIGHT(regexreplace(B339&amp;"""",""[^0-9]"",""""),9))"),"")</f>
        <v/>
      </c>
      <c r="B339" s="5"/>
      <c r="C339" s="5"/>
      <c r="D339" s="5"/>
      <c r="E339" s="15"/>
      <c r="F339" s="15"/>
      <c r="G339" s="15"/>
      <c r="H339" s="15"/>
      <c r="I339" s="15"/>
      <c r="J339" s="15"/>
      <c r="K339" s="9" t="str">
        <f ca="1">IF(COUNTIFS($A$2:A339,A339,$L$2:L339,L339)&gt;1,"DUPLICATE - CHECK","")</f>
        <v/>
      </c>
      <c r="L339" s="17"/>
      <c r="M339" s="17"/>
      <c r="N339" s="9">
        <f ca="1">IF(COUNTIF($A$2:A338,A339)&gt;0,INDEX($C$2:C338,MATCH(A339,$A$2:A338,0)),"")</f>
        <v>0</v>
      </c>
      <c r="O339" s="13"/>
      <c r="P339" s="19"/>
    </row>
    <row r="340" spans="1:16" ht="15.75" customHeight="1" x14ac:dyDescent="0.3">
      <c r="A340" s="8" t="str">
        <f ca="1">IFERROR(__xludf.DUMMYFUNCTION("IF(B340="""","""",RIGHT(regexreplace(B340&amp;"""",""[^0-9]"",""""),9))"),"")</f>
        <v/>
      </c>
      <c r="B340" s="5"/>
      <c r="C340" s="5"/>
      <c r="D340" s="5"/>
      <c r="E340" s="15"/>
      <c r="F340" s="15"/>
      <c r="G340" s="15"/>
      <c r="H340" s="15"/>
      <c r="I340" s="15"/>
      <c r="J340" s="15"/>
      <c r="K340" s="9" t="str">
        <f ca="1">IF(COUNTIFS($A$2:A340,A340,$L$2:L340,L340)&gt;1,"DUPLICATE - CHECK","")</f>
        <v/>
      </c>
      <c r="L340" s="17"/>
      <c r="M340" s="17"/>
      <c r="N340" s="9">
        <f ca="1">IF(COUNTIF($A$2:A339,A340)&gt;0,INDEX($C$2:C339,MATCH(A340,$A$2:A339,0)),"")</f>
        <v>0</v>
      </c>
      <c r="O340" s="13"/>
      <c r="P340" s="19"/>
    </row>
    <row r="341" spans="1:16" ht="15.75" customHeight="1" x14ac:dyDescent="0.3">
      <c r="A341" s="8" t="str">
        <f ca="1">IFERROR(__xludf.DUMMYFUNCTION("IF(B341="""","""",RIGHT(regexreplace(B341&amp;"""",""[^0-9]"",""""),9))"),"")</f>
        <v/>
      </c>
      <c r="B341" s="5"/>
      <c r="C341" s="5"/>
      <c r="D341" s="5"/>
      <c r="E341" s="15"/>
      <c r="F341" s="15"/>
      <c r="G341" s="15"/>
      <c r="H341" s="15"/>
      <c r="I341" s="15"/>
      <c r="J341" s="15"/>
      <c r="K341" s="9" t="str">
        <f ca="1">IF(COUNTIFS($A$2:A341,A341,$L$2:L341,L341)&gt;1,"DUPLICATE - CHECK","")</f>
        <v/>
      </c>
      <c r="L341" s="17"/>
      <c r="M341" s="17"/>
      <c r="N341" s="9" t="str">
        <f t="array" aca="1" ref="N341" ca="1">IF(COUNTIF($A$2:A340,A)&gt;0,INDEX($C$2:C340,MATCH(A341,$A$2:A340,0)),"")</f>
        <v/>
      </c>
      <c r="O341" s="13"/>
      <c r="P341" s="19"/>
    </row>
    <row r="342" spans="1:16" ht="15.75" customHeight="1" x14ac:dyDescent="0.3">
      <c r="A342" s="8" t="str">
        <f ca="1">IFERROR(__xludf.DUMMYFUNCTION("IF(B342="""","""",RIGHT(regexreplace(B342&amp;"""",""[^0-9]"",""""),9))"),"")</f>
        <v/>
      </c>
      <c r="B342" s="5"/>
      <c r="C342" s="5"/>
      <c r="D342" s="5"/>
      <c r="E342" s="15"/>
      <c r="F342" s="15"/>
      <c r="G342" s="15"/>
      <c r="H342" s="15"/>
      <c r="I342" s="15"/>
      <c r="J342" s="15"/>
      <c r="K342" s="9" t="str">
        <f ca="1">IF(COUNTIFS($A$2:A342,A342,$L$2:L342,L342)&gt;1,"DUPLICATE - CHECK","")</f>
        <v/>
      </c>
      <c r="L342" s="17"/>
      <c r="M342" s="17"/>
      <c r="N342" s="9">
        <f ca="1">IF(COUNTIF($A$2:A341,A342)&gt;0,INDEX($C$2:C341,MATCH(A342,$A$2:A341,0)),"")</f>
        <v>0</v>
      </c>
      <c r="O342" s="13"/>
      <c r="P342" s="19"/>
    </row>
    <row r="343" spans="1:16" ht="15.75" customHeight="1" x14ac:dyDescent="0.3">
      <c r="A343" s="8" t="str">
        <f ca="1">IFERROR(__xludf.DUMMYFUNCTION("IF(B343="""","""",RIGHT(regexreplace(B343&amp;"""",""[^0-9]"",""""),9))"),"")</f>
        <v/>
      </c>
      <c r="B343" s="5"/>
      <c r="C343" s="5"/>
      <c r="D343" s="5"/>
      <c r="E343" s="15"/>
      <c r="F343" s="15"/>
      <c r="G343" s="15"/>
      <c r="H343" s="15"/>
      <c r="I343" s="15"/>
      <c r="J343" s="15"/>
      <c r="K343" s="9" t="str">
        <f ca="1">IF(COUNTIFS($A$2:A343,A343,$L$2:L343,L343)&gt;1,"DUPLICATE - CHECK","")</f>
        <v/>
      </c>
      <c r="L343" s="17"/>
      <c r="M343" s="17"/>
      <c r="N343" s="9">
        <f ca="1">IF(COUNTIF($A$2:A342,A343)&gt;0,INDEX($C$2:C342,MATCH(A343,$A$2:A342,0)),"")</f>
        <v>0</v>
      </c>
      <c r="O343" s="13"/>
      <c r="P343" s="19"/>
    </row>
    <row r="344" spans="1:16" ht="15.75" customHeight="1" x14ac:dyDescent="0.3">
      <c r="A344" s="8" t="str">
        <f ca="1">IFERROR(__xludf.DUMMYFUNCTION("IF(B344="""","""",RIGHT(regexreplace(B344&amp;"""",""[^0-9]"",""""),9))"),"")</f>
        <v/>
      </c>
      <c r="B344" s="5"/>
      <c r="C344" s="5"/>
      <c r="D344" s="5"/>
      <c r="E344" s="15"/>
      <c r="F344" s="15"/>
      <c r="G344" s="15"/>
      <c r="H344" s="15"/>
      <c r="I344" s="15"/>
      <c r="J344" s="15"/>
      <c r="K344" s="9" t="str">
        <f ca="1">IF(COUNTIFS($A$2:A344,A344,$L$2:L344,L344)&gt;1,"DUPLICATE - CHECK","")</f>
        <v/>
      </c>
      <c r="L344" s="17"/>
      <c r="M344" s="17"/>
      <c r="N344" s="9" t="str">
        <f t="array" aca="1" ref="N344" ca="1">IF(COUNTIF($A$2:A343,A)&gt;0,INDEX($C$2:C343,MATCH(A344,$A$2:A343,0)),"")</f>
        <v/>
      </c>
      <c r="O344" s="13"/>
      <c r="P344" s="19"/>
    </row>
    <row r="345" spans="1:16" ht="15.75" customHeight="1" x14ac:dyDescent="0.3">
      <c r="A345" s="8" t="str">
        <f ca="1">IFERROR(__xludf.DUMMYFUNCTION("IF(B345="""","""",RIGHT(regexreplace(B345&amp;"""",""[^0-9]"",""""),9))"),"")</f>
        <v/>
      </c>
      <c r="B345" s="5"/>
      <c r="C345" s="5"/>
      <c r="D345" s="5"/>
      <c r="E345" s="15"/>
      <c r="F345" s="15"/>
      <c r="G345" s="15"/>
      <c r="H345" s="15"/>
      <c r="I345" s="15"/>
      <c r="J345" s="15"/>
      <c r="K345" s="9" t="str">
        <f ca="1">IF(COUNTIFS($A$2:A345,A345,$L$2:L345,L345)&gt;1,"DUPLICATE - CHECK","")</f>
        <v/>
      </c>
      <c r="L345" s="17"/>
      <c r="M345" s="17"/>
      <c r="N345" s="9">
        <f ca="1">IF(COUNTIF($A$2:A344,A345)&gt;0,INDEX($C$2:C344,MATCH(A345,$A$2:A344,0)),"")</f>
        <v>0</v>
      </c>
      <c r="O345" s="13"/>
      <c r="P345" s="19"/>
    </row>
    <row r="346" spans="1:16" ht="15.75" customHeight="1" x14ac:dyDescent="0.3">
      <c r="A346" s="8" t="str">
        <f ca="1">IFERROR(__xludf.DUMMYFUNCTION("IF(B346="""","""",RIGHT(regexreplace(B346&amp;"""",""[^0-9]"",""""),9))"),"")</f>
        <v/>
      </c>
      <c r="B346" s="5"/>
      <c r="C346" s="5"/>
      <c r="D346" s="5"/>
      <c r="E346" s="15"/>
      <c r="F346" s="15"/>
      <c r="G346" s="15"/>
      <c r="H346" s="15"/>
      <c r="I346" s="15"/>
      <c r="J346" s="15"/>
      <c r="K346" s="9" t="str">
        <f ca="1">IF(COUNTIFS($A$2:A346,A346,$L$2:L346,L346)&gt;1,"DUPLICATE - CHECK","")</f>
        <v/>
      </c>
      <c r="L346" s="17"/>
      <c r="M346" s="17"/>
      <c r="N346" s="9">
        <f ca="1">IF(COUNTIF($A$2:A345,A346)&gt;0,INDEX($C$2:C345,MATCH(A346,$A$2:A345,0)),"")</f>
        <v>0</v>
      </c>
      <c r="O346" s="13"/>
      <c r="P346" s="19"/>
    </row>
    <row r="347" spans="1:16" ht="15.75" customHeight="1" x14ac:dyDescent="0.3">
      <c r="A347" s="8" t="str">
        <f ca="1">IFERROR(__xludf.DUMMYFUNCTION("IF(B347="""","""",RIGHT(regexreplace(B347&amp;"""",""[^0-9]"",""""),9))"),"")</f>
        <v/>
      </c>
      <c r="B347" s="5"/>
      <c r="C347" s="5"/>
      <c r="D347" s="5"/>
      <c r="E347" s="15"/>
      <c r="F347" s="15"/>
      <c r="G347" s="15"/>
      <c r="H347" s="15"/>
      <c r="I347" s="15"/>
      <c r="J347" s="15"/>
      <c r="K347" s="9" t="str">
        <f ca="1">IF(COUNTIFS($A$2:A347,A347,$L$2:L347,L347)&gt;1,"DUPLICATE - CHECK","")</f>
        <v/>
      </c>
      <c r="L347" s="17"/>
      <c r="M347" s="17"/>
      <c r="N347" s="9" t="str">
        <f t="array" aca="1" ref="N347" ca="1">IF(COUNTIF($A$2:A346,A)&gt;0,INDEX($C$2:C346,MATCH(A347,$A$2:A346,0)),"")</f>
        <v/>
      </c>
      <c r="O347" s="13"/>
      <c r="P347" s="19"/>
    </row>
    <row r="348" spans="1:16" ht="15.75" customHeight="1" x14ac:dyDescent="0.3">
      <c r="A348" s="8" t="str">
        <f ca="1">IFERROR(__xludf.DUMMYFUNCTION("IF(B348="""","""",RIGHT(regexreplace(B348&amp;"""",""[^0-9]"",""""),9))"),"")</f>
        <v/>
      </c>
      <c r="B348" s="5"/>
      <c r="C348" s="5"/>
      <c r="D348" s="5"/>
      <c r="E348" s="15"/>
      <c r="F348" s="15"/>
      <c r="G348" s="15"/>
      <c r="H348" s="15"/>
      <c r="I348" s="15"/>
      <c r="J348" s="15"/>
      <c r="K348" s="9" t="str">
        <f ca="1">IF(COUNTIFS($A$2:A348,A348,$L$2:L348,L348)&gt;1,"DUPLICATE - CHECK","")</f>
        <v/>
      </c>
      <c r="L348" s="17"/>
      <c r="M348" s="17"/>
      <c r="N348" s="9">
        <f ca="1">IF(COUNTIF($A$2:A347,A348)&gt;0,INDEX($C$2:C347,MATCH(A348,$A$2:A347,0)),"")</f>
        <v>0</v>
      </c>
      <c r="O348" s="13"/>
      <c r="P348" s="19"/>
    </row>
    <row r="349" spans="1:16" ht="15.75" customHeight="1" x14ac:dyDescent="0.3">
      <c r="A349" s="8" t="str">
        <f ca="1">IFERROR(__xludf.DUMMYFUNCTION("IF(B349="""","""",RIGHT(regexreplace(B349&amp;"""",""[^0-9]"",""""),9))"),"")</f>
        <v/>
      </c>
      <c r="B349" s="5"/>
      <c r="C349" s="5"/>
      <c r="D349" s="5"/>
      <c r="E349" s="15"/>
      <c r="F349" s="15"/>
      <c r="G349" s="15"/>
      <c r="H349" s="15"/>
      <c r="I349" s="15"/>
      <c r="J349" s="15"/>
      <c r="K349" s="9" t="str">
        <f ca="1">IF(COUNTIFS($A$2:A349,A349,$L$2:L349,L349)&gt;1,"DUPLICATE - CHECK","")</f>
        <v/>
      </c>
      <c r="L349" s="17"/>
      <c r="M349" s="17"/>
      <c r="N349" s="9">
        <f ca="1">IF(COUNTIF($A$2:A348,A349)&gt;0,INDEX($C$2:C348,MATCH(A349,$A$2:A348,0)),"")</f>
        <v>0</v>
      </c>
      <c r="O349" s="13"/>
      <c r="P349" s="19"/>
    </row>
    <row r="350" spans="1:16" ht="15.75" customHeight="1" x14ac:dyDescent="0.3">
      <c r="A350" s="8" t="str">
        <f ca="1">IFERROR(__xludf.DUMMYFUNCTION("IF(B350="""","""",RIGHT(regexreplace(B350&amp;"""",""[^0-9]"",""""),9))"),"")</f>
        <v/>
      </c>
      <c r="B350" s="5"/>
      <c r="C350" s="5"/>
      <c r="D350" s="5"/>
      <c r="E350" s="15"/>
      <c r="F350" s="15"/>
      <c r="G350" s="15"/>
      <c r="H350" s="15"/>
      <c r="I350" s="15"/>
      <c r="J350" s="15"/>
      <c r="K350" s="9" t="str">
        <f ca="1">IF(COUNTIFS($A$2:A350,A350,$L$2:L350,L350)&gt;1,"DUPLICATE - CHECK","")</f>
        <v/>
      </c>
      <c r="L350" s="17"/>
      <c r="M350" s="17"/>
      <c r="N350" s="9" t="str">
        <f t="array" aca="1" ref="N350" ca="1">IF(COUNTIF($A$2:A349,A)&gt;0,INDEX($C$2:C349,MATCH(A350,$A$2:A349,0)),"")</f>
        <v/>
      </c>
      <c r="O350" s="13"/>
      <c r="P350" s="19"/>
    </row>
    <row r="351" spans="1:16" ht="15.75" customHeight="1" x14ac:dyDescent="0.3">
      <c r="A351" s="8" t="str">
        <f ca="1">IFERROR(__xludf.DUMMYFUNCTION("IF(B351="""","""",RIGHT(regexreplace(B351&amp;"""",""[^0-9]"",""""),9))"),"")</f>
        <v/>
      </c>
      <c r="B351" s="5"/>
      <c r="C351" s="5"/>
      <c r="D351" s="5"/>
      <c r="E351" s="15"/>
      <c r="F351" s="15"/>
      <c r="G351" s="15"/>
      <c r="H351" s="15"/>
      <c r="I351" s="15"/>
      <c r="J351" s="15"/>
      <c r="K351" s="9" t="str">
        <f ca="1">IF(COUNTIFS($A$2:A351,A351,$L$2:L351,L351)&gt;1,"DUPLICATE - CHECK","")</f>
        <v/>
      </c>
      <c r="L351" s="17"/>
      <c r="M351" s="17"/>
      <c r="N351" s="9">
        <f ca="1">IF(COUNTIF($A$2:A350,A351)&gt;0,INDEX($C$2:C350,MATCH(A351,$A$2:A350,0)),"")</f>
        <v>0</v>
      </c>
      <c r="O351" s="13"/>
      <c r="P351" s="19"/>
    </row>
    <row r="352" spans="1:16" ht="15.75" customHeight="1" x14ac:dyDescent="0.3">
      <c r="A352" s="8" t="str">
        <f ca="1">IFERROR(__xludf.DUMMYFUNCTION("IF(B352="""","""",RIGHT(regexreplace(B352&amp;"""",""[^0-9]"",""""),9))"),"")</f>
        <v/>
      </c>
      <c r="B352" s="5"/>
      <c r="C352" s="5"/>
      <c r="D352" s="5"/>
      <c r="E352" s="15"/>
      <c r="F352" s="15"/>
      <c r="G352" s="15"/>
      <c r="H352" s="15"/>
      <c r="I352" s="15"/>
      <c r="J352" s="15"/>
      <c r="K352" s="9" t="str">
        <f ca="1">IF(COUNTIFS($A$2:A352,A352,$L$2:L352,L352)&gt;1,"DUPLICATE - CHECK","")</f>
        <v/>
      </c>
      <c r="L352" s="17"/>
      <c r="M352" s="17"/>
      <c r="N352" s="9">
        <f ca="1">IF(COUNTIF($A$2:A351,A352)&gt;0,INDEX($C$2:C351,MATCH(A352,$A$2:A351,0)),"")</f>
        <v>0</v>
      </c>
      <c r="O352" s="13"/>
      <c r="P352" s="19"/>
    </row>
    <row r="353" spans="1:16" ht="15.75" customHeight="1" x14ac:dyDescent="0.3">
      <c r="A353" s="8" t="str">
        <f ca="1">IFERROR(__xludf.DUMMYFUNCTION("IF(B353="""","""",RIGHT(regexreplace(B353&amp;"""",""[^0-9]"",""""),9))"),"")</f>
        <v/>
      </c>
      <c r="B353" s="5"/>
      <c r="C353" s="5"/>
      <c r="D353" s="5"/>
      <c r="E353" s="15"/>
      <c r="F353" s="15"/>
      <c r="G353" s="15"/>
      <c r="H353" s="15"/>
      <c r="I353" s="15"/>
      <c r="J353" s="15"/>
      <c r="K353" s="9" t="str">
        <f ca="1">IF(COUNTIFS($A$2:A353,A353,$L$2:L353,L353)&gt;1,"DUPLICATE - CHECK","")</f>
        <v/>
      </c>
      <c r="L353" s="17"/>
      <c r="M353" s="17"/>
      <c r="N353" s="9" t="str">
        <f t="array" aca="1" ref="N353" ca="1">IF(COUNTIF($A$2:A352,A)&gt;0,INDEX($C$2:C352,MATCH(A353,$A$2:A352,0)),"")</f>
        <v/>
      </c>
      <c r="O353" s="13"/>
      <c r="P353" s="19"/>
    </row>
    <row r="354" spans="1:16" ht="15.75" customHeight="1" x14ac:dyDescent="0.3">
      <c r="A354" s="8" t="str">
        <f ca="1">IFERROR(__xludf.DUMMYFUNCTION("IF(B354="""","""",RIGHT(regexreplace(B354&amp;"""",""[^0-9]"",""""),9))"),"")</f>
        <v/>
      </c>
      <c r="B354" s="5"/>
      <c r="C354" s="5"/>
      <c r="D354" s="5"/>
      <c r="E354" s="15"/>
      <c r="F354" s="15"/>
      <c r="G354" s="15"/>
      <c r="H354" s="15"/>
      <c r="I354" s="15"/>
      <c r="J354" s="15"/>
      <c r="K354" s="9" t="str">
        <f ca="1">IF(COUNTIFS($A$2:A354,A354,$L$2:L354,L354)&gt;1,"DUPLICATE - CHECK","")</f>
        <v/>
      </c>
      <c r="L354" s="17"/>
      <c r="M354" s="17"/>
      <c r="N354" s="9">
        <f ca="1">IF(COUNTIF($A$2:A353,A354)&gt;0,INDEX($C$2:C353,MATCH(A354,$A$2:A353,0)),"")</f>
        <v>0</v>
      </c>
      <c r="O354" s="13"/>
      <c r="P354" s="19"/>
    </row>
    <row r="355" spans="1:16" ht="15.75" customHeight="1" x14ac:dyDescent="0.3">
      <c r="A355" s="8" t="str">
        <f ca="1">IFERROR(__xludf.DUMMYFUNCTION("IF(B355="""","""",RIGHT(regexreplace(B355&amp;"""",""[^0-9]"",""""),9))"),"")</f>
        <v/>
      </c>
      <c r="B355" s="5"/>
      <c r="C355" s="5"/>
      <c r="D355" s="5"/>
      <c r="E355" s="15"/>
      <c r="F355" s="15"/>
      <c r="G355" s="15"/>
      <c r="H355" s="15"/>
      <c r="I355" s="15"/>
      <c r="J355" s="15"/>
      <c r="K355" s="9" t="str">
        <f ca="1">IF(COUNTIFS($A$2:A355,A355,$L$2:L355,L355)&gt;1,"DUPLICATE - CHECK","")</f>
        <v/>
      </c>
      <c r="L355" s="17"/>
      <c r="M355" s="17"/>
      <c r="N355" s="9">
        <f ca="1">IF(COUNTIF($A$2:A354,A355)&gt;0,INDEX($C$2:C354,MATCH(A355,$A$2:A354,0)),"")</f>
        <v>0</v>
      </c>
      <c r="O355" s="13"/>
      <c r="P355" s="19"/>
    </row>
    <row r="356" spans="1:16" ht="15.75" customHeight="1" x14ac:dyDescent="0.3">
      <c r="A356" s="8" t="str">
        <f ca="1">IFERROR(__xludf.DUMMYFUNCTION("IF(B356="""","""",RIGHT(regexreplace(B356&amp;"""",""[^0-9]"",""""),9))"),"")</f>
        <v/>
      </c>
      <c r="B356" s="5"/>
      <c r="C356" s="5"/>
      <c r="D356" s="5"/>
      <c r="E356" s="15"/>
      <c r="F356" s="15"/>
      <c r="G356" s="15"/>
      <c r="H356" s="15"/>
      <c r="I356" s="15"/>
      <c r="J356" s="15"/>
      <c r="K356" s="9" t="str">
        <f ca="1">IF(COUNTIFS($A$2:A356,A356,$L$2:L356,L356)&gt;1,"DUPLICATE - CHECK","")</f>
        <v/>
      </c>
      <c r="L356" s="17"/>
      <c r="M356" s="17"/>
      <c r="N356" s="9" t="str">
        <f t="array" aca="1" ref="N356" ca="1">IF(COUNTIF($A$2:A355,A)&gt;0,INDEX($C$2:C355,MATCH(A356,$A$2:A355,0)),"")</f>
        <v/>
      </c>
      <c r="O356" s="13"/>
      <c r="P356" s="19"/>
    </row>
    <row r="357" spans="1:16" ht="15.75" customHeight="1" x14ac:dyDescent="0.3">
      <c r="A357" s="8" t="str">
        <f ca="1">IFERROR(__xludf.DUMMYFUNCTION("IF(B357="""","""",RIGHT(regexreplace(B357&amp;"""",""[^0-9]"",""""),9))"),"")</f>
        <v/>
      </c>
      <c r="B357" s="5"/>
      <c r="C357" s="5"/>
      <c r="D357" s="5"/>
      <c r="E357" s="15"/>
      <c r="F357" s="15"/>
      <c r="G357" s="15"/>
      <c r="H357" s="15"/>
      <c r="I357" s="15"/>
      <c r="J357" s="15"/>
      <c r="K357" s="9" t="str">
        <f ca="1">IF(COUNTIFS($A$2:A357,A357,$L$2:L357,L357)&gt;1,"DUPLICATE - CHECK","")</f>
        <v/>
      </c>
      <c r="L357" s="17"/>
      <c r="M357" s="17"/>
      <c r="N357" s="9">
        <f ca="1">IF(COUNTIF($A$2:A356,A357)&gt;0,INDEX($C$2:C356,MATCH(A357,$A$2:A356,0)),"")</f>
        <v>0</v>
      </c>
      <c r="O357" s="13"/>
      <c r="P357" s="19"/>
    </row>
    <row r="358" spans="1:16" ht="15.75" customHeight="1" x14ac:dyDescent="0.3">
      <c r="A358" s="8" t="str">
        <f ca="1">IFERROR(__xludf.DUMMYFUNCTION("IF(B358="""","""",RIGHT(regexreplace(B358&amp;"""",""[^0-9]"",""""),9))"),"")</f>
        <v/>
      </c>
      <c r="B358" s="5"/>
      <c r="C358" s="5"/>
      <c r="D358" s="5"/>
      <c r="E358" s="15"/>
      <c r="F358" s="15"/>
      <c r="G358" s="15"/>
      <c r="H358" s="15"/>
      <c r="I358" s="15"/>
      <c r="J358" s="15"/>
      <c r="K358" s="9" t="str">
        <f ca="1">IF(COUNTIFS($A$2:A358,A358,$L$2:L358,L358)&gt;1,"DUPLICATE - CHECK","")</f>
        <v/>
      </c>
      <c r="L358" s="17"/>
      <c r="M358" s="17"/>
      <c r="N358" s="9">
        <f ca="1">IF(COUNTIF($A$2:A357,A358)&gt;0,INDEX($C$2:C357,MATCH(A358,$A$2:A357,0)),"")</f>
        <v>0</v>
      </c>
      <c r="O358" s="13"/>
      <c r="P358" s="19"/>
    </row>
    <row r="359" spans="1:16" ht="15.75" customHeight="1" x14ac:dyDescent="0.3">
      <c r="A359" s="8" t="str">
        <f ca="1">IFERROR(__xludf.DUMMYFUNCTION("IF(B359="""","""",RIGHT(regexreplace(B359&amp;"""",""[^0-9]"",""""),9))"),"")</f>
        <v/>
      </c>
      <c r="B359" s="5"/>
      <c r="C359" s="5"/>
      <c r="D359" s="5"/>
      <c r="E359" s="15"/>
      <c r="F359" s="15"/>
      <c r="G359" s="15"/>
      <c r="H359" s="15"/>
      <c r="I359" s="15"/>
      <c r="J359" s="15"/>
      <c r="K359" s="9" t="str">
        <f ca="1">IF(COUNTIFS($A$2:A359,A359,$L$2:L359,L359)&gt;1,"DUPLICATE - CHECK","")</f>
        <v/>
      </c>
      <c r="L359" s="17"/>
      <c r="M359" s="17"/>
      <c r="N359" s="9" t="str">
        <f t="array" aca="1" ref="N359" ca="1">IF(COUNTIF($A$2:A358,A)&gt;0,INDEX($C$2:C358,MATCH(A359,$A$2:A358,0)),"")</f>
        <v/>
      </c>
      <c r="O359" s="13"/>
      <c r="P359" s="19"/>
    </row>
    <row r="360" spans="1:16" ht="15.75" customHeight="1" x14ac:dyDescent="0.3">
      <c r="A360" s="8" t="str">
        <f ca="1">IFERROR(__xludf.DUMMYFUNCTION("IF(B360="""","""",RIGHT(regexreplace(B360&amp;"""",""[^0-9]"",""""),9))"),"")</f>
        <v/>
      </c>
      <c r="B360" s="5"/>
      <c r="C360" s="5"/>
      <c r="D360" s="5"/>
      <c r="E360" s="15"/>
      <c r="F360" s="15"/>
      <c r="G360" s="15"/>
      <c r="H360" s="15"/>
      <c r="I360" s="15"/>
      <c r="J360" s="15"/>
      <c r="K360" s="9" t="str">
        <f ca="1">IF(COUNTIFS($A$2:A360,A360,$L$2:L360,L360)&gt;1,"DUPLICATE - CHECK","")</f>
        <v/>
      </c>
      <c r="L360" s="17"/>
      <c r="M360" s="17"/>
      <c r="N360" s="9">
        <f ca="1">IF(COUNTIF($A$2:A359,A360)&gt;0,INDEX($C$2:C359,MATCH(A360,$A$2:A359,0)),"")</f>
        <v>0</v>
      </c>
      <c r="O360" s="13"/>
      <c r="P360" s="19"/>
    </row>
    <row r="361" spans="1:16" ht="15.75" customHeight="1" x14ac:dyDescent="0.3">
      <c r="A361" s="8" t="str">
        <f ca="1">IFERROR(__xludf.DUMMYFUNCTION("IF(B361="""","""",RIGHT(regexreplace(B361&amp;"""",""[^0-9]"",""""),9))"),"")</f>
        <v/>
      </c>
      <c r="B361" s="5"/>
      <c r="C361" s="5"/>
      <c r="D361" s="5"/>
      <c r="E361" s="15"/>
      <c r="F361" s="15"/>
      <c r="G361" s="15"/>
      <c r="H361" s="15"/>
      <c r="I361" s="15"/>
      <c r="J361" s="15"/>
      <c r="K361" s="9" t="str">
        <f ca="1">IF(COUNTIFS($A$2:A361,A361,$L$2:L361,L361)&gt;1,"DUPLICATE - CHECK","")</f>
        <v/>
      </c>
      <c r="L361" s="17"/>
      <c r="M361" s="17"/>
      <c r="N361" s="9">
        <f ca="1">IF(COUNTIF($A$2:A360,A361)&gt;0,INDEX($C$2:C360,MATCH(A361,$A$2:A360,0)),"")</f>
        <v>0</v>
      </c>
      <c r="O361" s="13"/>
      <c r="P361" s="19"/>
    </row>
    <row r="362" spans="1:16" ht="15.75" customHeight="1" x14ac:dyDescent="0.3">
      <c r="A362" s="8" t="str">
        <f ca="1">IFERROR(__xludf.DUMMYFUNCTION("IF(B362="""","""",RIGHT(regexreplace(B362&amp;"""",""[^0-9]"",""""),9))"),"")</f>
        <v/>
      </c>
      <c r="B362" s="5"/>
      <c r="C362" s="5"/>
      <c r="D362" s="5"/>
      <c r="E362" s="15"/>
      <c r="F362" s="15"/>
      <c r="G362" s="15"/>
      <c r="H362" s="15"/>
      <c r="I362" s="15"/>
      <c r="J362" s="15"/>
      <c r="K362" s="9" t="str">
        <f ca="1">IF(COUNTIFS($A$2:A362,A362,$L$2:L362,L362)&gt;1,"DUPLICATE - CHECK","")</f>
        <v/>
      </c>
      <c r="L362" s="17"/>
      <c r="M362" s="17"/>
      <c r="N362" s="9" t="str">
        <f t="array" aca="1" ref="N362" ca="1">IF(COUNTIF($A$2:A361,A)&gt;0,INDEX($C$2:C361,MATCH(A362,$A$2:A361,0)),"")</f>
        <v/>
      </c>
      <c r="O362" s="13"/>
      <c r="P362" s="19"/>
    </row>
    <row r="363" spans="1:16" ht="15.75" customHeight="1" x14ac:dyDescent="0.3">
      <c r="A363" s="8" t="str">
        <f ca="1">IFERROR(__xludf.DUMMYFUNCTION("IF(B363="""","""",RIGHT(regexreplace(B363&amp;"""",""[^0-9]"",""""),9))"),"")</f>
        <v/>
      </c>
      <c r="B363" s="5"/>
      <c r="C363" s="5"/>
      <c r="D363" s="5"/>
      <c r="E363" s="15"/>
      <c r="F363" s="15"/>
      <c r="G363" s="15"/>
      <c r="H363" s="15"/>
      <c r="I363" s="15"/>
      <c r="J363" s="15"/>
      <c r="K363" s="9" t="str">
        <f ca="1">IF(COUNTIFS($A$2:A363,A363,$L$2:L363,L363)&gt;1,"DUPLICATE - CHECK","")</f>
        <v/>
      </c>
      <c r="L363" s="17"/>
      <c r="M363" s="17"/>
      <c r="N363" s="9">
        <f ca="1">IF(COUNTIF($A$2:A362,A363)&gt;0,INDEX($C$2:C362,MATCH(A363,$A$2:A362,0)),"")</f>
        <v>0</v>
      </c>
      <c r="O363" s="13"/>
      <c r="P363" s="19"/>
    </row>
    <row r="364" spans="1:16" ht="15.75" customHeight="1" x14ac:dyDescent="0.3">
      <c r="A364" s="8" t="str">
        <f ca="1">IFERROR(__xludf.DUMMYFUNCTION("IF(B364="""","""",RIGHT(regexreplace(B364&amp;"""",""[^0-9]"",""""),9))"),"")</f>
        <v/>
      </c>
      <c r="B364" s="5"/>
      <c r="C364" s="5"/>
      <c r="D364" s="5"/>
      <c r="E364" s="15"/>
      <c r="F364" s="15"/>
      <c r="G364" s="15"/>
      <c r="H364" s="15"/>
      <c r="I364" s="15"/>
      <c r="J364" s="15"/>
      <c r="K364" s="9" t="str">
        <f ca="1">IF(COUNTIFS($A$2:A364,A364,$L$2:L364,L364)&gt;1,"DUPLICATE - CHECK","")</f>
        <v/>
      </c>
      <c r="L364" s="17"/>
      <c r="M364" s="17"/>
      <c r="N364" s="9">
        <f ca="1">IF(COUNTIF($A$2:A363,A364)&gt;0,INDEX($C$2:C363,MATCH(A364,$A$2:A363,0)),"")</f>
        <v>0</v>
      </c>
      <c r="O364" s="13"/>
      <c r="P364" s="19"/>
    </row>
    <row r="365" spans="1:16" ht="15.75" customHeight="1" x14ac:dyDescent="0.3">
      <c r="A365" s="8" t="str">
        <f ca="1">IFERROR(__xludf.DUMMYFUNCTION("IF(B365="""","""",RIGHT(regexreplace(B365&amp;"""",""[^0-9]"",""""),9))"),"")</f>
        <v/>
      </c>
      <c r="B365" s="5"/>
      <c r="C365" s="5"/>
      <c r="D365" s="5"/>
      <c r="E365" s="15"/>
      <c r="F365" s="15"/>
      <c r="G365" s="15"/>
      <c r="H365" s="15"/>
      <c r="I365" s="15"/>
      <c r="J365" s="15"/>
      <c r="K365" s="9" t="str">
        <f ca="1">IF(COUNTIFS($A$2:A365,A365,$L$2:L365,L365)&gt;1,"DUPLICATE - CHECK","")</f>
        <v/>
      </c>
      <c r="L365" s="17"/>
      <c r="M365" s="17"/>
      <c r="N365" s="9" t="str">
        <f t="array" aca="1" ref="N365" ca="1">IF(COUNTIF($A$2:A364,A)&gt;0,INDEX($C$2:C364,MATCH(A365,$A$2:A364,0)),"")</f>
        <v/>
      </c>
      <c r="O365" s="13"/>
      <c r="P365" s="19"/>
    </row>
    <row r="366" spans="1:16" ht="15.75" customHeight="1" x14ac:dyDescent="0.3">
      <c r="A366" s="8" t="str">
        <f ca="1">IFERROR(__xludf.DUMMYFUNCTION("IF(B366="""","""",RIGHT(regexreplace(B366&amp;"""",""[^0-9]"",""""),9))"),"")</f>
        <v/>
      </c>
      <c r="B366" s="5"/>
      <c r="C366" s="5"/>
      <c r="D366" s="5"/>
      <c r="E366" s="15"/>
      <c r="F366" s="15"/>
      <c r="G366" s="15"/>
      <c r="H366" s="15"/>
      <c r="I366" s="15"/>
      <c r="J366" s="15"/>
      <c r="K366" s="9" t="str">
        <f ca="1">IF(COUNTIFS($A$2:A366,A366,$L$2:L366,L366)&gt;1,"DUPLICATE - CHECK","")</f>
        <v/>
      </c>
      <c r="L366" s="17"/>
      <c r="M366" s="17"/>
      <c r="N366" s="9">
        <f ca="1">IF(COUNTIF($A$2:A365,A366)&gt;0,INDEX($C$2:C365,MATCH(A366,$A$2:A365,0)),"")</f>
        <v>0</v>
      </c>
      <c r="O366" s="13"/>
      <c r="P366" s="19"/>
    </row>
    <row r="367" spans="1:16" ht="15.75" customHeight="1" x14ac:dyDescent="0.3">
      <c r="A367" s="8" t="str">
        <f ca="1">IFERROR(__xludf.DUMMYFUNCTION("IF(B367="""","""",RIGHT(regexreplace(B367&amp;"""",""[^0-9]"",""""),9))"),"")</f>
        <v/>
      </c>
      <c r="B367" s="5"/>
      <c r="C367" s="5"/>
      <c r="D367" s="5"/>
      <c r="E367" s="15"/>
      <c r="F367" s="15"/>
      <c r="G367" s="15"/>
      <c r="H367" s="15"/>
      <c r="I367" s="15"/>
      <c r="J367" s="15"/>
      <c r="K367" s="9" t="str">
        <f ca="1">IF(COUNTIFS($A$2:A367,A367,$L$2:L367,L367)&gt;1,"DUPLICATE - CHECK","")</f>
        <v/>
      </c>
      <c r="L367" s="17"/>
      <c r="M367" s="17"/>
      <c r="N367" s="9">
        <f ca="1">IF(COUNTIF($A$2:A366,A367)&gt;0,INDEX($C$2:C366,MATCH(A367,$A$2:A366,0)),"")</f>
        <v>0</v>
      </c>
      <c r="O367" s="13"/>
      <c r="P367" s="19"/>
    </row>
    <row r="368" spans="1:16" ht="15.75" customHeight="1" x14ac:dyDescent="0.3">
      <c r="A368" s="8" t="str">
        <f ca="1">IFERROR(__xludf.DUMMYFUNCTION("IF(B368="""","""",RIGHT(regexreplace(B368&amp;"""",""[^0-9]"",""""),9))"),"")</f>
        <v/>
      </c>
      <c r="B368" s="5"/>
      <c r="C368" s="5"/>
      <c r="D368" s="5"/>
      <c r="E368" s="15"/>
      <c r="F368" s="15"/>
      <c r="G368" s="15"/>
      <c r="H368" s="15"/>
      <c r="I368" s="15"/>
      <c r="J368" s="15"/>
      <c r="K368" s="9" t="str">
        <f ca="1">IF(COUNTIFS($A$2:A368,A368,$L$2:L368,L368)&gt;1,"DUPLICATE - CHECK","")</f>
        <v/>
      </c>
      <c r="L368" s="17"/>
      <c r="M368" s="17"/>
      <c r="N368" s="9" t="str">
        <f t="array" aca="1" ref="N368" ca="1">IF(COUNTIF($A$2:A367,A)&gt;0,INDEX($C$2:C367,MATCH(A368,$A$2:A367,0)),"")</f>
        <v/>
      </c>
      <c r="O368" s="13"/>
      <c r="P368" s="19"/>
    </row>
    <row r="369" spans="1:16" ht="15.75" customHeight="1" x14ac:dyDescent="0.3">
      <c r="A369" s="8" t="str">
        <f ca="1">IFERROR(__xludf.DUMMYFUNCTION("IF(B369="""","""",RIGHT(regexreplace(B369&amp;"""",""[^0-9]"",""""),9))"),"")</f>
        <v/>
      </c>
      <c r="B369" s="5"/>
      <c r="C369" s="5"/>
      <c r="D369" s="5"/>
      <c r="E369" s="15"/>
      <c r="F369" s="15"/>
      <c r="G369" s="15"/>
      <c r="H369" s="15"/>
      <c r="I369" s="15"/>
      <c r="J369" s="15"/>
      <c r="K369" s="9" t="str">
        <f ca="1">IF(COUNTIFS($A$2:A369,A369,$L$2:L369,L369)&gt;1,"DUPLICATE - CHECK","")</f>
        <v/>
      </c>
      <c r="L369" s="17"/>
      <c r="M369" s="17"/>
      <c r="N369" s="9">
        <f ca="1">IF(COUNTIF($A$2:A368,A369)&gt;0,INDEX($C$2:C368,MATCH(A369,$A$2:A368,0)),"")</f>
        <v>0</v>
      </c>
      <c r="O369" s="13"/>
      <c r="P369" s="19"/>
    </row>
    <row r="370" spans="1:16" ht="15.75" customHeight="1" x14ac:dyDescent="0.3">
      <c r="A370" s="8" t="str">
        <f ca="1">IFERROR(__xludf.DUMMYFUNCTION("IF(B370="""","""",RIGHT(regexreplace(B370&amp;"""",""[^0-9]"",""""),9))"),"")</f>
        <v/>
      </c>
      <c r="B370" s="5"/>
      <c r="C370" s="5"/>
      <c r="D370" s="5"/>
      <c r="E370" s="15"/>
      <c r="F370" s="15"/>
      <c r="G370" s="15"/>
      <c r="H370" s="15"/>
      <c r="I370" s="15"/>
      <c r="J370" s="15"/>
      <c r="K370" s="9" t="str">
        <f ca="1">IF(COUNTIFS($A$2:A370,A370,$L$2:L370,L370)&gt;1,"DUPLICATE - CHECK","")</f>
        <v/>
      </c>
      <c r="L370" s="17"/>
      <c r="M370" s="17"/>
      <c r="N370" s="9">
        <f ca="1">IF(COUNTIF($A$2:A369,A370)&gt;0,INDEX($C$2:C369,MATCH(A370,$A$2:A369,0)),"")</f>
        <v>0</v>
      </c>
      <c r="O370" s="13"/>
      <c r="P370" s="19"/>
    </row>
    <row r="371" spans="1:16" ht="15.75" customHeight="1" x14ac:dyDescent="0.3">
      <c r="A371" s="8" t="str">
        <f ca="1">IFERROR(__xludf.DUMMYFUNCTION("IF(B371="""","""",RIGHT(regexreplace(B371&amp;"""",""[^0-9]"",""""),9))"),"")</f>
        <v/>
      </c>
      <c r="B371" s="5"/>
      <c r="C371" s="5"/>
      <c r="D371" s="5"/>
      <c r="E371" s="15"/>
      <c r="F371" s="15"/>
      <c r="G371" s="15"/>
      <c r="H371" s="15"/>
      <c r="I371" s="15"/>
      <c r="J371" s="15"/>
      <c r="K371" s="9" t="str">
        <f ca="1">IF(COUNTIFS($A$2:A371,A371,$L$2:L371,L371)&gt;1,"DUPLICATE - CHECK","")</f>
        <v/>
      </c>
      <c r="L371" s="17"/>
      <c r="M371" s="17"/>
      <c r="N371" s="9" t="str">
        <f t="array" aca="1" ref="N371" ca="1">IF(COUNTIF($A$2:A370,A)&gt;0,INDEX($C$2:C370,MATCH(A371,$A$2:A370,0)),"")</f>
        <v/>
      </c>
      <c r="O371" s="13"/>
      <c r="P371" s="19"/>
    </row>
    <row r="372" spans="1:16" ht="15.75" customHeight="1" x14ac:dyDescent="0.3">
      <c r="A372" s="8" t="str">
        <f ca="1">IFERROR(__xludf.DUMMYFUNCTION("IF(B372="""","""",RIGHT(regexreplace(B372&amp;"""",""[^0-9]"",""""),9))"),"")</f>
        <v/>
      </c>
      <c r="B372" s="5"/>
      <c r="C372" s="5"/>
      <c r="D372" s="5"/>
      <c r="E372" s="15"/>
      <c r="F372" s="15"/>
      <c r="G372" s="15"/>
      <c r="H372" s="15"/>
      <c r="I372" s="15"/>
      <c r="J372" s="15"/>
      <c r="K372" s="9" t="str">
        <f ca="1">IF(COUNTIFS($A$2:A372,A372,$L$2:L372,L372)&gt;1,"DUPLICATE - CHECK","")</f>
        <v/>
      </c>
      <c r="L372" s="17"/>
      <c r="M372" s="17"/>
      <c r="N372" s="9">
        <f ca="1">IF(COUNTIF($A$2:A371,A372)&gt;0,INDEX($C$2:C371,MATCH(A372,$A$2:A371,0)),"")</f>
        <v>0</v>
      </c>
      <c r="O372" s="13"/>
      <c r="P372" s="19"/>
    </row>
    <row r="373" spans="1:16" ht="15.75" customHeight="1" x14ac:dyDescent="0.3">
      <c r="A373" s="8" t="str">
        <f ca="1">IFERROR(__xludf.DUMMYFUNCTION("IF(B373="""","""",RIGHT(regexreplace(B373&amp;"""",""[^0-9]"",""""),9))"),"")</f>
        <v/>
      </c>
      <c r="B373" s="5"/>
      <c r="C373" s="5"/>
      <c r="D373" s="5"/>
      <c r="E373" s="15"/>
      <c r="F373" s="15"/>
      <c r="G373" s="15"/>
      <c r="H373" s="15"/>
      <c r="I373" s="15"/>
      <c r="J373" s="15"/>
      <c r="K373" s="9" t="str">
        <f ca="1">IF(COUNTIFS($A$2:A373,A373,$L$2:L373,L373)&gt;1,"DUPLICATE - CHECK","")</f>
        <v/>
      </c>
      <c r="L373" s="17"/>
      <c r="M373" s="17"/>
      <c r="N373" s="9">
        <f ca="1">IF(COUNTIF($A$2:A372,A373)&gt;0,INDEX($C$2:C372,MATCH(A373,$A$2:A372,0)),"")</f>
        <v>0</v>
      </c>
      <c r="O373" s="13"/>
      <c r="P373" s="19"/>
    </row>
    <row r="374" spans="1:16" ht="15.75" customHeight="1" x14ac:dyDescent="0.3">
      <c r="A374" s="8" t="str">
        <f ca="1">IFERROR(__xludf.DUMMYFUNCTION("IF(B374="""","""",RIGHT(regexreplace(B374&amp;"""",""[^0-9]"",""""),9))"),"")</f>
        <v/>
      </c>
      <c r="B374" s="5"/>
      <c r="C374" s="5"/>
      <c r="D374" s="5"/>
      <c r="E374" s="15"/>
      <c r="F374" s="15"/>
      <c r="G374" s="15"/>
      <c r="H374" s="15"/>
      <c r="I374" s="15"/>
      <c r="J374" s="15"/>
      <c r="K374" s="9" t="str">
        <f ca="1">IF(COUNTIFS($A$2:A374,A374,$L$2:L374,L374)&gt;1,"DUPLICATE - CHECK","")</f>
        <v/>
      </c>
      <c r="L374" s="17"/>
      <c r="M374" s="17"/>
      <c r="N374" s="9" t="str">
        <f t="array" aca="1" ref="N374" ca="1">IF(COUNTIF($A$2:A373,A)&gt;0,INDEX($C$2:C373,MATCH(A374,$A$2:A373,0)),"")</f>
        <v/>
      </c>
      <c r="O374" s="13"/>
      <c r="P374" s="19"/>
    </row>
    <row r="375" spans="1:16" ht="15.75" customHeight="1" x14ac:dyDescent="0.3">
      <c r="A375" s="8" t="str">
        <f ca="1">IFERROR(__xludf.DUMMYFUNCTION("IF(B375="""","""",RIGHT(regexreplace(B375&amp;"""",""[^0-9]"",""""),9))"),"")</f>
        <v/>
      </c>
      <c r="B375" s="5"/>
      <c r="C375" s="5"/>
      <c r="D375" s="5"/>
      <c r="E375" s="15"/>
      <c r="F375" s="15"/>
      <c r="G375" s="15"/>
      <c r="H375" s="15"/>
      <c r="I375" s="15"/>
      <c r="J375" s="15"/>
      <c r="K375" s="9" t="str">
        <f ca="1">IF(COUNTIFS($A$2:A375,A375,$L$2:L375,L375)&gt;1,"DUPLICATE - CHECK","")</f>
        <v/>
      </c>
      <c r="L375" s="17"/>
      <c r="M375" s="17"/>
      <c r="N375" s="9">
        <f ca="1">IF(COUNTIF($A$2:A374,A375)&gt;0,INDEX($C$2:C374,MATCH(A375,$A$2:A374,0)),"")</f>
        <v>0</v>
      </c>
      <c r="O375" s="13"/>
      <c r="P375" s="19"/>
    </row>
    <row r="376" spans="1:16" ht="15.75" customHeight="1" x14ac:dyDescent="0.3">
      <c r="A376" s="8" t="str">
        <f ca="1">IFERROR(__xludf.DUMMYFUNCTION("IF(B376="""","""",RIGHT(regexreplace(B376&amp;"""",""[^0-9]"",""""),9))"),"")</f>
        <v/>
      </c>
      <c r="B376" s="5"/>
      <c r="C376" s="5"/>
      <c r="D376" s="5"/>
      <c r="E376" s="15"/>
      <c r="F376" s="15"/>
      <c r="G376" s="15"/>
      <c r="H376" s="15"/>
      <c r="I376" s="15"/>
      <c r="J376" s="15"/>
      <c r="K376" s="9" t="str">
        <f ca="1">IF(COUNTIFS($A$2:A376,A376,$L$2:L376,L376)&gt;1,"DUPLICATE - CHECK","")</f>
        <v/>
      </c>
      <c r="L376" s="17"/>
      <c r="M376" s="17"/>
      <c r="N376" s="9">
        <f ca="1">IF(COUNTIF($A$2:A375,A376)&gt;0,INDEX($C$2:C375,MATCH(A376,$A$2:A375,0)),"")</f>
        <v>0</v>
      </c>
      <c r="O376" s="13"/>
      <c r="P376" s="19"/>
    </row>
    <row r="377" spans="1:16" ht="15.75" customHeight="1" x14ac:dyDescent="0.3">
      <c r="A377" s="8" t="str">
        <f ca="1">IFERROR(__xludf.DUMMYFUNCTION("IF(B377="""","""",RIGHT(regexreplace(B377&amp;"""",""[^0-9]"",""""),9))"),"")</f>
        <v/>
      </c>
      <c r="B377" s="5"/>
      <c r="C377" s="5"/>
      <c r="D377" s="5"/>
      <c r="E377" s="15"/>
      <c r="F377" s="15"/>
      <c r="G377" s="15"/>
      <c r="H377" s="15"/>
      <c r="I377" s="15"/>
      <c r="J377" s="15"/>
      <c r="K377" s="9" t="str">
        <f ca="1">IF(COUNTIFS($A$2:A377,A377,$L$2:L377,L377)&gt;1,"DUPLICATE - CHECK","")</f>
        <v/>
      </c>
      <c r="L377" s="17"/>
      <c r="M377" s="17"/>
      <c r="N377" s="9" t="str">
        <f t="array" aca="1" ref="N377" ca="1">IF(COUNTIF($A$2:A376,A)&gt;0,INDEX($C$2:C376,MATCH(A377,$A$2:A376,0)),"")</f>
        <v/>
      </c>
      <c r="O377" s="13"/>
      <c r="P377" s="19"/>
    </row>
    <row r="378" spans="1:16" ht="15.75" customHeight="1" x14ac:dyDescent="0.3">
      <c r="A378" s="8" t="str">
        <f ca="1">IFERROR(__xludf.DUMMYFUNCTION("IF(B378="""","""",RIGHT(regexreplace(B378&amp;"""",""[^0-9]"",""""),9))"),"")</f>
        <v/>
      </c>
      <c r="B378" s="5"/>
      <c r="C378" s="5"/>
      <c r="D378" s="5"/>
      <c r="E378" s="15"/>
      <c r="F378" s="15"/>
      <c r="G378" s="15"/>
      <c r="H378" s="15"/>
      <c r="I378" s="15"/>
      <c r="J378" s="15"/>
      <c r="K378" s="9" t="str">
        <f ca="1">IF(COUNTIFS($A$2:A378,A378,$L$2:L378,L378)&gt;1,"DUPLICATE - CHECK","")</f>
        <v/>
      </c>
      <c r="L378" s="17"/>
      <c r="M378" s="17"/>
      <c r="N378" s="9">
        <f ca="1">IF(COUNTIF($A$2:A377,A378)&gt;0,INDEX($C$2:C377,MATCH(A378,$A$2:A377,0)),"")</f>
        <v>0</v>
      </c>
      <c r="O378" s="13"/>
      <c r="P378" s="19"/>
    </row>
    <row r="379" spans="1:16" ht="15.75" customHeight="1" x14ac:dyDescent="0.3">
      <c r="A379" s="8" t="str">
        <f ca="1">IFERROR(__xludf.DUMMYFUNCTION("IF(B379="""","""",RIGHT(regexreplace(B379&amp;"""",""[^0-9]"",""""),9))"),"")</f>
        <v/>
      </c>
      <c r="B379" s="5"/>
      <c r="C379" s="5"/>
      <c r="D379" s="5"/>
      <c r="E379" s="15"/>
      <c r="F379" s="15"/>
      <c r="G379" s="15"/>
      <c r="H379" s="15"/>
      <c r="I379" s="15"/>
      <c r="J379" s="15"/>
      <c r="K379" s="9" t="str">
        <f ca="1">IF(COUNTIFS($A$2:A379,A379,$L$2:L379,L379)&gt;1,"DUPLICATE - CHECK","")</f>
        <v/>
      </c>
      <c r="L379" s="17"/>
      <c r="M379" s="17"/>
      <c r="N379" s="9">
        <f ca="1">IF(COUNTIF($A$2:A378,A379)&gt;0,INDEX($C$2:C378,MATCH(A379,$A$2:A378,0)),"")</f>
        <v>0</v>
      </c>
      <c r="O379" s="13"/>
      <c r="P379" s="19"/>
    </row>
    <row r="380" spans="1:16" ht="15.75" customHeight="1" x14ac:dyDescent="0.3">
      <c r="A380" s="8" t="str">
        <f ca="1">IFERROR(__xludf.DUMMYFUNCTION("IF(B380="""","""",RIGHT(regexreplace(B380&amp;"""",""[^0-9]"",""""),9))"),"")</f>
        <v/>
      </c>
      <c r="B380" s="5"/>
      <c r="C380" s="5"/>
      <c r="D380" s="5"/>
      <c r="E380" s="15"/>
      <c r="F380" s="15"/>
      <c r="G380" s="15"/>
      <c r="H380" s="15"/>
      <c r="I380" s="15"/>
      <c r="J380" s="15"/>
      <c r="K380" s="9" t="str">
        <f ca="1">IF(COUNTIFS($A$2:A380,A380,$L$2:L380,L380)&gt;1,"DUPLICATE - CHECK","")</f>
        <v/>
      </c>
      <c r="L380" s="17"/>
      <c r="M380" s="17"/>
      <c r="N380" s="9" t="str">
        <f t="array" aca="1" ref="N380" ca="1">IF(COUNTIF($A$2:A379,A)&gt;0,INDEX($C$2:C379,MATCH(A380,$A$2:A379,0)),"")</f>
        <v/>
      </c>
      <c r="O380" s="13"/>
      <c r="P380" s="19"/>
    </row>
    <row r="381" spans="1:16" ht="15.75" customHeight="1" x14ac:dyDescent="0.3">
      <c r="A381" s="8" t="str">
        <f ca="1">IFERROR(__xludf.DUMMYFUNCTION("IF(B381="""","""",RIGHT(regexreplace(B381&amp;"""",""[^0-9]"",""""),9))"),"")</f>
        <v/>
      </c>
      <c r="B381" s="5"/>
      <c r="C381" s="5"/>
      <c r="D381" s="5"/>
      <c r="E381" s="15"/>
      <c r="F381" s="15"/>
      <c r="G381" s="15"/>
      <c r="H381" s="15"/>
      <c r="I381" s="15"/>
      <c r="J381" s="15"/>
      <c r="K381" s="9" t="str">
        <f ca="1">IF(COUNTIFS($A$2:A381,A381,$L$2:L381,L381)&gt;1,"DUPLICATE - CHECK","")</f>
        <v/>
      </c>
      <c r="L381" s="17"/>
      <c r="M381" s="17"/>
      <c r="N381" s="9">
        <f ca="1">IF(COUNTIF($A$2:A380,A381)&gt;0,INDEX($C$2:C380,MATCH(A381,$A$2:A380,0)),"")</f>
        <v>0</v>
      </c>
      <c r="O381" s="13"/>
      <c r="P381" s="19"/>
    </row>
    <row r="382" spans="1:16" ht="15.75" customHeight="1" x14ac:dyDescent="0.3">
      <c r="A382" s="8" t="str">
        <f ca="1">IFERROR(__xludf.DUMMYFUNCTION("IF(B382="""","""",RIGHT(regexreplace(B382&amp;"""",""[^0-9]"",""""),9))"),"")</f>
        <v/>
      </c>
      <c r="B382" s="5"/>
      <c r="C382" s="5"/>
      <c r="D382" s="5"/>
      <c r="E382" s="15"/>
      <c r="F382" s="15"/>
      <c r="G382" s="15"/>
      <c r="H382" s="15"/>
      <c r="I382" s="15"/>
      <c r="J382" s="15"/>
      <c r="K382" s="9" t="str">
        <f ca="1">IF(COUNTIFS($A$2:A382,A382,$L$2:L382,L382)&gt;1,"DUPLICATE - CHECK","")</f>
        <v/>
      </c>
      <c r="L382" s="17"/>
      <c r="M382" s="17"/>
      <c r="N382" s="9">
        <f ca="1">IF(COUNTIF($A$2:A381,A382)&gt;0,INDEX($C$2:C381,MATCH(A382,$A$2:A381,0)),"")</f>
        <v>0</v>
      </c>
      <c r="O382" s="13"/>
      <c r="P382" s="19"/>
    </row>
    <row r="383" spans="1:16" ht="15.75" customHeight="1" x14ac:dyDescent="0.3">
      <c r="A383" s="8" t="str">
        <f ca="1">IFERROR(__xludf.DUMMYFUNCTION("IF(B383="""","""",RIGHT(regexreplace(B383&amp;"""",""[^0-9]"",""""),9))"),"")</f>
        <v/>
      </c>
      <c r="B383" s="5"/>
      <c r="C383" s="5"/>
      <c r="D383" s="5"/>
      <c r="E383" s="15"/>
      <c r="F383" s="15"/>
      <c r="G383" s="15"/>
      <c r="H383" s="15"/>
      <c r="I383" s="15"/>
      <c r="J383" s="15"/>
      <c r="K383" s="9" t="str">
        <f ca="1">IF(COUNTIFS($A$2:A383,A383,$L$2:L383,L383)&gt;1,"DUPLICATE - CHECK","")</f>
        <v/>
      </c>
      <c r="L383" s="17"/>
      <c r="M383" s="17"/>
      <c r="N383" s="9" t="str">
        <f t="array" aca="1" ref="N383" ca="1">IF(COUNTIF($A$2:A382,A)&gt;0,INDEX($C$2:C382,MATCH(A383,$A$2:A382,0)),"")</f>
        <v/>
      </c>
      <c r="O383" s="13"/>
      <c r="P383" s="19"/>
    </row>
    <row r="384" spans="1:16" ht="15.75" customHeight="1" x14ac:dyDescent="0.3">
      <c r="A384" s="8" t="str">
        <f ca="1">IFERROR(__xludf.DUMMYFUNCTION("IF(B384="""","""",RIGHT(regexreplace(B384&amp;"""",""[^0-9]"",""""),9))"),"")</f>
        <v/>
      </c>
      <c r="B384" s="5"/>
      <c r="C384" s="5"/>
      <c r="D384" s="5"/>
      <c r="E384" s="15"/>
      <c r="F384" s="15"/>
      <c r="G384" s="15"/>
      <c r="H384" s="15"/>
      <c r="I384" s="15"/>
      <c r="J384" s="15"/>
      <c r="K384" s="9" t="str">
        <f ca="1">IF(COUNTIFS($A$2:A384,A384,$L$2:L384,L384)&gt;1,"DUPLICATE - CHECK","")</f>
        <v/>
      </c>
      <c r="L384" s="17"/>
      <c r="M384" s="17"/>
      <c r="N384" s="9">
        <f ca="1">IF(COUNTIF($A$2:A383,A384)&gt;0,INDEX($C$2:C383,MATCH(A384,$A$2:A383,0)),"")</f>
        <v>0</v>
      </c>
      <c r="O384" s="13"/>
      <c r="P384" s="19"/>
    </row>
    <row r="385" spans="1:16" ht="15.75" customHeight="1" x14ac:dyDescent="0.3">
      <c r="A385" s="8" t="str">
        <f ca="1">IFERROR(__xludf.DUMMYFUNCTION("IF(B385="""","""",RIGHT(regexreplace(B385&amp;"""",""[^0-9]"",""""),9))"),"")</f>
        <v/>
      </c>
      <c r="B385" s="5"/>
      <c r="C385" s="5"/>
      <c r="D385" s="5"/>
      <c r="E385" s="15"/>
      <c r="F385" s="15"/>
      <c r="G385" s="15"/>
      <c r="H385" s="15"/>
      <c r="I385" s="15"/>
      <c r="J385" s="15"/>
      <c r="K385" s="9" t="str">
        <f ca="1">IF(COUNTIFS($A$2:A385,A385,$L$2:L385,L385)&gt;1,"DUPLICATE - CHECK","")</f>
        <v/>
      </c>
      <c r="L385" s="17"/>
      <c r="M385" s="17"/>
      <c r="N385" s="9">
        <f ca="1">IF(COUNTIF($A$2:A384,A385)&gt;0,INDEX($C$2:C384,MATCH(A385,$A$2:A384,0)),"")</f>
        <v>0</v>
      </c>
      <c r="O385" s="13"/>
      <c r="P385" s="19"/>
    </row>
    <row r="386" spans="1:16" ht="15.75" customHeight="1" x14ac:dyDescent="0.3">
      <c r="A386" s="8" t="str">
        <f ca="1">IFERROR(__xludf.DUMMYFUNCTION("IF(B386="""","""",RIGHT(regexreplace(B386&amp;"""",""[^0-9]"",""""),9))"),"")</f>
        <v/>
      </c>
      <c r="B386" s="5"/>
      <c r="C386" s="5"/>
      <c r="D386" s="5"/>
      <c r="E386" s="15"/>
      <c r="F386" s="15"/>
      <c r="G386" s="15"/>
      <c r="H386" s="15"/>
      <c r="I386" s="15"/>
      <c r="J386" s="15"/>
      <c r="K386" s="9" t="str">
        <f ca="1">IF(COUNTIFS($A$2:A386,A386,$L$2:L386,L386)&gt;1,"DUPLICATE - CHECK","")</f>
        <v/>
      </c>
      <c r="L386" s="17"/>
      <c r="M386" s="17"/>
      <c r="N386" s="9" t="str">
        <f t="array" aca="1" ref="N386" ca="1">IF(COUNTIF($A$2:A385,A)&gt;0,INDEX($C$2:C385,MATCH(A386,$A$2:A385,0)),"")</f>
        <v/>
      </c>
      <c r="O386" s="13"/>
      <c r="P386" s="19"/>
    </row>
    <row r="387" spans="1:16" ht="15.75" customHeight="1" x14ac:dyDescent="0.3">
      <c r="A387" s="8" t="str">
        <f ca="1">IFERROR(__xludf.DUMMYFUNCTION("IF(B387="""","""",RIGHT(regexreplace(B387&amp;"""",""[^0-9]"",""""),9))"),"")</f>
        <v/>
      </c>
      <c r="B387" s="5"/>
      <c r="C387" s="5"/>
      <c r="D387" s="5"/>
      <c r="E387" s="15"/>
      <c r="F387" s="15"/>
      <c r="G387" s="15"/>
      <c r="H387" s="15"/>
      <c r="I387" s="15"/>
      <c r="J387" s="15"/>
      <c r="K387" s="9" t="str">
        <f ca="1">IF(COUNTIFS($A$2:A387,A387,$L$2:L387,L387)&gt;1,"DUPLICATE - CHECK","")</f>
        <v/>
      </c>
      <c r="L387" s="17"/>
      <c r="M387" s="17"/>
      <c r="N387" s="9">
        <f ca="1">IF(COUNTIF($A$2:A386,A387)&gt;0,INDEX($C$2:C386,MATCH(A387,$A$2:A386,0)),"")</f>
        <v>0</v>
      </c>
      <c r="O387" s="13"/>
      <c r="P387" s="19"/>
    </row>
    <row r="388" spans="1:16" ht="15.75" customHeight="1" x14ac:dyDescent="0.3">
      <c r="A388" s="8" t="str">
        <f ca="1">IFERROR(__xludf.DUMMYFUNCTION("IF(B388="""","""",RIGHT(regexreplace(B388&amp;"""",""[^0-9]"",""""),9))"),"")</f>
        <v/>
      </c>
      <c r="B388" s="5"/>
      <c r="C388" s="5"/>
      <c r="D388" s="5"/>
      <c r="E388" s="15"/>
      <c r="F388" s="15"/>
      <c r="G388" s="15"/>
      <c r="H388" s="15"/>
      <c r="I388" s="15"/>
      <c r="J388" s="15"/>
      <c r="K388" s="9" t="str">
        <f ca="1">IF(COUNTIFS($A$2:A388,A388,$L$2:L388,L388)&gt;1,"DUPLICATE - CHECK","")</f>
        <v/>
      </c>
      <c r="L388" s="17"/>
      <c r="M388" s="17"/>
      <c r="N388" s="9">
        <f ca="1">IF(COUNTIF($A$2:A387,A388)&gt;0,INDEX($C$2:C387,MATCH(A388,$A$2:A387,0)),"")</f>
        <v>0</v>
      </c>
      <c r="O388" s="13"/>
      <c r="P388" s="19"/>
    </row>
    <row r="389" spans="1:16" ht="15.75" customHeight="1" x14ac:dyDescent="0.3">
      <c r="A389" s="8" t="str">
        <f ca="1">IFERROR(__xludf.DUMMYFUNCTION("IF(B389="""","""",RIGHT(regexreplace(B389&amp;"""",""[^0-9]"",""""),9))"),"")</f>
        <v/>
      </c>
      <c r="B389" s="5"/>
      <c r="C389" s="5"/>
      <c r="D389" s="5"/>
      <c r="E389" s="15"/>
      <c r="F389" s="15"/>
      <c r="G389" s="15"/>
      <c r="H389" s="15"/>
      <c r="I389" s="15"/>
      <c r="J389" s="15"/>
      <c r="K389" s="9" t="str">
        <f ca="1">IF(COUNTIFS($A$2:A389,A389,$L$2:L389,L389)&gt;1,"DUPLICATE - CHECK","")</f>
        <v/>
      </c>
      <c r="L389" s="17"/>
      <c r="M389" s="17"/>
      <c r="N389" s="9" t="str">
        <f t="array" aca="1" ref="N389" ca="1">IF(COUNTIF($A$2:A388,A)&gt;0,INDEX($C$2:C388,MATCH(A389,$A$2:A388,0)),"")</f>
        <v/>
      </c>
      <c r="O389" s="13"/>
      <c r="P389" s="19"/>
    </row>
    <row r="390" spans="1:16" ht="15.75" customHeight="1" x14ac:dyDescent="0.3">
      <c r="A390" s="8" t="str">
        <f ca="1">IFERROR(__xludf.DUMMYFUNCTION("IF(B390="""","""",RIGHT(regexreplace(B390&amp;"""",""[^0-9]"",""""),9))"),"")</f>
        <v/>
      </c>
      <c r="B390" s="5"/>
      <c r="C390" s="5"/>
      <c r="D390" s="5"/>
      <c r="E390" s="15"/>
      <c r="F390" s="15"/>
      <c r="G390" s="15"/>
      <c r="H390" s="15"/>
      <c r="I390" s="15"/>
      <c r="J390" s="15"/>
      <c r="K390" s="9" t="str">
        <f ca="1">IF(COUNTIFS($A$2:A390,A390,$L$2:L390,L390)&gt;1,"DUPLICATE - CHECK","")</f>
        <v/>
      </c>
      <c r="L390" s="17"/>
      <c r="M390" s="17"/>
      <c r="N390" s="9">
        <f ca="1">IF(COUNTIF($A$2:A389,A390)&gt;0,INDEX($C$2:C389,MATCH(A390,$A$2:A389,0)),"")</f>
        <v>0</v>
      </c>
      <c r="O390" s="13"/>
      <c r="P390" s="19"/>
    </row>
    <row r="391" spans="1:16" ht="15.75" customHeight="1" x14ac:dyDescent="0.3">
      <c r="A391" s="8" t="str">
        <f ca="1">IFERROR(__xludf.DUMMYFUNCTION("IF(B391="""","""",RIGHT(regexreplace(B391&amp;"""",""[^0-9]"",""""),9))"),"")</f>
        <v/>
      </c>
      <c r="B391" s="5"/>
      <c r="C391" s="5"/>
      <c r="D391" s="5"/>
      <c r="E391" s="15"/>
      <c r="F391" s="15"/>
      <c r="G391" s="15"/>
      <c r="H391" s="15"/>
      <c r="I391" s="15"/>
      <c r="J391" s="15"/>
      <c r="K391" s="9" t="str">
        <f ca="1">IF(COUNTIFS($A$2:A391,A391,$L$2:L391,L391)&gt;1,"DUPLICATE - CHECK","")</f>
        <v/>
      </c>
      <c r="L391" s="17"/>
      <c r="M391" s="17"/>
      <c r="N391" s="9">
        <f ca="1">IF(COUNTIF($A$2:A390,A391)&gt;0,INDEX($C$2:C390,MATCH(A391,$A$2:A390,0)),"")</f>
        <v>0</v>
      </c>
      <c r="O391" s="13"/>
      <c r="P391" s="19"/>
    </row>
    <row r="392" spans="1:16" ht="15.75" customHeight="1" x14ac:dyDescent="0.3">
      <c r="A392" s="8" t="str">
        <f ca="1">IFERROR(__xludf.DUMMYFUNCTION("IF(B392="""","""",RIGHT(regexreplace(B392&amp;"""",""[^0-9]"",""""),9))"),"")</f>
        <v/>
      </c>
      <c r="B392" s="5"/>
      <c r="C392" s="5"/>
      <c r="D392" s="5"/>
      <c r="E392" s="15"/>
      <c r="F392" s="15"/>
      <c r="G392" s="15"/>
      <c r="H392" s="15"/>
      <c r="I392" s="15"/>
      <c r="J392" s="15"/>
      <c r="K392" s="9" t="str">
        <f ca="1">IF(COUNTIFS($A$2:A392,A392,$L$2:L392,L392)&gt;1,"DUPLICATE - CHECK","")</f>
        <v/>
      </c>
      <c r="L392" s="17"/>
      <c r="M392" s="17"/>
      <c r="N392" s="9" t="str">
        <f t="array" aca="1" ref="N392" ca="1">IF(COUNTIF($A$2:A391,A)&gt;0,INDEX($C$2:C391,MATCH(A392,$A$2:A391,0)),"")</f>
        <v/>
      </c>
      <c r="O392" s="13"/>
      <c r="P392" s="19"/>
    </row>
    <row r="393" spans="1:16" ht="15.75" customHeight="1" x14ac:dyDescent="0.3">
      <c r="A393" s="8" t="str">
        <f ca="1">IFERROR(__xludf.DUMMYFUNCTION("IF(B393="""","""",RIGHT(regexreplace(B393&amp;"""",""[^0-9]"",""""),9))"),"")</f>
        <v/>
      </c>
      <c r="B393" s="5"/>
      <c r="C393" s="5"/>
      <c r="D393" s="5"/>
      <c r="E393" s="15"/>
      <c r="F393" s="15"/>
      <c r="G393" s="15"/>
      <c r="H393" s="15"/>
      <c r="I393" s="15"/>
      <c r="J393" s="15"/>
      <c r="K393" s="9" t="str">
        <f ca="1">IF(COUNTIFS($A$2:A393,A393,$L$2:L393,L393)&gt;1,"DUPLICATE - CHECK","")</f>
        <v/>
      </c>
      <c r="L393" s="17"/>
      <c r="M393" s="17"/>
      <c r="N393" s="9">
        <f ca="1">IF(COUNTIF($A$2:A392,A393)&gt;0,INDEX($C$2:C392,MATCH(A393,$A$2:A392,0)),"")</f>
        <v>0</v>
      </c>
      <c r="O393" s="13"/>
      <c r="P393" s="19"/>
    </row>
    <row r="394" spans="1:16" ht="15.75" customHeight="1" x14ac:dyDescent="0.3">
      <c r="A394" s="8" t="str">
        <f ca="1">IFERROR(__xludf.DUMMYFUNCTION("IF(B394="""","""",RIGHT(regexreplace(B394&amp;"""",""[^0-9]"",""""),9))"),"")</f>
        <v/>
      </c>
      <c r="B394" s="5"/>
      <c r="C394" s="5"/>
      <c r="D394" s="5"/>
      <c r="E394" s="15"/>
      <c r="F394" s="15"/>
      <c r="G394" s="15"/>
      <c r="H394" s="15"/>
      <c r="I394" s="15"/>
      <c r="J394" s="15"/>
      <c r="K394" s="9" t="str">
        <f ca="1">IF(COUNTIFS($A$2:A394,A394,$L$2:L394,L394)&gt;1,"DUPLICATE - CHECK","")</f>
        <v/>
      </c>
      <c r="L394" s="17"/>
      <c r="M394" s="17"/>
      <c r="N394" s="9">
        <f ca="1">IF(COUNTIF($A$2:A393,A394)&gt;0,INDEX($C$2:C393,MATCH(A394,$A$2:A393,0)),"")</f>
        <v>0</v>
      </c>
      <c r="O394" s="13"/>
      <c r="P394" s="19"/>
    </row>
    <row r="395" spans="1:16" ht="15.75" customHeight="1" x14ac:dyDescent="0.3">
      <c r="A395" s="8" t="str">
        <f ca="1">IFERROR(__xludf.DUMMYFUNCTION("IF(B395="""","""",RIGHT(regexreplace(B395&amp;"""",""[^0-9]"",""""),9))"),"")</f>
        <v/>
      </c>
      <c r="B395" s="5"/>
      <c r="C395" s="5"/>
      <c r="D395" s="5"/>
      <c r="E395" s="15"/>
      <c r="F395" s="15"/>
      <c r="G395" s="15"/>
      <c r="H395" s="15"/>
      <c r="I395" s="15"/>
      <c r="J395" s="15"/>
      <c r="K395" s="9" t="str">
        <f ca="1">IF(COUNTIFS($A$2:A395,A395,$L$2:L395,L395)&gt;1,"DUPLICATE - CHECK","")</f>
        <v/>
      </c>
      <c r="L395" s="17"/>
      <c r="M395" s="17"/>
      <c r="N395" s="9" t="str">
        <f t="array" aca="1" ref="N395" ca="1">IF(COUNTIF($A$2:A394,A)&gt;0,INDEX($C$2:C394,MATCH(A395,$A$2:A394,0)),"")</f>
        <v/>
      </c>
      <c r="O395" s="13"/>
      <c r="P395" s="19"/>
    </row>
    <row r="396" spans="1:16" ht="15.75" customHeight="1" x14ac:dyDescent="0.3">
      <c r="A396" s="8" t="str">
        <f ca="1">IFERROR(__xludf.DUMMYFUNCTION("IF(B396="""","""",RIGHT(regexreplace(B396&amp;"""",""[^0-9]"",""""),9))"),"")</f>
        <v/>
      </c>
      <c r="B396" s="5"/>
      <c r="C396" s="5"/>
      <c r="D396" s="5"/>
      <c r="E396" s="15"/>
      <c r="F396" s="15"/>
      <c r="G396" s="15"/>
      <c r="H396" s="15"/>
      <c r="I396" s="15"/>
      <c r="J396" s="15"/>
      <c r="K396" s="9" t="str">
        <f ca="1">IF(COUNTIFS($A$2:A396,A396,$L$2:L396,L396)&gt;1,"DUPLICATE - CHECK","")</f>
        <v/>
      </c>
      <c r="L396" s="17"/>
      <c r="M396" s="17"/>
      <c r="N396" s="9">
        <f ca="1">IF(COUNTIF($A$2:A395,A396)&gt;0,INDEX($C$2:C395,MATCH(A396,$A$2:A395,0)),"")</f>
        <v>0</v>
      </c>
      <c r="O396" s="13"/>
      <c r="P396" s="19"/>
    </row>
    <row r="397" spans="1:16" ht="15.75" customHeight="1" x14ac:dyDescent="0.3">
      <c r="A397" s="8" t="str">
        <f ca="1">IFERROR(__xludf.DUMMYFUNCTION("IF(B397="""","""",RIGHT(regexreplace(B397&amp;"""",""[^0-9]"",""""),9))"),"")</f>
        <v/>
      </c>
      <c r="B397" s="5"/>
      <c r="C397" s="5"/>
      <c r="D397" s="5"/>
      <c r="E397" s="15"/>
      <c r="F397" s="15"/>
      <c r="G397" s="15"/>
      <c r="H397" s="15"/>
      <c r="I397" s="15"/>
      <c r="J397" s="15"/>
      <c r="K397" s="9" t="str">
        <f ca="1">IF(COUNTIFS($A$2:A397,A397,$L$2:L397,L397)&gt;1,"DUPLICATE - CHECK","")</f>
        <v/>
      </c>
      <c r="L397" s="17"/>
      <c r="M397" s="17"/>
      <c r="N397" s="9">
        <f ca="1">IF(COUNTIF($A$2:A396,A397)&gt;0,INDEX($C$2:C396,MATCH(A397,$A$2:A396,0)),"")</f>
        <v>0</v>
      </c>
      <c r="O397" s="13"/>
      <c r="P397" s="19"/>
    </row>
    <row r="398" spans="1:16" ht="15.75" customHeight="1" x14ac:dyDescent="0.3">
      <c r="A398" s="8" t="str">
        <f ca="1">IFERROR(__xludf.DUMMYFUNCTION("IF(B398="""","""",RIGHT(regexreplace(B398&amp;"""",""[^0-9]"",""""),9))"),"")</f>
        <v/>
      </c>
      <c r="B398" s="5"/>
      <c r="C398" s="5"/>
      <c r="D398" s="5"/>
      <c r="E398" s="15"/>
      <c r="F398" s="15"/>
      <c r="G398" s="15"/>
      <c r="H398" s="15"/>
      <c r="I398" s="15"/>
      <c r="J398" s="15"/>
      <c r="K398" s="9" t="str">
        <f ca="1">IF(COUNTIFS($A$2:A398,A398,$L$2:L398,L398)&gt;1,"DUPLICATE - CHECK","")</f>
        <v/>
      </c>
      <c r="L398" s="17"/>
      <c r="M398" s="17"/>
      <c r="N398" s="9" t="str">
        <f t="array" aca="1" ref="N398" ca="1">IF(COUNTIF($A$2:A397,A)&gt;0,INDEX($C$2:C397,MATCH(A398,$A$2:A397,0)),"")</f>
        <v/>
      </c>
      <c r="O398" s="13"/>
      <c r="P398" s="19"/>
    </row>
    <row r="399" spans="1:16" ht="15.75" customHeight="1" x14ac:dyDescent="0.3">
      <c r="A399" s="8" t="str">
        <f ca="1">IFERROR(__xludf.DUMMYFUNCTION("IF(B399="""","""",RIGHT(regexreplace(B399&amp;"""",""[^0-9]"",""""),9))"),"")</f>
        <v/>
      </c>
      <c r="B399" s="5"/>
      <c r="C399" s="5"/>
      <c r="D399" s="5"/>
      <c r="E399" s="15"/>
      <c r="F399" s="15"/>
      <c r="G399" s="15"/>
      <c r="H399" s="15"/>
      <c r="I399" s="15"/>
      <c r="J399" s="15"/>
      <c r="K399" s="9" t="str">
        <f ca="1">IF(COUNTIFS($A$2:A399,A399,$L$2:L399,L399)&gt;1,"DUPLICATE - CHECK","")</f>
        <v/>
      </c>
      <c r="L399" s="17"/>
      <c r="M399" s="17"/>
      <c r="N399" s="9">
        <f ca="1">IF(COUNTIF($A$2:A398,A399)&gt;0,INDEX($C$2:C398,MATCH(A399,$A$2:A398,0)),"")</f>
        <v>0</v>
      </c>
      <c r="O399" s="13"/>
      <c r="P399" s="19"/>
    </row>
    <row r="400" spans="1:16" ht="15.75" customHeight="1" x14ac:dyDescent="0.3">
      <c r="A400" s="8" t="str">
        <f ca="1">IFERROR(__xludf.DUMMYFUNCTION("IF(B400="""","""",RIGHT(regexreplace(B400&amp;"""",""[^0-9]"",""""),9))"),"")</f>
        <v/>
      </c>
      <c r="B400" s="5"/>
      <c r="C400" s="5"/>
      <c r="D400" s="5"/>
      <c r="E400" s="15"/>
      <c r="F400" s="15"/>
      <c r="G400" s="15"/>
      <c r="H400" s="15"/>
      <c r="I400" s="15"/>
      <c r="J400" s="15"/>
      <c r="K400" s="9" t="str">
        <f ca="1">IF(COUNTIFS($A$2:A400,A400,$L$2:L400,L400)&gt;1,"DUPLICATE - CHECK","")</f>
        <v/>
      </c>
      <c r="L400" s="17"/>
      <c r="M400" s="17"/>
      <c r="N400" s="9">
        <f ca="1">IF(COUNTIF($A$2:A399,A400)&gt;0,INDEX($C$2:C399,MATCH(A400,$A$2:A399,0)),"")</f>
        <v>0</v>
      </c>
      <c r="O400" s="13"/>
      <c r="P400" s="19"/>
    </row>
    <row r="401" spans="1:16" ht="15.75" customHeight="1" x14ac:dyDescent="0.3">
      <c r="A401" s="8" t="str">
        <f ca="1">IFERROR(__xludf.DUMMYFUNCTION("IF(B401="""","""",RIGHT(regexreplace(B401&amp;"""",""[^0-9]"",""""),9))"),"")</f>
        <v/>
      </c>
      <c r="B401" s="5"/>
      <c r="C401" s="5"/>
      <c r="D401" s="5"/>
      <c r="E401" s="15"/>
      <c r="F401" s="15"/>
      <c r="G401" s="15"/>
      <c r="H401" s="15"/>
      <c r="I401" s="15"/>
      <c r="J401" s="15"/>
      <c r="K401" s="9" t="str">
        <f ca="1">IF(COUNTIFS($A$2:A401,A401,$L$2:L401,L401)&gt;1,"DUPLICATE - CHECK","")</f>
        <v/>
      </c>
      <c r="L401" s="17"/>
      <c r="M401" s="17"/>
      <c r="N401" s="9" t="str">
        <f t="array" aca="1" ref="N401" ca="1">IF(COUNTIF($A$2:A400,A)&gt;0,INDEX($C$2:C400,MATCH(A401,$A$2:A400,0)),"")</f>
        <v/>
      </c>
      <c r="O401" s="13"/>
      <c r="P401" s="19"/>
    </row>
    <row r="402" spans="1:16" ht="15.75" customHeight="1" x14ac:dyDescent="0.3">
      <c r="A402" s="8" t="str">
        <f ca="1">IFERROR(__xludf.DUMMYFUNCTION("IF(B402="""","""",RIGHT(regexreplace(B402&amp;"""",""[^0-9]"",""""),9))"),"")</f>
        <v/>
      </c>
      <c r="B402" s="5"/>
      <c r="C402" s="5"/>
      <c r="D402" s="5"/>
      <c r="E402" s="15"/>
      <c r="F402" s="15"/>
      <c r="G402" s="15"/>
      <c r="H402" s="15"/>
      <c r="I402" s="15"/>
      <c r="J402" s="15"/>
      <c r="K402" s="9" t="str">
        <f ca="1">IF(COUNTIFS($A$2:A402,A402,$L$2:L402,L402)&gt;1,"DUPLICATE - CHECK","")</f>
        <v/>
      </c>
      <c r="L402" s="17"/>
      <c r="M402" s="17"/>
      <c r="N402" s="9">
        <f ca="1">IF(COUNTIF($A$2:A401,A402)&gt;0,INDEX($C$2:C401,MATCH(A402,$A$2:A401,0)),"")</f>
        <v>0</v>
      </c>
      <c r="O402" s="13"/>
      <c r="P402" s="19"/>
    </row>
    <row r="403" spans="1:16" ht="15.75" customHeight="1" x14ac:dyDescent="0.3">
      <c r="A403" s="8" t="str">
        <f ca="1">IFERROR(__xludf.DUMMYFUNCTION("IF(B403="""","""",RIGHT(regexreplace(B403&amp;"""",""[^0-9]"",""""),9))"),"")</f>
        <v/>
      </c>
      <c r="B403" s="5"/>
      <c r="C403" s="5"/>
      <c r="D403" s="5"/>
      <c r="E403" s="15"/>
      <c r="F403" s="15"/>
      <c r="G403" s="15"/>
      <c r="H403" s="15"/>
      <c r="I403" s="15"/>
      <c r="J403" s="15"/>
      <c r="K403" s="9" t="str">
        <f ca="1">IF(COUNTIFS($A$2:A403,A403,$L$2:L403,L403)&gt;1,"DUPLICATE - CHECK","")</f>
        <v/>
      </c>
      <c r="L403" s="17"/>
      <c r="M403" s="17"/>
      <c r="N403" s="9">
        <f ca="1">IF(COUNTIF($A$2:A402,A403)&gt;0,INDEX($C$2:C402,MATCH(A403,$A$2:A402,0)),"")</f>
        <v>0</v>
      </c>
      <c r="O403" s="13"/>
      <c r="P403" s="19"/>
    </row>
    <row r="404" spans="1:16" ht="15.75" customHeight="1" x14ac:dyDescent="0.3">
      <c r="A404" s="8" t="str">
        <f ca="1">IFERROR(__xludf.DUMMYFUNCTION("IF(B404="""","""",RIGHT(regexreplace(B404&amp;"""",""[^0-9]"",""""),9))"),"")</f>
        <v/>
      </c>
      <c r="B404" s="5"/>
      <c r="C404" s="5"/>
      <c r="D404" s="5"/>
      <c r="E404" s="15"/>
      <c r="F404" s="15"/>
      <c r="G404" s="15"/>
      <c r="H404" s="15"/>
      <c r="I404" s="15"/>
      <c r="J404" s="15"/>
      <c r="K404" s="9" t="str">
        <f ca="1">IF(COUNTIFS($A$2:A404,A404,$L$2:L404,L404)&gt;1,"DUPLICATE - CHECK","")</f>
        <v/>
      </c>
      <c r="L404" s="17"/>
      <c r="M404" s="17"/>
      <c r="N404" s="9" t="str">
        <f t="array" aca="1" ref="N404" ca="1">IF(COUNTIF($A$2:A403,A)&gt;0,INDEX($C$2:C403,MATCH(A404,$A$2:A403,0)),"")</f>
        <v/>
      </c>
      <c r="O404" s="13"/>
      <c r="P404" s="19"/>
    </row>
    <row r="405" spans="1:16" ht="15.75" customHeight="1" x14ac:dyDescent="0.3">
      <c r="A405" s="8" t="str">
        <f ca="1">IFERROR(__xludf.DUMMYFUNCTION("IF(B405="""","""",RIGHT(regexreplace(B405&amp;"""",""[^0-9]"",""""),9))"),"")</f>
        <v/>
      </c>
      <c r="B405" s="5"/>
      <c r="C405" s="5"/>
      <c r="D405" s="5"/>
      <c r="E405" s="15"/>
      <c r="F405" s="15"/>
      <c r="G405" s="15"/>
      <c r="H405" s="15"/>
      <c r="I405" s="15"/>
      <c r="J405" s="15"/>
      <c r="K405" s="9" t="str">
        <f ca="1">IF(COUNTIFS($A$2:A405,A405,$L$2:L405,L405)&gt;1,"DUPLICATE - CHECK","")</f>
        <v/>
      </c>
      <c r="L405" s="17"/>
      <c r="M405" s="17"/>
      <c r="N405" s="9">
        <f ca="1">IF(COUNTIF($A$2:A404,A405)&gt;0,INDEX($C$2:C404,MATCH(A405,$A$2:A404,0)),"")</f>
        <v>0</v>
      </c>
      <c r="O405" s="13"/>
      <c r="P405" s="19"/>
    </row>
    <row r="406" spans="1:16" ht="15.75" customHeight="1" x14ac:dyDescent="0.3">
      <c r="A406" s="8" t="str">
        <f ca="1">IFERROR(__xludf.DUMMYFUNCTION("IF(B406="""","""",RIGHT(regexreplace(B406&amp;"""",""[^0-9]"",""""),9))"),"")</f>
        <v/>
      </c>
      <c r="B406" s="5"/>
      <c r="C406" s="5"/>
      <c r="D406" s="5"/>
      <c r="E406" s="15"/>
      <c r="F406" s="15"/>
      <c r="G406" s="15"/>
      <c r="H406" s="15"/>
      <c r="I406" s="15"/>
      <c r="J406" s="15"/>
      <c r="K406" s="9" t="str">
        <f ca="1">IF(COUNTIFS($A$2:A406,A406,$L$2:L406,L406)&gt;1,"DUPLICATE - CHECK","")</f>
        <v/>
      </c>
      <c r="L406" s="17"/>
      <c r="M406" s="17"/>
      <c r="N406" s="9">
        <f ca="1">IF(COUNTIF($A$2:A405,A406)&gt;0,INDEX($C$2:C405,MATCH(A406,$A$2:A405,0)),"")</f>
        <v>0</v>
      </c>
      <c r="O406" s="13"/>
      <c r="P406" s="19"/>
    </row>
    <row r="407" spans="1:16" ht="15.75" customHeight="1" x14ac:dyDescent="0.3">
      <c r="A407" s="8" t="str">
        <f ca="1">IFERROR(__xludf.DUMMYFUNCTION("IF(B407="""","""",RIGHT(regexreplace(B407&amp;"""",""[^0-9]"",""""),9))"),"")</f>
        <v/>
      </c>
      <c r="B407" s="5"/>
      <c r="C407" s="5"/>
      <c r="D407" s="5"/>
      <c r="E407" s="15"/>
      <c r="F407" s="15"/>
      <c r="G407" s="15"/>
      <c r="H407" s="15"/>
      <c r="I407" s="15"/>
      <c r="J407" s="15"/>
      <c r="K407" s="9" t="str">
        <f ca="1">IF(COUNTIFS($A$2:A407,A407,$L$2:L407,L407)&gt;1,"DUPLICATE - CHECK","")</f>
        <v/>
      </c>
      <c r="L407" s="17"/>
      <c r="M407" s="17"/>
      <c r="N407" s="9" t="str">
        <f t="array" aca="1" ref="N407" ca="1">IF(COUNTIF($A$2:A406,A)&gt;0,INDEX($C$2:C406,MATCH(A407,$A$2:A406,0)),"")</f>
        <v/>
      </c>
      <c r="O407" s="13"/>
      <c r="P407" s="19"/>
    </row>
    <row r="408" spans="1:16" ht="15.75" customHeight="1" x14ac:dyDescent="0.3">
      <c r="A408" s="8" t="str">
        <f ca="1">IFERROR(__xludf.DUMMYFUNCTION("IF(B408="""","""",RIGHT(regexreplace(B408&amp;"""",""[^0-9]"",""""),9))"),"")</f>
        <v/>
      </c>
      <c r="B408" s="5"/>
      <c r="C408" s="5"/>
      <c r="D408" s="5"/>
      <c r="E408" s="15"/>
      <c r="F408" s="15"/>
      <c r="G408" s="15"/>
      <c r="H408" s="15"/>
      <c r="I408" s="15"/>
      <c r="J408" s="15"/>
      <c r="K408" s="9" t="str">
        <f ca="1">IF(COUNTIFS($A$2:A408,A408,$L$2:L408,L408)&gt;1,"DUPLICATE - CHECK","")</f>
        <v/>
      </c>
      <c r="L408" s="17"/>
      <c r="M408" s="17"/>
      <c r="N408" s="9">
        <f ca="1">IF(COUNTIF($A$2:A407,A408)&gt;0,INDEX($C$2:C407,MATCH(A408,$A$2:A407,0)),"")</f>
        <v>0</v>
      </c>
      <c r="O408" s="13"/>
      <c r="P408" s="19"/>
    </row>
    <row r="409" spans="1:16" ht="15.75" customHeight="1" x14ac:dyDescent="0.3">
      <c r="A409" s="8" t="str">
        <f ca="1">IFERROR(__xludf.DUMMYFUNCTION("IF(B409="""","""",RIGHT(regexreplace(B409&amp;"""",""[^0-9]"",""""),9))"),"")</f>
        <v/>
      </c>
      <c r="B409" s="5"/>
      <c r="C409" s="5"/>
      <c r="D409" s="5"/>
      <c r="E409" s="15"/>
      <c r="F409" s="15"/>
      <c r="G409" s="15"/>
      <c r="H409" s="15"/>
      <c r="I409" s="15"/>
      <c r="J409" s="15"/>
      <c r="K409" s="9" t="str">
        <f ca="1">IF(COUNTIFS($A$2:A409,A409,$L$2:L409,L409)&gt;1,"DUPLICATE - CHECK","")</f>
        <v/>
      </c>
      <c r="L409" s="17"/>
      <c r="M409" s="17"/>
      <c r="N409" s="9">
        <f ca="1">IF(COUNTIF($A$2:A408,A409)&gt;0,INDEX($C$2:C408,MATCH(A409,$A$2:A408,0)),"")</f>
        <v>0</v>
      </c>
      <c r="O409" s="13"/>
      <c r="P409" s="19"/>
    </row>
    <row r="410" spans="1:16" ht="15.75" customHeight="1" x14ac:dyDescent="0.3">
      <c r="A410" s="8" t="str">
        <f ca="1">IFERROR(__xludf.DUMMYFUNCTION("IF(B410="""","""",RIGHT(regexreplace(B410&amp;"""",""[^0-9]"",""""),9))"),"")</f>
        <v/>
      </c>
      <c r="B410" s="5"/>
      <c r="C410" s="5"/>
      <c r="D410" s="5"/>
      <c r="E410" s="15"/>
      <c r="F410" s="15"/>
      <c r="G410" s="15"/>
      <c r="H410" s="15"/>
      <c r="I410" s="15"/>
      <c r="J410" s="15"/>
      <c r="K410" s="9" t="str">
        <f ca="1">IF(COUNTIFS($A$2:A410,A410,$L$2:L410,L410)&gt;1,"DUPLICATE - CHECK","")</f>
        <v/>
      </c>
      <c r="L410" s="17"/>
      <c r="M410" s="17"/>
      <c r="N410" s="9" t="str">
        <f t="array" aca="1" ref="N410" ca="1">IF(COUNTIF($A$2:A409,A)&gt;0,INDEX($C$2:C409,MATCH(A410,$A$2:A409,0)),"")</f>
        <v/>
      </c>
      <c r="O410" s="13"/>
      <c r="P410" s="19"/>
    </row>
    <row r="411" spans="1:16" ht="15.75" customHeight="1" x14ac:dyDescent="0.3">
      <c r="A411" s="8" t="str">
        <f ca="1">IFERROR(__xludf.DUMMYFUNCTION("IF(B411="""","""",RIGHT(regexreplace(B411&amp;"""",""[^0-9]"",""""),9))"),"")</f>
        <v/>
      </c>
      <c r="B411" s="5"/>
      <c r="C411" s="5"/>
      <c r="D411" s="5"/>
      <c r="E411" s="15"/>
      <c r="F411" s="15"/>
      <c r="G411" s="15"/>
      <c r="H411" s="15"/>
      <c r="I411" s="15"/>
      <c r="J411" s="15"/>
      <c r="K411" s="9" t="str">
        <f ca="1">IF(COUNTIFS($A$2:A411,A411,$L$2:L411,L411)&gt;1,"DUPLICATE - CHECK","")</f>
        <v/>
      </c>
      <c r="L411" s="17"/>
      <c r="M411" s="17"/>
      <c r="N411" s="9">
        <f ca="1">IF(COUNTIF($A$2:A410,A411)&gt;0,INDEX($C$2:C410,MATCH(A411,$A$2:A410,0)),"")</f>
        <v>0</v>
      </c>
      <c r="O411" s="13"/>
      <c r="P411" s="19"/>
    </row>
    <row r="412" spans="1:16" ht="15.75" customHeight="1" x14ac:dyDescent="0.3">
      <c r="A412" s="8" t="str">
        <f ca="1">IFERROR(__xludf.DUMMYFUNCTION("IF(B412="""","""",RIGHT(regexreplace(B412&amp;"""",""[^0-9]"",""""),9))"),"")</f>
        <v/>
      </c>
      <c r="B412" s="5"/>
      <c r="C412" s="5"/>
      <c r="D412" s="5"/>
      <c r="E412" s="15"/>
      <c r="F412" s="15"/>
      <c r="G412" s="15"/>
      <c r="H412" s="15"/>
      <c r="I412" s="15"/>
      <c r="J412" s="15"/>
      <c r="K412" s="9" t="str">
        <f ca="1">IF(COUNTIFS($A$2:A412,A412,$L$2:L412,L412)&gt;1,"DUPLICATE - CHECK","")</f>
        <v/>
      </c>
      <c r="L412" s="17"/>
      <c r="M412" s="17"/>
      <c r="N412" s="9">
        <f ca="1">IF(COUNTIF($A$2:A411,A412)&gt;0,INDEX($C$2:C411,MATCH(A412,$A$2:A411,0)),"")</f>
        <v>0</v>
      </c>
      <c r="O412" s="13"/>
      <c r="P412" s="19"/>
    </row>
    <row r="413" spans="1:16" ht="15.75" customHeight="1" x14ac:dyDescent="0.3">
      <c r="A413" s="8" t="str">
        <f ca="1">IFERROR(__xludf.DUMMYFUNCTION("IF(B413="""","""",RIGHT(regexreplace(B413&amp;"""",""[^0-9]"",""""),9))"),"")</f>
        <v/>
      </c>
      <c r="B413" s="5"/>
      <c r="C413" s="5"/>
      <c r="D413" s="5"/>
      <c r="E413" s="15"/>
      <c r="F413" s="15"/>
      <c r="G413" s="15"/>
      <c r="H413" s="15"/>
      <c r="I413" s="15"/>
      <c r="J413" s="15"/>
      <c r="K413" s="9" t="str">
        <f ca="1">IF(COUNTIFS($A$2:A413,A413,$L$2:L413,L413)&gt;1,"DUPLICATE - CHECK","")</f>
        <v/>
      </c>
      <c r="L413" s="17"/>
      <c r="M413" s="17"/>
      <c r="N413" s="9" t="str">
        <f t="array" aca="1" ref="N413" ca="1">IF(COUNTIF($A$2:A412,A)&gt;0,INDEX($C$2:C412,MATCH(A413,$A$2:A412,0)),"")</f>
        <v/>
      </c>
      <c r="O413" s="13"/>
      <c r="P413" s="19"/>
    </row>
    <row r="414" spans="1:16" ht="15.75" customHeight="1" x14ac:dyDescent="0.3">
      <c r="A414" s="8" t="str">
        <f ca="1">IFERROR(__xludf.DUMMYFUNCTION("IF(B414="""","""",RIGHT(regexreplace(B414&amp;"""",""[^0-9]"",""""),9))"),"")</f>
        <v/>
      </c>
      <c r="B414" s="5"/>
      <c r="C414" s="5"/>
      <c r="D414" s="5"/>
      <c r="E414" s="15"/>
      <c r="F414" s="15"/>
      <c r="G414" s="15"/>
      <c r="H414" s="15"/>
      <c r="I414" s="15"/>
      <c r="J414" s="15"/>
      <c r="K414" s="9" t="str">
        <f ca="1">IF(COUNTIFS($A$2:A414,A414,$L$2:L414,L414)&gt;1,"DUPLICATE - CHECK","")</f>
        <v/>
      </c>
      <c r="L414" s="17"/>
      <c r="M414" s="17"/>
      <c r="N414" s="9">
        <f ca="1">IF(COUNTIF($A$2:A413,A414)&gt;0,INDEX($C$2:C413,MATCH(A414,$A$2:A413,0)),"")</f>
        <v>0</v>
      </c>
      <c r="O414" s="13"/>
      <c r="P414" s="19"/>
    </row>
    <row r="415" spans="1:16" ht="15.75" customHeight="1" x14ac:dyDescent="0.3">
      <c r="A415" s="8" t="str">
        <f ca="1">IFERROR(__xludf.DUMMYFUNCTION("IF(B415="""","""",RIGHT(regexreplace(B415&amp;"""",""[^0-9]"",""""),9))"),"")</f>
        <v/>
      </c>
      <c r="B415" s="5"/>
      <c r="C415" s="5"/>
      <c r="D415" s="5"/>
      <c r="E415" s="15"/>
      <c r="F415" s="15"/>
      <c r="G415" s="15"/>
      <c r="H415" s="15"/>
      <c r="I415" s="15"/>
      <c r="J415" s="15"/>
      <c r="K415" s="9" t="str">
        <f ca="1">IF(COUNTIFS($A$2:A415,A415,$L$2:L415,L415)&gt;1,"DUPLICATE - CHECK","")</f>
        <v/>
      </c>
      <c r="L415" s="17"/>
      <c r="M415" s="17"/>
      <c r="N415" s="9">
        <f ca="1">IF(COUNTIF($A$2:A414,A415)&gt;0,INDEX($C$2:C414,MATCH(A415,$A$2:A414,0)),"")</f>
        <v>0</v>
      </c>
      <c r="O415" s="13"/>
      <c r="P415" s="19"/>
    </row>
    <row r="416" spans="1:16" ht="15.75" customHeight="1" x14ac:dyDescent="0.3">
      <c r="A416" s="8" t="str">
        <f ca="1">IFERROR(__xludf.DUMMYFUNCTION("IF(B416="""","""",RIGHT(regexreplace(B416&amp;"""",""[^0-9]"",""""),9))"),"")</f>
        <v/>
      </c>
      <c r="B416" s="5"/>
      <c r="C416" s="5"/>
      <c r="D416" s="5"/>
      <c r="E416" s="15"/>
      <c r="F416" s="15"/>
      <c r="G416" s="15"/>
      <c r="H416" s="15"/>
      <c r="I416" s="15"/>
      <c r="J416" s="15"/>
      <c r="K416" s="9" t="str">
        <f ca="1">IF(COUNTIFS($A$2:A416,A416,$L$2:L416,L416)&gt;1,"DUPLICATE - CHECK","")</f>
        <v/>
      </c>
      <c r="L416" s="17"/>
      <c r="M416" s="17"/>
      <c r="N416" s="9" t="str">
        <f t="array" aca="1" ref="N416" ca="1">IF(COUNTIF($A$2:A415,A)&gt;0,INDEX($C$2:C415,MATCH(A416,$A$2:A415,0)),"")</f>
        <v/>
      </c>
      <c r="O416" s="13"/>
      <c r="P416" s="19"/>
    </row>
    <row r="417" spans="1:16" ht="15.75" customHeight="1" x14ac:dyDescent="0.3">
      <c r="A417" s="8" t="str">
        <f ca="1">IFERROR(__xludf.DUMMYFUNCTION("IF(B417="""","""",RIGHT(regexreplace(B417&amp;"""",""[^0-9]"",""""),9))"),"")</f>
        <v/>
      </c>
      <c r="B417" s="5"/>
      <c r="C417" s="5"/>
      <c r="D417" s="5"/>
      <c r="E417" s="15"/>
      <c r="F417" s="15"/>
      <c r="G417" s="15"/>
      <c r="H417" s="15"/>
      <c r="I417" s="15"/>
      <c r="J417" s="15"/>
      <c r="K417" s="9" t="str">
        <f ca="1">IF(COUNTIFS($A$2:A417,A417,$L$2:L417,L417)&gt;1,"DUPLICATE - CHECK","")</f>
        <v/>
      </c>
      <c r="L417" s="17"/>
      <c r="M417" s="17"/>
      <c r="N417" s="9">
        <f ca="1">IF(COUNTIF($A$2:A416,A417)&gt;0,INDEX($C$2:C416,MATCH(A417,$A$2:A416,0)),"")</f>
        <v>0</v>
      </c>
      <c r="O417" s="13"/>
      <c r="P417" s="19"/>
    </row>
    <row r="418" spans="1:16" ht="15.75" customHeight="1" x14ac:dyDescent="0.3">
      <c r="A418" s="8" t="str">
        <f ca="1">IFERROR(__xludf.DUMMYFUNCTION("IF(B418="""","""",RIGHT(regexreplace(B418&amp;"""",""[^0-9]"",""""),9))"),"")</f>
        <v/>
      </c>
      <c r="B418" s="5"/>
      <c r="C418" s="5"/>
      <c r="D418" s="5"/>
      <c r="E418" s="15"/>
      <c r="F418" s="15"/>
      <c r="G418" s="15"/>
      <c r="H418" s="15"/>
      <c r="I418" s="15"/>
      <c r="J418" s="15"/>
      <c r="K418" s="9" t="str">
        <f ca="1">IF(COUNTIFS($A$2:A418,A418,$L$2:L418,L418)&gt;1,"DUPLICATE - CHECK","")</f>
        <v/>
      </c>
      <c r="L418" s="17"/>
      <c r="M418" s="17"/>
      <c r="N418" s="9">
        <f ca="1">IF(COUNTIF($A$2:A417,A418)&gt;0,INDEX($C$2:C417,MATCH(A418,$A$2:A417,0)),"")</f>
        <v>0</v>
      </c>
      <c r="O418" s="13"/>
      <c r="P418" s="19"/>
    </row>
    <row r="419" spans="1:16" ht="15.75" customHeight="1" x14ac:dyDescent="0.3">
      <c r="A419" s="8" t="str">
        <f ca="1">IFERROR(__xludf.DUMMYFUNCTION("IF(B419="""","""",RIGHT(regexreplace(B419&amp;"""",""[^0-9]"",""""),9))"),"")</f>
        <v/>
      </c>
      <c r="B419" s="5"/>
      <c r="C419" s="5"/>
      <c r="D419" s="5"/>
      <c r="E419" s="15"/>
      <c r="F419" s="15"/>
      <c r="G419" s="15"/>
      <c r="H419" s="15"/>
      <c r="I419" s="15"/>
      <c r="J419" s="15"/>
      <c r="K419" s="9" t="str">
        <f ca="1">IF(COUNTIFS($A$2:A419,A419,$L$2:L419,L419)&gt;1,"DUPLICATE - CHECK","")</f>
        <v/>
      </c>
      <c r="L419" s="17"/>
      <c r="M419" s="17"/>
      <c r="N419" s="9" t="str">
        <f t="array" aca="1" ref="N419" ca="1">IF(COUNTIF($A$2:A418,A)&gt;0,INDEX($C$2:C418,MATCH(A419,$A$2:A418,0)),"")</f>
        <v/>
      </c>
      <c r="O419" s="13"/>
      <c r="P419" s="19"/>
    </row>
    <row r="420" spans="1:16" ht="15.75" customHeight="1" x14ac:dyDescent="0.3">
      <c r="A420" s="8" t="str">
        <f ca="1">IFERROR(__xludf.DUMMYFUNCTION("IF(B420="""","""",RIGHT(regexreplace(B420&amp;"""",""[^0-9]"",""""),9))"),"")</f>
        <v/>
      </c>
      <c r="B420" s="5"/>
      <c r="C420" s="5"/>
      <c r="D420" s="5"/>
      <c r="E420" s="15"/>
      <c r="F420" s="15"/>
      <c r="G420" s="15"/>
      <c r="H420" s="15"/>
      <c r="I420" s="15"/>
      <c r="J420" s="15"/>
      <c r="K420" s="9" t="str">
        <f ca="1">IF(COUNTIFS($A$2:A420,A420,$L$2:L420,L420)&gt;1,"DUPLICATE - CHECK","")</f>
        <v/>
      </c>
      <c r="L420" s="17"/>
      <c r="M420" s="17"/>
      <c r="N420" s="9">
        <f ca="1">IF(COUNTIF($A$2:A419,A420)&gt;0,INDEX($C$2:C419,MATCH(A420,$A$2:A419,0)),"")</f>
        <v>0</v>
      </c>
      <c r="O420" s="13"/>
      <c r="P420" s="19"/>
    </row>
    <row r="421" spans="1:16" ht="15.75" customHeight="1" x14ac:dyDescent="0.3">
      <c r="A421" s="8" t="str">
        <f ca="1">IFERROR(__xludf.DUMMYFUNCTION("IF(B421="""","""",RIGHT(regexreplace(B421&amp;"""",""[^0-9]"",""""),9))"),"")</f>
        <v/>
      </c>
      <c r="B421" s="5"/>
      <c r="C421" s="5"/>
      <c r="D421" s="5"/>
      <c r="E421" s="15"/>
      <c r="F421" s="15"/>
      <c r="G421" s="15"/>
      <c r="H421" s="15"/>
      <c r="I421" s="15"/>
      <c r="J421" s="15"/>
      <c r="K421" s="9" t="str">
        <f ca="1">IF(COUNTIFS($A$2:A421,A421,$L$2:L421,L421)&gt;1,"DUPLICATE - CHECK","")</f>
        <v/>
      </c>
      <c r="L421" s="17"/>
      <c r="M421" s="17"/>
      <c r="N421" s="9">
        <f ca="1">IF(COUNTIF($A$2:A420,A421)&gt;0,INDEX($C$2:C420,MATCH(A421,$A$2:A420,0)),"")</f>
        <v>0</v>
      </c>
      <c r="O421" s="13"/>
      <c r="P421" s="19"/>
    </row>
    <row r="422" spans="1:16" ht="15.75" customHeight="1" x14ac:dyDescent="0.3">
      <c r="A422" s="8" t="str">
        <f ca="1">IFERROR(__xludf.DUMMYFUNCTION("IF(B422="""","""",RIGHT(regexreplace(B422&amp;"""",""[^0-9]"",""""),9))"),"")</f>
        <v/>
      </c>
      <c r="B422" s="5"/>
      <c r="C422" s="5"/>
      <c r="D422" s="5"/>
      <c r="E422" s="15"/>
      <c r="F422" s="15"/>
      <c r="G422" s="15"/>
      <c r="H422" s="15"/>
      <c r="I422" s="15"/>
      <c r="J422" s="15"/>
      <c r="K422" s="9" t="str">
        <f ca="1">IF(COUNTIFS($A$2:A422,A422,$L$2:L422,L422)&gt;1,"DUPLICATE - CHECK","")</f>
        <v/>
      </c>
      <c r="L422" s="17"/>
      <c r="M422" s="17"/>
      <c r="N422" s="9" t="str">
        <f t="array" aca="1" ref="N422" ca="1">IF(COUNTIF($A$2:A421,A)&gt;0,INDEX($C$2:C421,MATCH(A422,$A$2:A421,0)),"")</f>
        <v/>
      </c>
      <c r="O422" s="13"/>
      <c r="P422" s="19"/>
    </row>
    <row r="423" spans="1:16" ht="15.75" customHeight="1" x14ac:dyDescent="0.3">
      <c r="A423" s="8" t="str">
        <f ca="1">IFERROR(__xludf.DUMMYFUNCTION("IF(B423="""","""",RIGHT(regexreplace(B423&amp;"""",""[^0-9]"",""""),9))"),"")</f>
        <v/>
      </c>
      <c r="B423" s="5"/>
      <c r="C423" s="5"/>
      <c r="D423" s="5"/>
      <c r="E423" s="15"/>
      <c r="F423" s="15"/>
      <c r="G423" s="15"/>
      <c r="H423" s="15"/>
      <c r="I423" s="15"/>
      <c r="J423" s="15"/>
      <c r="K423" s="9" t="str">
        <f ca="1">IF(COUNTIFS($A$2:A423,A423,$L$2:L423,L423)&gt;1,"DUPLICATE - CHECK","")</f>
        <v/>
      </c>
      <c r="L423" s="17"/>
      <c r="M423" s="17"/>
      <c r="N423" s="9">
        <f ca="1">IF(COUNTIF($A$2:A422,A423)&gt;0,INDEX($C$2:C422,MATCH(A423,$A$2:A422,0)),"")</f>
        <v>0</v>
      </c>
      <c r="O423" s="13"/>
      <c r="P423" s="19"/>
    </row>
    <row r="424" spans="1:16" ht="15.75" customHeight="1" x14ac:dyDescent="0.3">
      <c r="A424" s="8" t="str">
        <f ca="1">IFERROR(__xludf.DUMMYFUNCTION("IF(B424="""","""",RIGHT(regexreplace(B424&amp;"""",""[^0-9]"",""""),9))"),"")</f>
        <v/>
      </c>
      <c r="B424" s="5"/>
      <c r="C424" s="5"/>
      <c r="D424" s="5"/>
      <c r="E424" s="15"/>
      <c r="F424" s="15"/>
      <c r="G424" s="15"/>
      <c r="H424" s="15"/>
      <c r="I424" s="15"/>
      <c r="J424" s="15"/>
      <c r="K424" s="9" t="str">
        <f ca="1">IF(COUNTIFS($A$2:A424,A424,$L$2:L424,L424)&gt;1,"DUPLICATE - CHECK","")</f>
        <v/>
      </c>
      <c r="L424" s="17"/>
      <c r="M424" s="17"/>
      <c r="N424" s="9">
        <f ca="1">IF(COUNTIF($A$2:A423,A424)&gt;0,INDEX($C$2:C423,MATCH(A424,$A$2:A423,0)),"")</f>
        <v>0</v>
      </c>
      <c r="O424" s="13"/>
      <c r="P424" s="19"/>
    </row>
    <row r="425" spans="1:16" ht="15.75" customHeight="1" x14ac:dyDescent="0.3">
      <c r="A425" s="8" t="str">
        <f ca="1">IFERROR(__xludf.DUMMYFUNCTION("IF(B425="""","""",RIGHT(regexreplace(B425&amp;"""",""[^0-9]"",""""),9))"),"")</f>
        <v/>
      </c>
      <c r="B425" s="5"/>
      <c r="C425" s="5"/>
      <c r="D425" s="5"/>
      <c r="E425" s="15"/>
      <c r="F425" s="15"/>
      <c r="G425" s="15"/>
      <c r="H425" s="15"/>
      <c r="I425" s="15"/>
      <c r="J425" s="15"/>
      <c r="K425" s="9" t="str">
        <f ca="1">IF(COUNTIFS($A$2:A425,A425,$L$2:L425,L425)&gt;1,"DUPLICATE - CHECK","")</f>
        <v/>
      </c>
      <c r="L425" s="17"/>
      <c r="M425" s="17"/>
      <c r="N425" s="9" t="str">
        <f t="array" aca="1" ref="N425" ca="1">IF(COUNTIF($A$2:A424,A)&gt;0,INDEX($C$2:C424,MATCH(A425,$A$2:A424,0)),"")</f>
        <v/>
      </c>
      <c r="O425" s="13"/>
      <c r="P425" s="19"/>
    </row>
    <row r="426" spans="1:16" ht="15.75" customHeight="1" x14ac:dyDescent="0.3">
      <c r="A426" s="8" t="str">
        <f ca="1">IFERROR(__xludf.DUMMYFUNCTION("IF(B426="""","""",RIGHT(regexreplace(B426&amp;"""",""[^0-9]"",""""),9))"),"")</f>
        <v/>
      </c>
      <c r="B426" s="5"/>
      <c r="C426" s="5"/>
      <c r="D426" s="5"/>
      <c r="E426" s="15"/>
      <c r="F426" s="15"/>
      <c r="G426" s="15"/>
      <c r="H426" s="15"/>
      <c r="I426" s="15"/>
      <c r="J426" s="15"/>
      <c r="K426" s="9" t="str">
        <f ca="1">IF(COUNTIFS($A$2:A426,A426,$L$2:L426,L426)&gt;1,"DUPLICATE - CHECK","")</f>
        <v/>
      </c>
      <c r="L426" s="17"/>
      <c r="M426" s="17"/>
      <c r="N426" s="9">
        <f ca="1">IF(COUNTIF($A$2:A425,A426)&gt;0,INDEX($C$2:C425,MATCH(A426,$A$2:A425,0)),"")</f>
        <v>0</v>
      </c>
      <c r="O426" s="13"/>
      <c r="P426" s="19"/>
    </row>
    <row r="427" spans="1:16" ht="15.75" customHeight="1" x14ac:dyDescent="0.3">
      <c r="A427" s="8" t="str">
        <f ca="1">IFERROR(__xludf.DUMMYFUNCTION("IF(B427="""","""",RIGHT(regexreplace(B427&amp;"""",""[^0-9]"",""""),9))"),"")</f>
        <v/>
      </c>
      <c r="B427" s="5"/>
      <c r="C427" s="5"/>
      <c r="D427" s="5"/>
      <c r="E427" s="15"/>
      <c r="F427" s="15"/>
      <c r="G427" s="15"/>
      <c r="H427" s="15"/>
      <c r="I427" s="15"/>
      <c r="J427" s="15"/>
      <c r="K427" s="9" t="str">
        <f ca="1">IF(COUNTIFS($A$2:A427,A427,$L$2:L427,L427)&gt;1,"DUPLICATE - CHECK","")</f>
        <v/>
      </c>
      <c r="L427" s="17"/>
      <c r="M427" s="17"/>
      <c r="N427" s="9">
        <f ca="1">IF(COUNTIF($A$2:A426,A427)&gt;0,INDEX($C$2:C426,MATCH(A427,$A$2:A426,0)),"")</f>
        <v>0</v>
      </c>
      <c r="O427" s="13"/>
      <c r="P427" s="19"/>
    </row>
    <row r="428" spans="1:16" ht="15.75" customHeight="1" x14ac:dyDescent="0.3">
      <c r="A428" s="8" t="str">
        <f ca="1">IFERROR(__xludf.DUMMYFUNCTION("IF(B428="""","""",RIGHT(regexreplace(B428&amp;"""",""[^0-9]"",""""),9))"),"")</f>
        <v/>
      </c>
      <c r="B428" s="5"/>
      <c r="C428" s="5"/>
      <c r="D428" s="5"/>
      <c r="E428" s="15"/>
      <c r="F428" s="15"/>
      <c r="G428" s="15"/>
      <c r="H428" s="15"/>
      <c r="I428" s="15"/>
      <c r="J428" s="15"/>
      <c r="K428" s="9" t="str">
        <f ca="1">IF(COUNTIFS($A$2:A428,A428,$L$2:L428,L428)&gt;1,"DUPLICATE - CHECK","")</f>
        <v/>
      </c>
      <c r="L428" s="17"/>
      <c r="M428" s="17"/>
      <c r="N428" s="9" t="str">
        <f t="array" aca="1" ref="N428" ca="1">IF(COUNTIF($A$2:A427,A)&gt;0,INDEX($C$2:C427,MATCH(A428,$A$2:A427,0)),"")</f>
        <v/>
      </c>
      <c r="O428" s="13"/>
      <c r="P428" s="19"/>
    </row>
    <row r="429" spans="1:16" ht="15.75" customHeight="1" x14ac:dyDescent="0.3">
      <c r="A429" s="8" t="str">
        <f ca="1">IFERROR(__xludf.DUMMYFUNCTION("IF(B429="""","""",RIGHT(regexreplace(B429&amp;"""",""[^0-9]"",""""),9))"),"")</f>
        <v/>
      </c>
      <c r="B429" s="5"/>
      <c r="C429" s="5"/>
      <c r="D429" s="5"/>
      <c r="E429" s="15"/>
      <c r="F429" s="15"/>
      <c r="G429" s="15"/>
      <c r="H429" s="15"/>
      <c r="I429" s="15"/>
      <c r="J429" s="15"/>
      <c r="K429" s="9" t="str">
        <f ca="1">IF(COUNTIFS($A$2:A429,A429,$L$2:L429,L429)&gt;1,"DUPLICATE - CHECK","")</f>
        <v/>
      </c>
      <c r="L429" s="17"/>
      <c r="M429" s="17"/>
      <c r="N429" s="9">
        <f ca="1">IF(COUNTIF($A$2:A428,A429)&gt;0,INDEX($C$2:C428,MATCH(A429,$A$2:A428,0)),"")</f>
        <v>0</v>
      </c>
      <c r="O429" s="13"/>
      <c r="P429" s="19"/>
    </row>
    <row r="430" spans="1:16" ht="15.75" customHeight="1" x14ac:dyDescent="0.3">
      <c r="A430" s="8" t="str">
        <f ca="1">IFERROR(__xludf.DUMMYFUNCTION("IF(B430="""","""",RIGHT(regexreplace(B430&amp;"""",""[^0-9]"",""""),9))"),"")</f>
        <v/>
      </c>
      <c r="B430" s="5"/>
      <c r="C430" s="5"/>
      <c r="D430" s="5"/>
      <c r="E430" s="15"/>
      <c r="F430" s="15"/>
      <c r="G430" s="15"/>
      <c r="H430" s="15"/>
      <c r="I430" s="15"/>
      <c r="J430" s="15"/>
      <c r="K430" s="9" t="str">
        <f ca="1">IF(COUNTIFS($A$2:A430,A430,$L$2:L430,L430)&gt;1,"DUPLICATE - CHECK","")</f>
        <v/>
      </c>
      <c r="L430" s="17"/>
      <c r="M430" s="17"/>
      <c r="N430" s="9">
        <f ca="1">IF(COUNTIF($A$2:A429,A430)&gt;0,INDEX($C$2:C429,MATCH(A430,$A$2:A429,0)),"")</f>
        <v>0</v>
      </c>
      <c r="O430" s="13"/>
      <c r="P430" s="19"/>
    </row>
    <row r="431" spans="1:16" ht="15.75" customHeight="1" x14ac:dyDescent="0.3">
      <c r="A431" s="8" t="str">
        <f ca="1">IFERROR(__xludf.DUMMYFUNCTION("IF(B431="""","""",RIGHT(regexreplace(B431&amp;"""",""[^0-9]"",""""),9))"),"")</f>
        <v/>
      </c>
      <c r="B431" s="5"/>
      <c r="C431" s="5"/>
      <c r="D431" s="5"/>
      <c r="E431" s="15"/>
      <c r="F431" s="15"/>
      <c r="G431" s="15"/>
      <c r="H431" s="15"/>
      <c r="I431" s="15"/>
      <c r="J431" s="15"/>
      <c r="K431" s="9" t="str">
        <f ca="1">IF(COUNTIFS($A$2:A431,A431,$L$2:L431,L431)&gt;1,"DUPLICATE - CHECK","")</f>
        <v/>
      </c>
      <c r="L431" s="17"/>
      <c r="M431" s="17"/>
      <c r="N431" s="9" t="str">
        <f t="array" aca="1" ref="N431" ca="1">IF(COUNTIF($A$2:A430,A)&gt;0,INDEX($C$2:C430,MATCH(A431,$A$2:A430,0)),"")</f>
        <v/>
      </c>
      <c r="O431" s="13"/>
      <c r="P431" s="19"/>
    </row>
    <row r="432" spans="1:16" ht="15.75" customHeight="1" x14ac:dyDescent="0.3">
      <c r="A432" s="8" t="str">
        <f ca="1">IFERROR(__xludf.DUMMYFUNCTION("IF(B432="""","""",RIGHT(regexreplace(B432&amp;"""",""[^0-9]"",""""),9))"),"")</f>
        <v/>
      </c>
      <c r="B432" s="5"/>
      <c r="C432" s="5"/>
      <c r="D432" s="5"/>
      <c r="E432" s="15"/>
      <c r="F432" s="15"/>
      <c r="G432" s="15"/>
      <c r="H432" s="15"/>
      <c r="I432" s="15"/>
      <c r="J432" s="15"/>
      <c r="K432" s="9" t="str">
        <f ca="1">IF(COUNTIFS($A$2:A432,A432,$L$2:L432,L432)&gt;1,"DUPLICATE - CHECK","")</f>
        <v/>
      </c>
      <c r="L432" s="17"/>
      <c r="M432" s="17"/>
      <c r="N432" s="9">
        <f ca="1">IF(COUNTIF($A$2:A431,A432)&gt;0,INDEX($C$2:C431,MATCH(A432,$A$2:A431,0)),"")</f>
        <v>0</v>
      </c>
      <c r="O432" s="13"/>
      <c r="P432" s="19"/>
    </row>
    <row r="433" spans="1:16" ht="15.75" customHeight="1" x14ac:dyDescent="0.3">
      <c r="A433" s="8" t="str">
        <f ca="1">IFERROR(__xludf.DUMMYFUNCTION("IF(B433="""","""",RIGHT(regexreplace(B433&amp;"""",""[^0-9]"",""""),9))"),"")</f>
        <v/>
      </c>
      <c r="B433" s="5"/>
      <c r="C433" s="5"/>
      <c r="D433" s="5"/>
      <c r="E433" s="15"/>
      <c r="F433" s="15"/>
      <c r="G433" s="15"/>
      <c r="H433" s="15"/>
      <c r="I433" s="15"/>
      <c r="J433" s="15"/>
      <c r="K433" s="9" t="str">
        <f ca="1">IF(COUNTIFS($A$2:A433,A433,$L$2:L433,L433)&gt;1,"DUPLICATE - CHECK","")</f>
        <v/>
      </c>
      <c r="L433" s="17"/>
      <c r="M433" s="17"/>
      <c r="N433" s="9">
        <f ca="1">IF(COUNTIF($A$2:A432,A433)&gt;0,INDEX($C$2:C432,MATCH(A433,$A$2:A432,0)),"")</f>
        <v>0</v>
      </c>
      <c r="O433" s="13"/>
      <c r="P433" s="19"/>
    </row>
    <row r="434" spans="1:16" ht="15.75" customHeight="1" x14ac:dyDescent="0.3">
      <c r="A434" s="8" t="str">
        <f ca="1">IFERROR(__xludf.DUMMYFUNCTION("IF(B434="""","""",RIGHT(regexreplace(B434&amp;"""",""[^0-9]"",""""),9))"),"")</f>
        <v/>
      </c>
      <c r="B434" s="5"/>
      <c r="C434" s="5"/>
      <c r="D434" s="5"/>
      <c r="E434" s="15"/>
      <c r="F434" s="15"/>
      <c r="G434" s="15"/>
      <c r="H434" s="15"/>
      <c r="I434" s="15"/>
      <c r="J434" s="15"/>
      <c r="K434" s="9" t="str">
        <f ca="1">IF(COUNTIFS($A$2:A434,A434,$L$2:L434,L434)&gt;1,"DUPLICATE - CHECK","")</f>
        <v/>
      </c>
      <c r="L434" s="17"/>
      <c r="M434" s="17"/>
      <c r="N434" s="9" t="str">
        <f t="array" aca="1" ref="N434" ca="1">IF(COUNTIF($A$2:A433,A)&gt;0,INDEX($C$2:C433,MATCH(A434,$A$2:A433,0)),"")</f>
        <v/>
      </c>
      <c r="O434" s="13"/>
      <c r="P434" s="19"/>
    </row>
    <row r="435" spans="1:16" ht="15.75" customHeight="1" x14ac:dyDescent="0.3">
      <c r="A435" s="8" t="str">
        <f ca="1">IFERROR(__xludf.DUMMYFUNCTION("IF(B435="""","""",RIGHT(regexreplace(B435&amp;"""",""[^0-9]"",""""),9))"),"")</f>
        <v/>
      </c>
      <c r="B435" s="5"/>
      <c r="C435" s="5"/>
      <c r="D435" s="5"/>
      <c r="E435" s="15"/>
      <c r="F435" s="15"/>
      <c r="G435" s="15"/>
      <c r="H435" s="15"/>
      <c r="I435" s="15"/>
      <c r="J435" s="15"/>
      <c r="K435" s="9" t="str">
        <f ca="1">IF(COUNTIFS($A$2:A435,A435,$L$2:L435,L435)&gt;1,"DUPLICATE - CHECK","")</f>
        <v/>
      </c>
      <c r="L435" s="17"/>
      <c r="M435" s="17"/>
      <c r="N435" s="9">
        <f ca="1">IF(COUNTIF($A$2:A434,A435)&gt;0,INDEX($C$2:C434,MATCH(A435,$A$2:A434,0)),"")</f>
        <v>0</v>
      </c>
      <c r="O435" s="13"/>
      <c r="P435" s="19"/>
    </row>
    <row r="436" spans="1:16" ht="15.75" customHeight="1" x14ac:dyDescent="0.3">
      <c r="A436" s="8" t="str">
        <f ca="1">IFERROR(__xludf.DUMMYFUNCTION("IF(B436="""","""",RIGHT(regexreplace(B436&amp;"""",""[^0-9]"",""""),9))"),"")</f>
        <v/>
      </c>
      <c r="B436" s="5"/>
      <c r="C436" s="5"/>
      <c r="D436" s="5"/>
      <c r="E436" s="15"/>
      <c r="F436" s="15"/>
      <c r="G436" s="15"/>
      <c r="H436" s="15"/>
      <c r="I436" s="15"/>
      <c r="J436" s="15"/>
      <c r="K436" s="9" t="str">
        <f ca="1">IF(COUNTIFS($A$2:A436,A436,$L$2:L436,L436)&gt;1,"DUPLICATE - CHECK","")</f>
        <v/>
      </c>
      <c r="L436" s="17"/>
      <c r="M436" s="17"/>
      <c r="N436" s="9">
        <f ca="1">IF(COUNTIF($A$2:A435,A436)&gt;0,INDEX($C$2:C435,MATCH(A436,$A$2:A435,0)),"")</f>
        <v>0</v>
      </c>
      <c r="O436" s="13"/>
      <c r="P436" s="19"/>
    </row>
    <row r="437" spans="1:16" ht="15.75" customHeight="1" x14ac:dyDescent="0.3">
      <c r="A437" s="8" t="str">
        <f ca="1">IFERROR(__xludf.DUMMYFUNCTION("IF(B437="""","""",RIGHT(regexreplace(B437&amp;"""",""[^0-9]"",""""),9))"),"")</f>
        <v/>
      </c>
      <c r="B437" s="5"/>
      <c r="C437" s="5"/>
      <c r="D437" s="5"/>
      <c r="E437" s="15"/>
      <c r="F437" s="15"/>
      <c r="G437" s="15"/>
      <c r="H437" s="15"/>
      <c r="I437" s="15"/>
      <c r="J437" s="15"/>
      <c r="K437" s="9" t="str">
        <f ca="1">IF(COUNTIFS($A$2:A437,A437,$L$2:L437,L437)&gt;1,"DUPLICATE - CHECK","")</f>
        <v/>
      </c>
      <c r="L437" s="17"/>
      <c r="M437" s="17"/>
      <c r="N437" s="9" t="str">
        <f t="array" aca="1" ref="N437" ca="1">IF(COUNTIF($A$2:A436,A)&gt;0,INDEX($C$2:C436,MATCH(A437,$A$2:A436,0)),"")</f>
        <v/>
      </c>
      <c r="O437" s="13"/>
      <c r="P437" s="19"/>
    </row>
    <row r="438" spans="1:16" ht="15.75" customHeight="1" x14ac:dyDescent="0.3">
      <c r="A438" s="8" t="str">
        <f ca="1">IFERROR(__xludf.DUMMYFUNCTION("IF(B438="""","""",RIGHT(regexreplace(B438&amp;"""",""[^0-9]"",""""),9))"),"")</f>
        <v/>
      </c>
      <c r="B438" s="5"/>
      <c r="C438" s="5"/>
      <c r="D438" s="5"/>
      <c r="E438" s="15"/>
      <c r="F438" s="15"/>
      <c r="G438" s="15"/>
      <c r="H438" s="15"/>
      <c r="I438" s="15"/>
      <c r="J438" s="15"/>
      <c r="K438" s="9" t="str">
        <f ca="1">IF(COUNTIFS($A$2:A438,A438,$L$2:L438,L438)&gt;1,"DUPLICATE - CHECK","")</f>
        <v/>
      </c>
      <c r="L438" s="17"/>
      <c r="M438" s="17"/>
      <c r="N438" s="9">
        <f ca="1">IF(COUNTIF($A$2:A437,A438)&gt;0,INDEX($C$2:C437,MATCH(A438,$A$2:A437,0)),"")</f>
        <v>0</v>
      </c>
      <c r="O438" s="13"/>
      <c r="P438" s="19"/>
    </row>
    <row r="439" spans="1:16" ht="15.75" customHeight="1" x14ac:dyDescent="0.3">
      <c r="A439" s="8" t="str">
        <f ca="1">IFERROR(__xludf.DUMMYFUNCTION("IF(B439="""","""",RIGHT(regexreplace(B439&amp;"""",""[^0-9]"",""""),9))"),"")</f>
        <v/>
      </c>
      <c r="B439" s="5"/>
      <c r="C439" s="5"/>
      <c r="D439" s="5"/>
      <c r="E439" s="15"/>
      <c r="F439" s="15"/>
      <c r="G439" s="15"/>
      <c r="H439" s="15"/>
      <c r="I439" s="15"/>
      <c r="J439" s="15"/>
      <c r="K439" s="9" t="str">
        <f ca="1">IF(COUNTIFS($A$2:A439,A439,$L$2:L439,L439)&gt;1,"DUPLICATE - CHECK","")</f>
        <v/>
      </c>
      <c r="L439" s="17"/>
      <c r="M439" s="17"/>
      <c r="N439" s="9">
        <f ca="1">IF(COUNTIF($A$2:A438,A439)&gt;0,INDEX($C$2:C438,MATCH(A439,$A$2:A438,0)),"")</f>
        <v>0</v>
      </c>
      <c r="O439" s="13"/>
      <c r="P439" s="19"/>
    </row>
    <row r="440" spans="1:16" ht="15.75" customHeight="1" x14ac:dyDescent="0.3">
      <c r="A440" s="8" t="str">
        <f ca="1">IFERROR(__xludf.DUMMYFUNCTION("IF(B440="""","""",RIGHT(regexreplace(B440&amp;"""",""[^0-9]"",""""),9))"),"")</f>
        <v/>
      </c>
      <c r="B440" s="5"/>
      <c r="C440" s="5"/>
      <c r="D440" s="5"/>
      <c r="E440" s="15"/>
      <c r="F440" s="15"/>
      <c r="G440" s="15"/>
      <c r="H440" s="15"/>
      <c r="I440" s="15"/>
      <c r="J440" s="15"/>
      <c r="K440" s="9" t="str">
        <f ca="1">IF(COUNTIFS($A$2:A440,A440,$L$2:L440,L440)&gt;1,"DUPLICATE - CHECK","")</f>
        <v/>
      </c>
      <c r="L440" s="17"/>
      <c r="M440" s="17"/>
      <c r="N440" s="9" t="str">
        <f t="array" aca="1" ref="N440" ca="1">IF(COUNTIF($A$2:A439,A)&gt;0,INDEX($C$2:C439,MATCH(A440,$A$2:A439,0)),"")</f>
        <v/>
      </c>
      <c r="O440" s="13"/>
      <c r="P440" s="19"/>
    </row>
    <row r="441" spans="1:16" ht="15.75" customHeight="1" x14ac:dyDescent="0.3">
      <c r="A441" s="8" t="str">
        <f ca="1">IFERROR(__xludf.DUMMYFUNCTION("IF(B441="""","""",RIGHT(regexreplace(B441&amp;"""",""[^0-9]"",""""),9))"),"")</f>
        <v/>
      </c>
      <c r="B441" s="5"/>
      <c r="C441" s="5"/>
      <c r="D441" s="5"/>
      <c r="E441" s="15"/>
      <c r="F441" s="15"/>
      <c r="G441" s="15"/>
      <c r="H441" s="15"/>
      <c r="I441" s="15"/>
      <c r="J441" s="15"/>
      <c r="K441" s="9" t="str">
        <f ca="1">IF(COUNTIFS($A$2:A441,A441,$L$2:L441,L441)&gt;1,"DUPLICATE - CHECK","")</f>
        <v/>
      </c>
      <c r="L441" s="17"/>
      <c r="M441" s="17"/>
      <c r="N441" s="9">
        <f ca="1">IF(COUNTIF($A$2:A440,A441)&gt;0,INDEX($C$2:C440,MATCH(A441,$A$2:A440,0)),"")</f>
        <v>0</v>
      </c>
      <c r="O441" s="13"/>
      <c r="P441" s="19"/>
    </row>
    <row r="442" spans="1:16" ht="15.75" customHeight="1" x14ac:dyDescent="0.3">
      <c r="A442" s="8" t="str">
        <f ca="1">IFERROR(__xludf.DUMMYFUNCTION("IF(B442="""","""",RIGHT(regexreplace(B442&amp;"""",""[^0-9]"",""""),9))"),"")</f>
        <v/>
      </c>
      <c r="B442" s="5"/>
      <c r="C442" s="5"/>
      <c r="D442" s="5"/>
      <c r="E442" s="15"/>
      <c r="F442" s="15"/>
      <c r="G442" s="15"/>
      <c r="H442" s="15"/>
      <c r="I442" s="15"/>
      <c r="J442" s="15"/>
      <c r="K442" s="9" t="str">
        <f ca="1">IF(COUNTIFS($A$2:A442,A442,$L$2:L442,L442)&gt;1,"DUPLICATE - CHECK","")</f>
        <v/>
      </c>
      <c r="L442" s="17"/>
      <c r="M442" s="17"/>
      <c r="N442" s="9">
        <f ca="1">IF(COUNTIF($A$2:A441,A442)&gt;0,INDEX($C$2:C441,MATCH(A442,$A$2:A441,0)),"")</f>
        <v>0</v>
      </c>
      <c r="O442" s="13"/>
      <c r="P442" s="19"/>
    </row>
    <row r="443" spans="1:16" ht="15.75" customHeight="1" x14ac:dyDescent="0.3">
      <c r="A443" s="8" t="str">
        <f ca="1">IFERROR(__xludf.DUMMYFUNCTION("IF(B443="""","""",RIGHT(regexreplace(B443&amp;"""",""[^0-9]"",""""),9))"),"")</f>
        <v/>
      </c>
      <c r="B443" s="5"/>
      <c r="C443" s="5"/>
      <c r="D443" s="5"/>
      <c r="E443" s="15"/>
      <c r="F443" s="15"/>
      <c r="G443" s="15"/>
      <c r="H443" s="15"/>
      <c r="I443" s="15"/>
      <c r="J443" s="15"/>
      <c r="K443" s="9" t="str">
        <f ca="1">IF(COUNTIFS($A$2:A443,A443,$L$2:L443,L443)&gt;1,"DUPLICATE - CHECK","")</f>
        <v/>
      </c>
      <c r="L443" s="17"/>
      <c r="M443" s="17"/>
      <c r="N443" s="9" t="str">
        <f t="array" aca="1" ref="N443" ca="1">IF(COUNTIF($A$2:A442,A)&gt;0,INDEX($C$2:C442,MATCH(A443,$A$2:A442,0)),"")</f>
        <v/>
      </c>
      <c r="O443" s="13"/>
      <c r="P443" s="19"/>
    </row>
    <row r="444" spans="1:16" ht="15.75" customHeight="1" x14ac:dyDescent="0.3">
      <c r="A444" s="8" t="str">
        <f ca="1">IFERROR(__xludf.DUMMYFUNCTION("IF(B444="""","""",RIGHT(regexreplace(B444&amp;"""",""[^0-9]"",""""),9))"),"")</f>
        <v/>
      </c>
      <c r="B444" s="5"/>
      <c r="C444" s="5"/>
      <c r="D444" s="5"/>
      <c r="E444" s="15"/>
      <c r="F444" s="15"/>
      <c r="G444" s="15"/>
      <c r="H444" s="15"/>
      <c r="I444" s="15"/>
      <c r="J444" s="15"/>
      <c r="K444" s="9" t="str">
        <f ca="1">IF(COUNTIFS($A$2:A444,A444,$L$2:L444,L444)&gt;1,"DUPLICATE - CHECK","")</f>
        <v/>
      </c>
      <c r="L444" s="17"/>
      <c r="M444" s="17"/>
      <c r="N444" s="9">
        <f ca="1">IF(COUNTIF($A$2:A443,A444)&gt;0,INDEX($C$2:C443,MATCH(A444,$A$2:A443,0)),"")</f>
        <v>0</v>
      </c>
      <c r="O444" s="13"/>
      <c r="P444" s="19"/>
    </row>
    <row r="445" spans="1:16" ht="15.75" customHeight="1" x14ac:dyDescent="0.3">
      <c r="A445" s="8" t="str">
        <f ca="1">IFERROR(__xludf.DUMMYFUNCTION("IF(B445="""","""",RIGHT(regexreplace(B445&amp;"""",""[^0-9]"",""""),9))"),"")</f>
        <v/>
      </c>
      <c r="B445" s="5"/>
      <c r="C445" s="5"/>
      <c r="D445" s="5"/>
      <c r="E445" s="15"/>
      <c r="F445" s="15"/>
      <c r="G445" s="15"/>
      <c r="H445" s="15"/>
      <c r="I445" s="15"/>
      <c r="J445" s="15"/>
      <c r="K445" s="9" t="str">
        <f ca="1">IF(COUNTIFS($A$2:A445,A445,$L$2:L445,L445)&gt;1,"DUPLICATE - CHECK","")</f>
        <v/>
      </c>
      <c r="L445" s="17"/>
      <c r="M445" s="17"/>
      <c r="N445" s="9">
        <f ca="1">IF(COUNTIF($A$2:A444,A445)&gt;0,INDEX($C$2:C444,MATCH(A445,$A$2:A444,0)),"")</f>
        <v>0</v>
      </c>
      <c r="O445" s="13"/>
      <c r="P445" s="19"/>
    </row>
    <row r="446" spans="1:16" ht="15.75" customHeight="1" x14ac:dyDescent="0.3">
      <c r="A446" s="8" t="str">
        <f ca="1">IFERROR(__xludf.DUMMYFUNCTION("IF(B446="""","""",RIGHT(regexreplace(B446&amp;"""",""[^0-9]"",""""),9))"),"")</f>
        <v/>
      </c>
      <c r="B446" s="5"/>
      <c r="C446" s="5"/>
      <c r="D446" s="5"/>
      <c r="E446" s="15"/>
      <c r="F446" s="15"/>
      <c r="G446" s="15"/>
      <c r="H446" s="15"/>
      <c r="I446" s="15"/>
      <c r="J446" s="15"/>
      <c r="K446" s="9" t="str">
        <f ca="1">IF(COUNTIFS($A$2:A446,A446,$L$2:L446,L446)&gt;1,"DUPLICATE - CHECK","")</f>
        <v/>
      </c>
      <c r="L446" s="17"/>
      <c r="M446" s="17"/>
      <c r="N446" s="9" t="str">
        <f t="array" aca="1" ref="N446" ca="1">IF(COUNTIF($A$2:A445,A)&gt;0,INDEX($C$2:C445,MATCH(A446,$A$2:A445,0)),"")</f>
        <v/>
      </c>
      <c r="O446" s="13"/>
      <c r="P446" s="19"/>
    </row>
    <row r="447" spans="1:16" ht="15.75" customHeight="1" x14ac:dyDescent="0.3">
      <c r="A447" s="8" t="str">
        <f ca="1">IFERROR(__xludf.DUMMYFUNCTION("IF(B447="""","""",RIGHT(regexreplace(B447&amp;"""",""[^0-9]"",""""),9))"),"")</f>
        <v/>
      </c>
      <c r="B447" s="5"/>
      <c r="C447" s="5"/>
      <c r="D447" s="5"/>
      <c r="E447" s="15"/>
      <c r="F447" s="15"/>
      <c r="G447" s="15"/>
      <c r="H447" s="15"/>
      <c r="I447" s="15"/>
      <c r="J447" s="15"/>
      <c r="K447" s="9" t="str">
        <f ca="1">IF(COUNTIFS($A$2:A447,A447,$L$2:L447,L447)&gt;1,"DUPLICATE - CHECK","")</f>
        <v/>
      </c>
      <c r="L447" s="17"/>
      <c r="M447" s="17"/>
      <c r="N447" s="9">
        <f ca="1">IF(COUNTIF($A$2:A446,A447)&gt;0,INDEX($C$2:C446,MATCH(A447,$A$2:A446,0)),"")</f>
        <v>0</v>
      </c>
      <c r="O447" s="13"/>
      <c r="P447" s="19"/>
    </row>
    <row r="448" spans="1:16" ht="15.75" customHeight="1" x14ac:dyDescent="0.3">
      <c r="A448" s="8" t="str">
        <f ca="1">IFERROR(__xludf.DUMMYFUNCTION("IF(B448="""","""",RIGHT(regexreplace(B448&amp;"""",""[^0-9]"",""""),9))"),"")</f>
        <v/>
      </c>
      <c r="B448" s="5"/>
      <c r="C448" s="5"/>
      <c r="D448" s="5"/>
      <c r="E448" s="15"/>
      <c r="F448" s="15"/>
      <c r="G448" s="15"/>
      <c r="H448" s="15"/>
      <c r="I448" s="15"/>
      <c r="J448" s="15"/>
      <c r="K448" s="9" t="str">
        <f ca="1">IF(COUNTIFS($A$2:A448,A448,$L$2:L448,L448)&gt;1,"DUPLICATE - CHECK","")</f>
        <v/>
      </c>
      <c r="L448" s="17"/>
      <c r="M448" s="17"/>
      <c r="N448" s="9">
        <f ca="1">IF(COUNTIF($A$2:A447,A448)&gt;0,INDEX($C$2:C447,MATCH(A448,$A$2:A447,0)),"")</f>
        <v>0</v>
      </c>
      <c r="O448" s="13"/>
      <c r="P448" s="19"/>
    </row>
    <row r="449" spans="1:16" ht="15.75" customHeight="1" x14ac:dyDescent="0.3">
      <c r="A449" s="8" t="str">
        <f ca="1">IFERROR(__xludf.DUMMYFUNCTION("IF(B449="""","""",RIGHT(regexreplace(B449&amp;"""",""[^0-9]"",""""),9))"),"")</f>
        <v/>
      </c>
      <c r="B449" s="5"/>
      <c r="C449" s="5"/>
      <c r="D449" s="5"/>
      <c r="E449" s="15"/>
      <c r="F449" s="15"/>
      <c r="G449" s="15"/>
      <c r="H449" s="15"/>
      <c r="I449" s="15"/>
      <c r="J449" s="15"/>
      <c r="K449" s="9" t="str">
        <f ca="1">IF(COUNTIFS($A$2:A449,A449,$L$2:L449,L449)&gt;1,"DUPLICATE - CHECK","")</f>
        <v/>
      </c>
      <c r="L449" s="17"/>
      <c r="M449" s="17"/>
      <c r="N449" s="9" t="str">
        <f t="array" aca="1" ref="N449" ca="1">IF(COUNTIF($A$2:A448,A)&gt;0,INDEX($C$2:C448,MATCH(A449,$A$2:A448,0)),"")</f>
        <v/>
      </c>
      <c r="O449" s="13"/>
      <c r="P449" s="19"/>
    </row>
    <row r="450" spans="1:16" ht="15.75" customHeight="1" x14ac:dyDescent="0.3">
      <c r="A450" s="8" t="str">
        <f ca="1">IFERROR(__xludf.DUMMYFUNCTION("IF(B450="""","""",RIGHT(regexreplace(B450&amp;"""",""[^0-9]"",""""),9))"),"")</f>
        <v/>
      </c>
      <c r="B450" s="5"/>
      <c r="C450" s="5"/>
      <c r="D450" s="5"/>
      <c r="E450" s="15"/>
      <c r="F450" s="15"/>
      <c r="G450" s="15"/>
      <c r="H450" s="15"/>
      <c r="I450" s="15"/>
      <c r="J450" s="15"/>
      <c r="K450" s="9" t="str">
        <f ca="1">IF(COUNTIFS($A$2:A450,A450,$L$2:L450,L450)&gt;1,"DUPLICATE - CHECK","")</f>
        <v/>
      </c>
      <c r="L450" s="17"/>
      <c r="M450" s="17"/>
      <c r="N450" s="9">
        <f ca="1">IF(COUNTIF($A$2:A449,A450)&gt;0,INDEX($C$2:C449,MATCH(A450,$A$2:A449,0)),"")</f>
        <v>0</v>
      </c>
      <c r="O450" s="13"/>
      <c r="P450" s="19"/>
    </row>
    <row r="451" spans="1:16" ht="15.75" customHeight="1" x14ac:dyDescent="0.3">
      <c r="A451" s="8" t="str">
        <f ca="1">IFERROR(__xludf.DUMMYFUNCTION("IF(B451="""","""",RIGHT(regexreplace(B451&amp;"""",""[^0-9]"",""""),9))"),"")</f>
        <v/>
      </c>
      <c r="B451" s="5"/>
      <c r="C451" s="5"/>
      <c r="D451" s="5"/>
      <c r="E451" s="15"/>
      <c r="F451" s="15"/>
      <c r="G451" s="15"/>
      <c r="H451" s="15"/>
      <c r="I451" s="15"/>
      <c r="J451" s="15"/>
      <c r="K451" s="9" t="str">
        <f ca="1">IF(COUNTIFS($A$2:A451,A451,$L$2:L451,L451)&gt;1,"DUPLICATE - CHECK","")</f>
        <v/>
      </c>
      <c r="L451" s="17"/>
      <c r="M451" s="17"/>
      <c r="N451" s="9">
        <f ca="1">IF(COUNTIF($A$2:A450,A451)&gt;0,INDEX($C$2:C450,MATCH(A451,$A$2:A450,0)),"")</f>
        <v>0</v>
      </c>
      <c r="O451" s="13"/>
      <c r="P451" s="19"/>
    </row>
    <row r="452" spans="1:16" ht="15.75" customHeight="1" x14ac:dyDescent="0.3">
      <c r="A452" s="8" t="str">
        <f ca="1">IFERROR(__xludf.DUMMYFUNCTION("IF(B452="""","""",RIGHT(regexreplace(B452&amp;"""",""[^0-9]"",""""),9))"),"")</f>
        <v/>
      </c>
      <c r="B452" s="5"/>
      <c r="C452" s="5"/>
      <c r="D452" s="5"/>
      <c r="E452" s="15"/>
      <c r="F452" s="15"/>
      <c r="G452" s="15"/>
      <c r="H452" s="15"/>
      <c r="I452" s="15"/>
      <c r="J452" s="15"/>
      <c r="K452" s="9" t="str">
        <f ca="1">IF(COUNTIFS($A$2:A452,A452,$L$2:L452,L452)&gt;1,"DUPLICATE - CHECK","")</f>
        <v/>
      </c>
      <c r="L452" s="17"/>
      <c r="M452" s="17"/>
      <c r="N452" s="9" t="str">
        <f t="array" aca="1" ref="N452" ca="1">IF(COUNTIF($A$2:A451,A)&gt;0,INDEX($C$2:C451,MATCH(A452,$A$2:A451,0)),"")</f>
        <v/>
      </c>
      <c r="O452" s="13"/>
      <c r="P452" s="19"/>
    </row>
    <row r="453" spans="1:16" ht="15.75" customHeight="1" x14ac:dyDescent="0.3">
      <c r="A453" s="8" t="str">
        <f ca="1">IFERROR(__xludf.DUMMYFUNCTION("IF(B453="""","""",RIGHT(regexreplace(B453&amp;"""",""[^0-9]"",""""),9))"),"")</f>
        <v/>
      </c>
      <c r="B453" s="5"/>
      <c r="C453" s="5"/>
      <c r="D453" s="5"/>
      <c r="E453" s="15"/>
      <c r="F453" s="15"/>
      <c r="G453" s="15"/>
      <c r="H453" s="15"/>
      <c r="I453" s="15"/>
      <c r="J453" s="15"/>
      <c r="K453" s="9" t="str">
        <f ca="1">IF(COUNTIFS($A$2:A453,A453,$L$2:L453,L453)&gt;1,"DUPLICATE - CHECK","")</f>
        <v/>
      </c>
      <c r="L453" s="17"/>
      <c r="M453" s="17"/>
      <c r="N453" s="9">
        <f ca="1">IF(COUNTIF($A$2:A452,A453)&gt;0,INDEX($C$2:C452,MATCH(A453,$A$2:A452,0)),"")</f>
        <v>0</v>
      </c>
      <c r="O453" s="13"/>
      <c r="P453" s="19"/>
    </row>
    <row r="454" spans="1:16" ht="15.75" customHeight="1" x14ac:dyDescent="0.3">
      <c r="A454" s="8" t="str">
        <f ca="1">IFERROR(__xludf.DUMMYFUNCTION("IF(B454="""","""",RIGHT(regexreplace(B454&amp;"""",""[^0-9]"",""""),9))"),"")</f>
        <v/>
      </c>
      <c r="B454" s="5"/>
      <c r="C454" s="5"/>
      <c r="D454" s="5"/>
      <c r="E454" s="15"/>
      <c r="F454" s="15"/>
      <c r="G454" s="15"/>
      <c r="H454" s="15"/>
      <c r="I454" s="15"/>
      <c r="J454" s="15"/>
      <c r="K454" s="9" t="str">
        <f ca="1">IF(COUNTIFS($A$2:A454,A454,$L$2:L454,L454)&gt;1,"DUPLICATE - CHECK","")</f>
        <v/>
      </c>
      <c r="L454" s="17"/>
      <c r="M454" s="17"/>
      <c r="N454" s="9">
        <f ca="1">IF(COUNTIF($A$2:A453,A454)&gt;0,INDEX($C$2:C453,MATCH(A454,$A$2:A453,0)),"")</f>
        <v>0</v>
      </c>
      <c r="O454" s="13"/>
      <c r="P454" s="19"/>
    </row>
    <row r="455" spans="1:16" ht="15.75" customHeight="1" x14ac:dyDescent="0.3">
      <c r="A455" s="8" t="str">
        <f ca="1">IFERROR(__xludf.DUMMYFUNCTION("IF(B455="""","""",RIGHT(regexreplace(B455&amp;"""",""[^0-9]"",""""),9))"),"")</f>
        <v/>
      </c>
      <c r="B455" s="5"/>
      <c r="C455" s="5"/>
      <c r="D455" s="5"/>
      <c r="E455" s="15"/>
      <c r="F455" s="15"/>
      <c r="G455" s="15"/>
      <c r="H455" s="15"/>
      <c r="I455" s="15"/>
      <c r="J455" s="15"/>
      <c r="K455" s="9" t="str">
        <f ca="1">IF(COUNTIFS($A$2:A455,A455,$L$2:L455,L455)&gt;1,"DUPLICATE - CHECK","")</f>
        <v/>
      </c>
      <c r="L455" s="17"/>
      <c r="M455" s="17"/>
      <c r="N455" s="9" t="str">
        <f t="array" aca="1" ref="N455" ca="1">IF(COUNTIF($A$2:A454,A)&gt;0,INDEX($C$2:C454,MATCH(A455,$A$2:A454,0)),"")</f>
        <v/>
      </c>
      <c r="O455" s="13"/>
      <c r="P455" s="19"/>
    </row>
    <row r="456" spans="1:16" ht="15.75" customHeight="1" x14ac:dyDescent="0.3">
      <c r="A456" s="8" t="str">
        <f ca="1">IFERROR(__xludf.DUMMYFUNCTION("IF(B456="""","""",RIGHT(regexreplace(B456&amp;"""",""[^0-9]"",""""),9))"),"")</f>
        <v/>
      </c>
      <c r="B456" s="5"/>
      <c r="C456" s="5"/>
      <c r="D456" s="5"/>
      <c r="E456" s="15"/>
      <c r="F456" s="15"/>
      <c r="G456" s="15"/>
      <c r="H456" s="15"/>
      <c r="I456" s="15"/>
      <c r="J456" s="15"/>
      <c r="K456" s="9" t="str">
        <f ca="1">IF(COUNTIFS($A$2:A456,A456,$L$2:L456,L456)&gt;1,"DUPLICATE - CHECK","")</f>
        <v/>
      </c>
      <c r="L456" s="17"/>
      <c r="M456" s="17"/>
      <c r="N456" s="9">
        <f ca="1">IF(COUNTIF($A$2:A455,A456)&gt;0,INDEX($C$2:C455,MATCH(A456,$A$2:A455,0)),"")</f>
        <v>0</v>
      </c>
      <c r="O456" s="13"/>
      <c r="P456" s="19"/>
    </row>
    <row r="457" spans="1:16" ht="15.75" customHeight="1" x14ac:dyDescent="0.3">
      <c r="A457" s="8" t="str">
        <f ca="1">IFERROR(__xludf.DUMMYFUNCTION("IF(B457="""","""",RIGHT(regexreplace(B457&amp;"""",""[^0-9]"",""""),9))"),"")</f>
        <v/>
      </c>
      <c r="B457" s="5"/>
      <c r="C457" s="5"/>
      <c r="D457" s="5"/>
      <c r="E457" s="15"/>
      <c r="F457" s="15"/>
      <c r="G457" s="15"/>
      <c r="H457" s="15"/>
      <c r="I457" s="15"/>
      <c r="J457" s="15"/>
      <c r="K457" s="9" t="str">
        <f ca="1">IF(COUNTIFS($A$2:A457,A457,$L$2:L457,L457)&gt;1,"DUPLICATE - CHECK","")</f>
        <v/>
      </c>
      <c r="L457" s="17"/>
      <c r="M457" s="17"/>
      <c r="N457" s="9">
        <f ca="1">IF(COUNTIF($A$2:A456,A457)&gt;0,INDEX($C$2:C456,MATCH(A457,$A$2:A456,0)),"")</f>
        <v>0</v>
      </c>
      <c r="O457" s="13"/>
      <c r="P457" s="19"/>
    </row>
    <row r="458" spans="1:16" ht="15.75" customHeight="1" x14ac:dyDescent="0.3">
      <c r="A458" s="8" t="str">
        <f ca="1">IFERROR(__xludf.DUMMYFUNCTION("IF(B458="""","""",RIGHT(regexreplace(B458&amp;"""",""[^0-9]"",""""),9))"),"")</f>
        <v/>
      </c>
      <c r="B458" s="5"/>
      <c r="C458" s="5"/>
      <c r="D458" s="5"/>
      <c r="E458" s="15"/>
      <c r="F458" s="15"/>
      <c r="G458" s="15"/>
      <c r="H458" s="15"/>
      <c r="I458" s="15"/>
      <c r="J458" s="15"/>
      <c r="K458" s="9" t="str">
        <f ca="1">IF(COUNTIFS($A$2:A458,A458,$L$2:L458,L458)&gt;1,"DUPLICATE - CHECK","")</f>
        <v/>
      </c>
      <c r="L458" s="17"/>
      <c r="M458" s="17"/>
      <c r="N458" s="9" t="str">
        <f t="array" aca="1" ref="N458" ca="1">IF(COUNTIF($A$2:A457,A)&gt;0,INDEX($C$2:C457,MATCH(A458,$A$2:A457,0)),"")</f>
        <v/>
      </c>
      <c r="O458" s="13"/>
      <c r="P458" s="19"/>
    </row>
    <row r="459" spans="1:16" ht="15.75" customHeight="1" x14ac:dyDescent="0.3">
      <c r="A459" s="8" t="str">
        <f ca="1">IFERROR(__xludf.DUMMYFUNCTION("IF(B459="""","""",RIGHT(regexreplace(B459&amp;"""",""[^0-9]"",""""),9))"),"")</f>
        <v/>
      </c>
      <c r="B459" s="5"/>
      <c r="C459" s="5"/>
      <c r="D459" s="5"/>
      <c r="E459" s="15"/>
      <c r="F459" s="15"/>
      <c r="G459" s="15"/>
      <c r="H459" s="15"/>
      <c r="I459" s="15"/>
      <c r="J459" s="15"/>
      <c r="K459" s="9" t="str">
        <f ca="1">IF(COUNTIFS($A$2:A459,A459,$L$2:L459,L459)&gt;1,"DUPLICATE - CHECK","")</f>
        <v/>
      </c>
      <c r="L459" s="17"/>
      <c r="M459" s="17"/>
      <c r="N459" s="9">
        <f ca="1">IF(COUNTIF($A$2:A458,A459)&gt;0,INDEX($C$2:C458,MATCH(A459,$A$2:A458,0)),"")</f>
        <v>0</v>
      </c>
      <c r="O459" s="13"/>
      <c r="P459" s="19"/>
    </row>
    <row r="460" spans="1:16" ht="15.75" customHeight="1" x14ac:dyDescent="0.3">
      <c r="A460" s="8" t="str">
        <f ca="1">IFERROR(__xludf.DUMMYFUNCTION("IF(B460="""","""",RIGHT(regexreplace(B460&amp;"""",""[^0-9]"",""""),9))"),"")</f>
        <v/>
      </c>
      <c r="B460" s="5"/>
      <c r="C460" s="5"/>
      <c r="D460" s="5"/>
      <c r="E460" s="15"/>
      <c r="F460" s="15"/>
      <c r="G460" s="15"/>
      <c r="H460" s="15"/>
      <c r="I460" s="15"/>
      <c r="J460" s="15"/>
      <c r="K460" s="9" t="str">
        <f ca="1">IF(COUNTIFS($A$2:A460,A460,$L$2:L460,L460)&gt;1,"DUPLICATE - CHECK","")</f>
        <v/>
      </c>
      <c r="L460" s="17"/>
      <c r="M460" s="17"/>
      <c r="N460" s="9">
        <f ca="1">IF(COUNTIF($A$2:A459,A460)&gt;0,INDEX($C$2:C459,MATCH(A460,$A$2:A459,0)),"")</f>
        <v>0</v>
      </c>
      <c r="O460" s="13"/>
      <c r="P460" s="19"/>
    </row>
    <row r="461" spans="1:16" ht="15.75" customHeight="1" x14ac:dyDescent="0.3">
      <c r="A461" s="8" t="str">
        <f ca="1">IFERROR(__xludf.DUMMYFUNCTION("IF(B461="""","""",RIGHT(regexreplace(B461&amp;"""",""[^0-9]"",""""),9))"),"")</f>
        <v/>
      </c>
      <c r="B461" s="5"/>
      <c r="C461" s="5"/>
      <c r="D461" s="5"/>
      <c r="E461" s="15"/>
      <c r="F461" s="15"/>
      <c r="G461" s="15"/>
      <c r="H461" s="15"/>
      <c r="I461" s="15"/>
      <c r="J461" s="15"/>
      <c r="K461" s="9" t="str">
        <f ca="1">IF(COUNTIFS($A$2:A461,A461,$L$2:L461,L461)&gt;1,"DUPLICATE - CHECK","")</f>
        <v/>
      </c>
      <c r="L461" s="17"/>
      <c r="M461" s="17"/>
      <c r="N461" s="9" t="str">
        <f t="array" aca="1" ref="N461" ca="1">IF(COUNTIF($A$2:A460,A)&gt;0,INDEX($C$2:C460,MATCH(A461,$A$2:A460,0)),"")</f>
        <v/>
      </c>
      <c r="O461" s="13"/>
      <c r="P461" s="19"/>
    </row>
    <row r="462" spans="1:16" ht="15.75" customHeight="1" x14ac:dyDescent="0.3">
      <c r="A462" s="8" t="str">
        <f ca="1">IFERROR(__xludf.DUMMYFUNCTION("IF(B462="""","""",RIGHT(regexreplace(B462&amp;"""",""[^0-9]"",""""),9))"),"")</f>
        <v/>
      </c>
      <c r="B462" s="5"/>
      <c r="C462" s="5"/>
      <c r="D462" s="5"/>
      <c r="E462" s="15"/>
      <c r="F462" s="15"/>
      <c r="G462" s="15"/>
      <c r="H462" s="15"/>
      <c r="I462" s="15"/>
      <c r="J462" s="15"/>
      <c r="K462" s="9" t="str">
        <f ca="1">IF(COUNTIFS($A$2:A462,A462,$L$2:L462,L462)&gt;1,"DUPLICATE - CHECK","")</f>
        <v/>
      </c>
      <c r="L462" s="17"/>
      <c r="M462" s="17"/>
      <c r="N462" s="9">
        <f ca="1">IF(COUNTIF($A$2:A461,A462)&gt;0,INDEX($C$2:C461,MATCH(A462,$A$2:A461,0)),"")</f>
        <v>0</v>
      </c>
      <c r="O462" s="13"/>
      <c r="P462" s="19"/>
    </row>
    <row r="463" spans="1:16" ht="15.75" customHeight="1" x14ac:dyDescent="0.3">
      <c r="A463" s="8" t="str">
        <f ca="1">IFERROR(__xludf.DUMMYFUNCTION("IF(B463="""","""",RIGHT(regexreplace(B463&amp;"""",""[^0-9]"",""""),9))"),"")</f>
        <v/>
      </c>
      <c r="B463" s="5"/>
      <c r="C463" s="5"/>
      <c r="D463" s="5"/>
      <c r="E463" s="15"/>
      <c r="F463" s="15"/>
      <c r="G463" s="15"/>
      <c r="H463" s="15"/>
      <c r="I463" s="15"/>
      <c r="J463" s="15"/>
      <c r="K463" s="9" t="str">
        <f ca="1">IF(COUNTIFS($A$2:A463,A463,$L$2:L463,L463)&gt;1,"DUPLICATE - CHECK","")</f>
        <v/>
      </c>
      <c r="L463" s="17"/>
      <c r="M463" s="17"/>
      <c r="N463" s="9">
        <f ca="1">IF(COUNTIF($A$2:A462,A463)&gt;0,INDEX($C$2:C462,MATCH(A463,$A$2:A462,0)),"")</f>
        <v>0</v>
      </c>
      <c r="O463" s="13"/>
      <c r="P463" s="19"/>
    </row>
    <row r="464" spans="1:16" ht="15.75" customHeight="1" x14ac:dyDescent="0.3">
      <c r="A464" s="8" t="str">
        <f ca="1">IFERROR(__xludf.DUMMYFUNCTION("IF(B464="""","""",RIGHT(regexreplace(B464&amp;"""",""[^0-9]"",""""),9))"),"")</f>
        <v/>
      </c>
      <c r="B464" s="5"/>
      <c r="C464" s="5"/>
      <c r="D464" s="5"/>
      <c r="E464" s="15"/>
      <c r="F464" s="15"/>
      <c r="G464" s="15"/>
      <c r="H464" s="15"/>
      <c r="I464" s="15"/>
      <c r="J464" s="15"/>
      <c r="K464" s="9" t="str">
        <f ca="1">IF(COUNTIFS($A$2:A464,A464,$L$2:L464,L464)&gt;1,"DUPLICATE - CHECK","")</f>
        <v/>
      </c>
      <c r="L464" s="17"/>
      <c r="M464" s="17"/>
      <c r="N464" s="9" t="str">
        <f t="array" aca="1" ref="N464" ca="1">IF(COUNTIF($A$2:A463,A)&gt;0,INDEX($C$2:C463,MATCH(A464,$A$2:A463,0)),"")</f>
        <v/>
      </c>
      <c r="O464" s="13"/>
      <c r="P464" s="19"/>
    </row>
    <row r="465" spans="1:16" ht="15.75" customHeight="1" x14ac:dyDescent="0.3">
      <c r="A465" s="8" t="str">
        <f ca="1">IFERROR(__xludf.DUMMYFUNCTION("IF(B465="""","""",RIGHT(regexreplace(B465&amp;"""",""[^0-9]"",""""),9))"),"")</f>
        <v/>
      </c>
      <c r="B465" s="5"/>
      <c r="C465" s="5"/>
      <c r="D465" s="5"/>
      <c r="E465" s="15"/>
      <c r="F465" s="15"/>
      <c r="G465" s="15"/>
      <c r="H465" s="15"/>
      <c r="I465" s="15"/>
      <c r="J465" s="15"/>
      <c r="K465" s="9" t="str">
        <f ca="1">IF(COUNTIFS($A$2:A465,A465,$L$2:L465,L465)&gt;1,"DUPLICATE - CHECK","")</f>
        <v/>
      </c>
      <c r="L465" s="17"/>
      <c r="M465" s="17"/>
      <c r="N465" s="9">
        <f ca="1">IF(COUNTIF($A$2:A464,A465)&gt;0,INDEX($C$2:C464,MATCH(A465,$A$2:A464,0)),"")</f>
        <v>0</v>
      </c>
      <c r="O465" s="13"/>
      <c r="P465" s="19"/>
    </row>
    <row r="466" spans="1:16" ht="15.75" customHeight="1" x14ac:dyDescent="0.3">
      <c r="A466" s="8" t="str">
        <f ca="1">IFERROR(__xludf.DUMMYFUNCTION("IF(B466="""","""",RIGHT(regexreplace(B466&amp;"""",""[^0-9]"",""""),9))"),"")</f>
        <v/>
      </c>
      <c r="B466" s="5"/>
      <c r="C466" s="5"/>
      <c r="D466" s="5"/>
      <c r="E466" s="15"/>
      <c r="F466" s="15"/>
      <c r="G466" s="15"/>
      <c r="H466" s="15"/>
      <c r="I466" s="15"/>
      <c r="J466" s="15"/>
      <c r="K466" s="9" t="str">
        <f ca="1">IF(COUNTIFS($A$2:A466,A466,$L$2:L466,L466)&gt;1,"DUPLICATE - CHECK","")</f>
        <v/>
      </c>
      <c r="L466" s="17"/>
      <c r="M466" s="17"/>
      <c r="N466" s="9">
        <f ca="1">IF(COUNTIF($A$2:A465,A466)&gt;0,INDEX($C$2:C465,MATCH(A466,$A$2:A465,0)),"")</f>
        <v>0</v>
      </c>
      <c r="O466" s="13"/>
      <c r="P466" s="19"/>
    </row>
    <row r="467" spans="1:16" ht="15.75" customHeight="1" x14ac:dyDescent="0.3">
      <c r="A467" s="8" t="str">
        <f ca="1">IFERROR(__xludf.DUMMYFUNCTION("IF(B467="""","""",RIGHT(regexreplace(B467&amp;"""",""[^0-9]"",""""),9))"),"")</f>
        <v/>
      </c>
      <c r="B467" s="5"/>
      <c r="C467" s="5"/>
      <c r="D467" s="5"/>
      <c r="E467" s="15"/>
      <c r="F467" s="15"/>
      <c r="G467" s="15"/>
      <c r="H467" s="15"/>
      <c r="I467" s="15"/>
      <c r="J467" s="15"/>
      <c r="K467" s="9" t="str">
        <f ca="1">IF(COUNTIFS($A$2:A467,A467,$L$2:L467,L467)&gt;1,"DUPLICATE - CHECK","")</f>
        <v/>
      </c>
      <c r="L467" s="17"/>
      <c r="M467" s="17"/>
      <c r="N467" s="9" t="str">
        <f t="array" aca="1" ref="N467" ca="1">IF(COUNTIF($A$2:A466,A)&gt;0,INDEX($C$2:C466,MATCH(A467,$A$2:A466,0)),"")</f>
        <v/>
      </c>
      <c r="O467" s="13"/>
      <c r="P467" s="19"/>
    </row>
    <row r="468" spans="1:16" ht="15.75" customHeight="1" x14ac:dyDescent="0.3">
      <c r="A468" s="8" t="str">
        <f ca="1">IFERROR(__xludf.DUMMYFUNCTION("IF(B468="""","""",RIGHT(regexreplace(B468&amp;"""",""[^0-9]"",""""),9))"),"")</f>
        <v/>
      </c>
      <c r="B468" s="5"/>
      <c r="C468" s="5"/>
      <c r="D468" s="5"/>
      <c r="E468" s="15"/>
      <c r="F468" s="15"/>
      <c r="G468" s="15"/>
      <c r="H468" s="15"/>
      <c r="I468" s="15"/>
      <c r="J468" s="15"/>
      <c r="K468" s="9" t="str">
        <f ca="1">IF(COUNTIFS($A$2:A468,A468,$L$2:L468,L468)&gt;1,"DUPLICATE - CHECK","")</f>
        <v/>
      </c>
      <c r="L468" s="17"/>
      <c r="M468" s="17"/>
      <c r="N468" s="9">
        <f ca="1">IF(COUNTIF($A$2:A467,A468)&gt;0,INDEX($C$2:C467,MATCH(A468,$A$2:A467,0)),"")</f>
        <v>0</v>
      </c>
      <c r="O468" s="13"/>
      <c r="P468" s="19"/>
    </row>
    <row r="469" spans="1:16" ht="15.75" customHeight="1" x14ac:dyDescent="0.3">
      <c r="A469" s="8" t="str">
        <f ca="1">IFERROR(__xludf.DUMMYFUNCTION("IF(B469="""","""",RIGHT(regexreplace(B469&amp;"""",""[^0-9]"",""""),9))"),"")</f>
        <v/>
      </c>
      <c r="B469" s="5"/>
      <c r="C469" s="5"/>
      <c r="D469" s="5"/>
      <c r="E469" s="15"/>
      <c r="F469" s="15"/>
      <c r="G469" s="15"/>
      <c r="H469" s="15"/>
      <c r="I469" s="15"/>
      <c r="J469" s="15"/>
      <c r="K469" s="9" t="str">
        <f ca="1">IF(COUNTIFS($A$2:A469,A469,$L$2:L469,L469)&gt;1,"DUPLICATE - CHECK","")</f>
        <v/>
      </c>
      <c r="L469" s="17"/>
      <c r="M469" s="17"/>
      <c r="N469" s="9">
        <f ca="1">IF(COUNTIF($A$2:A468,A469)&gt;0,INDEX($C$2:C468,MATCH(A469,$A$2:A468,0)),"")</f>
        <v>0</v>
      </c>
      <c r="O469" s="13"/>
      <c r="P469" s="19"/>
    </row>
    <row r="470" spans="1:16" ht="15.75" customHeight="1" x14ac:dyDescent="0.3">
      <c r="A470" s="8" t="str">
        <f ca="1">IFERROR(__xludf.DUMMYFUNCTION("IF(B470="""","""",RIGHT(regexreplace(B470&amp;"""",""[^0-9]"",""""),9))"),"")</f>
        <v/>
      </c>
      <c r="B470" s="5"/>
      <c r="C470" s="5"/>
      <c r="D470" s="5"/>
      <c r="E470" s="15"/>
      <c r="F470" s="15"/>
      <c r="G470" s="15"/>
      <c r="H470" s="15"/>
      <c r="I470" s="15"/>
      <c r="J470" s="15"/>
      <c r="K470" s="9" t="str">
        <f ca="1">IF(COUNTIFS($A$2:A470,A470,$L$2:L470,L470)&gt;1,"DUPLICATE - CHECK","")</f>
        <v/>
      </c>
      <c r="L470" s="17"/>
      <c r="M470" s="17"/>
      <c r="N470" s="9" t="str">
        <f t="array" aca="1" ref="N470" ca="1">IF(COUNTIF($A$2:A469,A)&gt;0,INDEX($C$2:C469,MATCH(A470,$A$2:A469,0)),"")</f>
        <v/>
      </c>
      <c r="O470" s="13"/>
      <c r="P470" s="19"/>
    </row>
    <row r="471" spans="1:16" ht="15.75" customHeight="1" x14ac:dyDescent="0.3">
      <c r="A471" s="8" t="str">
        <f ca="1">IFERROR(__xludf.DUMMYFUNCTION("IF(B471="""","""",RIGHT(regexreplace(B471&amp;"""",""[^0-9]"",""""),9))"),"")</f>
        <v/>
      </c>
      <c r="B471" s="5"/>
      <c r="C471" s="5"/>
      <c r="D471" s="5"/>
      <c r="E471" s="15"/>
      <c r="F471" s="15"/>
      <c r="G471" s="15"/>
      <c r="H471" s="15"/>
      <c r="I471" s="15"/>
      <c r="J471" s="15"/>
      <c r="K471" s="9" t="str">
        <f ca="1">IF(COUNTIFS($A$2:A471,A471,$L$2:L471,L471)&gt;1,"DUPLICATE - CHECK","")</f>
        <v/>
      </c>
      <c r="L471" s="17"/>
      <c r="M471" s="17"/>
      <c r="N471" s="9">
        <f ca="1">IF(COUNTIF($A$2:A470,A471)&gt;0,INDEX($C$2:C470,MATCH(A471,$A$2:A470,0)),"")</f>
        <v>0</v>
      </c>
      <c r="O471" s="13"/>
      <c r="P471" s="19"/>
    </row>
    <row r="472" spans="1:16" ht="15.75" customHeight="1" x14ac:dyDescent="0.3">
      <c r="A472" s="8" t="str">
        <f ca="1">IFERROR(__xludf.DUMMYFUNCTION("IF(B472="""","""",RIGHT(regexreplace(B472&amp;"""",""[^0-9]"",""""),9))"),"")</f>
        <v/>
      </c>
      <c r="B472" s="5"/>
      <c r="C472" s="5"/>
      <c r="D472" s="5"/>
      <c r="E472" s="15"/>
      <c r="F472" s="15"/>
      <c r="G472" s="15"/>
      <c r="H472" s="15"/>
      <c r="I472" s="15"/>
      <c r="J472" s="15"/>
      <c r="K472" s="9" t="str">
        <f ca="1">IF(COUNTIFS($A$2:A472,A472,$L$2:L472,L472)&gt;1,"DUPLICATE - CHECK","")</f>
        <v/>
      </c>
      <c r="L472" s="17"/>
      <c r="M472" s="17"/>
      <c r="N472" s="9">
        <f ca="1">IF(COUNTIF($A$2:A471,A472)&gt;0,INDEX($C$2:C471,MATCH(A472,$A$2:A471,0)),"")</f>
        <v>0</v>
      </c>
      <c r="O472" s="13"/>
      <c r="P472" s="19"/>
    </row>
    <row r="473" spans="1:16" ht="15.75" customHeight="1" x14ac:dyDescent="0.3">
      <c r="A473" s="8" t="str">
        <f ca="1">IFERROR(__xludf.DUMMYFUNCTION("IF(B473="""","""",RIGHT(regexreplace(B473&amp;"""",""[^0-9]"",""""),9))"),"")</f>
        <v/>
      </c>
      <c r="B473" s="5"/>
      <c r="C473" s="5"/>
      <c r="D473" s="5"/>
      <c r="E473" s="15"/>
      <c r="F473" s="15"/>
      <c r="G473" s="15"/>
      <c r="H473" s="15"/>
      <c r="I473" s="15"/>
      <c r="J473" s="15"/>
      <c r="K473" s="9" t="str">
        <f ca="1">IF(COUNTIFS($A$2:A473,A473,$L$2:L473,L473)&gt;1,"DUPLICATE - CHECK","")</f>
        <v/>
      </c>
      <c r="L473" s="17"/>
      <c r="M473" s="17"/>
      <c r="N473" s="9" t="str">
        <f t="array" aca="1" ref="N473" ca="1">IF(COUNTIF($A$2:A472,A)&gt;0,INDEX($C$2:C472,MATCH(A473,$A$2:A472,0)),"")</f>
        <v/>
      </c>
      <c r="O473" s="13"/>
      <c r="P473" s="19"/>
    </row>
    <row r="474" spans="1:16" ht="15.75" customHeight="1" x14ac:dyDescent="0.3">
      <c r="A474" s="8" t="str">
        <f ca="1">IFERROR(__xludf.DUMMYFUNCTION("IF(B474="""","""",RIGHT(regexreplace(B474&amp;"""",""[^0-9]"",""""),9))"),"")</f>
        <v/>
      </c>
      <c r="B474" s="5"/>
      <c r="C474" s="5"/>
      <c r="D474" s="5"/>
      <c r="E474" s="15"/>
      <c r="F474" s="15"/>
      <c r="G474" s="15"/>
      <c r="H474" s="15"/>
      <c r="I474" s="15"/>
      <c r="J474" s="15"/>
      <c r="K474" s="9" t="str">
        <f ca="1">IF(COUNTIFS($A$2:A474,A474,$L$2:L474,L474)&gt;1,"DUPLICATE - CHECK","")</f>
        <v/>
      </c>
      <c r="L474" s="17"/>
      <c r="M474" s="17"/>
      <c r="N474" s="9">
        <f ca="1">IF(COUNTIF($A$2:A473,A474)&gt;0,INDEX($C$2:C473,MATCH(A474,$A$2:A473,0)),"")</f>
        <v>0</v>
      </c>
      <c r="O474" s="13"/>
      <c r="P474" s="19"/>
    </row>
    <row r="475" spans="1:16" ht="15.75" customHeight="1" x14ac:dyDescent="0.3">
      <c r="A475" s="8" t="str">
        <f ca="1">IFERROR(__xludf.DUMMYFUNCTION("IF(B475="""","""",RIGHT(regexreplace(B475&amp;"""",""[^0-9]"",""""),9))"),"")</f>
        <v/>
      </c>
      <c r="B475" s="5"/>
      <c r="C475" s="5"/>
      <c r="D475" s="5"/>
      <c r="E475" s="15"/>
      <c r="F475" s="15"/>
      <c r="G475" s="15"/>
      <c r="H475" s="15"/>
      <c r="I475" s="15"/>
      <c r="J475" s="15"/>
      <c r="K475" s="9" t="str">
        <f ca="1">IF(COUNTIFS($A$2:A475,A475,$L$2:L475,L475)&gt;1,"DUPLICATE - CHECK","")</f>
        <v/>
      </c>
      <c r="L475" s="17"/>
      <c r="M475" s="17"/>
      <c r="N475" s="9">
        <f ca="1">IF(COUNTIF($A$2:A474,A475)&gt;0,INDEX($C$2:C474,MATCH(A475,$A$2:A474,0)),"")</f>
        <v>0</v>
      </c>
      <c r="O475" s="13"/>
      <c r="P475" s="19"/>
    </row>
    <row r="476" spans="1:16" ht="15.75" customHeight="1" x14ac:dyDescent="0.3">
      <c r="A476" s="8" t="str">
        <f ca="1">IFERROR(__xludf.DUMMYFUNCTION("IF(B476="""","""",RIGHT(regexreplace(B476&amp;"""",""[^0-9]"",""""),9))"),"")</f>
        <v/>
      </c>
      <c r="B476" s="5"/>
      <c r="C476" s="5"/>
      <c r="D476" s="5"/>
      <c r="E476" s="15"/>
      <c r="F476" s="15"/>
      <c r="G476" s="15"/>
      <c r="H476" s="15"/>
      <c r="I476" s="15"/>
      <c r="J476" s="15"/>
      <c r="K476" s="9" t="str">
        <f ca="1">IF(COUNTIFS($A$2:A476,A476,$L$2:L476,L476)&gt;1,"DUPLICATE - CHECK","")</f>
        <v/>
      </c>
      <c r="L476" s="17"/>
      <c r="M476" s="17"/>
      <c r="N476" s="9" t="str">
        <f t="array" aca="1" ref="N476" ca="1">IF(COUNTIF($A$2:A475,A)&gt;0,INDEX($C$2:C475,MATCH(A476,$A$2:A475,0)),"")</f>
        <v/>
      </c>
      <c r="O476" s="13"/>
      <c r="P476" s="19"/>
    </row>
    <row r="477" spans="1:16" ht="15.75" customHeight="1" x14ac:dyDescent="0.3">
      <c r="A477" s="8" t="str">
        <f ca="1">IFERROR(__xludf.DUMMYFUNCTION("IF(B477="""","""",RIGHT(regexreplace(B477&amp;"""",""[^0-9]"",""""),9))"),"")</f>
        <v/>
      </c>
      <c r="B477" s="5"/>
      <c r="C477" s="5"/>
      <c r="D477" s="5"/>
      <c r="E477" s="15"/>
      <c r="F477" s="15"/>
      <c r="G477" s="15"/>
      <c r="H477" s="15"/>
      <c r="I477" s="15"/>
      <c r="J477" s="15"/>
      <c r="K477" s="9" t="str">
        <f ca="1">IF(COUNTIFS($A$2:A477,A477,$L$2:L477,L477)&gt;1,"DUPLICATE - CHECK","")</f>
        <v/>
      </c>
      <c r="L477" s="17"/>
      <c r="M477" s="17"/>
      <c r="N477" s="9">
        <f ca="1">IF(COUNTIF($A$2:A476,A477)&gt;0,INDEX($C$2:C476,MATCH(A477,$A$2:A476,0)),"")</f>
        <v>0</v>
      </c>
      <c r="O477" s="13"/>
      <c r="P477" s="19"/>
    </row>
    <row r="478" spans="1:16" ht="15.75" customHeight="1" x14ac:dyDescent="0.3">
      <c r="A478" s="8" t="str">
        <f ca="1">IFERROR(__xludf.DUMMYFUNCTION("IF(B478="""","""",RIGHT(regexreplace(B478&amp;"""",""[^0-9]"",""""),9))"),"")</f>
        <v/>
      </c>
      <c r="B478" s="5"/>
      <c r="C478" s="5"/>
      <c r="D478" s="5"/>
      <c r="E478" s="15"/>
      <c r="F478" s="15"/>
      <c r="G478" s="15"/>
      <c r="H478" s="15"/>
      <c r="I478" s="15"/>
      <c r="J478" s="15"/>
      <c r="K478" s="9" t="str">
        <f ca="1">IF(COUNTIFS($A$2:A478,A478,$L$2:L478,L478)&gt;1,"DUPLICATE - CHECK","")</f>
        <v/>
      </c>
      <c r="L478" s="17"/>
      <c r="M478" s="17"/>
      <c r="N478" s="9">
        <f ca="1">IF(COUNTIF($A$2:A477,A478)&gt;0,INDEX($C$2:C477,MATCH(A478,$A$2:A477,0)),"")</f>
        <v>0</v>
      </c>
      <c r="O478" s="13"/>
      <c r="P478" s="19"/>
    </row>
    <row r="479" spans="1:16" ht="15.75" customHeight="1" x14ac:dyDescent="0.3">
      <c r="A479" s="8" t="str">
        <f ca="1">IFERROR(__xludf.DUMMYFUNCTION("IF(B479="""","""",RIGHT(regexreplace(B479&amp;"""",""[^0-9]"",""""),9))"),"")</f>
        <v/>
      </c>
      <c r="B479" s="5"/>
      <c r="C479" s="5"/>
      <c r="D479" s="5"/>
      <c r="E479" s="15"/>
      <c r="F479" s="15"/>
      <c r="G479" s="15"/>
      <c r="H479" s="15"/>
      <c r="I479" s="15"/>
      <c r="J479" s="15"/>
      <c r="K479" s="9" t="str">
        <f ca="1">IF(COUNTIFS($A$2:A479,A479,$L$2:L479,L479)&gt;1,"DUPLICATE - CHECK","")</f>
        <v/>
      </c>
      <c r="L479" s="17"/>
      <c r="M479" s="17"/>
      <c r="N479" s="9" t="str">
        <f t="array" aca="1" ref="N479" ca="1">IF(COUNTIF($A$2:A478,A)&gt;0,INDEX($C$2:C478,MATCH(A479,$A$2:A478,0)),"")</f>
        <v/>
      </c>
      <c r="O479" s="13"/>
      <c r="P479" s="19"/>
    </row>
    <row r="480" spans="1:16" ht="15.75" customHeight="1" x14ac:dyDescent="0.3">
      <c r="A480" s="8" t="str">
        <f ca="1">IFERROR(__xludf.DUMMYFUNCTION("IF(B480="""","""",RIGHT(regexreplace(B480&amp;"""",""[^0-9]"",""""),9))"),"")</f>
        <v/>
      </c>
      <c r="B480" s="5"/>
      <c r="C480" s="5"/>
      <c r="D480" s="5"/>
      <c r="E480" s="15"/>
      <c r="F480" s="15"/>
      <c r="G480" s="15"/>
      <c r="H480" s="15"/>
      <c r="I480" s="15"/>
      <c r="J480" s="15"/>
      <c r="K480" s="9" t="str">
        <f ca="1">IF(COUNTIFS($A$2:A480,A480,$L$2:L480,L480)&gt;1,"DUPLICATE - CHECK","")</f>
        <v/>
      </c>
      <c r="L480" s="17"/>
      <c r="M480" s="17"/>
      <c r="N480" s="9">
        <f ca="1">IF(COUNTIF($A$2:A479,A480)&gt;0,INDEX($C$2:C479,MATCH(A480,$A$2:A479,0)),"")</f>
        <v>0</v>
      </c>
      <c r="O480" s="13"/>
      <c r="P480" s="19"/>
    </row>
    <row r="481" spans="1:16" ht="15.75" customHeight="1" x14ac:dyDescent="0.3">
      <c r="A481" s="8" t="str">
        <f ca="1">IFERROR(__xludf.DUMMYFUNCTION("IF(B481="""","""",RIGHT(regexreplace(B481&amp;"""",""[^0-9]"",""""),9))"),"")</f>
        <v/>
      </c>
      <c r="B481" s="5"/>
      <c r="C481" s="5"/>
      <c r="D481" s="5"/>
      <c r="E481" s="15"/>
      <c r="F481" s="15"/>
      <c r="G481" s="15"/>
      <c r="H481" s="15"/>
      <c r="I481" s="15"/>
      <c r="J481" s="15"/>
      <c r="K481" s="9" t="str">
        <f ca="1">IF(COUNTIFS($A$2:A481,A481,$L$2:L481,L481)&gt;1,"DUPLICATE - CHECK","")</f>
        <v/>
      </c>
      <c r="L481" s="17"/>
      <c r="M481" s="17"/>
      <c r="N481" s="9">
        <f ca="1">IF(COUNTIF($A$2:A480,A481)&gt;0,INDEX($C$2:C480,MATCH(A481,$A$2:A480,0)),"")</f>
        <v>0</v>
      </c>
      <c r="O481" s="13"/>
      <c r="P481" s="19"/>
    </row>
    <row r="482" spans="1:16" ht="15.75" customHeight="1" x14ac:dyDescent="0.3">
      <c r="A482" s="8" t="str">
        <f ca="1">IFERROR(__xludf.DUMMYFUNCTION("IF(B482="""","""",RIGHT(regexreplace(B482&amp;"""",""[^0-9]"",""""),9))"),"")</f>
        <v/>
      </c>
      <c r="B482" s="5"/>
      <c r="C482" s="5"/>
      <c r="D482" s="5"/>
      <c r="E482" s="15"/>
      <c r="F482" s="15"/>
      <c r="G482" s="15"/>
      <c r="H482" s="15"/>
      <c r="I482" s="15"/>
      <c r="J482" s="15"/>
      <c r="K482" s="9" t="str">
        <f ca="1">IF(COUNTIFS($A$2:A482,A482,$L$2:L482,L482)&gt;1,"DUPLICATE - CHECK","")</f>
        <v/>
      </c>
      <c r="L482" s="17"/>
      <c r="M482" s="17"/>
      <c r="N482" s="9" t="str">
        <f t="array" aca="1" ref="N482" ca="1">IF(COUNTIF($A$2:A481,A)&gt;0,INDEX($C$2:C481,MATCH(A482,$A$2:A481,0)),"")</f>
        <v/>
      </c>
      <c r="O482" s="13"/>
      <c r="P482" s="19"/>
    </row>
    <row r="483" spans="1:16" ht="15.75" customHeight="1" x14ac:dyDescent="0.3">
      <c r="A483" s="8" t="str">
        <f ca="1">IFERROR(__xludf.DUMMYFUNCTION("IF(B483="""","""",RIGHT(regexreplace(B483&amp;"""",""[^0-9]"",""""),9))"),"")</f>
        <v/>
      </c>
      <c r="B483" s="5"/>
      <c r="C483" s="5"/>
      <c r="D483" s="5"/>
      <c r="E483" s="15"/>
      <c r="F483" s="15"/>
      <c r="G483" s="15"/>
      <c r="H483" s="15"/>
      <c r="I483" s="15"/>
      <c r="J483" s="15"/>
      <c r="K483" s="9" t="str">
        <f ca="1">IF(COUNTIFS($A$2:A483,A483,$L$2:L483,L483)&gt;1,"DUPLICATE - CHECK","")</f>
        <v/>
      </c>
      <c r="L483" s="17"/>
      <c r="M483" s="17"/>
      <c r="N483" s="9">
        <f ca="1">IF(COUNTIF($A$2:A482,A483)&gt;0,INDEX($C$2:C482,MATCH(A483,$A$2:A482,0)),"")</f>
        <v>0</v>
      </c>
      <c r="O483" s="13"/>
      <c r="P483" s="19"/>
    </row>
    <row r="484" spans="1:16" ht="15.75" customHeight="1" x14ac:dyDescent="0.3">
      <c r="A484" s="8" t="str">
        <f ca="1">IFERROR(__xludf.DUMMYFUNCTION("IF(B484="""","""",RIGHT(regexreplace(B484&amp;"""",""[^0-9]"",""""),9))"),"")</f>
        <v/>
      </c>
      <c r="B484" s="5"/>
      <c r="C484" s="5"/>
      <c r="D484" s="5"/>
      <c r="E484" s="15"/>
      <c r="F484" s="15"/>
      <c r="G484" s="15"/>
      <c r="H484" s="15"/>
      <c r="I484" s="15"/>
      <c r="J484" s="15"/>
      <c r="K484" s="9" t="str">
        <f ca="1">IF(COUNTIFS($A$2:A484,A484,$L$2:L484,L484)&gt;1,"DUPLICATE - CHECK","")</f>
        <v/>
      </c>
      <c r="L484" s="17"/>
      <c r="M484" s="17"/>
      <c r="N484" s="9">
        <f ca="1">IF(COUNTIF($A$2:A483,A484)&gt;0,INDEX($C$2:C483,MATCH(A484,$A$2:A483,0)),"")</f>
        <v>0</v>
      </c>
      <c r="O484" s="13"/>
      <c r="P484" s="19"/>
    </row>
    <row r="485" spans="1:16" ht="15.75" customHeight="1" x14ac:dyDescent="0.3">
      <c r="A485" s="8" t="str">
        <f ca="1">IFERROR(__xludf.DUMMYFUNCTION("IF(B485="""","""",RIGHT(regexreplace(B485&amp;"""",""[^0-9]"",""""),9))"),"")</f>
        <v/>
      </c>
      <c r="B485" s="5"/>
      <c r="C485" s="5"/>
      <c r="D485" s="5"/>
      <c r="E485" s="15"/>
      <c r="F485" s="15"/>
      <c r="G485" s="15"/>
      <c r="H485" s="15"/>
      <c r="I485" s="15"/>
      <c r="J485" s="15"/>
      <c r="K485" s="9" t="str">
        <f ca="1">IF(COUNTIFS($A$2:A485,A485,$L$2:L485,L485)&gt;1,"DUPLICATE - CHECK","")</f>
        <v/>
      </c>
      <c r="L485" s="17"/>
      <c r="M485" s="17"/>
      <c r="N485" s="9" t="str">
        <f t="array" aca="1" ref="N485" ca="1">IF(COUNTIF($A$2:A484,A)&gt;0,INDEX($C$2:C484,MATCH(A485,$A$2:A484,0)),"")</f>
        <v/>
      </c>
      <c r="O485" s="13"/>
      <c r="P485" s="19"/>
    </row>
    <row r="486" spans="1:16" ht="15.75" customHeight="1" x14ac:dyDescent="0.3">
      <c r="A486" s="8" t="str">
        <f ca="1">IFERROR(__xludf.DUMMYFUNCTION("IF(B486="""","""",RIGHT(regexreplace(B486&amp;"""",""[^0-9]"",""""),9))"),"")</f>
        <v/>
      </c>
      <c r="B486" s="5"/>
      <c r="C486" s="5"/>
      <c r="D486" s="5"/>
      <c r="E486" s="15"/>
      <c r="F486" s="15"/>
      <c r="G486" s="15"/>
      <c r="H486" s="15"/>
      <c r="I486" s="15"/>
      <c r="J486" s="15"/>
      <c r="K486" s="9" t="str">
        <f ca="1">IF(COUNTIFS($A$2:A486,A486,$L$2:L486,L486)&gt;1,"DUPLICATE - CHECK","")</f>
        <v/>
      </c>
      <c r="L486" s="17"/>
      <c r="M486" s="17"/>
      <c r="N486" s="9">
        <f ca="1">IF(COUNTIF($A$2:A485,A486)&gt;0,INDEX($C$2:C485,MATCH(A486,$A$2:A485,0)),"")</f>
        <v>0</v>
      </c>
      <c r="O486" s="13"/>
      <c r="P486" s="19"/>
    </row>
    <row r="487" spans="1:16" ht="15.75" customHeight="1" x14ac:dyDescent="0.3">
      <c r="A487" s="8" t="str">
        <f ca="1">IFERROR(__xludf.DUMMYFUNCTION("IF(B487="""","""",RIGHT(regexreplace(B487&amp;"""",""[^0-9]"",""""),9))"),"")</f>
        <v/>
      </c>
      <c r="B487" s="5"/>
      <c r="C487" s="5"/>
      <c r="D487" s="5"/>
      <c r="E487" s="15"/>
      <c r="F487" s="15"/>
      <c r="G487" s="15"/>
      <c r="H487" s="15"/>
      <c r="I487" s="15"/>
      <c r="J487" s="15"/>
      <c r="K487" s="9" t="str">
        <f ca="1">IF(COUNTIFS($A$2:A487,A487,$L$2:L487,L487)&gt;1,"DUPLICATE - CHECK","")</f>
        <v/>
      </c>
      <c r="L487" s="17"/>
      <c r="M487" s="17"/>
      <c r="N487" s="9">
        <f ca="1">IF(COUNTIF($A$2:A486,A487)&gt;0,INDEX($C$2:C486,MATCH(A487,$A$2:A486,0)),"")</f>
        <v>0</v>
      </c>
      <c r="O487" s="13"/>
      <c r="P487" s="19"/>
    </row>
    <row r="488" spans="1:16" ht="15.75" customHeight="1" x14ac:dyDescent="0.3">
      <c r="A488" s="8" t="str">
        <f ca="1">IFERROR(__xludf.DUMMYFUNCTION("IF(B488="""","""",RIGHT(regexreplace(B488&amp;"""",""[^0-9]"",""""),9))"),"")</f>
        <v/>
      </c>
      <c r="B488" s="5"/>
      <c r="C488" s="5"/>
      <c r="D488" s="5"/>
      <c r="E488" s="15"/>
      <c r="F488" s="15"/>
      <c r="G488" s="15"/>
      <c r="H488" s="15"/>
      <c r="I488" s="15"/>
      <c r="J488" s="15"/>
      <c r="K488" s="9" t="str">
        <f ca="1">IF(COUNTIFS($A$2:A488,A488,$L$2:L488,L488)&gt;1,"DUPLICATE - CHECK","")</f>
        <v/>
      </c>
      <c r="L488" s="17"/>
      <c r="M488" s="17"/>
      <c r="N488" s="9" t="str">
        <f t="array" aca="1" ref="N488" ca="1">IF(COUNTIF($A$2:A487,A)&gt;0,INDEX($C$2:C487,MATCH(A488,$A$2:A487,0)),"")</f>
        <v/>
      </c>
      <c r="O488" s="13"/>
      <c r="P488" s="19"/>
    </row>
    <row r="489" spans="1:16" ht="15.75" customHeight="1" x14ac:dyDescent="0.3">
      <c r="A489" s="8" t="str">
        <f ca="1">IFERROR(__xludf.DUMMYFUNCTION("IF(B489="""","""",RIGHT(regexreplace(B489&amp;"""",""[^0-9]"",""""),9))"),"")</f>
        <v/>
      </c>
      <c r="B489" s="5"/>
      <c r="C489" s="5"/>
      <c r="D489" s="5"/>
      <c r="E489" s="15"/>
      <c r="F489" s="15"/>
      <c r="G489" s="15"/>
      <c r="H489" s="15"/>
      <c r="I489" s="15"/>
      <c r="J489" s="15"/>
      <c r="K489" s="9" t="str">
        <f ca="1">IF(COUNTIFS($A$2:A489,A489,$L$2:L489,L489)&gt;1,"DUPLICATE - CHECK","")</f>
        <v/>
      </c>
      <c r="L489" s="17"/>
      <c r="M489" s="17"/>
      <c r="N489" s="9">
        <f ca="1">IF(COUNTIF($A$2:A488,A489)&gt;0,INDEX($C$2:C488,MATCH(A489,$A$2:A488,0)),"")</f>
        <v>0</v>
      </c>
      <c r="O489" s="13"/>
      <c r="P489" s="19"/>
    </row>
    <row r="490" spans="1:16" ht="15.75" customHeight="1" x14ac:dyDescent="0.3">
      <c r="A490" s="8" t="str">
        <f ca="1">IFERROR(__xludf.DUMMYFUNCTION("IF(B490="""","""",RIGHT(regexreplace(B490&amp;"""",""[^0-9]"",""""),9))"),"")</f>
        <v/>
      </c>
      <c r="B490" s="5"/>
      <c r="C490" s="5"/>
      <c r="D490" s="5"/>
      <c r="E490" s="15"/>
      <c r="F490" s="15"/>
      <c r="G490" s="15"/>
      <c r="H490" s="15"/>
      <c r="I490" s="15"/>
      <c r="J490" s="15"/>
      <c r="K490" s="9" t="str">
        <f ca="1">IF(COUNTIFS($A$2:A490,A490,$L$2:L490,L490)&gt;1,"DUPLICATE - CHECK","")</f>
        <v/>
      </c>
      <c r="L490" s="17"/>
      <c r="M490" s="17"/>
      <c r="N490" s="9">
        <f ca="1">IF(COUNTIF($A$2:A489,A490)&gt;0,INDEX($C$2:C489,MATCH(A490,$A$2:A489,0)),"")</f>
        <v>0</v>
      </c>
      <c r="O490" s="13"/>
      <c r="P490" s="19"/>
    </row>
    <row r="491" spans="1:16" ht="15.75" customHeight="1" x14ac:dyDescent="0.3">
      <c r="A491" s="8" t="str">
        <f ca="1">IFERROR(__xludf.DUMMYFUNCTION("IF(B491="""","""",RIGHT(regexreplace(B491&amp;"""",""[^0-9]"",""""),9))"),"")</f>
        <v/>
      </c>
      <c r="B491" s="5"/>
      <c r="C491" s="5"/>
      <c r="D491" s="5"/>
      <c r="E491" s="15"/>
      <c r="F491" s="15"/>
      <c r="G491" s="15"/>
      <c r="H491" s="15"/>
      <c r="I491" s="15"/>
      <c r="J491" s="15"/>
      <c r="K491" s="9" t="str">
        <f ca="1">IF(COUNTIFS($A$2:A491,A491,$L$2:L491,L491)&gt;1,"DUPLICATE - CHECK","")</f>
        <v/>
      </c>
      <c r="L491" s="17"/>
      <c r="M491" s="17"/>
      <c r="N491" s="9" t="str">
        <f t="array" aca="1" ref="N491" ca="1">IF(COUNTIF($A$2:A490,A)&gt;0,INDEX($C$2:C490,MATCH(A491,$A$2:A490,0)),"")</f>
        <v/>
      </c>
      <c r="O491" s="13"/>
      <c r="P491" s="19"/>
    </row>
    <row r="492" spans="1:16" ht="15.75" customHeight="1" x14ac:dyDescent="0.3">
      <c r="A492" s="8" t="str">
        <f ca="1">IFERROR(__xludf.DUMMYFUNCTION("IF(B492="""","""",RIGHT(regexreplace(B492&amp;"""",""[^0-9]"",""""),9))"),"")</f>
        <v/>
      </c>
      <c r="B492" s="5"/>
      <c r="C492" s="5"/>
      <c r="D492" s="5"/>
      <c r="E492" s="15"/>
      <c r="F492" s="15"/>
      <c r="G492" s="15"/>
      <c r="H492" s="15"/>
      <c r="I492" s="15"/>
      <c r="J492" s="15"/>
      <c r="K492" s="9" t="str">
        <f ca="1">IF(COUNTIFS($A$2:A492,A492,$L$2:L492,L492)&gt;1,"DUPLICATE - CHECK","")</f>
        <v/>
      </c>
      <c r="L492" s="17"/>
      <c r="M492" s="17"/>
      <c r="N492" s="9">
        <f ca="1">IF(COUNTIF($A$2:A491,A492)&gt;0,INDEX($C$2:C491,MATCH(A492,$A$2:A491,0)),"")</f>
        <v>0</v>
      </c>
      <c r="O492" s="13"/>
      <c r="P492" s="19"/>
    </row>
    <row r="493" spans="1:16" ht="15.75" customHeight="1" x14ac:dyDescent="0.3">
      <c r="A493" s="8" t="str">
        <f ca="1">IFERROR(__xludf.DUMMYFUNCTION("IF(B493="""","""",RIGHT(regexreplace(B493&amp;"""",""[^0-9]"",""""),9))"),"")</f>
        <v/>
      </c>
      <c r="B493" s="5"/>
      <c r="C493" s="5"/>
      <c r="D493" s="5"/>
      <c r="E493" s="15"/>
      <c r="F493" s="15"/>
      <c r="G493" s="15"/>
      <c r="H493" s="15"/>
      <c r="I493" s="15"/>
      <c r="J493" s="15"/>
      <c r="K493" s="9" t="str">
        <f ca="1">IF(COUNTIFS($A$2:A493,A493,$L$2:L493,L493)&gt;1,"DUPLICATE - CHECK","")</f>
        <v/>
      </c>
      <c r="L493" s="17"/>
      <c r="M493" s="17"/>
      <c r="N493" s="9">
        <f ca="1">IF(COUNTIF($A$2:A492,A493)&gt;0,INDEX($C$2:C492,MATCH(A493,$A$2:A492,0)),"")</f>
        <v>0</v>
      </c>
      <c r="O493" s="13"/>
      <c r="P493" s="19"/>
    </row>
    <row r="494" spans="1:16" ht="15.75" customHeight="1" x14ac:dyDescent="0.3">
      <c r="A494" s="8" t="str">
        <f ca="1">IFERROR(__xludf.DUMMYFUNCTION("IF(B494="""","""",RIGHT(regexreplace(B494&amp;"""",""[^0-9]"",""""),9))"),"")</f>
        <v/>
      </c>
      <c r="B494" s="5"/>
      <c r="C494" s="5"/>
      <c r="D494" s="5"/>
      <c r="E494" s="15"/>
      <c r="F494" s="15"/>
      <c r="G494" s="15"/>
      <c r="H494" s="15"/>
      <c r="I494" s="15"/>
      <c r="J494" s="15"/>
      <c r="K494" s="9" t="str">
        <f ca="1">IF(COUNTIFS($A$2:A494,A494,$L$2:L494,L494)&gt;1,"DUPLICATE - CHECK","")</f>
        <v/>
      </c>
      <c r="L494" s="17"/>
      <c r="M494" s="17"/>
      <c r="N494" s="9" t="str">
        <f t="array" aca="1" ref="N494" ca="1">IF(COUNTIF($A$2:A493,A)&gt;0,INDEX($C$2:C493,MATCH(A494,$A$2:A493,0)),"")</f>
        <v/>
      </c>
      <c r="O494" s="13"/>
      <c r="P494" s="19"/>
    </row>
    <row r="495" spans="1:16" ht="15.75" customHeight="1" x14ac:dyDescent="0.3">
      <c r="A495" s="8" t="str">
        <f ca="1">IFERROR(__xludf.DUMMYFUNCTION("IF(B495="""","""",RIGHT(regexreplace(B495&amp;"""",""[^0-9]"",""""),9))"),"")</f>
        <v/>
      </c>
      <c r="B495" s="5"/>
      <c r="C495" s="5"/>
      <c r="D495" s="5"/>
      <c r="E495" s="15"/>
      <c r="F495" s="15"/>
      <c r="G495" s="15"/>
      <c r="H495" s="15"/>
      <c r="I495" s="15"/>
      <c r="J495" s="15"/>
      <c r="K495" s="9" t="str">
        <f ca="1">IF(COUNTIFS($A$2:A495,A495,$L$2:L495,L495)&gt;1,"DUPLICATE - CHECK","")</f>
        <v/>
      </c>
      <c r="L495" s="17"/>
      <c r="M495" s="17"/>
      <c r="N495" s="9">
        <f ca="1">IF(COUNTIF($A$2:A494,A495)&gt;0,INDEX($C$2:C494,MATCH(A495,$A$2:A494,0)),"")</f>
        <v>0</v>
      </c>
      <c r="O495" s="13"/>
      <c r="P495" s="19"/>
    </row>
    <row r="496" spans="1:16" ht="15.75" customHeight="1" x14ac:dyDescent="0.3">
      <c r="A496" s="8" t="str">
        <f ca="1">IFERROR(__xludf.DUMMYFUNCTION("IF(B496="""","""",RIGHT(regexreplace(B496&amp;"""",""[^0-9]"",""""),9))"),"")</f>
        <v/>
      </c>
      <c r="B496" s="5"/>
      <c r="C496" s="5"/>
      <c r="D496" s="5"/>
      <c r="E496" s="15"/>
      <c r="F496" s="15"/>
      <c r="G496" s="15"/>
      <c r="H496" s="15"/>
      <c r="I496" s="15"/>
      <c r="J496" s="15"/>
      <c r="K496" s="9" t="str">
        <f ca="1">IF(COUNTIFS($A$2:A496,A496,$L$2:L496,L496)&gt;1,"DUPLICATE - CHECK","")</f>
        <v/>
      </c>
      <c r="L496" s="17"/>
      <c r="M496" s="17"/>
      <c r="N496" s="9">
        <f ca="1">IF(COUNTIF($A$2:A495,A496)&gt;0,INDEX($C$2:C495,MATCH(A496,$A$2:A495,0)),"")</f>
        <v>0</v>
      </c>
      <c r="O496" s="13"/>
      <c r="P496" s="19"/>
    </row>
    <row r="497" spans="1:16" ht="15.75" customHeight="1" x14ac:dyDescent="0.3">
      <c r="A497" s="8" t="str">
        <f ca="1">IFERROR(__xludf.DUMMYFUNCTION("IF(B497="""","""",RIGHT(regexreplace(B497&amp;"""",""[^0-9]"",""""),9))"),"")</f>
        <v/>
      </c>
      <c r="B497" s="5"/>
      <c r="C497" s="5"/>
      <c r="D497" s="5"/>
      <c r="E497" s="15"/>
      <c r="F497" s="15"/>
      <c r="G497" s="15"/>
      <c r="H497" s="15"/>
      <c r="I497" s="15"/>
      <c r="J497" s="15"/>
      <c r="K497" s="9" t="str">
        <f ca="1">IF(COUNTIFS($A$2:A497,A497,$L$2:L497,L497)&gt;1,"DUPLICATE - CHECK","")</f>
        <v/>
      </c>
      <c r="L497" s="17"/>
      <c r="M497" s="17"/>
      <c r="N497" s="9" t="str">
        <f t="array" aca="1" ref="N497" ca="1">IF(COUNTIF($A$2:A496,A)&gt;0,INDEX($C$2:C496,MATCH(A497,$A$2:A496,0)),"")</f>
        <v/>
      </c>
      <c r="O497" s="13"/>
      <c r="P497" s="19"/>
    </row>
    <row r="498" spans="1:16" ht="15.75" customHeight="1" x14ac:dyDescent="0.3">
      <c r="A498" s="8" t="str">
        <f ca="1">IFERROR(__xludf.DUMMYFUNCTION("IF(B498="""","""",RIGHT(regexreplace(B498&amp;"""",""[^0-9]"",""""),9))"),"")</f>
        <v/>
      </c>
      <c r="B498" s="5"/>
      <c r="C498" s="5"/>
      <c r="D498" s="5"/>
      <c r="E498" s="15"/>
      <c r="F498" s="15"/>
      <c r="G498" s="15"/>
      <c r="H498" s="15"/>
      <c r="I498" s="15"/>
      <c r="J498" s="15"/>
      <c r="K498" s="9" t="str">
        <f ca="1">IF(COUNTIFS($A$2:A498,A498,$L$2:L498,L498)&gt;1,"DUPLICATE - CHECK","")</f>
        <v/>
      </c>
      <c r="L498" s="17"/>
      <c r="M498" s="17"/>
      <c r="N498" s="9">
        <f ca="1">IF(COUNTIF($A$2:A497,A498)&gt;0,INDEX($C$2:C497,MATCH(A498,$A$2:A497,0)),"")</f>
        <v>0</v>
      </c>
      <c r="O498" s="13"/>
      <c r="P498" s="19"/>
    </row>
    <row r="499" spans="1:16" ht="15.75" customHeight="1" x14ac:dyDescent="0.3">
      <c r="A499" s="8" t="str">
        <f ca="1">IFERROR(__xludf.DUMMYFUNCTION("IF(B499="""","""",RIGHT(regexreplace(B499&amp;"""",""[^0-9]"",""""),9))"),"")</f>
        <v/>
      </c>
      <c r="B499" s="5"/>
      <c r="C499" s="5"/>
      <c r="D499" s="5"/>
      <c r="E499" s="15"/>
      <c r="F499" s="15"/>
      <c r="G499" s="15"/>
      <c r="H499" s="15"/>
      <c r="I499" s="15"/>
      <c r="J499" s="15"/>
      <c r="K499" s="9" t="str">
        <f ca="1">IF(COUNTIFS($A$2:A499,A499,$L$2:L499,L499)&gt;1,"DUPLICATE - CHECK","")</f>
        <v/>
      </c>
      <c r="L499" s="17"/>
      <c r="M499" s="17"/>
      <c r="N499" s="9">
        <f ca="1">IF(COUNTIF($A$2:A498,A499)&gt;0,INDEX($C$2:C498,MATCH(A499,$A$2:A498,0)),"")</f>
        <v>0</v>
      </c>
      <c r="O499" s="13"/>
      <c r="P499" s="19"/>
    </row>
    <row r="500" spans="1:16" ht="15.75" customHeight="1" x14ac:dyDescent="0.3">
      <c r="A500" s="8" t="str">
        <f ca="1">IFERROR(__xludf.DUMMYFUNCTION("IF(B500="""","""",RIGHT(regexreplace(B500&amp;"""",""[^0-9]"",""""),9))"),"")</f>
        <v/>
      </c>
      <c r="B500" s="5"/>
      <c r="C500" s="5"/>
      <c r="D500" s="5"/>
      <c r="E500" s="15"/>
      <c r="F500" s="15"/>
      <c r="G500" s="15"/>
      <c r="H500" s="15"/>
      <c r="I500" s="15"/>
      <c r="J500" s="15"/>
      <c r="K500" s="9" t="str">
        <f ca="1">IF(COUNTIFS($A$2:A500,A500,$L$2:L500,L500)&gt;1,"DUPLICATE - CHECK","")</f>
        <v/>
      </c>
      <c r="L500" s="17"/>
      <c r="M500" s="17"/>
      <c r="N500" s="9" t="str">
        <f t="array" aca="1" ref="N500" ca="1">IF(COUNTIF($A$2:A499,A)&gt;0,INDEX($C$2:C499,MATCH(A500,$A$2:A499,0)),"")</f>
        <v/>
      </c>
      <c r="O500" s="13"/>
      <c r="P500" s="19"/>
    </row>
    <row r="501" spans="1:16" ht="15.75" customHeight="1" x14ac:dyDescent="0.3">
      <c r="A501" s="8" t="str">
        <f ca="1">IFERROR(__xludf.DUMMYFUNCTION("IF(B501="""","""",RIGHT(regexreplace(B501&amp;"""",""[^0-9]"",""""),9))"),"")</f>
        <v/>
      </c>
      <c r="B501" s="5"/>
      <c r="C501" s="5"/>
      <c r="D501" s="5"/>
      <c r="E501" s="15"/>
      <c r="F501" s="15"/>
      <c r="G501" s="15"/>
      <c r="H501" s="15"/>
      <c r="I501" s="15"/>
      <c r="J501" s="15"/>
      <c r="K501" s="9" t="str">
        <f ca="1">IF(COUNTIFS($A$2:A501,A501,$L$2:L501,L501)&gt;1,"DUPLICATE - CHECK","")</f>
        <v/>
      </c>
      <c r="L501" s="17"/>
      <c r="M501" s="17"/>
      <c r="N501" s="9">
        <f ca="1">IF(COUNTIF($A$2:A500,A501)&gt;0,INDEX($C$2:C500,MATCH(A501,$A$2:A500,0)),"")</f>
        <v>0</v>
      </c>
      <c r="O501" s="13"/>
      <c r="P501" s="19"/>
    </row>
    <row r="502" spans="1:16" ht="15.75" customHeight="1" x14ac:dyDescent="0.3">
      <c r="A502" s="8" t="str">
        <f ca="1">IFERROR(__xludf.DUMMYFUNCTION("IF(B502="""","""",RIGHT(regexreplace(B502&amp;"""",""[^0-9]"",""""),9))"),"")</f>
        <v/>
      </c>
      <c r="B502" s="5"/>
      <c r="C502" s="5"/>
      <c r="D502" s="5"/>
      <c r="E502" s="15"/>
      <c r="F502" s="15"/>
      <c r="G502" s="15"/>
      <c r="H502" s="15"/>
      <c r="I502" s="15"/>
      <c r="J502" s="15"/>
      <c r="K502" s="9" t="str">
        <f ca="1">IF(COUNTIFS($A$2:A502,A502,$L$2:L502,L502)&gt;1,"DUPLICATE - CHECK","")</f>
        <v/>
      </c>
      <c r="L502" s="17"/>
      <c r="M502" s="17"/>
      <c r="N502" s="9">
        <f ca="1">IF(COUNTIF($A$2:A501,A502)&gt;0,INDEX($C$2:C501,MATCH(A502,$A$2:A501,0)),"")</f>
        <v>0</v>
      </c>
      <c r="O502" s="13"/>
      <c r="P502" s="19"/>
    </row>
    <row r="503" spans="1:16" ht="15.75" customHeight="1" x14ac:dyDescent="0.3">
      <c r="A503" s="8" t="str">
        <f ca="1">IFERROR(__xludf.DUMMYFUNCTION("IF(B503="""","""",RIGHT(regexreplace(B503&amp;"""",""[^0-9]"",""""),9))"),"")</f>
        <v/>
      </c>
      <c r="B503" s="5"/>
      <c r="C503" s="5"/>
      <c r="D503" s="5"/>
      <c r="E503" s="15"/>
      <c r="F503" s="15"/>
      <c r="G503" s="15"/>
      <c r="H503" s="15"/>
      <c r="I503" s="15"/>
      <c r="J503" s="15"/>
      <c r="K503" s="9" t="str">
        <f ca="1">IF(COUNTIFS($A$2:A503,A503,$L$2:L503,L503)&gt;1,"DUPLICATE - CHECK","")</f>
        <v/>
      </c>
      <c r="L503" s="17"/>
      <c r="M503" s="17"/>
      <c r="N503" s="9" t="str">
        <f t="array" aca="1" ref="N503" ca="1">IF(COUNTIF($A$2:A502,A)&gt;0,INDEX($C$2:C502,MATCH(A503,$A$2:A502,0)),"")</f>
        <v/>
      </c>
      <c r="O503" s="13"/>
      <c r="P503" s="19"/>
    </row>
    <row r="504" spans="1:16" ht="15.75" customHeight="1" x14ac:dyDescent="0.3">
      <c r="A504" s="8" t="str">
        <f ca="1">IFERROR(__xludf.DUMMYFUNCTION("IF(B504="""","""",RIGHT(regexreplace(B504&amp;"""",""[^0-9]"",""""),9))"),"")</f>
        <v/>
      </c>
      <c r="B504" s="5"/>
      <c r="C504" s="5"/>
      <c r="D504" s="5"/>
      <c r="E504" s="15"/>
      <c r="F504" s="15"/>
      <c r="G504" s="15"/>
      <c r="H504" s="15"/>
      <c r="I504" s="15"/>
      <c r="J504" s="15"/>
      <c r="K504" s="9" t="str">
        <f ca="1">IF(COUNTIFS($A$2:A504,A504,$L$2:L504,L504)&gt;1,"DUPLICATE - CHECK","")</f>
        <v/>
      </c>
      <c r="L504" s="17"/>
      <c r="M504" s="17"/>
      <c r="N504" s="9">
        <f ca="1">IF(COUNTIF($A$2:A503,A504)&gt;0,INDEX($C$2:C503,MATCH(A504,$A$2:A503,0)),"")</f>
        <v>0</v>
      </c>
      <c r="O504" s="13"/>
      <c r="P504" s="19"/>
    </row>
    <row r="505" spans="1:16" ht="15.75" customHeight="1" x14ac:dyDescent="0.3">
      <c r="A505" s="8" t="str">
        <f ca="1">IFERROR(__xludf.DUMMYFUNCTION("IF(B505="""","""",RIGHT(regexreplace(B505&amp;"""",""[^0-9]"",""""),9))"),"")</f>
        <v/>
      </c>
      <c r="B505" s="5"/>
      <c r="C505" s="5"/>
      <c r="D505" s="5"/>
      <c r="E505" s="15"/>
      <c r="F505" s="15"/>
      <c r="G505" s="15"/>
      <c r="H505" s="15"/>
      <c r="I505" s="15"/>
      <c r="J505" s="15"/>
      <c r="K505" s="9" t="str">
        <f ca="1">IF(COUNTIFS($A$2:A505,A505,$L$2:L505,L505)&gt;1,"DUPLICATE - CHECK","")</f>
        <v/>
      </c>
      <c r="L505" s="17"/>
      <c r="M505" s="17"/>
      <c r="N505" s="9">
        <f ca="1">IF(COUNTIF($A$2:A504,A505)&gt;0,INDEX($C$2:C504,MATCH(A505,$A$2:A504,0)),"")</f>
        <v>0</v>
      </c>
      <c r="O505" s="13"/>
      <c r="P505" s="19"/>
    </row>
    <row r="506" spans="1:16" ht="15.75" customHeight="1" x14ac:dyDescent="0.3">
      <c r="A506" s="8" t="str">
        <f ca="1">IFERROR(__xludf.DUMMYFUNCTION("IF(B506="""","""",RIGHT(regexreplace(B506&amp;"""",""[^0-9]"",""""),9))"),"")</f>
        <v/>
      </c>
      <c r="B506" s="5"/>
      <c r="C506" s="5"/>
      <c r="D506" s="5"/>
      <c r="E506" s="15"/>
      <c r="F506" s="15"/>
      <c r="G506" s="15"/>
      <c r="H506" s="15"/>
      <c r="I506" s="15"/>
      <c r="J506" s="15"/>
      <c r="K506" s="9" t="str">
        <f ca="1">IF(COUNTIFS($A$2:A506,A506,$L$2:L506,L506)&gt;1,"DUPLICATE - CHECK","")</f>
        <v/>
      </c>
      <c r="L506" s="17"/>
      <c r="M506" s="17"/>
      <c r="N506" s="9" t="str">
        <f t="array" aca="1" ref="N506" ca="1">IF(COUNTIF($A$2:A505,A)&gt;0,INDEX($C$2:C505,MATCH(A506,$A$2:A505,0)),"")</f>
        <v/>
      </c>
      <c r="O506" s="13"/>
      <c r="P506" s="19"/>
    </row>
    <row r="507" spans="1:16" ht="15.75" customHeight="1" x14ac:dyDescent="0.3">
      <c r="A507" s="8" t="str">
        <f ca="1">IFERROR(__xludf.DUMMYFUNCTION("IF(B507="""","""",RIGHT(regexreplace(B507&amp;"""",""[^0-9]"",""""),9))"),"")</f>
        <v/>
      </c>
      <c r="B507" s="5"/>
      <c r="C507" s="5"/>
      <c r="D507" s="5"/>
      <c r="E507" s="15"/>
      <c r="F507" s="15"/>
      <c r="G507" s="15"/>
      <c r="H507" s="15"/>
      <c r="I507" s="15"/>
      <c r="J507" s="15"/>
      <c r="K507" s="9" t="str">
        <f ca="1">IF(COUNTIFS($A$2:A507,A507,$L$2:L507,L507)&gt;1,"DUPLICATE - CHECK","")</f>
        <v/>
      </c>
      <c r="L507" s="17"/>
      <c r="M507" s="17"/>
      <c r="N507" s="9">
        <f ca="1">IF(COUNTIF($A$2:A506,A507)&gt;0,INDEX($C$2:C506,MATCH(A507,$A$2:A506,0)),"")</f>
        <v>0</v>
      </c>
      <c r="O507" s="13"/>
      <c r="P507" s="19"/>
    </row>
    <row r="508" spans="1:16" ht="15.75" customHeight="1" x14ac:dyDescent="0.3">
      <c r="A508" s="8" t="str">
        <f ca="1">IFERROR(__xludf.DUMMYFUNCTION("IF(B508="""","""",RIGHT(regexreplace(B508&amp;"""",""[^0-9]"",""""),9))"),"")</f>
        <v/>
      </c>
      <c r="B508" s="5"/>
      <c r="C508" s="5"/>
      <c r="D508" s="5"/>
      <c r="E508" s="15"/>
      <c r="F508" s="15"/>
      <c r="G508" s="15"/>
      <c r="H508" s="15"/>
      <c r="I508" s="15"/>
      <c r="J508" s="15"/>
      <c r="K508" s="9" t="str">
        <f ca="1">IF(COUNTIFS($A$2:A508,A508,$L$2:L508,L508)&gt;1,"DUPLICATE - CHECK","")</f>
        <v/>
      </c>
      <c r="L508" s="17"/>
      <c r="M508" s="17"/>
      <c r="N508" s="9">
        <f ca="1">IF(COUNTIF($A$2:A507,A508)&gt;0,INDEX($C$2:C507,MATCH(A508,$A$2:A507,0)),"")</f>
        <v>0</v>
      </c>
      <c r="O508" s="13"/>
      <c r="P508" s="19"/>
    </row>
    <row r="509" spans="1:16" ht="15.75" customHeight="1" x14ac:dyDescent="0.3">
      <c r="A509" s="8" t="str">
        <f ca="1">IFERROR(__xludf.DUMMYFUNCTION("IF(B509="""","""",RIGHT(regexreplace(B509&amp;"""",""[^0-9]"",""""),9))"),"")</f>
        <v/>
      </c>
      <c r="B509" s="5"/>
      <c r="C509" s="5"/>
      <c r="D509" s="5"/>
      <c r="E509" s="15"/>
      <c r="F509" s="15"/>
      <c r="G509" s="15"/>
      <c r="H509" s="15"/>
      <c r="I509" s="15"/>
      <c r="J509" s="15"/>
      <c r="K509" s="9" t="str">
        <f ca="1">IF(COUNTIFS($A$2:A509,A509,$L$2:L509,L509)&gt;1,"DUPLICATE - CHECK","")</f>
        <v/>
      </c>
      <c r="L509" s="17"/>
      <c r="M509" s="17"/>
      <c r="N509" s="9" t="str">
        <f t="array" aca="1" ref="N509" ca="1">IF(COUNTIF($A$2:A508,A)&gt;0,INDEX($C$2:C508,MATCH(A509,$A$2:A508,0)),"")</f>
        <v/>
      </c>
      <c r="O509" s="13"/>
      <c r="P509" s="19"/>
    </row>
    <row r="510" spans="1:16" ht="15.75" customHeight="1" x14ac:dyDescent="0.3">
      <c r="A510" s="8" t="str">
        <f ca="1">IFERROR(__xludf.DUMMYFUNCTION("IF(B510="""","""",RIGHT(regexreplace(B510&amp;"""",""[^0-9]"",""""),9))"),"")</f>
        <v/>
      </c>
      <c r="B510" s="5"/>
      <c r="C510" s="5"/>
      <c r="D510" s="5"/>
      <c r="E510" s="15"/>
      <c r="F510" s="15"/>
      <c r="G510" s="15"/>
      <c r="H510" s="15"/>
      <c r="I510" s="15"/>
      <c r="J510" s="15"/>
      <c r="K510" s="9" t="str">
        <f ca="1">IF(COUNTIFS($A$2:A510,A510,$L$2:L510,L510)&gt;1,"DUPLICATE - CHECK","")</f>
        <v/>
      </c>
      <c r="L510" s="17"/>
      <c r="M510" s="17"/>
      <c r="N510" s="9">
        <f ca="1">IF(COUNTIF($A$2:A509,A510)&gt;0,INDEX($C$2:C509,MATCH(A510,$A$2:A509,0)),"")</f>
        <v>0</v>
      </c>
      <c r="O510" s="13"/>
      <c r="P510" s="19"/>
    </row>
    <row r="511" spans="1:16" ht="15.75" customHeight="1" x14ac:dyDescent="0.3">
      <c r="A511" s="8" t="str">
        <f ca="1">IFERROR(__xludf.DUMMYFUNCTION("IF(B511="""","""",RIGHT(regexreplace(B511&amp;"""",""[^0-9]"",""""),9))"),"")</f>
        <v/>
      </c>
      <c r="B511" s="5"/>
      <c r="C511" s="5"/>
      <c r="D511" s="5"/>
      <c r="E511" s="15"/>
      <c r="F511" s="15"/>
      <c r="G511" s="15"/>
      <c r="H511" s="15"/>
      <c r="I511" s="15"/>
      <c r="J511" s="15"/>
      <c r="K511" s="9" t="str">
        <f ca="1">IF(COUNTIFS($A$2:A511,A511,$L$2:L511,L511)&gt;1,"DUPLICATE - CHECK","")</f>
        <v/>
      </c>
      <c r="L511" s="17"/>
      <c r="M511" s="17"/>
      <c r="N511" s="9">
        <f ca="1">IF(COUNTIF($A$2:A510,A511)&gt;0,INDEX($C$2:C510,MATCH(A511,$A$2:A510,0)),"")</f>
        <v>0</v>
      </c>
      <c r="O511" s="13"/>
      <c r="P511" s="19"/>
    </row>
    <row r="512" spans="1:16" ht="15.75" customHeight="1" x14ac:dyDescent="0.3">
      <c r="A512" s="8" t="str">
        <f ca="1">IFERROR(__xludf.DUMMYFUNCTION("IF(B512="""","""",RIGHT(regexreplace(B512&amp;"""",""[^0-9]"",""""),9))"),"")</f>
        <v/>
      </c>
      <c r="B512" s="5"/>
      <c r="C512" s="5"/>
      <c r="D512" s="5"/>
      <c r="E512" s="15"/>
      <c r="F512" s="15"/>
      <c r="G512" s="15"/>
      <c r="H512" s="15"/>
      <c r="I512" s="15"/>
      <c r="J512" s="15"/>
      <c r="K512" s="9" t="str">
        <f ca="1">IF(COUNTIFS($A$2:A512,A512,$L$2:L512,L512)&gt;1,"DUPLICATE - CHECK","")</f>
        <v/>
      </c>
      <c r="L512" s="17"/>
      <c r="M512" s="17"/>
      <c r="N512" s="9" t="str">
        <f t="array" aca="1" ref="N512" ca="1">IF(COUNTIF($A$2:A511,A)&gt;0,INDEX($C$2:C511,MATCH(A512,$A$2:A511,0)),"")</f>
        <v/>
      </c>
      <c r="O512" s="13"/>
      <c r="P512" s="19"/>
    </row>
    <row r="513" spans="1:16" ht="15.75" customHeight="1" x14ac:dyDescent="0.3">
      <c r="A513" s="8" t="str">
        <f ca="1">IFERROR(__xludf.DUMMYFUNCTION("IF(B513="""","""",RIGHT(regexreplace(B513&amp;"""",""[^0-9]"",""""),9))"),"")</f>
        <v/>
      </c>
      <c r="B513" s="5"/>
      <c r="C513" s="5"/>
      <c r="D513" s="5"/>
      <c r="E513" s="15"/>
      <c r="F513" s="15"/>
      <c r="G513" s="15"/>
      <c r="H513" s="15"/>
      <c r="I513" s="15"/>
      <c r="J513" s="15"/>
      <c r="K513" s="9" t="str">
        <f ca="1">IF(COUNTIFS($A$2:A513,A513,$L$2:L513,L513)&gt;1,"DUPLICATE - CHECK","")</f>
        <v/>
      </c>
      <c r="L513" s="17"/>
      <c r="M513" s="17"/>
      <c r="N513" s="9">
        <f ca="1">IF(COUNTIF($A$2:A512,A513)&gt;0,INDEX($C$2:C512,MATCH(A513,$A$2:A512,0)),"")</f>
        <v>0</v>
      </c>
      <c r="O513" s="13"/>
      <c r="P513" s="19"/>
    </row>
    <row r="514" spans="1:16" ht="15.75" customHeight="1" x14ac:dyDescent="0.3">
      <c r="A514" s="8" t="str">
        <f ca="1">IFERROR(__xludf.DUMMYFUNCTION("IF(B514="""","""",RIGHT(regexreplace(B514&amp;"""",""[^0-9]"",""""),9))"),"")</f>
        <v/>
      </c>
      <c r="B514" s="5"/>
      <c r="C514" s="5"/>
      <c r="D514" s="5"/>
      <c r="E514" s="15"/>
      <c r="F514" s="15"/>
      <c r="G514" s="15"/>
      <c r="H514" s="15"/>
      <c r="I514" s="15"/>
      <c r="J514" s="15"/>
      <c r="K514" s="9" t="str">
        <f ca="1">IF(COUNTIFS($A$2:A514,A514,$L$2:L514,L514)&gt;1,"DUPLICATE - CHECK","")</f>
        <v/>
      </c>
      <c r="L514" s="17"/>
      <c r="M514" s="17"/>
      <c r="N514" s="9">
        <f ca="1">IF(COUNTIF($A$2:A513,A514)&gt;0,INDEX($C$2:C513,MATCH(A514,$A$2:A513,0)),"")</f>
        <v>0</v>
      </c>
      <c r="O514" s="13"/>
      <c r="P514" s="19"/>
    </row>
    <row r="515" spans="1:16" ht="15.75" customHeight="1" x14ac:dyDescent="0.3">
      <c r="A515" s="8" t="str">
        <f ca="1">IFERROR(__xludf.DUMMYFUNCTION("IF(B515="""","""",RIGHT(regexreplace(B515&amp;"""",""[^0-9]"",""""),9))"),"")</f>
        <v/>
      </c>
      <c r="B515" s="5"/>
      <c r="C515" s="5"/>
      <c r="D515" s="5"/>
      <c r="E515" s="15"/>
      <c r="F515" s="15"/>
      <c r="G515" s="15"/>
      <c r="H515" s="15"/>
      <c r="I515" s="15"/>
      <c r="J515" s="15"/>
      <c r="K515" s="9" t="str">
        <f ca="1">IF(COUNTIFS($A$2:A515,A515,$L$2:L515,L515)&gt;1,"DUPLICATE - CHECK","")</f>
        <v/>
      </c>
      <c r="L515" s="17"/>
      <c r="M515" s="17"/>
      <c r="N515" s="9" t="str">
        <f t="array" aca="1" ref="N515" ca="1">IF(COUNTIF($A$2:A514,A)&gt;0,INDEX($C$2:C514,MATCH(A515,$A$2:A514,0)),"")</f>
        <v/>
      </c>
      <c r="O515" s="13"/>
      <c r="P515" s="19"/>
    </row>
    <row r="516" spans="1:16" ht="15.75" customHeight="1" x14ac:dyDescent="0.3">
      <c r="A516" s="8" t="str">
        <f ca="1">IFERROR(__xludf.DUMMYFUNCTION("IF(B516="""","""",RIGHT(regexreplace(B516&amp;"""",""[^0-9]"",""""),9))"),"")</f>
        <v/>
      </c>
      <c r="B516" s="5"/>
      <c r="C516" s="5"/>
      <c r="D516" s="5"/>
      <c r="E516" s="15"/>
      <c r="F516" s="15"/>
      <c r="G516" s="15"/>
      <c r="H516" s="15"/>
      <c r="I516" s="15"/>
      <c r="J516" s="15"/>
      <c r="K516" s="9" t="str">
        <f ca="1">IF(COUNTIFS($A$2:A516,A516,$L$2:L516,L516)&gt;1,"DUPLICATE - CHECK","")</f>
        <v/>
      </c>
      <c r="L516" s="17"/>
      <c r="M516" s="17"/>
      <c r="N516" s="9">
        <f ca="1">IF(COUNTIF($A$2:A515,A516)&gt;0,INDEX($C$2:C515,MATCH(A516,$A$2:A515,0)),"")</f>
        <v>0</v>
      </c>
      <c r="O516" s="13"/>
      <c r="P516" s="19"/>
    </row>
    <row r="517" spans="1:16" ht="15.75" customHeight="1" x14ac:dyDescent="0.3">
      <c r="A517" s="8" t="str">
        <f ca="1">IFERROR(__xludf.DUMMYFUNCTION("IF(B517="""","""",RIGHT(regexreplace(B517&amp;"""",""[^0-9]"",""""),9))"),"")</f>
        <v/>
      </c>
      <c r="B517" s="5"/>
      <c r="C517" s="5"/>
      <c r="D517" s="5"/>
      <c r="E517" s="15"/>
      <c r="F517" s="15"/>
      <c r="G517" s="15"/>
      <c r="H517" s="15"/>
      <c r="I517" s="15"/>
      <c r="J517" s="15"/>
      <c r="K517" s="9" t="str">
        <f ca="1">IF(COUNTIFS($A$2:A517,A517,$L$2:L517,L517)&gt;1,"DUPLICATE - CHECK","")</f>
        <v/>
      </c>
      <c r="L517" s="17"/>
      <c r="M517" s="17"/>
      <c r="N517" s="9">
        <f ca="1">IF(COUNTIF($A$2:A516,A517)&gt;0,INDEX($C$2:C516,MATCH(A517,$A$2:A516,0)),"")</f>
        <v>0</v>
      </c>
      <c r="O517" s="13"/>
      <c r="P517" s="19"/>
    </row>
    <row r="518" spans="1:16" ht="15.75" customHeight="1" x14ac:dyDescent="0.3">
      <c r="A518" s="8" t="str">
        <f ca="1">IFERROR(__xludf.DUMMYFUNCTION("IF(B518="""","""",RIGHT(regexreplace(B518&amp;"""",""[^0-9]"",""""),9))"),"")</f>
        <v/>
      </c>
      <c r="B518" s="5"/>
      <c r="C518" s="5"/>
      <c r="D518" s="5"/>
      <c r="E518" s="15"/>
      <c r="F518" s="15"/>
      <c r="G518" s="15"/>
      <c r="H518" s="15"/>
      <c r="I518" s="15"/>
      <c r="J518" s="15"/>
      <c r="K518" s="9" t="str">
        <f ca="1">IF(COUNTIFS($A$2:A518,A518,$L$2:L518,L518)&gt;1,"DUPLICATE - CHECK","")</f>
        <v/>
      </c>
      <c r="L518" s="17"/>
      <c r="M518" s="17"/>
      <c r="N518" s="9" t="str">
        <f t="array" aca="1" ref="N518" ca="1">IF(COUNTIF($A$2:A517,A)&gt;0,INDEX($C$2:C517,MATCH(A518,$A$2:A517,0)),"")</f>
        <v/>
      </c>
      <c r="O518" s="13"/>
      <c r="P518" s="19"/>
    </row>
    <row r="519" spans="1:16" ht="15.75" customHeight="1" x14ac:dyDescent="0.3">
      <c r="A519" s="8" t="str">
        <f ca="1">IFERROR(__xludf.DUMMYFUNCTION("IF(B519="""","""",RIGHT(regexreplace(B519&amp;"""",""[^0-9]"",""""),9))"),"")</f>
        <v/>
      </c>
      <c r="B519" s="5"/>
      <c r="C519" s="5"/>
      <c r="D519" s="5"/>
      <c r="E519" s="15"/>
      <c r="F519" s="15"/>
      <c r="G519" s="15"/>
      <c r="H519" s="15"/>
      <c r="I519" s="15"/>
      <c r="J519" s="15"/>
      <c r="K519" s="9" t="str">
        <f ca="1">IF(COUNTIFS($A$2:A519,A519,$L$2:L519,L519)&gt;1,"DUPLICATE - CHECK","")</f>
        <v/>
      </c>
      <c r="L519" s="17"/>
      <c r="M519" s="17"/>
      <c r="N519" s="9">
        <f ca="1">IF(COUNTIF($A$2:A518,A519)&gt;0,INDEX($C$2:C518,MATCH(A519,$A$2:A518,0)),"")</f>
        <v>0</v>
      </c>
      <c r="O519" s="13"/>
      <c r="P519" s="19"/>
    </row>
    <row r="520" spans="1:16" ht="15.75" customHeight="1" x14ac:dyDescent="0.3">
      <c r="A520" s="8" t="str">
        <f ca="1">IFERROR(__xludf.DUMMYFUNCTION("IF(B520="""","""",RIGHT(regexreplace(B520&amp;"""",""[^0-9]"",""""),9))"),"")</f>
        <v/>
      </c>
      <c r="B520" s="5"/>
      <c r="C520" s="5"/>
      <c r="D520" s="5"/>
      <c r="E520" s="15"/>
      <c r="F520" s="15"/>
      <c r="G520" s="15"/>
      <c r="H520" s="15"/>
      <c r="I520" s="15"/>
      <c r="J520" s="15"/>
      <c r="K520" s="9" t="str">
        <f ca="1">IF(COUNTIFS($A$2:A520,A520,$L$2:L520,L520)&gt;1,"DUPLICATE - CHECK","")</f>
        <v/>
      </c>
      <c r="L520" s="17"/>
      <c r="M520" s="17"/>
      <c r="N520" s="9">
        <f ca="1">IF(COUNTIF($A$2:A519,A520)&gt;0,INDEX($C$2:C519,MATCH(A520,$A$2:A519,0)),"")</f>
        <v>0</v>
      </c>
      <c r="O520" s="13"/>
      <c r="P520" s="19"/>
    </row>
    <row r="521" spans="1:16" ht="15.75" customHeight="1" x14ac:dyDescent="0.3">
      <c r="A521" s="8" t="str">
        <f ca="1">IFERROR(__xludf.DUMMYFUNCTION("IF(B521="""","""",RIGHT(regexreplace(B521&amp;"""",""[^0-9]"",""""),9))"),"")</f>
        <v/>
      </c>
      <c r="B521" s="5"/>
      <c r="C521" s="5"/>
      <c r="D521" s="5"/>
      <c r="E521" s="15"/>
      <c r="F521" s="15"/>
      <c r="G521" s="15"/>
      <c r="H521" s="15"/>
      <c r="I521" s="15"/>
      <c r="J521" s="15"/>
      <c r="K521" s="9" t="str">
        <f ca="1">IF(COUNTIFS($A$2:A521,A521,$L$2:L521,L521)&gt;1,"DUPLICATE - CHECK","")</f>
        <v/>
      </c>
      <c r="L521" s="17"/>
      <c r="M521" s="17"/>
      <c r="N521" s="9" t="str">
        <f t="array" aca="1" ref="N521" ca="1">IF(COUNTIF($A$2:A520,A)&gt;0,INDEX($C$2:C520,MATCH(A521,$A$2:A520,0)),"")</f>
        <v/>
      </c>
      <c r="O521" s="13"/>
      <c r="P521" s="19"/>
    </row>
    <row r="522" spans="1:16" ht="15.75" customHeight="1" x14ac:dyDescent="0.3">
      <c r="A522" s="8" t="str">
        <f ca="1">IFERROR(__xludf.DUMMYFUNCTION("IF(B522="""","""",RIGHT(regexreplace(B522&amp;"""",""[^0-9]"",""""),9))"),"")</f>
        <v/>
      </c>
      <c r="B522" s="5"/>
      <c r="C522" s="5"/>
      <c r="D522" s="5"/>
      <c r="E522" s="15"/>
      <c r="F522" s="15"/>
      <c r="G522" s="15"/>
      <c r="H522" s="15"/>
      <c r="I522" s="15"/>
      <c r="J522" s="15"/>
      <c r="K522" s="9" t="str">
        <f ca="1">IF(COUNTIFS($A$2:A522,A522,$L$2:L522,L522)&gt;1,"DUPLICATE - CHECK","")</f>
        <v/>
      </c>
      <c r="L522" s="17"/>
      <c r="M522" s="17"/>
      <c r="N522" s="9">
        <f ca="1">IF(COUNTIF($A$2:A521,A522)&gt;0,INDEX($C$2:C521,MATCH(A522,$A$2:A521,0)),"")</f>
        <v>0</v>
      </c>
      <c r="O522" s="13"/>
      <c r="P522" s="19"/>
    </row>
    <row r="523" spans="1:16" ht="15.75" customHeight="1" x14ac:dyDescent="0.3">
      <c r="A523" s="8" t="str">
        <f ca="1">IFERROR(__xludf.DUMMYFUNCTION("IF(B523="""","""",RIGHT(regexreplace(B523&amp;"""",""[^0-9]"",""""),9))"),"")</f>
        <v/>
      </c>
      <c r="B523" s="5"/>
      <c r="C523" s="5"/>
      <c r="D523" s="5"/>
      <c r="E523" s="15"/>
      <c r="F523" s="15"/>
      <c r="G523" s="15"/>
      <c r="H523" s="15"/>
      <c r="I523" s="15"/>
      <c r="J523" s="15"/>
      <c r="K523" s="9" t="str">
        <f ca="1">IF(COUNTIFS($A$2:A523,A523,$L$2:L523,L523)&gt;1,"DUPLICATE - CHECK","")</f>
        <v/>
      </c>
      <c r="L523" s="17"/>
      <c r="M523" s="17"/>
      <c r="N523" s="9">
        <f ca="1">IF(COUNTIF($A$2:A522,A523)&gt;0,INDEX($C$2:C522,MATCH(A523,$A$2:A522,0)),"")</f>
        <v>0</v>
      </c>
      <c r="O523" s="13"/>
      <c r="P523" s="19"/>
    </row>
    <row r="524" spans="1:16" ht="15.75" customHeight="1" x14ac:dyDescent="0.3">
      <c r="A524" s="8" t="str">
        <f ca="1">IFERROR(__xludf.DUMMYFUNCTION("IF(B524="""","""",RIGHT(regexreplace(B524&amp;"""",""[^0-9]"",""""),9))"),"")</f>
        <v/>
      </c>
      <c r="B524" s="5"/>
      <c r="C524" s="5"/>
      <c r="D524" s="5"/>
      <c r="E524" s="15"/>
      <c r="F524" s="15"/>
      <c r="G524" s="15"/>
      <c r="H524" s="15"/>
      <c r="I524" s="15"/>
      <c r="J524" s="15"/>
      <c r="K524" s="9" t="str">
        <f ca="1">IF(COUNTIFS($A$2:A524,A524,$L$2:L524,L524)&gt;1,"DUPLICATE - CHECK","")</f>
        <v/>
      </c>
      <c r="L524" s="17"/>
      <c r="M524" s="17"/>
      <c r="N524" s="9" t="str">
        <f t="array" aca="1" ref="N524" ca="1">IF(COUNTIF($A$2:A523,A)&gt;0,INDEX($C$2:C523,MATCH(A524,$A$2:A523,0)),"")</f>
        <v/>
      </c>
      <c r="O524" s="13"/>
      <c r="P524" s="19"/>
    </row>
    <row r="525" spans="1:16" ht="15.75" customHeight="1" x14ac:dyDescent="0.3">
      <c r="A525" s="8" t="str">
        <f ca="1">IFERROR(__xludf.DUMMYFUNCTION("IF(B525="""","""",RIGHT(regexreplace(B525&amp;"""",""[^0-9]"",""""),9))"),"")</f>
        <v/>
      </c>
      <c r="B525" s="5"/>
      <c r="C525" s="5"/>
      <c r="D525" s="5"/>
      <c r="E525" s="15"/>
      <c r="F525" s="15"/>
      <c r="G525" s="15"/>
      <c r="H525" s="15"/>
      <c r="I525" s="15"/>
      <c r="J525" s="15"/>
      <c r="K525" s="9" t="str">
        <f ca="1">IF(COUNTIFS($A$2:A525,A525,$L$2:L525,L525)&gt;1,"DUPLICATE - CHECK","")</f>
        <v/>
      </c>
      <c r="L525" s="17"/>
      <c r="M525" s="17"/>
      <c r="N525" s="9">
        <f ca="1">IF(COUNTIF($A$2:A524,A525)&gt;0,INDEX($C$2:C524,MATCH(A525,$A$2:A524,0)),"")</f>
        <v>0</v>
      </c>
      <c r="O525" s="13"/>
      <c r="P525" s="19"/>
    </row>
    <row r="526" spans="1:16" ht="15.75" customHeight="1" x14ac:dyDescent="0.3">
      <c r="A526" s="8" t="str">
        <f ca="1">IFERROR(__xludf.DUMMYFUNCTION("IF(B526="""","""",RIGHT(regexreplace(B526&amp;"""",""[^0-9]"",""""),9))"),"")</f>
        <v/>
      </c>
      <c r="B526" s="5"/>
      <c r="C526" s="5"/>
      <c r="D526" s="5"/>
      <c r="E526" s="15"/>
      <c r="F526" s="15"/>
      <c r="G526" s="15"/>
      <c r="H526" s="15"/>
      <c r="I526" s="15"/>
      <c r="J526" s="15"/>
      <c r="K526" s="9" t="str">
        <f ca="1">IF(COUNTIFS($A$2:A526,A526,$L$2:L526,L526)&gt;1,"DUPLICATE - CHECK","")</f>
        <v/>
      </c>
      <c r="L526" s="17"/>
      <c r="M526" s="17"/>
      <c r="N526" s="9">
        <f ca="1">IF(COUNTIF($A$2:A525,A526)&gt;0,INDEX($C$2:C525,MATCH(A526,$A$2:A525,0)),"")</f>
        <v>0</v>
      </c>
      <c r="O526" s="13"/>
      <c r="P526" s="19"/>
    </row>
    <row r="527" spans="1:16" ht="15.75" customHeight="1" x14ac:dyDescent="0.3">
      <c r="A527" s="8" t="str">
        <f ca="1">IFERROR(__xludf.DUMMYFUNCTION("IF(B527="""","""",RIGHT(regexreplace(B527&amp;"""",""[^0-9]"",""""),9))"),"")</f>
        <v/>
      </c>
      <c r="B527" s="5"/>
      <c r="C527" s="5"/>
      <c r="D527" s="5"/>
      <c r="E527" s="15"/>
      <c r="F527" s="15"/>
      <c r="G527" s="15"/>
      <c r="H527" s="15"/>
      <c r="I527" s="15"/>
      <c r="J527" s="15"/>
      <c r="K527" s="9" t="str">
        <f ca="1">IF(COUNTIFS($A$2:A527,A527,$L$2:L527,L527)&gt;1,"DUPLICATE - CHECK","")</f>
        <v/>
      </c>
      <c r="L527" s="17"/>
      <c r="M527" s="17"/>
      <c r="N527" s="9" t="str">
        <f t="array" aca="1" ref="N527" ca="1">IF(COUNTIF($A$2:A526,A)&gt;0,INDEX($C$2:C526,MATCH(A527,$A$2:A526,0)),"")</f>
        <v/>
      </c>
      <c r="O527" s="13"/>
      <c r="P527" s="19"/>
    </row>
    <row r="528" spans="1:16" ht="15.75" customHeight="1" x14ac:dyDescent="0.3">
      <c r="A528" s="8" t="str">
        <f ca="1">IFERROR(__xludf.DUMMYFUNCTION("IF(B528="""","""",RIGHT(regexreplace(B528&amp;"""",""[^0-9]"",""""),9))"),"")</f>
        <v/>
      </c>
      <c r="B528" s="5"/>
      <c r="C528" s="5"/>
      <c r="D528" s="5"/>
      <c r="E528" s="15"/>
      <c r="F528" s="15"/>
      <c r="G528" s="15"/>
      <c r="H528" s="15"/>
      <c r="I528" s="15"/>
      <c r="J528" s="15"/>
      <c r="K528" s="9" t="str">
        <f ca="1">IF(COUNTIFS($A$2:A528,A528,$L$2:L528,L528)&gt;1,"DUPLICATE - CHECK","")</f>
        <v/>
      </c>
      <c r="L528" s="17"/>
      <c r="M528" s="17"/>
      <c r="N528" s="9">
        <f ca="1">IF(COUNTIF($A$2:A527,A528)&gt;0,INDEX($C$2:C527,MATCH(A528,$A$2:A527,0)),"")</f>
        <v>0</v>
      </c>
      <c r="O528" s="13"/>
      <c r="P528" s="19"/>
    </row>
    <row r="529" spans="1:16" ht="15.75" customHeight="1" x14ac:dyDescent="0.3">
      <c r="A529" s="8" t="str">
        <f ca="1">IFERROR(__xludf.DUMMYFUNCTION("IF(B529="""","""",RIGHT(regexreplace(B529&amp;"""",""[^0-9]"",""""),9))"),"")</f>
        <v/>
      </c>
      <c r="B529" s="5"/>
      <c r="C529" s="5"/>
      <c r="D529" s="5"/>
      <c r="E529" s="15"/>
      <c r="F529" s="15"/>
      <c r="G529" s="15"/>
      <c r="H529" s="15"/>
      <c r="I529" s="15"/>
      <c r="J529" s="15"/>
      <c r="K529" s="9" t="str">
        <f ca="1">IF(COUNTIFS($A$2:A529,A529,$L$2:L529,L529)&gt;1,"DUPLICATE - CHECK","")</f>
        <v/>
      </c>
      <c r="L529" s="17"/>
      <c r="M529" s="17"/>
      <c r="N529" s="9">
        <f ca="1">IF(COUNTIF($A$2:A528,A529)&gt;0,INDEX($C$2:C528,MATCH(A529,$A$2:A528,0)),"")</f>
        <v>0</v>
      </c>
      <c r="O529" s="13"/>
      <c r="P529" s="19"/>
    </row>
    <row r="530" spans="1:16" ht="15.75" customHeight="1" x14ac:dyDescent="0.3">
      <c r="A530" s="8" t="str">
        <f ca="1">IFERROR(__xludf.DUMMYFUNCTION("IF(B530="""","""",RIGHT(regexreplace(B530&amp;"""",""[^0-9]"",""""),9))"),"")</f>
        <v/>
      </c>
      <c r="B530" s="5"/>
      <c r="C530" s="5"/>
      <c r="D530" s="5"/>
      <c r="E530" s="15"/>
      <c r="F530" s="15"/>
      <c r="G530" s="15"/>
      <c r="H530" s="15"/>
      <c r="I530" s="15"/>
      <c r="J530" s="15"/>
      <c r="K530" s="9" t="str">
        <f ca="1">IF(COUNTIFS($A$2:A530,A530,$L$2:L530,L530)&gt;1,"DUPLICATE - CHECK","")</f>
        <v/>
      </c>
      <c r="L530" s="17"/>
      <c r="M530" s="17"/>
      <c r="N530" s="9" t="str">
        <f t="array" aca="1" ref="N530" ca="1">IF(COUNTIF($A$2:A529,A)&gt;0,INDEX($C$2:C529,MATCH(A530,$A$2:A529,0)),"")</f>
        <v/>
      </c>
      <c r="O530" s="13"/>
      <c r="P530" s="19"/>
    </row>
    <row r="531" spans="1:16" ht="15.75" customHeight="1" x14ac:dyDescent="0.3">
      <c r="A531" s="8" t="str">
        <f ca="1">IFERROR(__xludf.DUMMYFUNCTION("IF(B531="""","""",RIGHT(regexreplace(B531&amp;"""",""[^0-9]"",""""),9))"),"")</f>
        <v/>
      </c>
      <c r="B531" s="5"/>
      <c r="C531" s="5"/>
      <c r="D531" s="5"/>
      <c r="E531" s="15"/>
      <c r="F531" s="15"/>
      <c r="G531" s="15"/>
      <c r="H531" s="15"/>
      <c r="I531" s="15"/>
      <c r="J531" s="15"/>
      <c r="K531" s="9" t="str">
        <f ca="1">IF(COUNTIFS($A$2:A531,A531,$L$2:L531,L531)&gt;1,"DUPLICATE - CHECK","")</f>
        <v/>
      </c>
      <c r="L531" s="17"/>
      <c r="M531" s="17"/>
      <c r="N531" s="9">
        <f ca="1">IF(COUNTIF($A$2:A530,A531)&gt;0,INDEX($C$2:C530,MATCH(A531,$A$2:A530,0)),"")</f>
        <v>0</v>
      </c>
      <c r="O531" s="13"/>
      <c r="P531" s="19"/>
    </row>
    <row r="532" spans="1:16" ht="15.75" customHeight="1" x14ac:dyDescent="0.3">
      <c r="A532" s="8" t="str">
        <f ca="1">IFERROR(__xludf.DUMMYFUNCTION("IF(B532="""","""",RIGHT(regexreplace(B532&amp;"""",""[^0-9]"",""""),9))"),"")</f>
        <v/>
      </c>
      <c r="B532" s="5"/>
      <c r="C532" s="5"/>
      <c r="D532" s="5"/>
      <c r="E532" s="15"/>
      <c r="F532" s="15"/>
      <c r="G532" s="15"/>
      <c r="H532" s="15"/>
      <c r="I532" s="15"/>
      <c r="J532" s="15"/>
      <c r="K532" s="9" t="str">
        <f ca="1">IF(COUNTIFS($A$2:A532,A532,$L$2:L532,L532)&gt;1,"DUPLICATE - CHECK","")</f>
        <v/>
      </c>
      <c r="L532" s="17"/>
      <c r="M532" s="17"/>
      <c r="N532" s="9">
        <f ca="1">IF(COUNTIF($A$2:A531,A532)&gt;0,INDEX($C$2:C531,MATCH(A532,$A$2:A531,0)),"")</f>
        <v>0</v>
      </c>
      <c r="O532" s="13"/>
      <c r="P532" s="19"/>
    </row>
    <row r="533" spans="1:16" ht="15.75" customHeight="1" x14ac:dyDescent="0.3">
      <c r="A533" s="8" t="str">
        <f ca="1">IFERROR(__xludf.DUMMYFUNCTION("IF(B533="""","""",RIGHT(regexreplace(B533&amp;"""",""[^0-9]"",""""),9))"),"")</f>
        <v/>
      </c>
      <c r="B533" s="5"/>
      <c r="C533" s="5"/>
      <c r="D533" s="5"/>
      <c r="E533" s="15"/>
      <c r="F533" s="15"/>
      <c r="G533" s="15"/>
      <c r="H533" s="15"/>
      <c r="I533" s="15"/>
      <c r="J533" s="15"/>
      <c r="K533" s="9" t="str">
        <f ca="1">IF(COUNTIFS($A$2:A533,A533,$L$2:L533,L533)&gt;1,"DUPLICATE - CHECK","")</f>
        <v/>
      </c>
      <c r="L533" s="17"/>
      <c r="M533" s="17"/>
      <c r="N533" s="9" t="str">
        <f t="array" aca="1" ref="N533" ca="1">IF(COUNTIF($A$2:A532,A)&gt;0,INDEX($C$2:C532,MATCH(A533,$A$2:A532,0)),"")</f>
        <v/>
      </c>
      <c r="O533" s="13"/>
      <c r="P533" s="19"/>
    </row>
    <row r="534" spans="1:16" ht="15.75" customHeight="1" x14ac:dyDescent="0.3">
      <c r="A534" s="8" t="str">
        <f ca="1">IFERROR(__xludf.DUMMYFUNCTION("IF(B534="""","""",RIGHT(regexreplace(B534&amp;"""",""[^0-9]"",""""),9))"),"")</f>
        <v/>
      </c>
      <c r="B534" s="5"/>
      <c r="C534" s="5"/>
      <c r="D534" s="5"/>
      <c r="E534" s="15"/>
      <c r="F534" s="15"/>
      <c r="G534" s="15"/>
      <c r="H534" s="15"/>
      <c r="I534" s="15"/>
      <c r="J534" s="15"/>
      <c r="K534" s="9" t="str">
        <f ca="1">IF(COUNTIFS($A$2:A534,A534,$L$2:L534,L534)&gt;1,"DUPLICATE - CHECK","")</f>
        <v/>
      </c>
      <c r="L534" s="17"/>
      <c r="M534" s="17"/>
      <c r="N534" s="9">
        <f ca="1">IF(COUNTIF($A$2:A533,A534)&gt;0,INDEX($C$2:C533,MATCH(A534,$A$2:A533,0)),"")</f>
        <v>0</v>
      </c>
      <c r="O534" s="13"/>
      <c r="P534" s="19"/>
    </row>
    <row r="535" spans="1:16" ht="15.75" customHeight="1" x14ac:dyDescent="0.3">
      <c r="A535" s="8" t="str">
        <f ca="1">IFERROR(__xludf.DUMMYFUNCTION("IF(B535="""","""",RIGHT(regexreplace(B535&amp;"""",""[^0-9]"",""""),9))"),"")</f>
        <v/>
      </c>
      <c r="B535" s="5"/>
      <c r="C535" s="5"/>
      <c r="D535" s="5"/>
      <c r="E535" s="15"/>
      <c r="F535" s="15"/>
      <c r="G535" s="15"/>
      <c r="H535" s="15"/>
      <c r="I535" s="15"/>
      <c r="J535" s="15"/>
      <c r="K535" s="9" t="str">
        <f ca="1">IF(COUNTIFS($A$2:A535,A535,$L$2:L535,L535)&gt;1,"DUPLICATE - CHECK","")</f>
        <v/>
      </c>
      <c r="L535" s="17"/>
      <c r="M535" s="17"/>
      <c r="N535" s="9">
        <f ca="1">IF(COUNTIF($A$2:A534,A535)&gt;0,INDEX($C$2:C534,MATCH(A535,$A$2:A534,0)),"")</f>
        <v>0</v>
      </c>
      <c r="O535" s="13"/>
      <c r="P535" s="19"/>
    </row>
    <row r="536" spans="1:16" ht="15.75" customHeight="1" x14ac:dyDescent="0.3">
      <c r="A536" s="8" t="str">
        <f ca="1">IFERROR(__xludf.DUMMYFUNCTION("IF(B536="""","""",RIGHT(regexreplace(B536&amp;"""",""[^0-9]"",""""),9))"),"")</f>
        <v/>
      </c>
      <c r="B536" s="5"/>
      <c r="C536" s="5"/>
      <c r="D536" s="5"/>
      <c r="E536" s="15"/>
      <c r="F536" s="15"/>
      <c r="G536" s="15"/>
      <c r="H536" s="15"/>
      <c r="I536" s="15"/>
      <c r="J536" s="15"/>
      <c r="K536" s="9" t="str">
        <f ca="1">IF(COUNTIFS($A$2:A536,A536,$L$2:L536,L536)&gt;1,"DUPLICATE - CHECK","")</f>
        <v/>
      </c>
      <c r="L536" s="17"/>
      <c r="M536" s="17"/>
      <c r="N536" s="9" t="str">
        <f t="array" aca="1" ref="N536" ca="1">IF(COUNTIF($A$2:A535,A)&gt;0,INDEX($C$2:C535,MATCH(A536,$A$2:A535,0)),"")</f>
        <v/>
      </c>
      <c r="O536" s="13"/>
      <c r="P536" s="19"/>
    </row>
    <row r="537" spans="1:16" ht="15.75" customHeight="1" x14ac:dyDescent="0.3">
      <c r="A537" s="8" t="str">
        <f ca="1">IFERROR(__xludf.DUMMYFUNCTION("IF(B537="""","""",RIGHT(regexreplace(B537&amp;"""",""[^0-9]"",""""),9))"),"")</f>
        <v/>
      </c>
      <c r="B537" s="5"/>
      <c r="C537" s="5"/>
      <c r="D537" s="5"/>
      <c r="E537" s="15"/>
      <c r="F537" s="15"/>
      <c r="G537" s="15"/>
      <c r="H537" s="15"/>
      <c r="I537" s="15"/>
      <c r="J537" s="15"/>
      <c r="K537" s="9" t="str">
        <f ca="1">IF(COUNTIFS($A$2:A537,A537,$L$2:L537,L537)&gt;1,"DUPLICATE - CHECK","")</f>
        <v/>
      </c>
      <c r="L537" s="17"/>
      <c r="M537" s="17"/>
      <c r="N537" s="9">
        <f ca="1">IF(COUNTIF($A$2:A536,A537)&gt;0,INDEX($C$2:C536,MATCH(A537,$A$2:A536,0)),"")</f>
        <v>0</v>
      </c>
      <c r="O537" s="13"/>
      <c r="P537" s="19"/>
    </row>
    <row r="538" spans="1:16" ht="15.75" customHeight="1" x14ac:dyDescent="0.3">
      <c r="A538" s="8" t="str">
        <f ca="1">IFERROR(__xludf.DUMMYFUNCTION("IF(B538="""","""",RIGHT(regexreplace(B538&amp;"""",""[^0-9]"",""""),9))"),"")</f>
        <v/>
      </c>
      <c r="B538" s="5"/>
      <c r="C538" s="5"/>
      <c r="D538" s="5"/>
      <c r="E538" s="15"/>
      <c r="F538" s="15"/>
      <c r="G538" s="15"/>
      <c r="H538" s="15"/>
      <c r="I538" s="15"/>
      <c r="J538" s="15"/>
      <c r="K538" s="9" t="str">
        <f ca="1">IF(COUNTIFS($A$2:A538,A538,$L$2:L538,L538)&gt;1,"DUPLICATE - CHECK","")</f>
        <v/>
      </c>
      <c r="L538" s="17"/>
      <c r="M538" s="17"/>
      <c r="N538" s="9">
        <f ca="1">IF(COUNTIF($A$2:A537,A538)&gt;0,INDEX($C$2:C537,MATCH(A538,$A$2:A537,0)),"")</f>
        <v>0</v>
      </c>
      <c r="O538" s="13"/>
      <c r="P538" s="19"/>
    </row>
    <row r="539" spans="1:16" ht="15.75" customHeight="1" x14ac:dyDescent="0.3">
      <c r="A539" s="8" t="str">
        <f ca="1">IFERROR(__xludf.DUMMYFUNCTION("IF(B539="""","""",RIGHT(regexreplace(B539&amp;"""",""[^0-9]"",""""),9))"),"")</f>
        <v/>
      </c>
      <c r="B539" s="5"/>
      <c r="C539" s="5"/>
      <c r="D539" s="5"/>
      <c r="E539" s="15"/>
      <c r="F539" s="15"/>
      <c r="G539" s="15"/>
      <c r="H539" s="15"/>
      <c r="I539" s="15"/>
      <c r="J539" s="15"/>
      <c r="K539" s="9" t="str">
        <f ca="1">IF(COUNTIFS($A$2:A539,A539,$L$2:L539,L539)&gt;1,"DUPLICATE - CHECK","")</f>
        <v/>
      </c>
      <c r="L539" s="17"/>
      <c r="M539" s="17"/>
      <c r="N539" s="9" t="str">
        <f t="array" aca="1" ref="N539" ca="1">IF(COUNTIF($A$2:A538,A)&gt;0,INDEX($C$2:C538,MATCH(A539,$A$2:A538,0)),"")</f>
        <v/>
      </c>
      <c r="O539" s="13"/>
      <c r="P539" s="19"/>
    </row>
    <row r="540" spans="1:16" ht="15.75" customHeight="1" x14ac:dyDescent="0.3">
      <c r="A540" s="8" t="str">
        <f ca="1">IFERROR(__xludf.DUMMYFUNCTION("IF(B540="""","""",RIGHT(regexreplace(B540&amp;"""",""[^0-9]"",""""),9))"),"")</f>
        <v/>
      </c>
      <c r="B540" s="5"/>
      <c r="C540" s="5"/>
      <c r="D540" s="5"/>
      <c r="E540" s="15"/>
      <c r="F540" s="15"/>
      <c r="G540" s="15"/>
      <c r="H540" s="15"/>
      <c r="I540" s="15"/>
      <c r="J540" s="15"/>
      <c r="K540" s="9" t="str">
        <f ca="1">IF(COUNTIFS($A$2:A540,A540,$L$2:L540,L540)&gt;1,"DUPLICATE - CHECK","")</f>
        <v/>
      </c>
      <c r="L540" s="17"/>
      <c r="M540" s="17"/>
      <c r="N540" s="9">
        <f ca="1">IF(COUNTIF($A$2:A539,A540)&gt;0,INDEX($C$2:C539,MATCH(A540,$A$2:A539,0)),"")</f>
        <v>0</v>
      </c>
      <c r="O540" s="13"/>
      <c r="P540" s="19"/>
    </row>
    <row r="541" spans="1:16" ht="15.75" customHeight="1" x14ac:dyDescent="0.3">
      <c r="A541" s="8" t="str">
        <f ca="1">IFERROR(__xludf.DUMMYFUNCTION("IF(B541="""","""",RIGHT(regexreplace(B541&amp;"""",""[^0-9]"",""""),9))"),"")</f>
        <v/>
      </c>
      <c r="B541" s="5"/>
      <c r="C541" s="5"/>
      <c r="D541" s="5"/>
      <c r="E541" s="15"/>
      <c r="F541" s="15"/>
      <c r="G541" s="15"/>
      <c r="H541" s="15"/>
      <c r="I541" s="15"/>
      <c r="J541" s="15"/>
      <c r="K541" s="9" t="str">
        <f ca="1">IF(COUNTIFS($A$2:A541,A541,$L$2:L541,L541)&gt;1,"DUPLICATE - CHECK","")</f>
        <v/>
      </c>
      <c r="L541" s="17"/>
      <c r="M541" s="17"/>
      <c r="N541" s="9">
        <f ca="1">IF(COUNTIF($A$2:A540,A541)&gt;0,INDEX($C$2:C540,MATCH(A541,$A$2:A540,0)),"")</f>
        <v>0</v>
      </c>
      <c r="O541" s="13"/>
      <c r="P541" s="19"/>
    </row>
    <row r="542" spans="1:16" ht="15.75" customHeight="1" x14ac:dyDescent="0.3">
      <c r="A542" s="8" t="str">
        <f ca="1">IFERROR(__xludf.DUMMYFUNCTION("IF(B542="""","""",RIGHT(regexreplace(B542&amp;"""",""[^0-9]"",""""),9))"),"")</f>
        <v/>
      </c>
      <c r="B542" s="5"/>
      <c r="C542" s="5"/>
      <c r="D542" s="5"/>
      <c r="E542" s="15"/>
      <c r="F542" s="15"/>
      <c r="G542" s="15"/>
      <c r="H542" s="15"/>
      <c r="I542" s="15"/>
      <c r="J542" s="15"/>
      <c r="K542" s="9" t="str">
        <f ca="1">IF(COUNTIFS($A$2:A542,A542,$L$2:L542,L542)&gt;1,"DUPLICATE - CHECK","")</f>
        <v/>
      </c>
      <c r="L542" s="17"/>
      <c r="M542" s="17"/>
      <c r="N542" s="9" t="str">
        <f t="array" aca="1" ref="N542" ca="1">IF(COUNTIF($A$2:A541,A)&gt;0,INDEX($C$2:C541,MATCH(A542,$A$2:A541,0)),"")</f>
        <v/>
      </c>
      <c r="O542" s="13"/>
      <c r="P542" s="19"/>
    </row>
    <row r="543" spans="1:16" ht="15.75" customHeight="1" x14ac:dyDescent="0.3">
      <c r="A543" s="8" t="str">
        <f ca="1">IFERROR(__xludf.DUMMYFUNCTION("IF(B543="""","""",RIGHT(regexreplace(B543&amp;"""",""[^0-9]"",""""),9))"),"")</f>
        <v/>
      </c>
      <c r="B543" s="5"/>
      <c r="C543" s="5"/>
      <c r="D543" s="5"/>
      <c r="E543" s="15"/>
      <c r="F543" s="15"/>
      <c r="G543" s="15"/>
      <c r="H543" s="15"/>
      <c r="I543" s="15"/>
      <c r="J543" s="15"/>
      <c r="K543" s="9" t="str">
        <f ca="1">IF(COUNTIFS($A$2:A543,A543,$L$2:L543,L543)&gt;1,"DUPLICATE - CHECK","")</f>
        <v/>
      </c>
      <c r="L543" s="17"/>
      <c r="M543" s="17"/>
      <c r="N543" s="9">
        <f ca="1">IF(COUNTIF($A$2:A542,A543)&gt;0,INDEX($C$2:C542,MATCH(A543,$A$2:A542,0)),"")</f>
        <v>0</v>
      </c>
      <c r="O543" s="13"/>
      <c r="P543" s="19"/>
    </row>
    <row r="544" spans="1:16" ht="15.75" customHeight="1" x14ac:dyDescent="0.3">
      <c r="A544" s="8" t="str">
        <f ca="1">IFERROR(__xludf.DUMMYFUNCTION("IF(B544="""","""",RIGHT(regexreplace(B544&amp;"""",""[^0-9]"",""""),9))"),"")</f>
        <v/>
      </c>
      <c r="B544" s="5"/>
      <c r="C544" s="5"/>
      <c r="D544" s="5"/>
      <c r="E544" s="15"/>
      <c r="F544" s="15"/>
      <c r="G544" s="15"/>
      <c r="H544" s="15"/>
      <c r="I544" s="15"/>
      <c r="J544" s="15"/>
      <c r="K544" s="9" t="str">
        <f ca="1">IF(COUNTIFS($A$2:A544,A544,$L$2:L544,L544)&gt;1,"DUPLICATE - CHECK","")</f>
        <v/>
      </c>
      <c r="L544" s="17"/>
      <c r="M544" s="17"/>
      <c r="N544" s="9">
        <f ca="1">IF(COUNTIF($A$2:A543,A544)&gt;0,INDEX($C$2:C543,MATCH(A544,$A$2:A543,0)),"")</f>
        <v>0</v>
      </c>
      <c r="O544" s="13"/>
      <c r="P544" s="19"/>
    </row>
    <row r="545" spans="1:16" ht="15.75" customHeight="1" x14ac:dyDescent="0.3">
      <c r="A545" s="8" t="str">
        <f ca="1">IFERROR(__xludf.DUMMYFUNCTION("IF(B545="""","""",RIGHT(regexreplace(B545&amp;"""",""[^0-9]"",""""),9))"),"")</f>
        <v/>
      </c>
      <c r="B545" s="5"/>
      <c r="C545" s="5"/>
      <c r="D545" s="5"/>
      <c r="E545" s="15"/>
      <c r="F545" s="15"/>
      <c r="G545" s="15"/>
      <c r="H545" s="15"/>
      <c r="I545" s="15"/>
      <c r="J545" s="15"/>
      <c r="K545" s="9" t="str">
        <f ca="1">IF(COUNTIFS($A$2:A545,A545,$L$2:L545,L545)&gt;1,"DUPLICATE - CHECK","")</f>
        <v/>
      </c>
      <c r="L545" s="17"/>
      <c r="M545" s="17"/>
      <c r="N545" s="9" t="str">
        <f t="array" aca="1" ref="N545" ca="1">IF(COUNTIF($A$2:A544,A)&gt;0,INDEX($C$2:C544,MATCH(A545,$A$2:A544,0)),"")</f>
        <v/>
      </c>
      <c r="O545" s="13"/>
      <c r="P545" s="19"/>
    </row>
    <row r="546" spans="1:16" ht="15.75" customHeight="1" x14ac:dyDescent="0.3">
      <c r="A546" s="8" t="str">
        <f ca="1">IFERROR(__xludf.DUMMYFUNCTION("IF(B546="""","""",RIGHT(regexreplace(B546&amp;"""",""[^0-9]"",""""),9))"),"")</f>
        <v/>
      </c>
      <c r="B546" s="5"/>
      <c r="C546" s="5"/>
      <c r="D546" s="5"/>
      <c r="E546" s="15"/>
      <c r="F546" s="15"/>
      <c r="G546" s="15"/>
      <c r="H546" s="15"/>
      <c r="I546" s="15"/>
      <c r="J546" s="15"/>
      <c r="K546" s="9" t="str">
        <f ca="1">IF(COUNTIFS($A$2:A546,A546,$L$2:L546,L546)&gt;1,"DUPLICATE - CHECK","")</f>
        <v/>
      </c>
      <c r="L546" s="17"/>
      <c r="M546" s="17"/>
      <c r="N546" s="9">
        <f ca="1">IF(COUNTIF($A$2:A545,A546)&gt;0,INDEX($C$2:C545,MATCH(A546,$A$2:A545,0)),"")</f>
        <v>0</v>
      </c>
      <c r="O546" s="13"/>
      <c r="P546" s="19"/>
    </row>
    <row r="547" spans="1:16" ht="15.75" customHeight="1" x14ac:dyDescent="0.3">
      <c r="A547" s="8" t="str">
        <f ca="1">IFERROR(__xludf.DUMMYFUNCTION("IF(B547="""","""",RIGHT(regexreplace(B547&amp;"""",""[^0-9]"",""""),9))"),"")</f>
        <v/>
      </c>
      <c r="B547" s="5"/>
      <c r="C547" s="5"/>
      <c r="D547" s="5"/>
      <c r="E547" s="15"/>
      <c r="F547" s="15"/>
      <c r="G547" s="15"/>
      <c r="H547" s="15"/>
      <c r="I547" s="15"/>
      <c r="J547" s="15"/>
      <c r="K547" s="9" t="str">
        <f ca="1">IF(COUNTIFS($A$2:A547,A547,$L$2:L547,L547)&gt;1,"DUPLICATE - CHECK","")</f>
        <v/>
      </c>
      <c r="L547" s="17"/>
      <c r="M547" s="17"/>
      <c r="N547" s="9">
        <f ca="1">IF(COUNTIF($A$2:A546,A547)&gt;0,INDEX($C$2:C546,MATCH(A547,$A$2:A546,0)),"")</f>
        <v>0</v>
      </c>
      <c r="O547" s="13"/>
      <c r="P547" s="19"/>
    </row>
    <row r="548" spans="1:16" ht="15.75" customHeight="1" x14ac:dyDescent="0.3">
      <c r="A548" s="8" t="str">
        <f ca="1">IFERROR(__xludf.DUMMYFUNCTION("IF(B548="""","""",RIGHT(regexreplace(B548&amp;"""",""[^0-9]"",""""),9))"),"")</f>
        <v/>
      </c>
      <c r="B548" s="5"/>
      <c r="C548" s="5"/>
      <c r="D548" s="5"/>
      <c r="E548" s="15"/>
      <c r="F548" s="15"/>
      <c r="G548" s="15"/>
      <c r="H548" s="15"/>
      <c r="I548" s="15"/>
      <c r="J548" s="15"/>
      <c r="K548" s="9" t="str">
        <f ca="1">IF(COUNTIFS($A$2:A548,A548,$L$2:L548,L548)&gt;1,"DUPLICATE - CHECK","")</f>
        <v/>
      </c>
      <c r="L548" s="17"/>
      <c r="M548" s="17"/>
      <c r="N548" s="9" t="str">
        <f t="array" aca="1" ref="N548" ca="1">IF(COUNTIF($A$2:A547,A)&gt;0,INDEX($C$2:C547,MATCH(A548,$A$2:A547,0)),"")</f>
        <v/>
      </c>
      <c r="O548" s="13"/>
      <c r="P548" s="19"/>
    </row>
    <row r="549" spans="1:16" ht="15.75" customHeight="1" x14ac:dyDescent="0.3">
      <c r="A549" s="8" t="str">
        <f ca="1">IFERROR(__xludf.DUMMYFUNCTION("IF(B549="""","""",RIGHT(regexreplace(B549&amp;"""",""[^0-9]"",""""),9))"),"")</f>
        <v/>
      </c>
      <c r="B549" s="5"/>
      <c r="C549" s="5"/>
      <c r="D549" s="5"/>
      <c r="E549" s="15"/>
      <c r="F549" s="15"/>
      <c r="G549" s="15"/>
      <c r="H549" s="15"/>
      <c r="I549" s="15"/>
      <c r="J549" s="15"/>
      <c r="K549" s="9" t="str">
        <f ca="1">IF(COUNTIFS($A$2:A549,A549,$L$2:L549,L549)&gt;1,"DUPLICATE - CHECK","")</f>
        <v/>
      </c>
      <c r="L549" s="17"/>
      <c r="M549" s="17"/>
      <c r="N549" s="9">
        <f ca="1">IF(COUNTIF($A$2:A548,A549)&gt;0,INDEX($C$2:C548,MATCH(A549,$A$2:A548,0)),"")</f>
        <v>0</v>
      </c>
      <c r="O549" s="13"/>
      <c r="P549" s="19"/>
    </row>
    <row r="550" spans="1:16" ht="15.75" customHeight="1" x14ac:dyDescent="0.3">
      <c r="A550" s="8" t="str">
        <f ca="1">IFERROR(__xludf.DUMMYFUNCTION("IF(B550="""","""",RIGHT(regexreplace(B550&amp;"""",""[^0-9]"",""""),9))"),"")</f>
        <v/>
      </c>
      <c r="B550" s="5"/>
      <c r="C550" s="5"/>
      <c r="D550" s="5"/>
      <c r="E550" s="15"/>
      <c r="F550" s="15"/>
      <c r="G550" s="15"/>
      <c r="H550" s="15"/>
      <c r="I550" s="15"/>
      <c r="J550" s="15"/>
      <c r="K550" s="9" t="str">
        <f ca="1">IF(COUNTIFS($A$2:A550,A550,$L$2:L550,L550)&gt;1,"DUPLICATE - CHECK","")</f>
        <v/>
      </c>
      <c r="L550" s="17"/>
      <c r="M550" s="17"/>
      <c r="N550" s="9">
        <f ca="1">IF(COUNTIF($A$2:A549,A550)&gt;0,INDEX($C$2:C549,MATCH(A550,$A$2:A549,0)),"")</f>
        <v>0</v>
      </c>
      <c r="O550" s="13"/>
      <c r="P550" s="19"/>
    </row>
    <row r="551" spans="1:16" ht="15.75" customHeight="1" x14ac:dyDescent="0.3">
      <c r="A551" s="8" t="str">
        <f ca="1">IFERROR(__xludf.DUMMYFUNCTION("IF(B551="""","""",RIGHT(regexreplace(B551&amp;"""",""[^0-9]"",""""),9))"),"")</f>
        <v/>
      </c>
      <c r="B551" s="5"/>
      <c r="C551" s="5"/>
      <c r="D551" s="5"/>
      <c r="E551" s="15"/>
      <c r="F551" s="15"/>
      <c r="G551" s="15"/>
      <c r="H551" s="15"/>
      <c r="I551" s="15"/>
      <c r="J551" s="15"/>
      <c r="K551" s="9" t="str">
        <f ca="1">IF(COUNTIFS($A$2:A551,A551,$L$2:L551,L551)&gt;1,"DUPLICATE - CHECK","")</f>
        <v/>
      </c>
      <c r="L551" s="17"/>
      <c r="M551" s="17"/>
      <c r="N551" s="9" t="str">
        <f t="array" aca="1" ref="N551" ca="1">IF(COUNTIF($A$2:A550,A)&gt;0,INDEX($C$2:C550,MATCH(A551,$A$2:A550,0)),"")</f>
        <v/>
      </c>
      <c r="O551" s="13"/>
      <c r="P551" s="19"/>
    </row>
    <row r="552" spans="1:16" ht="15.75" customHeight="1" x14ac:dyDescent="0.3">
      <c r="A552" s="8" t="str">
        <f ca="1">IFERROR(__xludf.DUMMYFUNCTION("IF(B552="""","""",RIGHT(regexreplace(B552&amp;"""",""[^0-9]"",""""),9))"),"")</f>
        <v/>
      </c>
      <c r="B552" s="5"/>
      <c r="C552" s="5"/>
      <c r="D552" s="5"/>
      <c r="E552" s="15"/>
      <c r="F552" s="15"/>
      <c r="G552" s="15"/>
      <c r="H552" s="15"/>
      <c r="I552" s="15"/>
      <c r="J552" s="15"/>
      <c r="K552" s="9" t="str">
        <f ca="1">IF(COUNTIFS($A$2:A552,A552,$L$2:L552,L552)&gt;1,"DUPLICATE - CHECK","")</f>
        <v/>
      </c>
      <c r="L552" s="17"/>
      <c r="M552" s="17"/>
      <c r="N552" s="9">
        <f ca="1">IF(COUNTIF($A$2:A551,A552)&gt;0,INDEX($C$2:C551,MATCH(A552,$A$2:A551,0)),"")</f>
        <v>0</v>
      </c>
      <c r="O552" s="13"/>
      <c r="P552" s="19"/>
    </row>
    <row r="553" spans="1:16" ht="15.75" customHeight="1" x14ac:dyDescent="0.3">
      <c r="A553" s="8" t="str">
        <f ca="1">IFERROR(__xludf.DUMMYFUNCTION("IF(B553="""","""",RIGHT(regexreplace(B553&amp;"""",""[^0-9]"",""""),9))"),"")</f>
        <v/>
      </c>
      <c r="B553" s="5"/>
      <c r="C553" s="5"/>
      <c r="D553" s="5"/>
      <c r="E553" s="15"/>
      <c r="F553" s="15"/>
      <c r="G553" s="15"/>
      <c r="H553" s="15"/>
      <c r="I553" s="15"/>
      <c r="J553" s="15"/>
      <c r="K553" s="9" t="str">
        <f ca="1">IF(COUNTIFS($A$2:A553,A553,$L$2:L553,L553)&gt;1,"DUPLICATE - CHECK","")</f>
        <v/>
      </c>
      <c r="L553" s="17"/>
      <c r="M553" s="17"/>
      <c r="N553" s="9">
        <f ca="1">IF(COUNTIF($A$2:A552,A553)&gt;0,INDEX($C$2:C552,MATCH(A553,$A$2:A552,0)),"")</f>
        <v>0</v>
      </c>
      <c r="O553" s="13"/>
      <c r="P553" s="19"/>
    </row>
    <row r="554" spans="1:16" ht="15.75" customHeight="1" x14ac:dyDescent="0.3">
      <c r="A554" s="8" t="str">
        <f ca="1">IFERROR(__xludf.DUMMYFUNCTION("IF(B554="""","""",RIGHT(regexreplace(B554&amp;"""",""[^0-9]"",""""),9))"),"")</f>
        <v/>
      </c>
      <c r="B554" s="5"/>
      <c r="C554" s="5"/>
      <c r="D554" s="5"/>
      <c r="E554" s="15"/>
      <c r="F554" s="15"/>
      <c r="G554" s="15"/>
      <c r="H554" s="15"/>
      <c r="I554" s="15"/>
      <c r="J554" s="15"/>
      <c r="K554" s="9" t="str">
        <f ca="1">IF(COUNTIFS($A$2:A554,A554,$L$2:L554,L554)&gt;1,"DUPLICATE - CHECK","")</f>
        <v/>
      </c>
      <c r="L554" s="17"/>
      <c r="M554" s="17"/>
      <c r="N554" s="9" t="str">
        <f t="array" aca="1" ref="N554" ca="1">IF(COUNTIF($A$2:A553,A)&gt;0,INDEX($C$2:C553,MATCH(A554,$A$2:A553,0)),"")</f>
        <v/>
      </c>
      <c r="O554" s="13"/>
      <c r="P554" s="19"/>
    </row>
    <row r="555" spans="1:16" ht="15.75" customHeight="1" x14ac:dyDescent="0.3">
      <c r="A555" s="8" t="str">
        <f ca="1">IFERROR(__xludf.DUMMYFUNCTION("IF(B555="""","""",RIGHT(regexreplace(B555&amp;"""",""[^0-9]"",""""),9))"),"")</f>
        <v/>
      </c>
      <c r="B555" s="5"/>
      <c r="C555" s="5"/>
      <c r="D555" s="5"/>
      <c r="E555" s="15"/>
      <c r="F555" s="15"/>
      <c r="G555" s="15"/>
      <c r="H555" s="15"/>
      <c r="I555" s="15"/>
      <c r="J555" s="15"/>
      <c r="K555" s="9" t="str">
        <f ca="1">IF(COUNTIFS($A$2:A555,A555,$L$2:L555,L555)&gt;1,"DUPLICATE - CHECK","")</f>
        <v/>
      </c>
      <c r="L555" s="17"/>
      <c r="M555" s="17"/>
      <c r="N555" s="9">
        <f ca="1">IF(COUNTIF($A$2:A554,A555)&gt;0,INDEX($C$2:C554,MATCH(A555,$A$2:A554,0)),"")</f>
        <v>0</v>
      </c>
      <c r="O555" s="13"/>
      <c r="P555" s="19"/>
    </row>
    <row r="556" spans="1:16" ht="15.75" customHeight="1" x14ac:dyDescent="0.3">
      <c r="A556" s="8" t="str">
        <f ca="1">IFERROR(__xludf.DUMMYFUNCTION("IF(B556="""","""",RIGHT(regexreplace(B556&amp;"""",""[^0-9]"",""""),9))"),"")</f>
        <v/>
      </c>
      <c r="B556" s="5"/>
      <c r="C556" s="5"/>
      <c r="D556" s="5"/>
      <c r="E556" s="15"/>
      <c r="F556" s="15"/>
      <c r="G556" s="15"/>
      <c r="H556" s="15"/>
      <c r="I556" s="15"/>
      <c r="J556" s="15"/>
      <c r="K556" s="9" t="str">
        <f ca="1">IF(COUNTIFS($A$2:A556,A556,$L$2:L556,L556)&gt;1,"DUPLICATE - CHECK","")</f>
        <v/>
      </c>
      <c r="L556" s="17"/>
      <c r="M556" s="17"/>
      <c r="N556" s="9">
        <f ca="1">IF(COUNTIF($A$2:A555,A556)&gt;0,INDEX($C$2:C555,MATCH(A556,$A$2:A555,0)),"")</f>
        <v>0</v>
      </c>
      <c r="O556" s="13"/>
      <c r="P556" s="19"/>
    </row>
    <row r="557" spans="1:16" ht="15.75" customHeight="1" x14ac:dyDescent="0.3">
      <c r="A557" s="8" t="str">
        <f ca="1">IFERROR(__xludf.DUMMYFUNCTION("IF(B557="""","""",RIGHT(regexreplace(B557&amp;"""",""[^0-9]"",""""),9))"),"")</f>
        <v/>
      </c>
      <c r="B557" s="5"/>
      <c r="C557" s="5"/>
      <c r="D557" s="5"/>
      <c r="E557" s="15"/>
      <c r="F557" s="15"/>
      <c r="G557" s="15"/>
      <c r="H557" s="15"/>
      <c r="I557" s="15"/>
      <c r="J557" s="15"/>
      <c r="K557" s="9" t="str">
        <f ca="1">IF(COUNTIFS($A$2:A557,A557,$L$2:L557,L557)&gt;1,"DUPLICATE - CHECK","")</f>
        <v/>
      </c>
      <c r="L557" s="17"/>
      <c r="M557" s="17"/>
      <c r="N557" s="9" t="str">
        <f t="array" aca="1" ref="N557" ca="1">IF(COUNTIF($A$2:A556,A)&gt;0,INDEX($C$2:C556,MATCH(A557,$A$2:A556,0)),"")</f>
        <v/>
      </c>
      <c r="O557" s="13"/>
      <c r="P557" s="19"/>
    </row>
    <row r="558" spans="1:16" ht="15.75" customHeight="1" x14ac:dyDescent="0.3">
      <c r="A558" s="8" t="str">
        <f ca="1">IFERROR(__xludf.DUMMYFUNCTION("IF(B558="""","""",RIGHT(regexreplace(B558&amp;"""",""[^0-9]"",""""),9))"),"")</f>
        <v/>
      </c>
      <c r="B558" s="5"/>
      <c r="C558" s="5"/>
      <c r="D558" s="5"/>
      <c r="E558" s="15"/>
      <c r="F558" s="15"/>
      <c r="G558" s="15"/>
      <c r="H558" s="15"/>
      <c r="I558" s="15"/>
      <c r="J558" s="15"/>
      <c r="K558" s="9" t="str">
        <f ca="1">IF(COUNTIFS($A$2:A558,A558,$L$2:L558,L558)&gt;1,"DUPLICATE - CHECK","")</f>
        <v/>
      </c>
      <c r="L558" s="17"/>
      <c r="M558" s="17"/>
      <c r="N558" s="9">
        <f ca="1">IF(COUNTIF($A$2:A557,A558)&gt;0,INDEX($C$2:C557,MATCH(A558,$A$2:A557,0)),"")</f>
        <v>0</v>
      </c>
      <c r="O558" s="13"/>
      <c r="P558" s="19"/>
    </row>
    <row r="559" spans="1:16" ht="15.75" customHeight="1" x14ac:dyDescent="0.3">
      <c r="A559" s="8" t="str">
        <f ca="1">IFERROR(__xludf.DUMMYFUNCTION("IF(B559="""","""",RIGHT(regexreplace(B559&amp;"""",""[^0-9]"",""""),9))"),"")</f>
        <v/>
      </c>
      <c r="B559" s="5"/>
      <c r="C559" s="5"/>
      <c r="D559" s="5"/>
      <c r="E559" s="15"/>
      <c r="F559" s="15"/>
      <c r="G559" s="15"/>
      <c r="H559" s="15"/>
      <c r="I559" s="15"/>
      <c r="J559" s="15"/>
      <c r="K559" s="9" t="str">
        <f ca="1">IF(COUNTIFS($A$2:A559,A559,$L$2:L559,L559)&gt;1,"DUPLICATE - CHECK","")</f>
        <v/>
      </c>
      <c r="L559" s="17"/>
      <c r="M559" s="17"/>
      <c r="N559" s="9">
        <f ca="1">IF(COUNTIF($A$2:A558,A559)&gt;0,INDEX($C$2:C558,MATCH(A559,$A$2:A558,0)),"")</f>
        <v>0</v>
      </c>
      <c r="O559" s="13"/>
      <c r="P559" s="19"/>
    </row>
    <row r="560" spans="1:16" ht="15.75" customHeight="1" x14ac:dyDescent="0.3">
      <c r="A560" s="8" t="str">
        <f ca="1">IFERROR(__xludf.DUMMYFUNCTION("IF(B560="""","""",RIGHT(regexreplace(B560&amp;"""",""[^0-9]"",""""),9))"),"")</f>
        <v/>
      </c>
      <c r="B560" s="5"/>
      <c r="C560" s="5"/>
      <c r="D560" s="5"/>
      <c r="E560" s="15"/>
      <c r="F560" s="15"/>
      <c r="G560" s="15"/>
      <c r="H560" s="15"/>
      <c r="I560" s="15"/>
      <c r="J560" s="15"/>
      <c r="K560" s="9" t="str">
        <f ca="1">IF(COUNTIFS($A$2:A560,A560,$L$2:L560,L560)&gt;1,"DUPLICATE - CHECK","")</f>
        <v/>
      </c>
      <c r="L560" s="17"/>
      <c r="M560" s="17"/>
      <c r="N560" s="9" t="str">
        <f t="array" aca="1" ref="N560" ca="1">IF(COUNTIF($A$2:A559,A)&gt;0,INDEX($C$2:C559,MATCH(A560,$A$2:A559,0)),"")</f>
        <v/>
      </c>
      <c r="O560" s="13"/>
      <c r="P560" s="19"/>
    </row>
    <row r="561" spans="1:16" ht="15.75" customHeight="1" x14ac:dyDescent="0.3">
      <c r="A561" s="8" t="str">
        <f ca="1">IFERROR(__xludf.DUMMYFUNCTION("IF(B561="""","""",RIGHT(regexreplace(B561&amp;"""",""[^0-9]"",""""),9))"),"")</f>
        <v/>
      </c>
      <c r="B561" s="5"/>
      <c r="C561" s="5"/>
      <c r="D561" s="5"/>
      <c r="E561" s="15"/>
      <c r="F561" s="15"/>
      <c r="G561" s="15"/>
      <c r="H561" s="15"/>
      <c r="I561" s="15"/>
      <c r="J561" s="15"/>
      <c r="K561" s="9" t="str">
        <f ca="1">IF(COUNTIFS($A$2:A561,A561,$L$2:L561,L561)&gt;1,"DUPLICATE - CHECK","")</f>
        <v/>
      </c>
      <c r="L561" s="17"/>
      <c r="M561" s="17"/>
      <c r="N561" s="9">
        <f ca="1">IF(COUNTIF($A$2:A560,A561)&gt;0,INDEX($C$2:C560,MATCH(A561,$A$2:A560,0)),"")</f>
        <v>0</v>
      </c>
      <c r="O561" s="13"/>
      <c r="P561" s="19"/>
    </row>
    <row r="562" spans="1:16" ht="15.75" customHeight="1" x14ac:dyDescent="0.3">
      <c r="A562" s="8" t="str">
        <f ca="1">IFERROR(__xludf.DUMMYFUNCTION("IF(B562="""","""",RIGHT(regexreplace(B562&amp;"""",""[^0-9]"",""""),9))"),"")</f>
        <v/>
      </c>
      <c r="B562" s="5"/>
      <c r="C562" s="5"/>
      <c r="D562" s="5"/>
      <c r="E562" s="15"/>
      <c r="F562" s="15"/>
      <c r="G562" s="15"/>
      <c r="H562" s="15"/>
      <c r="I562" s="15"/>
      <c r="J562" s="15"/>
      <c r="K562" s="9" t="str">
        <f ca="1">IF(COUNTIFS($A$2:A562,A562,$L$2:L562,L562)&gt;1,"DUPLICATE - CHECK","")</f>
        <v/>
      </c>
      <c r="L562" s="17"/>
      <c r="M562" s="17"/>
      <c r="N562" s="9">
        <f ca="1">IF(COUNTIF($A$2:A561,A562)&gt;0,INDEX($C$2:C561,MATCH(A562,$A$2:A561,0)),"")</f>
        <v>0</v>
      </c>
      <c r="O562" s="13"/>
      <c r="P562" s="19"/>
    </row>
    <row r="563" spans="1:16" ht="15.75" customHeight="1" x14ac:dyDescent="0.3">
      <c r="A563" s="8" t="str">
        <f ca="1">IFERROR(__xludf.DUMMYFUNCTION("IF(B563="""","""",RIGHT(regexreplace(B563&amp;"""",""[^0-9]"",""""),9))"),"")</f>
        <v/>
      </c>
      <c r="B563" s="5"/>
      <c r="C563" s="5"/>
      <c r="D563" s="5"/>
      <c r="E563" s="15"/>
      <c r="F563" s="15"/>
      <c r="G563" s="15"/>
      <c r="H563" s="15"/>
      <c r="I563" s="15"/>
      <c r="J563" s="15"/>
      <c r="K563" s="9" t="str">
        <f ca="1">IF(COUNTIFS($A$2:A563,A563,$L$2:L563,L563)&gt;1,"DUPLICATE - CHECK","")</f>
        <v/>
      </c>
      <c r="L563" s="17"/>
      <c r="M563" s="17"/>
      <c r="N563" s="9" t="str">
        <f t="array" aca="1" ref="N563" ca="1">IF(COUNTIF($A$2:A562,A)&gt;0,INDEX($C$2:C562,MATCH(A563,$A$2:A562,0)),"")</f>
        <v/>
      </c>
      <c r="O563" s="13"/>
      <c r="P563" s="19"/>
    </row>
    <row r="564" spans="1:16" ht="15.75" customHeight="1" x14ac:dyDescent="0.3">
      <c r="A564" s="8" t="str">
        <f ca="1">IFERROR(__xludf.DUMMYFUNCTION("IF(B564="""","""",RIGHT(regexreplace(B564&amp;"""",""[^0-9]"",""""),9))"),"")</f>
        <v/>
      </c>
      <c r="B564" s="5"/>
      <c r="C564" s="5"/>
      <c r="D564" s="5"/>
      <c r="E564" s="15"/>
      <c r="F564" s="15"/>
      <c r="G564" s="15"/>
      <c r="H564" s="15"/>
      <c r="I564" s="15"/>
      <c r="J564" s="15"/>
      <c r="K564" s="9" t="str">
        <f ca="1">IF(COUNTIFS($A$2:A564,A564,$L$2:L564,L564)&gt;1,"DUPLICATE - CHECK","")</f>
        <v/>
      </c>
      <c r="L564" s="17"/>
      <c r="M564" s="17"/>
      <c r="N564" s="9">
        <f ca="1">IF(COUNTIF($A$2:A563,A564)&gt;0,INDEX($C$2:C563,MATCH(A564,$A$2:A563,0)),"")</f>
        <v>0</v>
      </c>
      <c r="O564" s="13"/>
      <c r="P564" s="19"/>
    </row>
    <row r="565" spans="1:16" ht="15.75" customHeight="1" x14ac:dyDescent="0.3">
      <c r="A565" s="8" t="str">
        <f ca="1">IFERROR(__xludf.DUMMYFUNCTION("IF(B565="""","""",RIGHT(regexreplace(B565&amp;"""",""[^0-9]"",""""),9))"),"")</f>
        <v/>
      </c>
      <c r="B565" s="5"/>
      <c r="C565" s="5"/>
      <c r="D565" s="5"/>
      <c r="E565" s="15"/>
      <c r="F565" s="15"/>
      <c r="G565" s="15"/>
      <c r="H565" s="15"/>
      <c r="I565" s="15"/>
      <c r="J565" s="15"/>
      <c r="K565" s="9" t="str">
        <f ca="1">IF(COUNTIFS($A$2:A565,A565,$L$2:L565,L565)&gt;1,"DUPLICATE - CHECK","")</f>
        <v/>
      </c>
      <c r="L565" s="17"/>
      <c r="M565" s="17"/>
      <c r="N565" s="9">
        <f ca="1">IF(COUNTIF($A$2:A564,A565)&gt;0,INDEX($C$2:C564,MATCH(A565,$A$2:A564,0)),"")</f>
        <v>0</v>
      </c>
      <c r="O565" s="13"/>
      <c r="P565" s="19"/>
    </row>
    <row r="566" spans="1:16" ht="15.75" customHeight="1" x14ac:dyDescent="0.3">
      <c r="A566" s="8" t="str">
        <f ca="1">IFERROR(__xludf.DUMMYFUNCTION("IF(B566="""","""",RIGHT(regexreplace(B566&amp;"""",""[^0-9]"",""""),9))"),"")</f>
        <v/>
      </c>
      <c r="B566" s="5"/>
      <c r="C566" s="5"/>
      <c r="D566" s="5"/>
      <c r="E566" s="15"/>
      <c r="F566" s="15"/>
      <c r="G566" s="15"/>
      <c r="H566" s="15"/>
      <c r="I566" s="15"/>
      <c r="J566" s="15"/>
      <c r="K566" s="9" t="str">
        <f ca="1">IF(COUNTIFS($A$2:A566,A566,$L$2:L566,L566)&gt;1,"DUPLICATE - CHECK","")</f>
        <v/>
      </c>
      <c r="L566" s="17"/>
      <c r="M566" s="17"/>
      <c r="N566" s="9" t="str">
        <f t="array" aca="1" ref="N566" ca="1">IF(COUNTIF($A$2:A565,A)&gt;0,INDEX($C$2:C565,MATCH(A566,$A$2:A565,0)),"")</f>
        <v/>
      </c>
      <c r="O566" s="13"/>
      <c r="P566" s="19"/>
    </row>
    <row r="567" spans="1:16" ht="15.75" customHeight="1" x14ac:dyDescent="0.3">
      <c r="A567" s="8" t="str">
        <f ca="1">IFERROR(__xludf.DUMMYFUNCTION("IF(B567="""","""",RIGHT(regexreplace(B567&amp;"""",""[^0-9]"",""""),9))"),"")</f>
        <v/>
      </c>
      <c r="B567" s="5"/>
      <c r="C567" s="5"/>
      <c r="D567" s="5"/>
      <c r="E567" s="15"/>
      <c r="F567" s="15"/>
      <c r="G567" s="15"/>
      <c r="H567" s="15"/>
      <c r="I567" s="15"/>
      <c r="J567" s="15"/>
      <c r="K567" s="9" t="str">
        <f ca="1">IF(COUNTIFS($A$2:A567,A567,$L$2:L567,L567)&gt;1,"DUPLICATE - CHECK","")</f>
        <v/>
      </c>
      <c r="L567" s="17"/>
      <c r="M567" s="17"/>
      <c r="N567" s="9">
        <f ca="1">IF(COUNTIF($A$2:A566,A567)&gt;0,INDEX($C$2:C566,MATCH(A567,$A$2:A566,0)),"")</f>
        <v>0</v>
      </c>
      <c r="O567" s="13"/>
      <c r="P567" s="19"/>
    </row>
    <row r="568" spans="1:16" ht="15.75" customHeight="1" x14ac:dyDescent="0.3">
      <c r="A568" s="8" t="str">
        <f ca="1">IFERROR(__xludf.DUMMYFUNCTION("IF(B568="""","""",RIGHT(regexreplace(B568&amp;"""",""[^0-9]"",""""),9))"),"")</f>
        <v/>
      </c>
      <c r="B568" s="5"/>
      <c r="C568" s="5"/>
      <c r="D568" s="5"/>
      <c r="E568" s="15"/>
      <c r="F568" s="15"/>
      <c r="G568" s="15"/>
      <c r="H568" s="15"/>
      <c r="I568" s="15"/>
      <c r="J568" s="15"/>
      <c r="K568" s="9" t="str">
        <f ca="1">IF(COUNTIFS($A$2:A568,A568,$L$2:L568,L568)&gt;1,"DUPLICATE - CHECK","")</f>
        <v/>
      </c>
      <c r="L568" s="17"/>
      <c r="M568" s="17"/>
      <c r="N568" s="9">
        <f ca="1">IF(COUNTIF($A$2:A567,A568)&gt;0,INDEX($C$2:C567,MATCH(A568,$A$2:A567,0)),"")</f>
        <v>0</v>
      </c>
      <c r="O568" s="13"/>
      <c r="P568" s="19"/>
    </row>
    <row r="569" spans="1:16" ht="15.75" customHeight="1" x14ac:dyDescent="0.3">
      <c r="A569" s="8" t="str">
        <f ca="1">IFERROR(__xludf.DUMMYFUNCTION("IF(B569="""","""",RIGHT(regexreplace(B569&amp;"""",""[^0-9]"",""""),9))"),"")</f>
        <v/>
      </c>
      <c r="B569" s="5"/>
      <c r="C569" s="5"/>
      <c r="D569" s="5"/>
      <c r="E569" s="15"/>
      <c r="F569" s="15"/>
      <c r="G569" s="15"/>
      <c r="H569" s="15"/>
      <c r="I569" s="15"/>
      <c r="J569" s="15"/>
      <c r="K569" s="9" t="str">
        <f ca="1">IF(COUNTIFS($A$2:A569,A569,$L$2:L569,L569)&gt;1,"DUPLICATE - CHECK","")</f>
        <v/>
      </c>
      <c r="L569" s="17"/>
      <c r="M569" s="17"/>
      <c r="N569" s="9" t="str">
        <f t="array" aca="1" ref="N569" ca="1">IF(COUNTIF($A$2:A568,A)&gt;0,INDEX($C$2:C568,MATCH(A569,$A$2:A568,0)),"")</f>
        <v/>
      </c>
      <c r="O569" s="13"/>
      <c r="P569" s="19"/>
    </row>
    <row r="570" spans="1:16" ht="15.75" customHeight="1" x14ac:dyDescent="0.3">
      <c r="A570" s="8" t="str">
        <f ca="1">IFERROR(__xludf.DUMMYFUNCTION("IF(B570="""","""",RIGHT(regexreplace(B570&amp;"""",""[^0-9]"",""""),9))"),"")</f>
        <v/>
      </c>
      <c r="B570" s="5"/>
      <c r="C570" s="5"/>
      <c r="D570" s="5"/>
      <c r="E570" s="15"/>
      <c r="F570" s="15"/>
      <c r="G570" s="15"/>
      <c r="H570" s="15"/>
      <c r="I570" s="15"/>
      <c r="J570" s="15"/>
      <c r="K570" s="9" t="str">
        <f ca="1">IF(COUNTIFS($A$2:A570,A570,$L$2:L570,L570)&gt;1,"DUPLICATE - CHECK","")</f>
        <v/>
      </c>
      <c r="L570" s="17"/>
      <c r="M570" s="17"/>
      <c r="N570" s="9">
        <f ca="1">IF(COUNTIF($A$2:A569,A570)&gt;0,INDEX($C$2:C569,MATCH(A570,$A$2:A569,0)),"")</f>
        <v>0</v>
      </c>
      <c r="O570" s="13"/>
      <c r="P570" s="19"/>
    </row>
    <row r="571" spans="1:16" ht="15.75" customHeight="1" x14ac:dyDescent="0.3">
      <c r="A571" s="8" t="str">
        <f ca="1">IFERROR(__xludf.DUMMYFUNCTION("IF(B571="""","""",RIGHT(regexreplace(B571&amp;"""",""[^0-9]"",""""),9))"),"")</f>
        <v/>
      </c>
      <c r="B571" s="5"/>
      <c r="C571" s="5"/>
      <c r="D571" s="5"/>
      <c r="E571" s="15"/>
      <c r="F571" s="15"/>
      <c r="G571" s="15"/>
      <c r="H571" s="15"/>
      <c r="I571" s="15"/>
      <c r="J571" s="15"/>
      <c r="K571" s="9" t="str">
        <f ca="1">IF(COUNTIFS($A$2:A571,A571,$L$2:L571,L571)&gt;1,"DUPLICATE - CHECK","")</f>
        <v/>
      </c>
      <c r="L571" s="17"/>
      <c r="M571" s="17"/>
      <c r="N571" s="9">
        <f ca="1">IF(COUNTIF($A$2:A570,A571)&gt;0,INDEX($C$2:C570,MATCH(A571,$A$2:A570,0)),"")</f>
        <v>0</v>
      </c>
      <c r="O571" s="13"/>
      <c r="P571" s="19"/>
    </row>
    <row r="572" spans="1:16" ht="15.75" customHeight="1" x14ac:dyDescent="0.3">
      <c r="A572" s="8" t="str">
        <f ca="1">IFERROR(__xludf.DUMMYFUNCTION("IF(B572="""","""",RIGHT(regexreplace(B572&amp;"""",""[^0-9]"",""""),9))"),"")</f>
        <v/>
      </c>
      <c r="B572" s="5"/>
      <c r="C572" s="5"/>
      <c r="D572" s="5"/>
      <c r="E572" s="15"/>
      <c r="F572" s="15"/>
      <c r="G572" s="15"/>
      <c r="H572" s="15"/>
      <c r="I572" s="15"/>
      <c r="J572" s="15"/>
      <c r="K572" s="9" t="str">
        <f ca="1">IF(COUNTIFS($A$2:A572,A572,$L$2:L572,L572)&gt;1,"DUPLICATE - CHECK","")</f>
        <v/>
      </c>
      <c r="L572" s="17"/>
      <c r="M572" s="17"/>
      <c r="N572" s="9" t="str">
        <f t="array" aca="1" ref="N572" ca="1">IF(COUNTIF($A$2:A571,A)&gt;0,INDEX($C$2:C571,MATCH(A572,$A$2:A571,0)),"")</f>
        <v/>
      </c>
      <c r="O572" s="13"/>
      <c r="P572" s="19"/>
    </row>
    <row r="573" spans="1:16" ht="15.75" customHeight="1" x14ac:dyDescent="0.3">
      <c r="A573" s="8" t="str">
        <f ca="1">IFERROR(__xludf.DUMMYFUNCTION("IF(B573="""","""",RIGHT(regexreplace(B573&amp;"""",""[^0-9]"",""""),9))"),"")</f>
        <v/>
      </c>
      <c r="B573" s="5"/>
      <c r="C573" s="5"/>
      <c r="D573" s="5"/>
      <c r="E573" s="15"/>
      <c r="F573" s="15"/>
      <c r="G573" s="15"/>
      <c r="H573" s="15"/>
      <c r="I573" s="15"/>
      <c r="J573" s="15"/>
      <c r="K573" s="9" t="str">
        <f ca="1">IF(COUNTIFS($A$2:A573,A573,$L$2:L573,L573)&gt;1,"DUPLICATE - CHECK","")</f>
        <v/>
      </c>
      <c r="L573" s="17"/>
      <c r="M573" s="17"/>
      <c r="N573" s="9">
        <f ca="1">IF(COUNTIF($A$2:A572,A573)&gt;0,INDEX($C$2:C572,MATCH(A573,$A$2:A572,0)),"")</f>
        <v>0</v>
      </c>
      <c r="O573" s="13"/>
      <c r="P573" s="19"/>
    </row>
    <row r="574" spans="1:16" ht="15.75" customHeight="1" x14ac:dyDescent="0.3">
      <c r="A574" s="8" t="str">
        <f ca="1">IFERROR(__xludf.DUMMYFUNCTION("IF(B574="""","""",RIGHT(regexreplace(B574&amp;"""",""[^0-9]"",""""),9))"),"")</f>
        <v/>
      </c>
      <c r="B574" s="5"/>
      <c r="C574" s="5"/>
      <c r="D574" s="5"/>
      <c r="E574" s="15"/>
      <c r="F574" s="15"/>
      <c r="G574" s="15"/>
      <c r="H574" s="15"/>
      <c r="I574" s="15"/>
      <c r="J574" s="15"/>
      <c r="K574" s="9" t="str">
        <f ca="1">IF(COUNTIFS($A$2:A574,A574,$L$2:L574,L574)&gt;1,"DUPLICATE - CHECK","")</f>
        <v/>
      </c>
      <c r="L574" s="17"/>
      <c r="M574" s="17"/>
      <c r="N574" s="9">
        <f ca="1">IF(COUNTIF($A$2:A573,A574)&gt;0,INDEX($C$2:C573,MATCH(A574,$A$2:A573,0)),"")</f>
        <v>0</v>
      </c>
      <c r="O574" s="13"/>
      <c r="P574" s="19"/>
    </row>
    <row r="575" spans="1:16" ht="15.75" customHeight="1" x14ac:dyDescent="0.3">
      <c r="A575" s="8" t="str">
        <f ca="1">IFERROR(__xludf.DUMMYFUNCTION("IF(B575="""","""",RIGHT(regexreplace(B575&amp;"""",""[^0-9]"",""""),9))"),"")</f>
        <v/>
      </c>
      <c r="B575" s="5"/>
      <c r="C575" s="5"/>
      <c r="D575" s="5"/>
      <c r="E575" s="15"/>
      <c r="F575" s="15"/>
      <c r="G575" s="15"/>
      <c r="H575" s="15"/>
      <c r="I575" s="15"/>
      <c r="J575" s="15"/>
      <c r="K575" s="9" t="str">
        <f ca="1">IF(COUNTIFS($A$2:A575,A575,$L$2:L575,L575)&gt;1,"DUPLICATE - CHECK","")</f>
        <v/>
      </c>
      <c r="L575" s="17"/>
      <c r="M575" s="17"/>
      <c r="N575" s="9" t="str">
        <f t="array" aca="1" ref="N575" ca="1">IF(COUNTIF($A$2:A574,A)&gt;0,INDEX($C$2:C574,MATCH(A575,$A$2:A574,0)),"")</f>
        <v/>
      </c>
      <c r="O575" s="13"/>
      <c r="P575" s="19"/>
    </row>
    <row r="576" spans="1:16" ht="15.75" customHeight="1" x14ac:dyDescent="0.3">
      <c r="A576" s="8" t="str">
        <f ca="1">IFERROR(__xludf.DUMMYFUNCTION("IF(B576="""","""",RIGHT(regexreplace(B576&amp;"""",""[^0-9]"",""""),9))"),"")</f>
        <v/>
      </c>
      <c r="B576" s="5"/>
      <c r="C576" s="5"/>
      <c r="D576" s="5"/>
      <c r="E576" s="15"/>
      <c r="F576" s="15"/>
      <c r="G576" s="15"/>
      <c r="H576" s="15"/>
      <c r="I576" s="15"/>
      <c r="J576" s="15"/>
      <c r="K576" s="9" t="str">
        <f ca="1">IF(COUNTIFS($A$2:A576,A576,$L$2:L576,L576)&gt;1,"DUPLICATE - CHECK","")</f>
        <v/>
      </c>
      <c r="L576" s="17"/>
      <c r="M576" s="17"/>
      <c r="N576" s="9">
        <f ca="1">IF(COUNTIF($A$2:A575,A576)&gt;0,INDEX($C$2:C575,MATCH(A576,$A$2:A575,0)),"")</f>
        <v>0</v>
      </c>
      <c r="O576" s="13"/>
      <c r="P576" s="19"/>
    </row>
    <row r="577" spans="1:16" ht="15.75" customHeight="1" x14ac:dyDescent="0.3">
      <c r="A577" s="8" t="str">
        <f ca="1">IFERROR(__xludf.DUMMYFUNCTION("IF(B577="""","""",RIGHT(regexreplace(B577&amp;"""",""[^0-9]"",""""),9))"),"")</f>
        <v/>
      </c>
      <c r="B577" s="5"/>
      <c r="C577" s="5"/>
      <c r="D577" s="5"/>
      <c r="E577" s="15"/>
      <c r="F577" s="15"/>
      <c r="G577" s="15"/>
      <c r="H577" s="15"/>
      <c r="I577" s="15"/>
      <c r="J577" s="15"/>
      <c r="K577" s="9" t="str">
        <f ca="1">IF(COUNTIFS($A$2:A577,A577,$L$2:L577,L577)&gt;1,"DUPLICATE - CHECK","")</f>
        <v/>
      </c>
      <c r="L577" s="17"/>
      <c r="M577" s="17"/>
      <c r="N577" s="9">
        <f ca="1">IF(COUNTIF($A$2:A576,A577)&gt;0,INDEX($C$2:C576,MATCH(A577,$A$2:A576,0)),"")</f>
        <v>0</v>
      </c>
      <c r="O577" s="13"/>
      <c r="P577" s="19"/>
    </row>
    <row r="578" spans="1:16" ht="15.75" customHeight="1" x14ac:dyDescent="0.3">
      <c r="A578" s="8" t="str">
        <f ca="1">IFERROR(__xludf.DUMMYFUNCTION("IF(B578="""","""",RIGHT(regexreplace(B578&amp;"""",""[^0-9]"",""""),9))"),"")</f>
        <v/>
      </c>
      <c r="B578" s="5"/>
      <c r="C578" s="5"/>
      <c r="D578" s="5"/>
      <c r="E578" s="15"/>
      <c r="F578" s="15"/>
      <c r="G578" s="15"/>
      <c r="H578" s="15"/>
      <c r="I578" s="15"/>
      <c r="J578" s="15"/>
      <c r="K578" s="9" t="str">
        <f ca="1">IF(COUNTIFS($A$2:A578,A578,$L$2:L578,L578)&gt;1,"DUPLICATE - CHECK","")</f>
        <v/>
      </c>
      <c r="L578" s="17"/>
      <c r="M578" s="17"/>
      <c r="N578" s="9" t="str">
        <f t="array" aca="1" ref="N578" ca="1">IF(COUNTIF($A$2:A577,A)&gt;0,INDEX($C$2:C577,MATCH(A578,$A$2:A577,0)),"")</f>
        <v/>
      </c>
      <c r="O578" s="13"/>
      <c r="P578" s="19"/>
    </row>
    <row r="579" spans="1:16" ht="15.75" customHeight="1" x14ac:dyDescent="0.3">
      <c r="A579" s="8" t="str">
        <f ca="1">IFERROR(__xludf.DUMMYFUNCTION("IF(B579="""","""",RIGHT(regexreplace(B579&amp;"""",""[^0-9]"",""""),9))"),"")</f>
        <v/>
      </c>
      <c r="B579" s="5"/>
      <c r="C579" s="5"/>
      <c r="D579" s="5"/>
      <c r="E579" s="15"/>
      <c r="F579" s="15"/>
      <c r="G579" s="15"/>
      <c r="H579" s="15"/>
      <c r="I579" s="15"/>
      <c r="J579" s="15"/>
      <c r="K579" s="9" t="str">
        <f ca="1">IF(COUNTIFS($A$2:A579,A579,$L$2:L579,L579)&gt;1,"DUPLICATE - CHECK","")</f>
        <v/>
      </c>
      <c r="L579" s="17"/>
      <c r="M579" s="17"/>
      <c r="N579" s="9">
        <f ca="1">IF(COUNTIF($A$2:A578,A579)&gt;0,INDEX($C$2:C578,MATCH(A579,$A$2:A578,0)),"")</f>
        <v>0</v>
      </c>
      <c r="O579" s="13"/>
      <c r="P579" s="19"/>
    </row>
    <row r="580" spans="1:16" ht="15.75" customHeight="1" x14ac:dyDescent="0.3">
      <c r="A580" s="8" t="str">
        <f ca="1">IFERROR(__xludf.DUMMYFUNCTION("IF(B580="""","""",RIGHT(regexreplace(B580&amp;"""",""[^0-9]"",""""),9))"),"")</f>
        <v/>
      </c>
      <c r="B580" s="5"/>
      <c r="C580" s="5"/>
      <c r="D580" s="5"/>
      <c r="E580" s="15"/>
      <c r="F580" s="15"/>
      <c r="G580" s="15"/>
      <c r="H580" s="15"/>
      <c r="I580" s="15"/>
      <c r="J580" s="15"/>
      <c r="K580" s="9" t="str">
        <f ca="1">IF(COUNTIFS($A$2:A580,A580,$L$2:L580,L580)&gt;1,"DUPLICATE - CHECK","")</f>
        <v/>
      </c>
      <c r="L580" s="17"/>
      <c r="M580" s="17"/>
      <c r="N580" s="9">
        <f ca="1">IF(COUNTIF($A$2:A579,A580)&gt;0,INDEX($C$2:C579,MATCH(A580,$A$2:A579,0)),"")</f>
        <v>0</v>
      </c>
      <c r="O580" s="13"/>
      <c r="P580" s="19"/>
    </row>
    <row r="581" spans="1:16" ht="15.75" customHeight="1" x14ac:dyDescent="0.3">
      <c r="A581" s="8" t="str">
        <f ca="1">IFERROR(__xludf.DUMMYFUNCTION("IF(B581="""","""",RIGHT(regexreplace(B581&amp;"""",""[^0-9]"",""""),9))"),"")</f>
        <v/>
      </c>
      <c r="B581" s="5"/>
      <c r="C581" s="5"/>
      <c r="D581" s="5"/>
      <c r="E581" s="15"/>
      <c r="F581" s="15"/>
      <c r="G581" s="15"/>
      <c r="H581" s="15"/>
      <c r="I581" s="15"/>
      <c r="J581" s="15"/>
      <c r="K581" s="9" t="str">
        <f ca="1">IF(COUNTIFS($A$2:A581,A581,$L$2:L581,L581)&gt;1,"DUPLICATE - CHECK","")</f>
        <v/>
      </c>
      <c r="L581" s="17"/>
      <c r="M581" s="17"/>
      <c r="N581" s="9" t="str">
        <f t="array" aca="1" ref="N581" ca="1">IF(COUNTIF($A$2:A580,A)&gt;0,INDEX($C$2:C580,MATCH(A581,$A$2:A580,0)),"")</f>
        <v/>
      </c>
      <c r="O581" s="13"/>
      <c r="P581" s="19"/>
    </row>
    <row r="582" spans="1:16" ht="15.75" customHeight="1" x14ac:dyDescent="0.3">
      <c r="A582" s="8" t="str">
        <f ca="1">IFERROR(__xludf.DUMMYFUNCTION("IF(B582="""","""",RIGHT(regexreplace(B582&amp;"""",""[^0-9]"",""""),9))"),"")</f>
        <v/>
      </c>
      <c r="B582" s="5"/>
      <c r="C582" s="5"/>
      <c r="D582" s="5"/>
      <c r="E582" s="15"/>
      <c r="F582" s="15"/>
      <c r="G582" s="15"/>
      <c r="H582" s="15"/>
      <c r="I582" s="15"/>
      <c r="J582" s="15"/>
      <c r="K582" s="9" t="str">
        <f ca="1">IF(COUNTIFS($A$2:A582,A582,$L$2:L582,L582)&gt;1,"DUPLICATE - CHECK","")</f>
        <v/>
      </c>
      <c r="L582" s="17"/>
      <c r="M582" s="17"/>
      <c r="N582" s="9">
        <f ca="1">IF(COUNTIF($A$2:A581,A582)&gt;0,INDEX($C$2:C581,MATCH(A582,$A$2:A581,0)),"")</f>
        <v>0</v>
      </c>
      <c r="O582" s="13"/>
      <c r="P582" s="19"/>
    </row>
    <row r="583" spans="1:16" ht="15.75" customHeight="1" x14ac:dyDescent="0.3">
      <c r="A583" s="8" t="str">
        <f ca="1">IFERROR(__xludf.DUMMYFUNCTION("IF(B583="""","""",RIGHT(regexreplace(B583&amp;"""",""[^0-9]"",""""),9))"),"")</f>
        <v/>
      </c>
      <c r="B583" s="5"/>
      <c r="C583" s="5"/>
      <c r="D583" s="5"/>
      <c r="E583" s="15"/>
      <c r="F583" s="15"/>
      <c r="G583" s="15"/>
      <c r="H583" s="15"/>
      <c r="I583" s="15"/>
      <c r="J583" s="15"/>
      <c r="K583" s="9" t="str">
        <f ca="1">IF(COUNTIFS($A$2:A583,A583,$L$2:L583,L583)&gt;1,"DUPLICATE - CHECK","")</f>
        <v/>
      </c>
      <c r="L583" s="17"/>
      <c r="M583" s="17"/>
      <c r="N583" s="9">
        <f ca="1">IF(COUNTIF($A$2:A582,A583)&gt;0,INDEX($C$2:C582,MATCH(A583,$A$2:A582,0)),"")</f>
        <v>0</v>
      </c>
      <c r="O583" s="13"/>
      <c r="P583" s="19"/>
    </row>
    <row r="584" spans="1:16" ht="15.75" customHeight="1" x14ac:dyDescent="0.3">
      <c r="A584" s="8" t="str">
        <f ca="1">IFERROR(__xludf.DUMMYFUNCTION("IF(B584="""","""",RIGHT(regexreplace(B584&amp;"""",""[^0-9]"",""""),9))"),"")</f>
        <v/>
      </c>
      <c r="B584" s="5"/>
      <c r="C584" s="5"/>
      <c r="D584" s="5"/>
      <c r="E584" s="15"/>
      <c r="F584" s="15"/>
      <c r="G584" s="15"/>
      <c r="H584" s="15"/>
      <c r="I584" s="15"/>
      <c r="J584" s="15"/>
      <c r="K584" s="9" t="str">
        <f ca="1">IF(COUNTIFS($A$2:A584,A584,$L$2:L584,L584)&gt;1,"DUPLICATE - CHECK","")</f>
        <v/>
      </c>
      <c r="L584" s="17"/>
      <c r="M584" s="17"/>
      <c r="N584" s="9" t="str">
        <f t="array" aca="1" ref="N584" ca="1">IF(COUNTIF($A$2:A583,A)&gt;0,INDEX($C$2:C583,MATCH(A584,$A$2:A583,0)),"")</f>
        <v/>
      </c>
      <c r="O584" s="13"/>
      <c r="P584" s="19"/>
    </row>
    <row r="585" spans="1:16" ht="15.75" customHeight="1" x14ac:dyDescent="0.3">
      <c r="A585" s="8" t="str">
        <f ca="1">IFERROR(__xludf.DUMMYFUNCTION("IF(B585="""","""",RIGHT(regexreplace(B585&amp;"""",""[^0-9]"",""""),9))"),"")</f>
        <v/>
      </c>
      <c r="B585" s="5"/>
      <c r="C585" s="5"/>
      <c r="D585" s="5"/>
      <c r="E585" s="15"/>
      <c r="F585" s="15"/>
      <c r="G585" s="15"/>
      <c r="H585" s="15"/>
      <c r="I585" s="15"/>
      <c r="J585" s="15"/>
      <c r="K585" s="9" t="str">
        <f ca="1">IF(COUNTIFS($A$2:A585,A585,$L$2:L585,L585)&gt;1,"DUPLICATE - CHECK","")</f>
        <v/>
      </c>
      <c r="L585" s="17"/>
      <c r="M585" s="17"/>
      <c r="N585" s="9">
        <f ca="1">IF(COUNTIF($A$2:A584,A585)&gt;0,INDEX($C$2:C584,MATCH(A585,$A$2:A584,0)),"")</f>
        <v>0</v>
      </c>
      <c r="O585" s="13"/>
      <c r="P585" s="19"/>
    </row>
    <row r="586" spans="1:16" ht="15.75" customHeight="1" x14ac:dyDescent="0.3">
      <c r="A586" s="8" t="str">
        <f ca="1">IFERROR(__xludf.DUMMYFUNCTION("IF(B586="""","""",RIGHT(regexreplace(B586&amp;"""",""[^0-9]"",""""),9))"),"")</f>
        <v/>
      </c>
      <c r="B586" s="5"/>
      <c r="C586" s="5"/>
      <c r="D586" s="5"/>
      <c r="E586" s="15"/>
      <c r="F586" s="15"/>
      <c r="G586" s="15"/>
      <c r="H586" s="15"/>
      <c r="I586" s="15"/>
      <c r="J586" s="15"/>
      <c r="K586" s="9" t="str">
        <f ca="1">IF(COUNTIFS($A$2:A586,A586,$L$2:L586,L586)&gt;1,"DUPLICATE - CHECK","")</f>
        <v/>
      </c>
      <c r="L586" s="17"/>
      <c r="M586" s="17"/>
      <c r="N586" s="9">
        <f ca="1">IF(COUNTIF($A$2:A585,A586)&gt;0,INDEX($C$2:C585,MATCH(A586,$A$2:A585,0)),"")</f>
        <v>0</v>
      </c>
      <c r="O586" s="13"/>
      <c r="P586" s="19"/>
    </row>
    <row r="587" spans="1:16" ht="15.75" customHeight="1" x14ac:dyDescent="0.3">
      <c r="A587" s="8" t="str">
        <f ca="1">IFERROR(__xludf.DUMMYFUNCTION("IF(B587="""","""",RIGHT(regexreplace(B587&amp;"""",""[^0-9]"",""""),9))"),"")</f>
        <v/>
      </c>
      <c r="B587" s="5"/>
      <c r="C587" s="5"/>
      <c r="D587" s="5"/>
      <c r="E587" s="15"/>
      <c r="F587" s="15"/>
      <c r="G587" s="15"/>
      <c r="H587" s="15"/>
      <c r="I587" s="15"/>
      <c r="J587" s="15"/>
      <c r="K587" s="9" t="str">
        <f ca="1">IF(COUNTIFS($A$2:A587,A587,$L$2:L587,L587)&gt;1,"DUPLICATE - CHECK","")</f>
        <v/>
      </c>
      <c r="L587" s="17"/>
      <c r="M587" s="17"/>
      <c r="N587" s="9" t="str">
        <f t="array" aca="1" ref="N587" ca="1">IF(COUNTIF($A$2:A586,A)&gt;0,INDEX($C$2:C586,MATCH(A587,$A$2:A586,0)),"")</f>
        <v/>
      </c>
      <c r="O587" s="13"/>
      <c r="P587" s="19"/>
    </row>
    <row r="588" spans="1:16" ht="15.75" customHeight="1" x14ac:dyDescent="0.3">
      <c r="A588" s="8" t="str">
        <f ca="1">IFERROR(__xludf.DUMMYFUNCTION("IF(B588="""","""",RIGHT(regexreplace(B588&amp;"""",""[^0-9]"",""""),9))"),"")</f>
        <v/>
      </c>
      <c r="B588" s="5"/>
      <c r="C588" s="5"/>
      <c r="D588" s="5"/>
      <c r="E588" s="15"/>
      <c r="F588" s="15"/>
      <c r="G588" s="15"/>
      <c r="H588" s="15"/>
      <c r="I588" s="15"/>
      <c r="J588" s="15"/>
      <c r="K588" s="9" t="str">
        <f ca="1">IF(COUNTIFS($A$2:A588,A588,$L$2:L588,L588)&gt;1,"DUPLICATE - CHECK","")</f>
        <v/>
      </c>
      <c r="L588" s="17"/>
      <c r="M588" s="17"/>
      <c r="N588" s="9">
        <f ca="1">IF(COUNTIF($A$2:A587,A588)&gt;0,INDEX($C$2:C587,MATCH(A588,$A$2:A587,0)),"")</f>
        <v>0</v>
      </c>
      <c r="O588" s="13"/>
      <c r="P588" s="19"/>
    </row>
    <row r="589" spans="1:16" ht="15.75" customHeight="1" x14ac:dyDescent="0.3">
      <c r="A589" s="8" t="str">
        <f ca="1">IFERROR(__xludf.DUMMYFUNCTION("IF(B589="""","""",RIGHT(regexreplace(B589&amp;"""",""[^0-9]"",""""),9))"),"")</f>
        <v/>
      </c>
      <c r="B589" s="5"/>
      <c r="C589" s="5"/>
      <c r="D589" s="5"/>
      <c r="E589" s="15"/>
      <c r="F589" s="15"/>
      <c r="G589" s="15"/>
      <c r="H589" s="15"/>
      <c r="I589" s="15"/>
      <c r="J589" s="15"/>
      <c r="K589" s="9" t="str">
        <f ca="1">IF(COUNTIFS($A$2:A589,A589,$L$2:L589,L589)&gt;1,"DUPLICATE - CHECK","")</f>
        <v/>
      </c>
      <c r="L589" s="17"/>
      <c r="M589" s="17"/>
      <c r="N589" s="9">
        <f ca="1">IF(COUNTIF($A$2:A588,A589)&gt;0,INDEX($C$2:C588,MATCH(A589,$A$2:A588,0)),"")</f>
        <v>0</v>
      </c>
      <c r="O589" s="13"/>
      <c r="P589" s="19"/>
    </row>
    <row r="590" spans="1:16" ht="15.75" customHeight="1" x14ac:dyDescent="0.3">
      <c r="A590" s="8" t="str">
        <f ca="1">IFERROR(__xludf.DUMMYFUNCTION("IF(B590="""","""",RIGHT(regexreplace(B590&amp;"""",""[^0-9]"",""""),9))"),"")</f>
        <v/>
      </c>
      <c r="B590" s="5"/>
      <c r="C590" s="5"/>
      <c r="D590" s="5"/>
      <c r="E590" s="15"/>
      <c r="F590" s="15"/>
      <c r="G590" s="15"/>
      <c r="H590" s="15"/>
      <c r="I590" s="15"/>
      <c r="J590" s="15"/>
      <c r="K590" s="9" t="str">
        <f ca="1">IF(COUNTIFS($A$2:A590,A590,$L$2:L590,L590)&gt;1,"DUPLICATE - CHECK","")</f>
        <v/>
      </c>
      <c r="L590" s="17"/>
      <c r="M590" s="17"/>
      <c r="N590" s="9" t="str">
        <f t="array" aca="1" ref="N590" ca="1">IF(COUNTIF($A$2:A589,A)&gt;0,INDEX($C$2:C589,MATCH(A590,$A$2:A589,0)),"")</f>
        <v/>
      </c>
      <c r="O590" s="13"/>
      <c r="P590" s="19"/>
    </row>
    <row r="591" spans="1:16" ht="15.75" customHeight="1" x14ac:dyDescent="0.3">
      <c r="A591" s="8" t="str">
        <f ca="1">IFERROR(__xludf.DUMMYFUNCTION("IF(B591="""","""",RIGHT(regexreplace(B591&amp;"""",""[^0-9]"",""""),9))"),"")</f>
        <v/>
      </c>
      <c r="B591" s="5"/>
      <c r="C591" s="5"/>
      <c r="D591" s="5"/>
      <c r="E591" s="15"/>
      <c r="F591" s="15"/>
      <c r="G591" s="15"/>
      <c r="H591" s="15"/>
      <c r="I591" s="15"/>
      <c r="J591" s="15"/>
      <c r="K591" s="9" t="str">
        <f ca="1">IF(COUNTIFS($A$2:A591,A591,$L$2:L591,L591)&gt;1,"DUPLICATE - CHECK","")</f>
        <v/>
      </c>
      <c r="L591" s="17"/>
      <c r="M591" s="17"/>
      <c r="N591" s="9">
        <f ca="1">IF(COUNTIF($A$2:A590,A591)&gt;0,INDEX($C$2:C590,MATCH(A591,$A$2:A590,0)),"")</f>
        <v>0</v>
      </c>
      <c r="O591" s="13"/>
      <c r="P591" s="19"/>
    </row>
    <row r="592" spans="1:16" ht="15.75" customHeight="1" x14ac:dyDescent="0.3">
      <c r="A592" s="8" t="str">
        <f ca="1">IFERROR(__xludf.DUMMYFUNCTION("IF(B592="""","""",RIGHT(regexreplace(B592&amp;"""",""[^0-9]"",""""),9))"),"")</f>
        <v/>
      </c>
      <c r="B592" s="5"/>
      <c r="C592" s="5"/>
      <c r="D592" s="5"/>
      <c r="E592" s="15"/>
      <c r="F592" s="15"/>
      <c r="G592" s="15"/>
      <c r="H592" s="15"/>
      <c r="I592" s="15"/>
      <c r="J592" s="15"/>
      <c r="K592" s="9" t="str">
        <f ca="1">IF(COUNTIFS($A$2:A592,A592,$L$2:L592,L592)&gt;1,"DUPLICATE - CHECK","")</f>
        <v/>
      </c>
      <c r="L592" s="17"/>
      <c r="M592" s="17"/>
      <c r="N592" s="9">
        <f ca="1">IF(COUNTIF($A$2:A591,A592)&gt;0,INDEX($C$2:C591,MATCH(A592,$A$2:A591,0)),"")</f>
        <v>0</v>
      </c>
      <c r="O592" s="13"/>
      <c r="P592" s="19"/>
    </row>
    <row r="593" spans="1:16" ht="15.75" customHeight="1" x14ac:dyDescent="0.3">
      <c r="A593" s="8" t="str">
        <f ca="1">IFERROR(__xludf.DUMMYFUNCTION("IF(B593="""","""",RIGHT(regexreplace(B593&amp;"""",""[^0-9]"",""""),9))"),"")</f>
        <v/>
      </c>
      <c r="B593" s="5"/>
      <c r="C593" s="5"/>
      <c r="D593" s="5"/>
      <c r="E593" s="15"/>
      <c r="F593" s="15"/>
      <c r="G593" s="15"/>
      <c r="H593" s="15"/>
      <c r="I593" s="15"/>
      <c r="J593" s="15"/>
      <c r="K593" s="9" t="str">
        <f ca="1">IF(COUNTIFS($A$2:A593,A593,$L$2:L593,L593)&gt;1,"DUPLICATE - CHECK","")</f>
        <v/>
      </c>
      <c r="L593" s="17"/>
      <c r="M593" s="17"/>
      <c r="N593" s="9" t="str">
        <f t="array" aca="1" ref="N593" ca="1">IF(COUNTIF($A$2:A592,A)&gt;0,INDEX($C$2:C592,MATCH(A593,$A$2:A592,0)),"")</f>
        <v/>
      </c>
      <c r="O593" s="13"/>
      <c r="P593" s="19"/>
    </row>
    <row r="594" spans="1:16" ht="15.75" customHeight="1" x14ac:dyDescent="0.3">
      <c r="A594" s="8" t="str">
        <f ca="1">IFERROR(__xludf.DUMMYFUNCTION("IF(B594="""","""",RIGHT(regexreplace(B594&amp;"""",""[^0-9]"",""""),9))"),"")</f>
        <v/>
      </c>
      <c r="B594" s="5"/>
      <c r="C594" s="5"/>
      <c r="D594" s="5"/>
      <c r="E594" s="15"/>
      <c r="F594" s="15"/>
      <c r="G594" s="15"/>
      <c r="H594" s="15"/>
      <c r="I594" s="15"/>
      <c r="J594" s="15"/>
      <c r="K594" s="9" t="str">
        <f ca="1">IF(COUNTIFS($A$2:A594,A594,$L$2:L594,L594)&gt;1,"DUPLICATE - CHECK","")</f>
        <v/>
      </c>
      <c r="L594" s="17"/>
      <c r="M594" s="17"/>
      <c r="N594" s="9">
        <f ca="1">IF(COUNTIF($A$2:A593,A594)&gt;0,INDEX($C$2:C593,MATCH(A594,$A$2:A593,0)),"")</f>
        <v>0</v>
      </c>
      <c r="O594" s="13"/>
      <c r="P594" s="19"/>
    </row>
    <row r="595" spans="1:16" ht="15.75" customHeight="1" x14ac:dyDescent="0.3">
      <c r="A595" s="8" t="str">
        <f ca="1">IFERROR(__xludf.DUMMYFUNCTION("IF(B595="""","""",RIGHT(regexreplace(B595&amp;"""",""[^0-9]"",""""),9))"),"")</f>
        <v/>
      </c>
      <c r="B595" s="5"/>
      <c r="C595" s="5"/>
      <c r="D595" s="5"/>
      <c r="E595" s="15"/>
      <c r="F595" s="15"/>
      <c r="G595" s="15"/>
      <c r="H595" s="15"/>
      <c r="I595" s="15"/>
      <c r="J595" s="15"/>
      <c r="K595" s="9" t="str">
        <f ca="1">IF(COUNTIFS($A$2:A595,A595,$L$2:L595,L595)&gt;1,"DUPLICATE - CHECK","")</f>
        <v/>
      </c>
      <c r="L595" s="17"/>
      <c r="M595" s="17"/>
      <c r="N595" s="9">
        <f ca="1">IF(COUNTIF($A$2:A594,A595)&gt;0,INDEX($C$2:C594,MATCH(A595,$A$2:A594,0)),"")</f>
        <v>0</v>
      </c>
      <c r="O595" s="13"/>
      <c r="P595" s="19"/>
    </row>
    <row r="596" spans="1:16" ht="15.75" customHeight="1" x14ac:dyDescent="0.3">
      <c r="A596" s="8" t="str">
        <f ca="1">IFERROR(__xludf.DUMMYFUNCTION("IF(B596="""","""",RIGHT(regexreplace(B596&amp;"""",""[^0-9]"",""""),9))"),"")</f>
        <v/>
      </c>
      <c r="B596" s="5"/>
      <c r="C596" s="5"/>
      <c r="D596" s="5"/>
      <c r="E596" s="15"/>
      <c r="F596" s="15"/>
      <c r="G596" s="15"/>
      <c r="H596" s="15"/>
      <c r="I596" s="15"/>
      <c r="J596" s="15"/>
      <c r="K596" s="9" t="str">
        <f ca="1">IF(COUNTIFS($A$2:A596,A596,$L$2:L596,L596)&gt;1,"DUPLICATE - CHECK","")</f>
        <v/>
      </c>
      <c r="L596" s="17"/>
      <c r="M596" s="17"/>
      <c r="N596" s="9" t="str">
        <f t="array" aca="1" ref="N596" ca="1">IF(COUNTIF($A$2:A595,A)&gt;0,INDEX($C$2:C595,MATCH(A596,$A$2:A595,0)),"")</f>
        <v/>
      </c>
      <c r="O596" s="13"/>
      <c r="P596" s="19"/>
    </row>
    <row r="597" spans="1:16" ht="15.75" customHeight="1" x14ac:dyDescent="0.3">
      <c r="A597" s="8" t="str">
        <f ca="1">IFERROR(__xludf.DUMMYFUNCTION("IF(B597="""","""",RIGHT(regexreplace(B597&amp;"""",""[^0-9]"",""""),9))"),"")</f>
        <v/>
      </c>
      <c r="B597" s="5"/>
      <c r="C597" s="5"/>
      <c r="D597" s="5"/>
      <c r="E597" s="15"/>
      <c r="F597" s="15"/>
      <c r="G597" s="15"/>
      <c r="H597" s="15"/>
      <c r="I597" s="15"/>
      <c r="J597" s="15"/>
      <c r="K597" s="9" t="str">
        <f ca="1">IF(COUNTIFS($A$2:A597,A597,$L$2:L597,L597)&gt;1,"DUPLICATE - CHECK","")</f>
        <v/>
      </c>
      <c r="L597" s="17"/>
      <c r="M597" s="17"/>
      <c r="N597" s="9">
        <f ca="1">IF(COUNTIF($A$2:A596,A597)&gt;0,INDEX($C$2:C596,MATCH(A597,$A$2:A596,0)),"")</f>
        <v>0</v>
      </c>
      <c r="O597" s="13"/>
      <c r="P597" s="19"/>
    </row>
    <row r="598" spans="1:16" ht="15.75" customHeight="1" x14ac:dyDescent="0.3">
      <c r="A598" s="8" t="str">
        <f ca="1">IFERROR(__xludf.DUMMYFUNCTION("IF(B598="""","""",RIGHT(regexreplace(B598&amp;"""",""[^0-9]"",""""),9))"),"")</f>
        <v/>
      </c>
      <c r="B598" s="5"/>
      <c r="C598" s="5"/>
      <c r="D598" s="5"/>
      <c r="E598" s="15"/>
      <c r="F598" s="15"/>
      <c r="G598" s="15"/>
      <c r="H598" s="15"/>
      <c r="I598" s="15"/>
      <c r="J598" s="15"/>
      <c r="K598" s="9" t="str">
        <f ca="1">IF(COUNTIFS($A$2:A598,A598,$L$2:L598,L598)&gt;1,"DUPLICATE - CHECK","")</f>
        <v/>
      </c>
      <c r="L598" s="17"/>
      <c r="M598" s="17"/>
      <c r="N598" s="9">
        <f ca="1">IF(COUNTIF($A$2:A597,A598)&gt;0,INDEX($C$2:C597,MATCH(A598,$A$2:A597,0)),"")</f>
        <v>0</v>
      </c>
      <c r="O598" s="13"/>
      <c r="P598" s="19"/>
    </row>
    <row r="599" spans="1:16" ht="15.75" customHeight="1" x14ac:dyDescent="0.3">
      <c r="A599" s="8" t="str">
        <f ca="1">IFERROR(__xludf.DUMMYFUNCTION("IF(B599="""","""",RIGHT(regexreplace(B599&amp;"""",""[^0-9]"",""""),9))"),"")</f>
        <v/>
      </c>
      <c r="B599" s="5"/>
      <c r="C599" s="5"/>
      <c r="D599" s="5"/>
      <c r="E599" s="15"/>
      <c r="F599" s="15"/>
      <c r="G599" s="15"/>
      <c r="H599" s="15"/>
      <c r="I599" s="15"/>
      <c r="J599" s="15"/>
      <c r="K599" s="9" t="str">
        <f ca="1">IF(COUNTIFS($A$2:A599,A599,$L$2:L599,L599)&gt;1,"DUPLICATE - CHECK","")</f>
        <v/>
      </c>
      <c r="L599" s="17"/>
      <c r="M599" s="17"/>
      <c r="N599" s="9" t="str">
        <f t="array" aca="1" ref="N599" ca="1">IF(COUNTIF($A$2:A598,A)&gt;0,INDEX($C$2:C598,MATCH(A599,$A$2:A598,0)),"")</f>
        <v/>
      </c>
      <c r="O599" s="13"/>
      <c r="P599" s="19"/>
    </row>
    <row r="600" spans="1:16" ht="15.75" customHeight="1" x14ac:dyDescent="0.3">
      <c r="A600" s="8" t="str">
        <f ca="1">IFERROR(__xludf.DUMMYFUNCTION("IF(B600="""","""",RIGHT(regexreplace(B600&amp;"""",""[^0-9]"",""""),9))"),"")</f>
        <v/>
      </c>
      <c r="B600" s="5"/>
      <c r="C600" s="5"/>
      <c r="D600" s="5"/>
      <c r="E600" s="15"/>
      <c r="F600" s="15"/>
      <c r="G600" s="15"/>
      <c r="H600" s="15"/>
      <c r="I600" s="15"/>
      <c r="J600" s="15"/>
      <c r="K600" s="9" t="str">
        <f ca="1">IF(COUNTIFS($A$2:A600,A600,$L$2:L600,L600)&gt;1,"DUPLICATE - CHECK","")</f>
        <v/>
      </c>
      <c r="L600" s="17"/>
      <c r="M600" s="17"/>
      <c r="N600" s="9">
        <f ca="1">IF(COUNTIF($A$2:A599,A600)&gt;0,INDEX($C$2:C599,MATCH(A600,$A$2:A599,0)),"")</f>
        <v>0</v>
      </c>
      <c r="O600" s="13"/>
      <c r="P600" s="19"/>
    </row>
    <row r="601" spans="1:16" ht="15.75" customHeight="1" x14ac:dyDescent="0.3">
      <c r="A601" s="8" t="str">
        <f ca="1">IFERROR(__xludf.DUMMYFUNCTION("IF(B601="""","""",RIGHT(regexreplace(B601&amp;"""",""[^0-9]"",""""),9))"),"")</f>
        <v/>
      </c>
      <c r="B601" s="5"/>
      <c r="C601" s="5"/>
      <c r="D601" s="5"/>
      <c r="E601" s="15"/>
      <c r="F601" s="15"/>
      <c r="G601" s="15"/>
      <c r="H601" s="15"/>
      <c r="I601" s="15"/>
      <c r="J601" s="15"/>
      <c r="K601" s="9" t="str">
        <f ca="1">IF(COUNTIFS($A$2:A601,A601,$L$2:L601,L601)&gt;1,"DUPLICATE - CHECK","")</f>
        <v/>
      </c>
      <c r="L601" s="17"/>
      <c r="M601" s="17"/>
      <c r="N601" s="9">
        <f ca="1">IF(COUNTIF($A$2:A600,A601)&gt;0,INDEX($C$2:C600,MATCH(A601,$A$2:A600,0)),"")</f>
        <v>0</v>
      </c>
      <c r="O601" s="13"/>
      <c r="P601" s="19"/>
    </row>
    <row r="602" spans="1:16" ht="15.75" customHeight="1" x14ac:dyDescent="0.3">
      <c r="A602" s="8" t="str">
        <f ca="1">IFERROR(__xludf.DUMMYFUNCTION("IF(B602="""","""",RIGHT(regexreplace(B602&amp;"""",""[^0-9]"",""""),9))"),"")</f>
        <v/>
      </c>
      <c r="B602" s="5"/>
      <c r="C602" s="5"/>
      <c r="D602" s="5"/>
      <c r="E602" s="15"/>
      <c r="F602" s="15"/>
      <c r="G602" s="15"/>
      <c r="H602" s="15"/>
      <c r="I602" s="15"/>
      <c r="J602" s="15"/>
      <c r="K602" s="9" t="str">
        <f ca="1">IF(COUNTIFS($A$2:A602,A602,$L$2:L602,L602)&gt;1,"DUPLICATE - CHECK","")</f>
        <v/>
      </c>
      <c r="L602" s="17"/>
      <c r="M602" s="17"/>
      <c r="N602" s="9" t="str">
        <f t="array" aca="1" ref="N602" ca="1">IF(COUNTIF($A$2:A601,A)&gt;0,INDEX($C$2:C601,MATCH(A602,$A$2:A601,0)),"")</f>
        <v/>
      </c>
      <c r="O602" s="13"/>
      <c r="P602" s="19"/>
    </row>
    <row r="603" spans="1:16" ht="15.75" customHeight="1" x14ac:dyDescent="0.3">
      <c r="A603" s="8" t="str">
        <f ca="1">IFERROR(__xludf.DUMMYFUNCTION("IF(B603="""","""",RIGHT(regexreplace(B603&amp;"""",""[^0-9]"",""""),9))"),"")</f>
        <v/>
      </c>
      <c r="B603" s="5"/>
      <c r="C603" s="5"/>
      <c r="D603" s="5"/>
      <c r="E603" s="15"/>
      <c r="F603" s="15"/>
      <c r="G603" s="15"/>
      <c r="H603" s="15"/>
      <c r="I603" s="15"/>
      <c r="J603" s="15"/>
      <c r="K603" s="9" t="str">
        <f ca="1">IF(COUNTIFS($A$2:A603,A603,$L$2:L603,L603)&gt;1,"DUPLICATE - CHECK","")</f>
        <v/>
      </c>
      <c r="L603" s="17"/>
      <c r="M603" s="17"/>
      <c r="N603" s="9">
        <f ca="1">IF(COUNTIF($A$2:A602,A603)&gt;0,INDEX($C$2:C602,MATCH(A603,$A$2:A602,0)),"")</f>
        <v>0</v>
      </c>
      <c r="O603" s="13"/>
      <c r="P603" s="19"/>
    </row>
    <row r="604" spans="1:16" ht="15.75" customHeight="1" x14ac:dyDescent="0.3">
      <c r="A604" s="8" t="str">
        <f ca="1">IFERROR(__xludf.DUMMYFUNCTION("IF(B604="""","""",RIGHT(regexreplace(B604&amp;"""",""[^0-9]"",""""),9))"),"")</f>
        <v/>
      </c>
      <c r="B604" s="5"/>
      <c r="C604" s="5"/>
      <c r="D604" s="5"/>
      <c r="E604" s="15"/>
      <c r="F604" s="15"/>
      <c r="G604" s="15"/>
      <c r="H604" s="15"/>
      <c r="I604" s="15"/>
      <c r="J604" s="15"/>
      <c r="K604" s="9" t="str">
        <f ca="1">IF(COUNTIFS($A$2:A604,A604,$L$2:L604,L604)&gt;1,"DUPLICATE - CHECK","")</f>
        <v/>
      </c>
      <c r="L604" s="17"/>
      <c r="M604" s="17"/>
      <c r="N604" s="9">
        <f ca="1">IF(COUNTIF($A$2:A603,A604)&gt;0,INDEX($C$2:C603,MATCH(A604,$A$2:A603,0)),"")</f>
        <v>0</v>
      </c>
      <c r="O604" s="13"/>
      <c r="P604" s="19"/>
    </row>
    <row r="605" spans="1:16" ht="15.75" customHeight="1" x14ac:dyDescent="0.3">
      <c r="A605" s="8" t="str">
        <f ca="1">IFERROR(__xludf.DUMMYFUNCTION("IF(B605="""","""",RIGHT(regexreplace(B605&amp;"""",""[^0-9]"",""""),9))"),"")</f>
        <v/>
      </c>
      <c r="B605" s="5"/>
      <c r="C605" s="5"/>
      <c r="D605" s="5"/>
      <c r="E605" s="15"/>
      <c r="F605" s="15"/>
      <c r="G605" s="15"/>
      <c r="H605" s="15"/>
      <c r="I605" s="15"/>
      <c r="J605" s="15"/>
      <c r="K605" s="9" t="str">
        <f ca="1">IF(COUNTIFS($A$2:A605,A605,$L$2:L605,L605)&gt;1,"DUPLICATE - CHECK","")</f>
        <v/>
      </c>
      <c r="L605" s="17"/>
      <c r="M605" s="17"/>
      <c r="N605" s="9" t="str">
        <f t="array" aca="1" ref="N605" ca="1">IF(COUNTIF($A$2:A604,A)&gt;0,INDEX($C$2:C604,MATCH(A605,$A$2:A604,0)),"")</f>
        <v/>
      </c>
      <c r="O605" s="13"/>
      <c r="P605" s="19"/>
    </row>
    <row r="606" spans="1:16" ht="15.75" customHeight="1" x14ac:dyDescent="0.3">
      <c r="A606" s="8" t="str">
        <f ca="1">IFERROR(__xludf.DUMMYFUNCTION("IF(B606="""","""",RIGHT(regexreplace(B606&amp;"""",""[^0-9]"",""""),9))"),"")</f>
        <v/>
      </c>
      <c r="B606" s="5"/>
      <c r="C606" s="5"/>
      <c r="D606" s="5"/>
      <c r="E606" s="15"/>
      <c r="F606" s="15"/>
      <c r="G606" s="15"/>
      <c r="H606" s="15"/>
      <c r="I606" s="15"/>
      <c r="J606" s="15"/>
      <c r="K606" s="9" t="str">
        <f ca="1">IF(COUNTIFS($A$2:A606,A606,$L$2:L606,L606)&gt;1,"DUPLICATE - CHECK","")</f>
        <v/>
      </c>
      <c r="L606" s="17"/>
      <c r="M606" s="17"/>
      <c r="N606" s="9">
        <f ca="1">IF(COUNTIF($A$2:A605,A606)&gt;0,INDEX($C$2:C605,MATCH(A606,$A$2:A605,0)),"")</f>
        <v>0</v>
      </c>
      <c r="O606" s="13"/>
      <c r="P606" s="19"/>
    </row>
    <row r="607" spans="1:16" ht="15.75" customHeight="1" x14ac:dyDescent="0.3">
      <c r="A607" s="8" t="str">
        <f ca="1">IFERROR(__xludf.DUMMYFUNCTION("IF(B607="""","""",RIGHT(regexreplace(B607&amp;"""",""[^0-9]"",""""),9))"),"")</f>
        <v/>
      </c>
      <c r="B607" s="5"/>
      <c r="C607" s="5"/>
      <c r="D607" s="5"/>
      <c r="E607" s="15"/>
      <c r="F607" s="15"/>
      <c r="G607" s="15"/>
      <c r="H607" s="15"/>
      <c r="I607" s="15"/>
      <c r="J607" s="15"/>
      <c r="K607" s="9" t="str">
        <f ca="1">IF(COUNTIFS($A$2:A607,A607,$L$2:L607,L607)&gt;1,"DUPLICATE - CHECK","")</f>
        <v/>
      </c>
      <c r="L607" s="17"/>
      <c r="M607" s="17"/>
      <c r="N607" s="9">
        <f ca="1">IF(COUNTIF($A$2:A606,A607)&gt;0,INDEX($C$2:C606,MATCH(A607,$A$2:A606,0)),"")</f>
        <v>0</v>
      </c>
      <c r="O607" s="13"/>
      <c r="P607" s="19"/>
    </row>
    <row r="608" spans="1:16" ht="15.75" customHeight="1" x14ac:dyDescent="0.3">
      <c r="A608" s="8" t="str">
        <f ca="1">IFERROR(__xludf.DUMMYFUNCTION("IF(B608="""","""",RIGHT(regexreplace(B608&amp;"""",""[^0-9]"",""""),9))"),"")</f>
        <v/>
      </c>
      <c r="B608" s="5"/>
      <c r="C608" s="5"/>
      <c r="D608" s="5"/>
      <c r="E608" s="15"/>
      <c r="F608" s="15"/>
      <c r="G608" s="15"/>
      <c r="H608" s="15"/>
      <c r="I608" s="15"/>
      <c r="J608" s="15"/>
      <c r="K608" s="9" t="str">
        <f ca="1">IF(COUNTIFS($A$2:A608,A608,$L$2:L608,L608)&gt;1,"DUPLICATE - CHECK","")</f>
        <v/>
      </c>
      <c r="L608" s="17"/>
      <c r="M608" s="17"/>
      <c r="N608" s="9" t="str">
        <f t="array" aca="1" ref="N608" ca="1">IF(COUNTIF($A$2:A607,A)&gt;0,INDEX($C$2:C607,MATCH(A608,$A$2:A607,0)),"")</f>
        <v/>
      </c>
      <c r="O608" s="13"/>
      <c r="P608" s="19"/>
    </row>
    <row r="609" spans="1:16" ht="15.75" customHeight="1" x14ac:dyDescent="0.3">
      <c r="A609" s="8" t="str">
        <f ca="1">IFERROR(__xludf.DUMMYFUNCTION("IF(B609="""","""",RIGHT(regexreplace(B609&amp;"""",""[^0-9]"",""""),9))"),"")</f>
        <v/>
      </c>
      <c r="B609" s="5"/>
      <c r="C609" s="5"/>
      <c r="D609" s="5"/>
      <c r="E609" s="15"/>
      <c r="F609" s="15"/>
      <c r="G609" s="15"/>
      <c r="H609" s="15"/>
      <c r="I609" s="15"/>
      <c r="J609" s="15"/>
      <c r="K609" s="9" t="str">
        <f ca="1">IF(COUNTIFS($A$2:A609,A609,$L$2:L609,L609)&gt;1,"DUPLICATE - CHECK","")</f>
        <v/>
      </c>
      <c r="L609" s="17"/>
      <c r="M609" s="17"/>
      <c r="N609" s="9">
        <f ca="1">IF(COUNTIF($A$2:A608,A609)&gt;0,INDEX($C$2:C608,MATCH(A609,$A$2:A608,0)),"")</f>
        <v>0</v>
      </c>
      <c r="O609" s="13"/>
      <c r="P609" s="19"/>
    </row>
    <row r="610" spans="1:16" ht="15.75" customHeight="1" x14ac:dyDescent="0.3">
      <c r="A610" s="8" t="str">
        <f ca="1">IFERROR(__xludf.DUMMYFUNCTION("IF(B610="""","""",RIGHT(regexreplace(B610&amp;"""",""[^0-9]"",""""),9))"),"")</f>
        <v/>
      </c>
      <c r="B610" s="5"/>
      <c r="C610" s="5"/>
      <c r="D610" s="5"/>
      <c r="E610" s="15"/>
      <c r="F610" s="15"/>
      <c r="G610" s="15"/>
      <c r="H610" s="15"/>
      <c r="I610" s="15"/>
      <c r="J610" s="15"/>
      <c r="K610" s="9" t="str">
        <f ca="1">IF(COUNTIFS($A$2:A610,A610,$L$2:L610,L610)&gt;1,"DUPLICATE - CHECK","")</f>
        <v/>
      </c>
      <c r="L610" s="17"/>
      <c r="M610" s="17"/>
      <c r="N610" s="9">
        <f ca="1">IF(COUNTIF($A$2:A609,A610)&gt;0,INDEX($C$2:C609,MATCH(A610,$A$2:A609,0)),"")</f>
        <v>0</v>
      </c>
      <c r="O610" s="13"/>
      <c r="P610" s="19"/>
    </row>
    <row r="611" spans="1:16" ht="15.75" customHeight="1" x14ac:dyDescent="0.3">
      <c r="A611" s="8" t="str">
        <f ca="1">IFERROR(__xludf.DUMMYFUNCTION("IF(B611="""","""",RIGHT(regexreplace(B611&amp;"""",""[^0-9]"",""""),9))"),"")</f>
        <v/>
      </c>
      <c r="B611" s="5"/>
      <c r="C611" s="5"/>
      <c r="D611" s="5"/>
      <c r="E611" s="15"/>
      <c r="F611" s="15"/>
      <c r="G611" s="15"/>
      <c r="H611" s="15"/>
      <c r="I611" s="15"/>
      <c r="J611" s="15"/>
      <c r="K611" s="9" t="str">
        <f ca="1">IF(COUNTIFS($A$2:A611,A611,$L$2:L611,L611)&gt;1,"DUPLICATE - CHECK","")</f>
        <v/>
      </c>
      <c r="L611" s="17"/>
      <c r="M611" s="17"/>
      <c r="N611" s="9" t="str">
        <f t="array" aca="1" ref="N611" ca="1">IF(COUNTIF($A$2:A610,A)&gt;0,INDEX($C$2:C610,MATCH(A611,$A$2:A610,0)),"")</f>
        <v/>
      </c>
      <c r="O611" s="13"/>
      <c r="P611" s="19"/>
    </row>
    <row r="612" spans="1:16" ht="15.75" customHeight="1" x14ac:dyDescent="0.3">
      <c r="A612" s="8" t="str">
        <f ca="1">IFERROR(__xludf.DUMMYFUNCTION("IF(B612="""","""",RIGHT(regexreplace(B612&amp;"""",""[^0-9]"",""""),9))"),"")</f>
        <v/>
      </c>
      <c r="B612" s="5"/>
      <c r="C612" s="5"/>
      <c r="D612" s="5"/>
      <c r="E612" s="15"/>
      <c r="F612" s="15"/>
      <c r="G612" s="15"/>
      <c r="H612" s="15"/>
      <c r="I612" s="15"/>
      <c r="J612" s="15"/>
      <c r="K612" s="9" t="str">
        <f ca="1">IF(COUNTIFS($A$2:A612,A612,$L$2:L612,L612)&gt;1,"DUPLICATE - CHECK","")</f>
        <v/>
      </c>
      <c r="L612" s="17"/>
      <c r="M612" s="17"/>
      <c r="N612" s="9">
        <f ca="1">IF(COUNTIF($A$2:A611,A612)&gt;0,INDEX($C$2:C611,MATCH(A612,$A$2:A611,0)),"")</f>
        <v>0</v>
      </c>
      <c r="O612" s="13"/>
      <c r="P612" s="19"/>
    </row>
    <row r="613" spans="1:16" ht="15.75" customHeight="1" x14ac:dyDescent="0.3">
      <c r="A613" s="8" t="str">
        <f ca="1">IFERROR(__xludf.DUMMYFUNCTION("IF(B613="""","""",RIGHT(regexreplace(B613&amp;"""",""[^0-9]"",""""),9))"),"")</f>
        <v/>
      </c>
      <c r="B613" s="5"/>
      <c r="C613" s="5"/>
      <c r="D613" s="5"/>
      <c r="E613" s="15"/>
      <c r="F613" s="15"/>
      <c r="G613" s="15"/>
      <c r="H613" s="15"/>
      <c r="I613" s="15"/>
      <c r="J613" s="15"/>
      <c r="K613" s="9" t="str">
        <f ca="1">IF(COUNTIFS($A$2:A613,A613,$L$2:L613,L613)&gt;1,"DUPLICATE - CHECK","")</f>
        <v/>
      </c>
      <c r="L613" s="17"/>
      <c r="M613" s="17"/>
      <c r="N613" s="9">
        <f ca="1">IF(COUNTIF($A$2:A612,A613)&gt;0,INDEX($C$2:C612,MATCH(A613,$A$2:A612,0)),"")</f>
        <v>0</v>
      </c>
      <c r="O613" s="13"/>
      <c r="P613" s="19"/>
    </row>
    <row r="614" spans="1:16" ht="15.75" customHeight="1" x14ac:dyDescent="0.3">
      <c r="A614" s="8" t="str">
        <f ca="1">IFERROR(__xludf.DUMMYFUNCTION("IF(B614="""","""",RIGHT(regexreplace(B614&amp;"""",""[^0-9]"",""""),9))"),"")</f>
        <v/>
      </c>
      <c r="B614" s="5"/>
      <c r="C614" s="5"/>
      <c r="D614" s="5"/>
      <c r="E614" s="15"/>
      <c r="F614" s="15"/>
      <c r="G614" s="15"/>
      <c r="H614" s="15"/>
      <c r="I614" s="15"/>
      <c r="J614" s="15"/>
      <c r="K614" s="9" t="str">
        <f ca="1">IF(COUNTIFS($A$2:A614,A614,$L$2:L614,L614)&gt;1,"DUPLICATE - CHECK","")</f>
        <v/>
      </c>
      <c r="L614" s="17"/>
      <c r="M614" s="17"/>
      <c r="N614" s="9" t="str">
        <f t="array" aca="1" ref="N614" ca="1">IF(COUNTIF($A$2:A613,A)&gt;0,INDEX($C$2:C613,MATCH(A614,$A$2:A613,0)),"")</f>
        <v/>
      </c>
      <c r="O614" s="13"/>
      <c r="P614" s="19"/>
    </row>
    <row r="615" spans="1:16" ht="15.75" customHeight="1" x14ac:dyDescent="0.3">
      <c r="A615" s="8" t="str">
        <f ca="1">IFERROR(__xludf.DUMMYFUNCTION("IF(B615="""","""",RIGHT(regexreplace(B615&amp;"""",""[^0-9]"",""""),9))"),"")</f>
        <v/>
      </c>
      <c r="B615" s="5"/>
      <c r="C615" s="5"/>
      <c r="D615" s="5"/>
      <c r="E615" s="15"/>
      <c r="F615" s="15"/>
      <c r="G615" s="15"/>
      <c r="H615" s="15"/>
      <c r="I615" s="15"/>
      <c r="J615" s="15"/>
      <c r="K615" s="9" t="str">
        <f ca="1">IF(COUNTIFS($A$2:A615,A615,$L$2:L615,L615)&gt;1,"DUPLICATE - CHECK","")</f>
        <v/>
      </c>
      <c r="L615" s="17"/>
      <c r="M615" s="17"/>
      <c r="N615" s="9">
        <f ca="1">IF(COUNTIF($A$2:A614,A615)&gt;0,INDEX($C$2:C614,MATCH(A615,$A$2:A614,0)),"")</f>
        <v>0</v>
      </c>
      <c r="O615" s="13"/>
      <c r="P615" s="19"/>
    </row>
    <row r="616" spans="1:16" ht="15.75" customHeight="1" x14ac:dyDescent="0.3">
      <c r="A616" s="8" t="str">
        <f ca="1">IFERROR(__xludf.DUMMYFUNCTION("IF(B616="""","""",RIGHT(regexreplace(B616&amp;"""",""[^0-9]"",""""),9))"),"")</f>
        <v/>
      </c>
      <c r="B616" s="5"/>
      <c r="C616" s="5"/>
      <c r="D616" s="5"/>
      <c r="E616" s="15"/>
      <c r="F616" s="15"/>
      <c r="G616" s="15"/>
      <c r="H616" s="15"/>
      <c r="I616" s="15"/>
      <c r="J616" s="15"/>
      <c r="K616" s="9" t="str">
        <f ca="1">IF(COUNTIFS($A$2:A616,A616,$L$2:L616,L616)&gt;1,"DUPLICATE - CHECK","")</f>
        <v/>
      </c>
      <c r="L616" s="17"/>
      <c r="M616" s="17"/>
      <c r="N616" s="9">
        <f ca="1">IF(COUNTIF($A$2:A615,A616)&gt;0,INDEX($C$2:C615,MATCH(A616,$A$2:A615,0)),"")</f>
        <v>0</v>
      </c>
      <c r="O616" s="13"/>
      <c r="P616" s="19"/>
    </row>
    <row r="617" spans="1:16" ht="15.75" customHeight="1" x14ac:dyDescent="0.3">
      <c r="A617" s="8" t="str">
        <f ca="1">IFERROR(__xludf.DUMMYFUNCTION("IF(B617="""","""",RIGHT(regexreplace(B617&amp;"""",""[^0-9]"",""""),9))"),"")</f>
        <v/>
      </c>
      <c r="B617" s="5"/>
      <c r="C617" s="5"/>
      <c r="D617" s="5"/>
      <c r="E617" s="15"/>
      <c r="F617" s="15"/>
      <c r="G617" s="15"/>
      <c r="H617" s="15"/>
      <c r="I617" s="15"/>
      <c r="J617" s="15"/>
      <c r="K617" s="9" t="str">
        <f ca="1">IF(COUNTIFS($A$2:A617,A617,$L$2:L617,L617)&gt;1,"DUPLICATE - CHECK","")</f>
        <v/>
      </c>
      <c r="L617" s="17"/>
      <c r="M617" s="17"/>
      <c r="N617" s="9" t="str">
        <f t="array" aca="1" ref="N617" ca="1">IF(COUNTIF($A$2:A616,A)&gt;0,INDEX($C$2:C616,MATCH(A617,$A$2:A616,0)),"")</f>
        <v/>
      </c>
      <c r="O617" s="13"/>
      <c r="P617" s="19"/>
    </row>
    <row r="618" spans="1:16" ht="15.75" customHeight="1" x14ac:dyDescent="0.3">
      <c r="A618" s="8" t="str">
        <f ca="1">IFERROR(__xludf.DUMMYFUNCTION("IF(B618="""","""",RIGHT(regexreplace(B618&amp;"""",""[^0-9]"",""""),9))"),"")</f>
        <v/>
      </c>
      <c r="B618" s="5"/>
      <c r="C618" s="5"/>
      <c r="D618" s="5"/>
      <c r="E618" s="15"/>
      <c r="F618" s="15"/>
      <c r="G618" s="15"/>
      <c r="H618" s="15"/>
      <c r="I618" s="15"/>
      <c r="J618" s="15"/>
      <c r="K618" s="9" t="str">
        <f ca="1">IF(COUNTIFS($A$2:A618,A618,$L$2:L618,L618)&gt;1,"DUPLICATE - CHECK","")</f>
        <v/>
      </c>
      <c r="L618" s="17"/>
      <c r="M618" s="17"/>
      <c r="N618" s="9">
        <f ca="1">IF(COUNTIF($A$2:A617,A618)&gt;0,INDEX($C$2:C617,MATCH(A618,$A$2:A617,0)),"")</f>
        <v>0</v>
      </c>
      <c r="O618" s="13"/>
      <c r="P618" s="19"/>
    </row>
    <row r="619" spans="1:16" ht="15.75" customHeight="1" x14ac:dyDescent="0.3">
      <c r="A619" s="8" t="str">
        <f ca="1">IFERROR(__xludf.DUMMYFUNCTION("IF(B619="""","""",RIGHT(regexreplace(B619&amp;"""",""[^0-9]"",""""),9))"),"")</f>
        <v/>
      </c>
      <c r="B619" s="5"/>
      <c r="C619" s="5"/>
      <c r="D619" s="5"/>
      <c r="E619" s="15"/>
      <c r="F619" s="15"/>
      <c r="G619" s="15"/>
      <c r="H619" s="15"/>
      <c r="I619" s="15"/>
      <c r="J619" s="15"/>
      <c r="K619" s="9" t="str">
        <f ca="1">IF(COUNTIFS($A$2:A619,A619,$L$2:L619,L619)&gt;1,"DUPLICATE - CHECK","")</f>
        <v/>
      </c>
      <c r="L619" s="17"/>
      <c r="M619" s="17"/>
      <c r="N619" s="9">
        <f ca="1">IF(COUNTIF($A$2:A618,A619)&gt;0,INDEX($C$2:C618,MATCH(A619,$A$2:A618,0)),"")</f>
        <v>0</v>
      </c>
      <c r="O619" s="13"/>
      <c r="P619" s="19"/>
    </row>
    <row r="620" spans="1:16" ht="15.75" customHeight="1" x14ac:dyDescent="0.3">
      <c r="A620" s="8" t="str">
        <f ca="1">IFERROR(__xludf.DUMMYFUNCTION("IF(B620="""","""",RIGHT(regexreplace(B620&amp;"""",""[^0-9]"",""""),9))"),"")</f>
        <v/>
      </c>
      <c r="B620" s="5"/>
      <c r="C620" s="5"/>
      <c r="D620" s="5"/>
      <c r="E620" s="15"/>
      <c r="F620" s="15"/>
      <c r="G620" s="15"/>
      <c r="H620" s="15"/>
      <c r="I620" s="15"/>
      <c r="J620" s="15"/>
      <c r="K620" s="9" t="str">
        <f ca="1">IF(COUNTIFS($A$2:A620,A620,$L$2:L620,L620)&gt;1,"DUPLICATE - CHECK","")</f>
        <v/>
      </c>
      <c r="L620" s="17"/>
      <c r="M620" s="17"/>
      <c r="N620" s="9" t="str">
        <f t="array" aca="1" ref="N620" ca="1">IF(COUNTIF($A$2:A619,A)&gt;0,INDEX($C$2:C619,MATCH(A620,$A$2:A619,0)),"")</f>
        <v/>
      </c>
      <c r="O620" s="13"/>
      <c r="P620" s="19"/>
    </row>
    <row r="621" spans="1:16" ht="15.75" customHeight="1" x14ac:dyDescent="0.3">
      <c r="A621" s="8" t="str">
        <f ca="1">IFERROR(__xludf.DUMMYFUNCTION("IF(B621="""","""",RIGHT(regexreplace(B621&amp;"""",""[^0-9]"",""""),9))"),"")</f>
        <v/>
      </c>
      <c r="B621" s="5"/>
      <c r="C621" s="5"/>
      <c r="D621" s="5"/>
      <c r="E621" s="15"/>
      <c r="F621" s="15"/>
      <c r="G621" s="15"/>
      <c r="H621" s="15"/>
      <c r="I621" s="15"/>
      <c r="J621" s="15"/>
      <c r="K621" s="9" t="str">
        <f ca="1">IF(COUNTIFS($A$2:A621,A621,$L$2:L621,L621)&gt;1,"DUPLICATE - CHECK","")</f>
        <v/>
      </c>
      <c r="L621" s="17"/>
      <c r="M621" s="17"/>
      <c r="N621" s="9">
        <f ca="1">IF(COUNTIF($A$2:A620,A621)&gt;0,INDEX($C$2:C620,MATCH(A621,$A$2:A620,0)),"")</f>
        <v>0</v>
      </c>
      <c r="O621" s="13"/>
      <c r="P621" s="19"/>
    </row>
    <row r="622" spans="1:16" ht="15.75" customHeight="1" x14ac:dyDescent="0.3">
      <c r="A622" s="8" t="str">
        <f ca="1">IFERROR(__xludf.DUMMYFUNCTION("IF(B622="""","""",RIGHT(regexreplace(B622&amp;"""",""[^0-9]"",""""),9))"),"")</f>
        <v/>
      </c>
      <c r="B622" s="5"/>
      <c r="C622" s="5"/>
      <c r="D622" s="5"/>
      <c r="E622" s="15"/>
      <c r="F622" s="15"/>
      <c r="G622" s="15"/>
      <c r="H622" s="15"/>
      <c r="I622" s="15"/>
      <c r="J622" s="15"/>
      <c r="K622" s="9" t="str">
        <f ca="1">IF(COUNTIFS($A$2:A622,A622,$L$2:L622,L622)&gt;1,"DUPLICATE - CHECK","")</f>
        <v/>
      </c>
      <c r="L622" s="17"/>
      <c r="M622" s="17"/>
      <c r="N622" s="9">
        <f ca="1">IF(COUNTIF($A$2:A621,A622)&gt;0,INDEX($C$2:C621,MATCH(A622,$A$2:A621,0)),"")</f>
        <v>0</v>
      </c>
      <c r="O622" s="13"/>
      <c r="P622" s="19"/>
    </row>
    <row r="623" spans="1:16" ht="15.75" customHeight="1" x14ac:dyDescent="0.3">
      <c r="A623" s="8" t="str">
        <f ca="1">IFERROR(__xludf.DUMMYFUNCTION("IF(B623="""","""",RIGHT(regexreplace(B623&amp;"""",""[^0-9]"",""""),9))"),"")</f>
        <v/>
      </c>
      <c r="B623" s="5"/>
      <c r="C623" s="5"/>
      <c r="D623" s="5"/>
      <c r="E623" s="15"/>
      <c r="F623" s="15"/>
      <c r="G623" s="15"/>
      <c r="H623" s="15"/>
      <c r="I623" s="15"/>
      <c r="J623" s="15"/>
      <c r="K623" s="9" t="str">
        <f ca="1">IF(COUNTIFS($A$2:A623,A623,$L$2:L623,L623)&gt;1,"DUPLICATE - CHECK","")</f>
        <v/>
      </c>
      <c r="L623" s="17"/>
      <c r="M623" s="17"/>
      <c r="N623" s="9" t="str">
        <f t="array" aca="1" ref="N623" ca="1">IF(COUNTIF($A$2:A622,A)&gt;0,INDEX($C$2:C622,MATCH(A623,$A$2:A622,0)),"")</f>
        <v/>
      </c>
      <c r="O623" s="13"/>
      <c r="P623" s="19"/>
    </row>
    <row r="624" spans="1:16" ht="15.75" customHeight="1" x14ac:dyDescent="0.3">
      <c r="A624" s="8" t="str">
        <f ca="1">IFERROR(__xludf.DUMMYFUNCTION("IF(B624="""","""",RIGHT(regexreplace(B624&amp;"""",""[^0-9]"",""""),9))"),"")</f>
        <v/>
      </c>
      <c r="B624" s="5"/>
      <c r="C624" s="5"/>
      <c r="D624" s="5"/>
      <c r="E624" s="15"/>
      <c r="F624" s="15"/>
      <c r="G624" s="15"/>
      <c r="H624" s="15"/>
      <c r="I624" s="15"/>
      <c r="J624" s="15"/>
      <c r="K624" s="9" t="str">
        <f ca="1">IF(COUNTIFS($A$2:A624,A624,$L$2:L624,L624)&gt;1,"DUPLICATE - CHECK","")</f>
        <v/>
      </c>
      <c r="L624" s="17"/>
      <c r="M624" s="17"/>
      <c r="N624" s="9">
        <f ca="1">IF(COUNTIF($A$2:A623,A624)&gt;0,INDEX($C$2:C623,MATCH(A624,$A$2:A623,0)),"")</f>
        <v>0</v>
      </c>
      <c r="O624" s="13"/>
      <c r="P624" s="19"/>
    </row>
    <row r="625" spans="1:16" ht="15.75" customHeight="1" x14ac:dyDescent="0.3">
      <c r="A625" s="8" t="str">
        <f ca="1">IFERROR(__xludf.DUMMYFUNCTION("IF(B625="""","""",RIGHT(regexreplace(B625&amp;"""",""[^0-9]"",""""),9))"),"")</f>
        <v/>
      </c>
      <c r="B625" s="5"/>
      <c r="C625" s="5"/>
      <c r="D625" s="5"/>
      <c r="E625" s="15"/>
      <c r="F625" s="15"/>
      <c r="G625" s="15"/>
      <c r="H625" s="15"/>
      <c r="I625" s="15"/>
      <c r="J625" s="15"/>
      <c r="K625" s="9" t="str">
        <f ca="1">IF(COUNTIFS($A$2:A625,A625,$L$2:L625,L625)&gt;1,"DUPLICATE - CHECK","")</f>
        <v/>
      </c>
      <c r="L625" s="17"/>
      <c r="M625" s="17"/>
      <c r="N625" s="9">
        <f ca="1">IF(COUNTIF($A$2:A624,A625)&gt;0,INDEX($C$2:C624,MATCH(A625,$A$2:A624,0)),"")</f>
        <v>0</v>
      </c>
      <c r="O625" s="13"/>
      <c r="P625" s="19"/>
    </row>
    <row r="626" spans="1:16" ht="15.75" customHeight="1" x14ac:dyDescent="0.3">
      <c r="A626" s="8" t="str">
        <f ca="1">IFERROR(__xludf.DUMMYFUNCTION("IF(B626="""","""",RIGHT(regexreplace(B626&amp;"""",""[^0-9]"",""""),9))"),"")</f>
        <v/>
      </c>
      <c r="B626" s="5"/>
      <c r="C626" s="5"/>
      <c r="D626" s="5"/>
      <c r="E626" s="15"/>
      <c r="F626" s="15"/>
      <c r="G626" s="15"/>
      <c r="H626" s="15"/>
      <c r="I626" s="15"/>
      <c r="J626" s="15"/>
      <c r="K626" s="9" t="str">
        <f ca="1">IF(COUNTIFS($A$2:A626,A626,$L$2:L626,L626)&gt;1,"DUPLICATE - CHECK","")</f>
        <v/>
      </c>
      <c r="L626" s="17"/>
      <c r="M626" s="17"/>
      <c r="N626" s="9" t="str">
        <f t="array" aca="1" ref="N626" ca="1">IF(COUNTIF($A$2:A625,A)&gt;0,INDEX($C$2:C625,MATCH(A626,$A$2:A625,0)),"")</f>
        <v/>
      </c>
      <c r="O626" s="13"/>
      <c r="P626" s="19"/>
    </row>
    <row r="627" spans="1:16" ht="15.75" customHeight="1" x14ac:dyDescent="0.3">
      <c r="A627" s="8" t="str">
        <f ca="1">IFERROR(__xludf.DUMMYFUNCTION("IF(B627="""","""",RIGHT(regexreplace(B627&amp;"""",""[^0-9]"",""""),9))"),"")</f>
        <v/>
      </c>
      <c r="B627" s="5"/>
      <c r="C627" s="5"/>
      <c r="D627" s="5"/>
      <c r="E627" s="15"/>
      <c r="F627" s="15"/>
      <c r="G627" s="15"/>
      <c r="H627" s="15"/>
      <c r="I627" s="15"/>
      <c r="J627" s="15"/>
      <c r="K627" s="9" t="str">
        <f ca="1">IF(COUNTIFS($A$2:A627,A627,$L$2:L627,L627)&gt;1,"DUPLICATE - CHECK","")</f>
        <v/>
      </c>
      <c r="L627" s="17"/>
      <c r="M627" s="17"/>
      <c r="N627" s="9">
        <f ca="1">IF(COUNTIF($A$2:A626,A627)&gt;0,INDEX($C$2:C626,MATCH(A627,$A$2:A626,0)),"")</f>
        <v>0</v>
      </c>
      <c r="O627" s="13"/>
      <c r="P627" s="19"/>
    </row>
    <row r="628" spans="1:16" ht="15.75" customHeight="1" x14ac:dyDescent="0.3">
      <c r="A628" s="8" t="str">
        <f ca="1">IFERROR(__xludf.DUMMYFUNCTION("IF(B628="""","""",RIGHT(regexreplace(B628&amp;"""",""[^0-9]"",""""),9))"),"")</f>
        <v/>
      </c>
      <c r="B628" s="5"/>
      <c r="C628" s="5"/>
      <c r="D628" s="5"/>
      <c r="E628" s="15"/>
      <c r="F628" s="15"/>
      <c r="G628" s="15"/>
      <c r="H628" s="15"/>
      <c r="I628" s="15"/>
      <c r="J628" s="15"/>
      <c r="K628" s="9" t="str">
        <f ca="1">IF(COUNTIFS($A$2:A628,A628,$L$2:L628,L628)&gt;1,"DUPLICATE - CHECK","")</f>
        <v/>
      </c>
      <c r="L628" s="17"/>
      <c r="M628" s="17"/>
      <c r="N628" s="9">
        <f ca="1">IF(COUNTIF($A$2:A627,A628)&gt;0,INDEX($C$2:C627,MATCH(A628,$A$2:A627,0)),"")</f>
        <v>0</v>
      </c>
      <c r="O628" s="13"/>
      <c r="P628" s="19"/>
    </row>
    <row r="629" spans="1:16" ht="15.75" customHeight="1" x14ac:dyDescent="0.3">
      <c r="A629" s="8" t="str">
        <f ca="1">IFERROR(__xludf.DUMMYFUNCTION("IF(B629="""","""",RIGHT(regexreplace(B629&amp;"""",""[^0-9]"",""""),9))"),"")</f>
        <v/>
      </c>
      <c r="B629" s="5"/>
      <c r="C629" s="5"/>
      <c r="D629" s="5"/>
      <c r="E629" s="15"/>
      <c r="F629" s="15"/>
      <c r="G629" s="15"/>
      <c r="H629" s="15"/>
      <c r="I629" s="15"/>
      <c r="J629" s="15"/>
      <c r="K629" s="9" t="str">
        <f ca="1">IF(COUNTIFS($A$2:A629,A629,$L$2:L629,L629)&gt;1,"DUPLICATE - CHECK","")</f>
        <v/>
      </c>
      <c r="L629" s="17"/>
      <c r="M629" s="17"/>
      <c r="N629" s="9" t="str">
        <f t="array" aca="1" ref="N629" ca="1">IF(COUNTIF($A$2:A628,A)&gt;0,INDEX($C$2:C628,MATCH(A629,$A$2:A628,0)),"")</f>
        <v/>
      </c>
      <c r="O629" s="13"/>
      <c r="P629" s="19"/>
    </row>
    <row r="630" spans="1:16" ht="15.75" customHeight="1" x14ac:dyDescent="0.3">
      <c r="A630" s="8" t="str">
        <f ca="1">IFERROR(__xludf.DUMMYFUNCTION("IF(B630="""","""",RIGHT(regexreplace(B630&amp;"""",""[^0-9]"",""""),9))"),"")</f>
        <v/>
      </c>
      <c r="B630" s="5"/>
      <c r="C630" s="5"/>
      <c r="D630" s="5"/>
      <c r="E630" s="15"/>
      <c r="F630" s="15"/>
      <c r="G630" s="15"/>
      <c r="H630" s="15"/>
      <c r="I630" s="15"/>
      <c r="J630" s="15"/>
      <c r="K630" s="9" t="str">
        <f ca="1">IF(COUNTIFS($A$2:A630,A630,$L$2:L630,L630)&gt;1,"DUPLICATE - CHECK","")</f>
        <v/>
      </c>
      <c r="L630" s="17"/>
      <c r="M630" s="17"/>
      <c r="N630" s="9">
        <f ca="1">IF(COUNTIF($A$2:A629,A630)&gt;0,INDEX($C$2:C629,MATCH(A630,$A$2:A629,0)),"")</f>
        <v>0</v>
      </c>
      <c r="O630" s="13"/>
      <c r="P630" s="19"/>
    </row>
    <row r="631" spans="1:16" ht="15.75" customHeight="1" x14ac:dyDescent="0.3">
      <c r="A631" s="8" t="str">
        <f ca="1">IFERROR(__xludf.DUMMYFUNCTION("IF(B631="""","""",RIGHT(regexreplace(B631&amp;"""",""[^0-9]"",""""),9))"),"")</f>
        <v/>
      </c>
      <c r="B631" s="5"/>
      <c r="C631" s="5"/>
      <c r="D631" s="5"/>
      <c r="E631" s="15"/>
      <c r="F631" s="15"/>
      <c r="G631" s="15"/>
      <c r="H631" s="15"/>
      <c r="I631" s="15"/>
      <c r="J631" s="15"/>
      <c r="K631" s="9" t="str">
        <f ca="1">IF(COUNTIFS($A$2:A631,A631,$L$2:L631,L631)&gt;1,"DUPLICATE - CHECK","")</f>
        <v/>
      </c>
      <c r="L631" s="17"/>
      <c r="M631" s="17"/>
      <c r="N631" s="9">
        <f ca="1">IF(COUNTIF($A$2:A630,A631)&gt;0,INDEX($C$2:C630,MATCH(A631,$A$2:A630,0)),"")</f>
        <v>0</v>
      </c>
      <c r="O631" s="13"/>
      <c r="P631" s="19"/>
    </row>
    <row r="632" spans="1:16" ht="15.75" customHeight="1" x14ac:dyDescent="0.3">
      <c r="A632" s="8" t="str">
        <f ca="1">IFERROR(__xludf.DUMMYFUNCTION("IF(B632="""","""",RIGHT(regexreplace(B632&amp;"""",""[^0-9]"",""""),9))"),"")</f>
        <v/>
      </c>
      <c r="B632" s="5"/>
      <c r="C632" s="5"/>
      <c r="D632" s="5"/>
      <c r="E632" s="15"/>
      <c r="F632" s="15"/>
      <c r="G632" s="15"/>
      <c r="H632" s="15"/>
      <c r="I632" s="15"/>
      <c r="J632" s="15"/>
      <c r="K632" s="9" t="str">
        <f ca="1">IF(COUNTIFS($A$2:A632,A632,$L$2:L632,L632)&gt;1,"DUPLICATE - CHECK","")</f>
        <v/>
      </c>
      <c r="L632" s="17"/>
      <c r="M632" s="17"/>
      <c r="N632" s="9" t="str">
        <f t="array" aca="1" ref="N632" ca="1">IF(COUNTIF($A$2:A631,A)&gt;0,INDEX($C$2:C631,MATCH(A632,$A$2:A631,0)),"")</f>
        <v/>
      </c>
      <c r="O632" s="13"/>
      <c r="P632" s="19"/>
    </row>
    <row r="633" spans="1:16" ht="15.75" customHeight="1" x14ac:dyDescent="0.3">
      <c r="A633" s="8" t="str">
        <f ca="1">IFERROR(__xludf.DUMMYFUNCTION("IF(B633="""","""",RIGHT(regexreplace(B633&amp;"""",""[^0-9]"",""""),9))"),"")</f>
        <v/>
      </c>
      <c r="B633" s="5"/>
      <c r="C633" s="5"/>
      <c r="D633" s="5"/>
      <c r="E633" s="15"/>
      <c r="F633" s="15"/>
      <c r="G633" s="15"/>
      <c r="H633" s="15"/>
      <c r="I633" s="15"/>
      <c r="J633" s="15"/>
      <c r="K633" s="9" t="str">
        <f ca="1">IF(COUNTIFS($A$2:A633,A633,$L$2:L633,L633)&gt;1,"DUPLICATE - CHECK","")</f>
        <v/>
      </c>
      <c r="L633" s="17"/>
      <c r="M633" s="17"/>
      <c r="N633" s="9">
        <f ca="1">IF(COUNTIF($A$2:A632,A633)&gt;0,INDEX($C$2:C632,MATCH(A633,$A$2:A632,0)),"")</f>
        <v>0</v>
      </c>
      <c r="O633" s="13"/>
      <c r="P633" s="19"/>
    </row>
    <row r="634" spans="1:16" ht="15.75" customHeight="1" x14ac:dyDescent="0.3">
      <c r="A634" s="8" t="str">
        <f ca="1">IFERROR(__xludf.DUMMYFUNCTION("IF(B634="""","""",RIGHT(regexreplace(B634&amp;"""",""[^0-9]"",""""),9))"),"")</f>
        <v/>
      </c>
      <c r="B634" s="5"/>
      <c r="C634" s="5"/>
      <c r="D634" s="5"/>
      <c r="E634" s="15"/>
      <c r="F634" s="15"/>
      <c r="G634" s="15"/>
      <c r="H634" s="15"/>
      <c r="I634" s="15"/>
      <c r="J634" s="15"/>
      <c r="K634" s="9" t="str">
        <f ca="1">IF(COUNTIFS($A$2:A634,A634,$L$2:L634,L634)&gt;1,"DUPLICATE - CHECK","")</f>
        <v/>
      </c>
      <c r="L634" s="17"/>
      <c r="M634" s="17"/>
      <c r="N634" s="9">
        <f ca="1">IF(COUNTIF($A$2:A633,A634)&gt;0,INDEX($C$2:C633,MATCH(A634,$A$2:A633,0)),"")</f>
        <v>0</v>
      </c>
      <c r="O634" s="13"/>
      <c r="P634" s="19"/>
    </row>
    <row r="635" spans="1:16" ht="15.75" customHeight="1" x14ac:dyDescent="0.3">
      <c r="A635" s="8" t="str">
        <f ca="1">IFERROR(__xludf.DUMMYFUNCTION("IF(B635="""","""",RIGHT(regexreplace(B635&amp;"""",""[^0-9]"",""""),9))"),"")</f>
        <v/>
      </c>
      <c r="B635" s="5"/>
      <c r="C635" s="5"/>
      <c r="D635" s="5"/>
      <c r="E635" s="15"/>
      <c r="F635" s="15"/>
      <c r="G635" s="15"/>
      <c r="H635" s="15"/>
      <c r="I635" s="15"/>
      <c r="J635" s="15"/>
      <c r="K635" s="9" t="str">
        <f ca="1">IF(COUNTIFS($A$2:A635,A635,$L$2:L635,L635)&gt;1,"DUPLICATE - CHECK","")</f>
        <v/>
      </c>
      <c r="L635" s="17"/>
      <c r="M635" s="17"/>
      <c r="N635" s="9" t="str">
        <f t="array" aca="1" ref="N635" ca="1">IF(COUNTIF($A$2:A634,A)&gt;0,INDEX($C$2:C634,MATCH(A635,$A$2:A634,0)),"")</f>
        <v/>
      </c>
      <c r="O635" s="13"/>
      <c r="P635" s="19"/>
    </row>
    <row r="636" spans="1:16" ht="15.75" customHeight="1" x14ac:dyDescent="0.3">
      <c r="A636" s="8" t="str">
        <f ca="1">IFERROR(__xludf.DUMMYFUNCTION("IF(B636="""","""",RIGHT(regexreplace(B636&amp;"""",""[^0-9]"",""""),9))"),"")</f>
        <v/>
      </c>
      <c r="B636" s="5"/>
      <c r="C636" s="5"/>
      <c r="D636" s="5"/>
      <c r="E636" s="15"/>
      <c r="F636" s="15"/>
      <c r="G636" s="15"/>
      <c r="H636" s="15"/>
      <c r="I636" s="15"/>
      <c r="J636" s="15"/>
      <c r="K636" s="9" t="str">
        <f ca="1">IF(COUNTIFS($A$2:A636,A636,$L$2:L636,L636)&gt;1,"DUPLICATE - CHECK","")</f>
        <v/>
      </c>
      <c r="L636" s="17"/>
      <c r="M636" s="17"/>
      <c r="N636" s="9">
        <f ca="1">IF(COUNTIF($A$2:A635,A636)&gt;0,INDEX($C$2:C635,MATCH(A636,$A$2:A635,0)),"")</f>
        <v>0</v>
      </c>
      <c r="O636" s="13"/>
      <c r="P636" s="19"/>
    </row>
    <row r="637" spans="1:16" ht="15.75" customHeight="1" x14ac:dyDescent="0.3">
      <c r="A637" s="8" t="str">
        <f ca="1">IFERROR(__xludf.DUMMYFUNCTION("IF(B637="""","""",RIGHT(regexreplace(B637&amp;"""",""[^0-9]"",""""),9))"),"")</f>
        <v/>
      </c>
      <c r="B637" s="5"/>
      <c r="C637" s="5"/>
      <c r="D637" s="5"/>
      <c r="E637" s="15"/>
      <c r="F637" s="15"/>
      <c r="G637" s="15"/>
      <c r="H637" s="15"/>
      <c r="I637" s="15"/>
      <c r="J637" s="15"/>
      <c r="K637" s="9" t="str">
        <f ca="1">IF(COUNTIFS($A$2:A637,A637,$L$2:L637,L637)&gt;1,"DUPLICATE - CHECK","")</f>
        <v/>
      </c>
      <c r="L637" s="17"/>
      <c r="M637" s="17"/>
      <c r="N637" s="9">
        <f ca="1">IF(COUNTIF($A$2:A636,A637)&gt;0,INDEX($C$2:C636,MATCH(A637,$A$2:A636,0)),"")</f>
        <v>0</v>
      </c>
      <c r="O637" s="13"/>
      <c r="P637" s="19"/>
    </row>
    <row r="638" spans="1:16" ht="15.75" customHeight="1" x14ac:dyDescent="0.3">
      <c r="A638" s="8" t="str">
        <f ca="1">IFERROR(__xludf.DUMMYFUNCTION("IF(B638="""","""",RIGHT(regexreplace(B638&amp;"""",""[^0-9]"",""""),9))"),"")</f>
        <v/>
      </c>
      <c r="B638" s="5"/>
      <c r="C638" s="5"/>
      <c r="D638" s="5"/>
      <c r="E638" s="15"/>
      <c r="F638" s="15"/>
      <c r="G638" s="15"/>
      <c r="H638" s="15"/>
      <c r="I638" s="15"/>
      <c r="J638" s="15"/>
      <c r="K638" s="9" t="str">
        <f ca="1">IF(COUNTIFS($A$2:A638,A638,$L$2:L638,L638)&gt;1,"DUPLICATE - CHECK","")</f>
        <v/>
      </c>
      <c r="L638" s="17"/>
      <c r="M638" s="17"/>
      <c r="N638" s="9" t="str">
        <f t="array" aca="1" ref="N638" ca="1">IF(COUNTIF($A$2:A637,A)&gt;0,INDEX($C$2:C637,MATCH(A638,$A$2:A637,0)),"")</f>
        <v/>
      </c>
      <c r="O638" s="13"/>
      <c r="P638" s="19"/>
    </row>
    <row r="639" spans="1:16" ht="15.75" customHeight="1" x14ac:dyDescent="0.3">
      <c r="A639" s="8" t="str">
        <f ca="1">IFERROR(__xludf.DUMMYFUNCTION("IF(B639="""","""",RIGHT(regexreplace(B639&amp;"""",""[^0-9]"",""""),9))"),"")</f>
        <v/>
      </c>
      <c r="B639" s="5"/>
      <c r="C639" s="5"/>
      <c r="D639" s="5"/>
      <c r="E639" s="15"/>
      <c r="F639" s="15"/>
      <c r="G639" s="15"/>
      <c r="H639" s="15"/>
      <c r="I639" s="15"/>
      <c r="J639" s="15"/>
      <c r="K639" s="9" t="str">
        <f ca="1">IF(COUNTIFS($A$2:A639,A639,$L$2:L639,L639)&gt;1,"DUPLICATE - CHECK","")</f>
        <v/>
      </c>
      <c r="L639" s="17"/>
      <c r="M639" s="17"/>
      <c r="N639" s="9">
        <f ca="1">IF(COUNTIF($A$2:A638,A639)&gt;0,INDEX($C$2:C638,MATCH(A639,$A$2:A638,0)),"")</f>
        <v>0</v>
      </c>
      <c r="O639" s="13"/>
      <c r="P639" s="19"/>
    </row>
    <row r="640" spans="1:16" ht="15.75" customHeight="1" x14ac:dyDescent="0.3">
      <c r="A640" s="8" t="str">
        <f ca="1">IFERROR(__xludf.DUMMYFUNCTION("IF(B640="""","""",RIGHT(regexreplace(B640&amp;"""",""[^0-9]"",""""),9))"),"")</f>
        <v/>
      </c>
      <c r="B640" s="5"/>
      <c r="C640" s="5"/>
      <c r="D640" s="5"/>
      <c r="E640" s="15"/>
      <c r="F640" s="15"/>
      <c r="G640" s="15"/>
      <c r="H640" s="15"/>
      <c r="I640" s="15"/>
      <c r="J640" s="15"/>
      <c r="K640" s="9" t="str">
        <f ca="1">IF(COUNTIFS($A$2:A640,A640,$L$2:L640,L640)&gt;1,"DUPLICATE - CHECK","")</f>
        <v/>
      </c>
      <c r="L640" s="17"/>
      <c r="M640" s="17"/>
      <c r="N640" s="9">
        <f ca="1">IF(COUNTIF($A$2:A639,A640)&gt;0,INDEX($C$2:C639,MATCH(A640,$A$2:A639,0)),"")</f>
        <v>0</v>
      </c>
      <c r="O640" s="13"/>
      <c r="P640" s="19"/>
    </row>
    <row r="641" spans="1:16" ht="15.75" customHeight="1" x14ac:dyDescent="0.3">
      <c r="A641" s="8" t="str">
        <f ca="1">IFERROR(__xludf.DUMMYFUNCTION("IF(B641="""","""",RIGHT(regexreplace(B641&amp;"""",""[^0-9]"",""""),9))"),"")</f>
        <v/>
      </c>
      <c r="B641" s="5"/>
      <c r="C641" s="5"/>
      <c r="D641" s="5"/>
      <c r="E641" s="15"/>
      <c r="F641" s="15"/>
      <c r="G641" s="15"/>
      <c r="H641" s="15"/>
      <c r="I641" s="15"/>
      <c r="J641" s="15"/>
      <c r="K641" s="9" t="str">
        <f ca="1">IF(COUNTIFS($A$2:A641,A641,$L$2:L641,L641)&gt;1,"DUPLICATE - CHECK","")</f>
        <v/>
      </c>
      <c r="L641" s="17"/>
      <c r="M641" s="17"/>
      <c r="N641" s="9" t="str">
        <f t="array" aca="1" ref="N641" ca="1">IF(COUNTIF($A$2:A640,A)&gt;0,INDEX($C$2:C640,MATCH(A641,$A$2:A640,0)),"")</f>
        <v/>
      </c>
      <c r="O641" s="13"/>
      <c r="P641" s="19"/>
    </row>
    <row r="642" spans="1:16" ht="15.75" customHeight="1" x14ac:dyDescent="0.3">
      <c r="A642" s="8" t="str">
        <f ca="1">IFERROR(__xludf.DUMMYFUNCTION("IF(B642="""","""",RIGHT(regexreplace(B642&amp;"""",""[^0-9]"",""""),9))"),"")</f>
        <v/>
      </c>
      <c r="B642" s="5"/>
      <c r="C642" s="5"/>
      <c r="D642" s="5"/>
      <c r="E642" s="15"/>
      <c r="F642" s="15"/>
      <c r="G642" s="15"/>
      <c r="H642" s="15"/>
      <c r="I642" s="15"/>
      <c r="J642" s="15"/>
      <c r="K642" s="9" t="str">
        <f ca="1">IF(COUNTIFS($A$2:A642,A642,$L$2:L642,L642)&gt;1,"DUPLICATE - CHECK","")</f>
        <v/>
      </c>
      <c r="L642" s="17"/>
      <c r="M642" s="17"/>
      <c r="N642" s="9">
        <f ca="1">IF(COUNTIF($A$2:A641,A642)&gt;0,INDEX($C$2:C641,MATCH(A642,$A$2:A641,0)),"")</f>
        <v>0</v>
      </c>
      <c r="O642" s="13"/>
      <c r="P642" s="19"/>
    </row>
    <row r="643" spans="1:16" ht="15.75" customHeight="1" x14ac:dyDescent="0.3">
      <c r="A643" s="8" t="str">
        <f ca="1">IFERROR(__xludf.DUMMYFUNCTION("IF(B643="""","""",RIGHT(regexreplace(B643&amp;"""",""[^0-9]"",""""),9))"),"")</f>
        <v/>
      </c>
      <c r="B643" s="5"/>
      <c r="C643" s="5"/>
      <c r="D643" s="5"/>
      <c r="E643" s="15"/>
      <c r="F643" s="15"/>
      <c r="G643" s="15"/>
      <c r="H643" s="15"/>
      <c r="I643" s="15"/>
      <c r="J643" s="15"/>
      <c r="K643" s="9" t="str">
        <f ca="1">IF(COUNTIFS($A$2:A643,A643,$L$2:L643,L643)&gt;1,"DUPLICATE - CHECK","")</f>
        <v/>
      </c>
      <c r="L643" s="17"/>
      <c r="M643" s="17"/>
      <c r="N643" s="9">
        <f ca="1">IF(COUNTIF($A$2:A642,A643)&gt;0,INDEX($C$2:C642,MATCH(A643,$A$2:A642,0)),"")</f>
        <v>0</v>
      </c>
      <c r="O643" s="13"/>
      <c r="P643" s="19"/>
    </row>
    <row r="644" spans="1:16" ht="15.75" customHeight="1" x14ac:dyDescent="0.3">
      <c r="A644" s="8" t="str">
        <f ca="1">IFERROR(__xludf.DUMMYFUNCTION("IF(B644="""","""",RIGHT(regexreplace(B644&amp;"""",""[^0-9]"",""""),9))"),"")</f>
        <v/>
      </c>
      <c r="B644" s="5"/>
      <c r="C644" s="5"/>
      <c r="D644" s="5"/>
      <c r="E644" s="15"/>
      <c r="F644" s="15"/>
      <c r="G644" s="15"/>
      <c r="H644" s="15"/>
      <c r="I644" s="15"/>
      <c r="J644" s="15"/>
      <c r="K644" s="9" t="str">
        <f ca="1">IF(COUNTIFS($A$2:A644,A644,$L$2:L644,L644)&gt;1,"DUPLICATE - CHECK","")</f>
        <v/>
      </c>
      <c r="L644" s="17"/>
      <c r="M644" s="17"/>
      <c r="N644" s="9" t="str">
        <f t="array" aca="1" ref="N644" ca="1">IF(COUNTIF($A$2:A643,A)&gt;0,INDEX($C$2:C643,MATCH(A644,$A$2:A643,0)),"")</f>
        <v/>
      </c>
      <c r="O644" s="13"/>
      <c r="P644" s="19"/>
    </row>
    <row r="645" spans="1:16" ht="15.75" customHeight="1" x14ac:dyDescent="0.3">
      <c r="A645" s="8" t="str">
        <f ca="1">IFERROR(__xludf.DUMMYFUNCTION("IF(B645="""","""",RIGHT(regexreplace(B645&amp;"""",""[^0-9]"",""""),9))"),"")</f>
        <v/>
      </c>
      <c r="B645" s="5"/>
      <c r="C645" s="5"/>
      <c r="D645" s="5"/>
      <c r="E645" s="15"/>
      <c r="F645" s="15"/>
      <c r="G645" s="15"/>
      <c r="H645" s="15"/>
      <c r="I645" s="15"/>
      <c r="J645" s="15"/>
      <c r="K645" s="9" t="str">
        <f ca="1">IF(COUNTIFS($A$2:A645,A645,$L$2:L645,L645)&gt;1,"DUPLICATE - CHECK","")</f>
        <v/>
      </c>
      <c r="L645" s="17"/>
      <c r="M645" s="17"/>
      <c r="N645" s="9">
        <f ca="1">IF(COUNTIF($A$2:A644,A645)&gt;0,INDEX($C$2:C644,MATCH(A645,$A$2:A644,0)),"")</f>
        <v>0</v>
      </c>
      <c r="O645" s="13"/>
      <c r="P645" s="19"/>
    </row>
    <row r="646" spans="1:16" ht="15.75" customHeight="1" x14ac:dyDescent="0.3">
      <c r="A646" s="8" t="str">
        <f ca="1">IFERROR(__xludf.DUMMYFUNCTION("IF(B646="""","""",RIGHT(regexreplace(B646&amp;"""",""[^0-9]"",""""),9))"),"")</f>
        <v/>
      </c>
      <c r="B646" s="5"/>
      <c r="C646" s="5"/>
      <c r="D646" s="5"/>
      <c r="E646" s="15"/>
      <c r="F646" s="15"/>
      <c r="G646" s="15"/>
      <c r="H646" s="15"/>
      <c r="I646" s="15"/>
      <c r="J646" s="15"/>
      <c r="K646" s="9" t="str">
        <f ca="1">IF(COUNTIFS($A$2:A646,A646,$L$2:L646,L646)&gt;1,"DUPLICATE - CHECK","")</f>
        <v/>
      </c>
      <c r="L646" s="17"/>
      <c r="M646" s="17"/>
      <c r="N646" s="9">
        <f ca="1">IF(COUNTIF($A$2:A645,A646)&gt;0,INDEX($C$2:C645,MATCH(A646,$A$2:A645,0)),"")</f>
        <v>0</v>
      </c>
      <c r="O646" s="13"/>
      <c r="P646" s="19"/>
    </row>
    <row r="647" spans="1:16" ht="15.75" customHeight="1" x14ac:dyDescent="0.3">
      <c r="A647" s="8" t="str">
        <f ca="1">IFERROR(__xludf.DUMMYFUNCTION("IF(B647="""","""",RIGHT(regexreplace(B647&amp;"""",""[^0-9]"",""""),9))"),"")</f>
        <v/>
      </c>
      <c r="B647" s="5"/>
      <c r="C647" s="5"/>
      <c r="D647" s="5"/>
      <c r="E647" s="15"/>
      <c r="F647" s="15"/>
      <c r="G647" s="15"/>
      <c r="H647" s="15"/>
      <c r="I647" s="15"/>
      <c r="J647" s="15"/>
      <c r="K647" s="9" t="str">
        <f ca="1">IF(COUNTIFS($A$2:A647,A647,$L$2:L647,L647)&gt;1,"DUPLICATE - CHECK","")</f>
        <v/>
      </c>
      <c r="L647" s="17"/>
      <c r="M647" s="17"/>
      <c r="N647" s="9" t="str">
        <f t="array" aca="1" ref="N647" ca="1">IF(COUNTIF($A$2:A646,A)&gt;0,INDEX($C$2:C646,MATCH(A647,$A$2:A646,0)),"")</f>
        <v/>
      </c>
      <c r="O647" s="13"/>
      <c r="P647" s="19"/>
    </row>
    <row r="648" spans="1:16" ht="15.75" customHeight="1" x14ac:dyDescent="0.3">
      <c r="A648" s="8" t="str">
        <f ca="1">IFERROR(__xludf.DUMMYFUNCTION("IF(B648="""","""",RIGHT(regexreplace(B648&amp;"""",""[^0-9]"",""""),9))"),"")</f>
        <v/>
      </c>
      <c r="B648" s="5"/>
      <c r="C648" s="5"/>
      <c r="D648" s="5"/>
      <c r="E648" s="15"/>
      <c r="F648" s="15"/>
      <c r="G648" s="15"/>
      <c r="H648" s="15"/>
      <c r="I648" s="15"/>
      <c r="J648" s="15"/>
      <c r="K648" s="9" t="str">
        <f ca="1">IF(COUNTIFS($A$2:A648,A648,$L$2:L648,L648)&gt;1,"DUPLICATE - CHECK","")</f>
        <v/>
      </c>
      <c r="L648" s="17"/>
      <c r="M648" s="17"/>
      <c r="N648" s="9">
        <f ca="1">IF(COUNTIF($A$2:A647,A648)&gt;0,INDEX($C$2:C647,MATCH(A648,$A$2:A647,0)),"")</f>
        <v>0</v>
      </c>
      <c r="O648" s="13"/>
      <c r="P648" s="19"/>
    </row>
    <row r="649" spans="1:16" ht="15.75" customHeight="1" x14ac:dyDescent="0.3">
      <c r="A649" s="8" t="str">
        <f ca="1">IFERROR(__xludf.DUMMYFUNCTION("IF(B649="""","""",RIGHT(regexreplace(B649&amp;"""",""[^0-9]"",""""),9))"),"")</f>
        <v/>
      </c>
      <c r="B649" s="5"/>
      <c r="C649" s="5"/>
      <c r="D649" s="5"/>
      <c r="E649" s="15"/>
      <c r="F649" s="15"/>
      <c r="G649" s="15"/>
      <c r="H649" s="15"/>
      <c r="I649" s="15"/>
      <c r="J649" s="15"/>
      <c r="K649" s="9" t="str">
        <f ca="1">IF(COUNTIFS($A$2:A649,A649,$L$2:L649,L649)&gt;1,"DUPLICATE - CHECK","")</f>
        <v/>
      </c>
      <c r="L649" s="17"/>
      <c r="M649" s="17"/>
      <c r="N649" s="9">
        <f ca="1">IF(COUNTIF($A$2:A648,A649)&gt;0,INDEX($C$2:C648,MATCH(A649,$A$2:A648,0)),"")</f>
        <v>0</v>
      </c>
      <c r="O649" s="13"/>
      <c r="P649" s="19"/>
    </row>
    <row r="650" spans="1:16" ht="15.75" customHeight="1" x14ac:dyDescent="0.3">
      <c r="A650" s="8" t="str">
        <f ca="1">IFERROR(__xludf.DUMMYFUNCTION("IF(B650="""","""",RIGHT(regexreplace(B650&amp;"""",""[^0-9]"",""""),9))"),"")</f>
        <v/>
      </c>
      <c r="B650" s="5"/>
      <c r="C650" s="5"/>
      <c r="D650" s="5"/>
      <c r="E650" s="15"/>
      <c r="F650" s="15"/>
      <c r="G650" s="15"/>
      <c r="H650" s="15"/>
      <c r="I650" s="15"/>
      <c r="J650" s="15"/>
      <c r="K650" s="9" t="str">
        <f ca="1">IF(COUNTIFS($A$2:A650,A650,$L$2:L650,L650)&gt;1,"DUPLICATE - CHECK","")</f>
        <v/>
      </c>
      <c r="L650" s="17"/>
      <c r="M650" s="17"/>
      <c r="N650" s="9" t="str">
        <f t="array" aca="1" ref="N650" ca="1">IF(COUNTIF($A$2:A649,A)&gt;0,INDEX($C$2:C649,MATCH(A650,$A$2:A649,0)),"")</f>
        <v/>
      </c>
      <c r="O650" s="13"/>
      <c r="P650" s="19"/>
    </row>
    <row r="651" spans="1:16" ht="15.75" customHeight="1" x14ac:dyDescent="0.3">
      <c r="A651" s="8" t="str">
        <f ca="1">IFERROR(__xludf.DUMMYFUNCTION("IF(B651="""","""",RIGHT(regexreplace(B651&amp;"""",""[^0-9]"",""""),9))"),"")</f>
        <v/>
      </c>
      <c r="B651" s="5"/>
      <c r="C651" s="5"/>
      <c r="D651" s="5"/>
      <c r="E651" s="15"/>
      <c r="F651" s="15"/>
      <c r="G651" s="15"/>
      <c r="H651" s="15"/>
      <c r="I651" s="15"/>
      <c r="J651" s="15"/>
      <c r="K651" s="9" t="str">
        <f ca="1">IF(COUNTIFS($A$2:A651,A651,$L$2:L651,L651)&gt;1,"DUPLICATE - CHECK","")</f>
        <v/>
      </c>
      <c r="L651" s="17"/>
      <c r="M651" s="17"/>
      <c r="N651" s="9">
        <f ca="1">IF(COUNTIF($A$2:A650,A651)&gt;0,INDEX($C$2:C650,MATCH(A651,$A$2:A650,0)),"")</f>
        <v>0</v>
      </c>
      <c r="O651" s="13"/>
      <c r="P651" s="19"/>
    </row>
    <row r="652" spans="1:16" ht="15.75" customHeight="1" x14ac:dyDescent="0.3">
      <c r="A652" s="8" t="str">
        <f ca="1">IFERROR(__xludf.DUMMYFUNCTION("IF(B652="""","""",RIGHT(regexreplace(B652&amp;"""",""[^0-9]"",""""),9))"),"")</f>
        <v/>
      </c>
      <c r="B652" s="5"/>
      <c r="C652" s="5"/>
      <c r="D652" s="5"/>
      <c r="E652" s="15"/>
      <c r="F652" s="15"/>
      <c r="G652" s="15"/>
      <c r="H652" s="15"/>
      <c r="I652" s="15"/>
      <c r="J652" s="15"/>
      <c r="K652" s="9" t="str">
        <f ca="1">IF(COUNTIFS($A$2:A652,A652,$L$2:L652,L652)&gt;1,"DUPLICATE - CHECK","")</f>
        <v/>
      </c>
      <c r="L652" s="17"/>
      <c r="M652" s="17"/>
      <c r="N652" s="9">
        <f ca="1">IF(COUNTIF($A$2:A651,A652)&gt;0,INDEX($C$2:C651,MATCH(A652,$A$2:A651,0)),"")</f>
        <v>0</v>
      </c>
      <c r="O652" s="13"/>
      <c r="P652" s="19"/>
    </row>
    <row r="653" spans="1:16" ht="15.75" customHeight="1" x14ac:dyDescent="0.3">
      <c r="A653" s="8" t="str">
        <f ca="1">IFERROR(__xludf.DUMMYFUNCTION("IF(B653="""","""",RIGHT(regexreplace(B653&amp;"""",""[^0-9]"",""""),9))"),"")</f>
        <v/>
      </c>
      <c r="B653" s="5"/>
      <c r="C653" s="5"/>
      <c r="D653" s="5"/>
      <c r="E653" s="15"/>
      <c r="F653" s="15"/>
      <c r="G653" s="15"/>
      <c r="H653" s="15"/>
      <c r="I653" s="15"/>
      <c r="J653" s="15"/>
      <c r="K653" s="9" t="str">
        <f ca="1">IF(COUNTIFS($A$2:A653,A653,$L$2:L653,L653)&gt;1,"DUPLICATE - CHECK","")</f>
        <v/>
      </c>
      <c r="L653" s="17"/>
      <c r="M653" s="17"/>
      <c r="N653" s="9" t="str">
        <f t="array" aca="1" ref="N653" ca="1">IF(COUNTIF($A$2:A652,A)&gt;0,INDEX($C$2:C652,MATCH(A653,$A$2:A652,0)),"")</f>
        <v/>
      </c>
      <c r="O653" s="13"/>
      <c r="P653" s="19"/>
    </row>
    <row r="654" spans="1:16" ht="15.75" customHeight="1" x14ac:dyDescent="0.3">
      <c r="A654" s="8" t="str">
        <f ca="1">IFERROR(__xludf.DUMMYFUNCTION("IF(B654="""","""",RIGHT(regexreplace(B654&amp;"""",""[^0-9]"",""""),9))"),"")</f>
        <v/>
      </c>
      <c r="B654" s="5"/>
      <c r="C654" s="5"/>
      <c r="D654" s="5"/>
      <c r="E654" s="15"/>
      <c r="F654" s="15"/>
      <c r="G654" s="15"/>
      <c r="H654" s="15"/>
      <c r="I654" s="15"/>
      <c r="J654" s="15"/>
      <c r="K654" s="9" t="str">
        <f ca="1">IF(COUNTIFS($A$2:A654,A654,$L$2:L654,L654)&gt;1,"DUPLICATE - CHECK","")</f>
        <v/>
      </c>
      <c r="L654" s="17"/>
      <c r="M654" s="17"/>
      <c r="N654" s="9">
        <f ca="1">IF(COUNTIF($A$2:A653,A654)&gt;0,INDEX($C$2:C653,MATCH(A654,$A$2:A653,0)),"")</f>
        <v>0</v>
      </c>
      <c r="O654" s="13"/>
      <c r="P654" s="19"/>
    </row>
    <row r="655" spans="1:16" ht="15.75" customHeight="1" x14ac:dyDescent="0.3">
      <c r="A655" s="8" t="str">
        <f ca="1">IFERROR(__xludf.DUMMYFUNCTION("IF(B655="""","""",RIGHT(regexreplace(B655&amp;"""",""[^0-9]"",""""),9))"),"")</f>
        <v/>
      </c>
      <c r="B655" s="5"/>
      <c r="C655" s="5"/>
      <c r="D655" s="5"/>
      <c r="E655" s="15"/>
      <c r="F655" s="15"/>
      <c r="G655" s="15"/>
      <c r="H655" s="15"/>
      <c r="I655" s="15"/>
      <c r="J655" s="15"/>
      <c r="K655" s="9" t="str">
        <f ca="1">IF(COUNTIFS($A$2:A655,A655,$L$2:L655,L655)&gt;1,"DUPLICATE - CHECK","")</f>
        <v/>
      </c>
      <c r="L655" s="17"/>
      <c r="M655" s="17"/>
      <c r="N655" s="9">
        <f ca="1">IF(COUNTIF($A$2:A654,A655)&gt;0,INDEX($C$2:C654,MATCH(A655,$A$2:A654,0)),"")</f>
        <v>0</v>
      </c>
      <c r="O655" s="13"/>
      <c r="P655" s="19"/>
    </row>
    <row r="656" spans="1:16" ht="15.75" customHeight="1" x14ac:dyDescent="0.3">
      <c r="A656" s="8" t="str">
        <f ca="1">IFERROR(__xludf.DUMMYFUNCTION("IF(B656="""","""",RIGHT(regexreplace(B656&amp;"""",""[^0-9]"",""""),9))"),"")</f>
        <v/>
      </c>
      <c r="B656" s="5"/>
      <c r="C656" s="5"/>
      <c r="D656" s="5"/>
      <c r="E656" s="15"/>
      <c r="F656" s="15"/>
      <c r="G656" s="15"/>
      <c r="H656" s="15"/>
      <c r="I656" s="15"/>
      <c r="J656" s="15"/>
      <c r="K656" s="9" t="str">
        <f ca="1">IF(COUNTIFS($A$2:A656,A656,$L$2:L656,L656)&gt;1,"DUPLICATE - CHECK","")</f>
        <v/>
      </c>
      <c r="L656" s="17"/>
      <c r="M656" s="17"/>
      <c r="N656" s="9" t="str">
        <f t="array" aca="1" ref="N656" ca="1">IF(COUNTIF($A$2:A655,A)&gt;0,INDEX($C$2:C655,MATCH(A656,$A$2:A655,0)),"")</f>
        <v/>
      </c>
      <c r="O656" s="13"/>
      <c r="P656" s="19"/>
    </row>
    <row r="657" spans="1:16" ht="15.75" customHeight="1" x14ac:dyDescent="0.3">
      <c r="A657" s="8" t="str">
        <f ca="1">IFERROR(__xludf.DUMMYFUNCTION("IF(B657="""","""",RIGHT(regexreplace(B657&amp;"""",""[^0-9]"",""""),9))"),"")</f>
        <v/>
      </c>
      <c r="B657" s="5"/>
      <c r="C657" s="5"/>
      <c r="D657" s="5"/>
      <c r="E657" s="15"/>
      <c r="F657" s="15"/>
      <c r="G657" s="15"/>
      <c r="H657" s="15"/>
      <c r="I657" s="15"/>
      <c r="J657" s="15"/>
      <c r="K657" s="9" t="str">
        <f ca="1">IF(COUNTIFS($A$2:A657,A657,$L$2:L657,L657)&gt;1,"DUPLICATE - CHECK","")</f>
        <v/>
      </c>
      <c r="L657" s="17"/>
      <c r="M657" s="17"/>
      <c r="N657" s="9">
        <f ca="1">IF(COUNTIF($A$2:A656,A657)&gt;0,INDEX($C$2:C656,MATCH(A657,$A$2:A656,0)),"")</f>
        <v>0</v>
      </c>
      <c r="O657" s="13"/>
      <c r="P657" s="19"/>
    </row>
    <row r="658" spans="1:16" ht="15.75" customHeight="1" x14ac:dyDescent="0.3">
      <c r="A658" s="8" t="str">
        <f ca="1">IFERROR(__xludf.DUMMYFUNCTION("IF(B658="""","""",RIGHT(regexreplace(B658&amp;"""",""[^0-9]"",""""),9))"),"")</f>
        <v/>
      </c>
      <c r="B658" s="5"/>
      <c r="C658" s="5"/>
      <c r="D658" s="5"/>
      <c r="E658" s="15"/>
      <c r="F658" s="15"/>
      <c r="G658" s="15"/>
      <c r="H658" s="15"/>
      <c r="I658" s="15"/>
      <c r="J658" s="15"/>
      <c r="K658" s="9" t="str">
        <f ca="1">IF(COUNTIFS($A$2:A658,A658,$L$2:L658,L658)&gt;1,"DUPLICATE - CHECK","")</f>
        <v/>
      </c>
      <c r="L658" s="17"/>
      <c r="M658" s="17"/>
      <c r="N658" s="9">
        <f ca="1">IF(COUNTIF($A$2:A657,A658)&gt;0,INDEX($C$2:C657,MATCH(A658,$A$2:A657,0)),"")</f>
        <v>0</v>
      </c>
      <c r="O658" s="13"/>
      <c r="P658" s="19"/>
    </row>
    <row r="659" spans="1:16" ht="15.75" customHeight="1" x14ac:dyDescent="0.3">
      <c r="A659" s="8" t="str">
        <f ca="1">IFERROR(__xludf.DUMMYFUNCTION("IF(B659="""","""",RIGHT(regexreplace(B659&amp;"""",""[^0-9]"",""""),9))"),"")</f>
        <v/>
      </c>
      <c r="B659" s="5"/>
      <c r="C659" s="5"/>
      <c r="D659" s="5"/>
      <c r="E659" s="15"/>
      <c r="F659" s="15"/>
      <c r="G659" s="15"/>
      <c r="H659" s="15"/>
      <c r="I659" s="15"/>
      <c r="J659" s="15"/>
      <c r="K659" s="9" t="str">
        <f ca="1">IF(COUNTIFS($A$2:A659,A659,$L$2:L659,L659)&gt;1,"DUPLICATE - CHECK","")</f>
        <v/>
      </c>
      <c r="L659" s="17"/>
      <c r="M659" s="17"/>
      <c r="N659" s="9" t="str">
        <f t="array" aca="1" ref="N659" ca="1">IF(COUNTIF($A$2:A658,A)&gt;0,INDEX($C$2:C658,MATCH(A659,$A$2:A658,0)),"")</f>
        <v/>
      </c>
      <c r="O659" s="13"/>
      <c r="P659" s="19"/>
    </row>
    <row r="660" spans="1:16" ht="15.75" customHeight="1" x14ac:dyDescent="0.3">
      <c r="A660" s="8" t="str">
        <f ca="1">IFERROR(__xludf.DUMMYFUNCTION("IF(B660="""","""",RIGHT(regexreplace(B660&amp;"""",""[^0-9]"",""""),9))"),"")</f>
        <v/>
      </c>
      <c r="B660" s="5"/>
      <c r="C660" s="5"/>
      <c r="D660" s="5"/>
      <c r="E660" s="15"/>
      <c r="F660" s="15"/>
      <c r="G660" s="15"/>
      <c r="H660" s="15"/>
      <c r="I660" s="15"/>
      <c r="J660" s="15"/>
      <c r="K660" s="9" t="str">
        <f ca="1">IF(COUNTIFS($A$2:A660,A660,$L$2:L660,L660)&gt;1,"DUPLICATE - CHECK","")</f>
        <v/>
      </c>
      <c r="L660" s="17"/>
      <c r="M660" s="17"/>
      <c r="N660" s="9">
        <f ca="1">IF(COUNTIF($A$2:A659,A660)&gt;0,INDEX($C$2:C659,MATCH(A660,$A$2:A659,0)),"")</f>
        <v>0</v>
      </c>
      <c r="O660" s="13"/>
      <c r="P660" s="19"/>
    </row>
    <row r="661" spans="1:16" ht="15.75" customHeight="1" x14ac:dyDescent="0.3">
      <c r="A661" s="8" t="str">
        <f ca="1">IFERROR(__xludf.DUMMYFUNCTION("IF(B661="""","""",RIGHT(regexreplace(B661&amp;"""",""[^0-9]"",""""),9))"),"")</f>
        <v/>
      </c>
      <c r="B661" s="5"/>
      <c r="C661" s="5"/>
      <c r="D661" s="5"/>
      <c r="E661" s="15"/>
      <c r="F661" s="15"/>
      <c r="G661" s="15"/>
      <c r="H661" s="15"/>
      <c r="I661" s="15"/>
      <c r="J661" s="15"/>
      <c r="K661" s="9" t="str">
        <f ca="1">IF(COUNTIFS($A$2:A661,A661,$L$2:L661,L661)&gt;1,"DUPLICATE - CHECK","")</f>
        <v/>
      </c>
      <c r="L661" s="17"/>
      <c r="M661" s="17"/>
      <c r="N661" s="9">
        <f ca="1">IF(COUNTIF($A$2:A660,A661)&gt;0,INDEX($C$2:C660,MATCH(A661,$A$2:A660,0)),"")</f>
        <v>0</v>
      </c>
      <c r="O661" s="13"/>
      <c r="P661" s="19"/>
    </row>
    <row r="662" spans="1:16" ht="15.75" customHeight="1" x14ac:dyDescent="0.3">
      <c r="A662" s="8" t="str">
        <f ca="1">IFERROR(__xludf.DUMMYFUNCTION("IF(B662="""","""",RIGHT(regexreplace(B662&amp;"""",""[^0-9]"",""""),9))"),"")</f>
        <v/>
      </c>
      <c r="B662" s="5"/>
      <c r="C662" s="5"/>
      <c r="D662" s="5"/>
      <c r="E662" s="15"/>
      <c r="F662" s="15"/>
      <c r="G662" s="15"/>
      <c r="H662" s="15"/>
      <c r="I662" s="15"/>
      <c r="J662" s="15"/>
      <c r="K662" s="9" t="str">
        <f ca="1">IF(COUNTIFS($A$2:A662,A662,$L$2:L662,L662)&gt;1,"DUPLICATE - CHECK","")</f>
        <v/>
      </c>
      <c r="L662" s="17"/>
      <c r="M662" s="17"/>
      <c r="N662" s="9" t="str">
        <f t="array" aca="1" ref="N662" ca="1">IF(COUNTIF($A$2:A661,A)&gt;0,INDEX($C$2:C661,MATCH(A662,$A$2:A661,0)),"")</f>
        <v/>
      </c>
      <c r="O662" s="13"/>
      <c r="P662" s="19"/>
    </row>
    <row r="663" spans="1:16" ht="15.75" customHeight="1" x14ac:dyDescent="0.3">
      <c r="A663" s="8" t="str">
        <f ca="1">IFERROR(__xludf.DUMMYFUNCTION("IF(B663="""","""",RIGHT(regexreplace(B663&amp;"""",""[^0-9]"",""""),9))"),"")</f>
        <v/>
      </c>
      <c r="B663" s="5"/>
      <c r="C663" s="5"/>
      <c r="D663" s="5"/>
      <c r="E663" s="15"/>
      <c r="F663" s="15"/>
      <c r="G663" s="15"/>
      <c r="H663" s="15"/>
      <c r="I663" s="15"/>
      <c r="J663" s="15"/>
      <c r="K663" s="9" t="str">
        <f ca="1">IF(COUNTIFS($A$2:A663,A663,$L$2:L663,L663)&gt;1,"DUPLICATE - CHECK","")</f>
        <v/>
      </c>
      <c r="L663" s="17"/>
      <c r="M663" s="17"/>
      <c r="N663" s="9">
        <f ca="1">IF(COUNTIF($A$2:A662,A663)&gt;0,INDEX($C$2:C662,MATCH(A663,$A$2:A662,0)),"")</f>
        <v>0</v>
      </c>
      <c r="O663" s="13"/>
      <c r="P663" s="19"/>
    </row>
    <row r="664" spans="1:16" ht="15.75" customHeight="1" x14ac:dyDescent="0.3">
      <c r="A664" s="8" t="str">
        <f ca="1">IFERROR(__xludf.DUMMYFUNCTION("IF(B664="""","""",RIGHT(regexreplace(B664&amp;"""",""[^0-9]"",""""),9))"),"")</f>
        <v/>
      </c>
      <c r="B664" s="5"/>
      <c r="C664" s="5"/>
      <c r="D664" s="5"/>
      <c r="E664" s="15"/>
      <c r="F664" s="15"/>
      <c r="G664" s="15"/>
      <c r="H664" s="15"/>
      <c r="I664" s="15"/>
      <c r="J664" s="15"/>
      <c r="K664" s="9" t="str">
        <f ca="1">IF(COUNTIFS($A$2:A664,A664,$L$2:L664,L664)&gt;1,"DUPLICATE - CHECK","")</f>
        <v/>
      </c>
      <c r="L664" s="17"/>
      <c r="M664" s="17"/>
      <c r="N664" s="9">
        <f ca="1">IF(COUNTIF($A$2:A663,A664)&gt;0,INDEX($C$2:C663,MATCH(A664,$A$2:A663,0)),"")</f>
        <v>0</v>
      </c>
      <c r="O664" s="13"/>
      <c r="P664" s="19"/>
    </row>
    <row r="665" spans="1:16" ht="15.75" customHeight="1" x14ac:dyDescent="0.3">
      <c r="A665" s="8" t="str">
        <f ca="1">IFERROR(__xludf.DUMMYFUNCTION("IF(B665="""","""",RIGHT(regexreplace(B665&amp;"""",""[^0-9]"",""""),9))"),"")</f>
        <v/>
      </c>
      <c r="B665" s="5"/>
      <c r="C665" s="5"/>
      <c r="D665" s="5"/>
      <c r="E665" s="15"/>
      <c r="F665" s="15"/>
      <c r="G665" s="15"/>
      <c r="H665" s="15"/>
      <c r="I665" s="15"/>
      <c r="J665" s="15"/>
      <c r="K665" s="9" t="str">
        <f ca="1">IF(COUNTIFS($A$2:A665,A665,$L$2:L665,L665)&gt;1,"DUPLICATE - CHECK","")</f>
        <v/>
      </c>
      <c r="L665" s="17"/>
      <c r="M665" s="17"/>
      <c r="N665" s="9" t="str">
        <f t="array" aca="1" ref="N665" ca="1">IF(COUNTIF($A$2:A664,A)&gt;0,INDEX($C$2:C664,MATCH(A665,$A$2:A664,0)),"")</f>
        <v/>
      </c>
      <c r="O665" s="13"/>
      <c r="P665" s="19"/>
    </row>
    <row r="666" spans="1:16" ht="15.75" customHeight="1" x14ac:dyDescent="0.3">
      <c r="A666" s="8" t="str">
        <f ca="1">IFERROR(__xludf.DUMMYFUNCTION("IF(B666="""","""",RIGHT(regexreplace(B666&amp;"""",""[^0-9]"",""""),9))"),"")</f>
        <v/>
      </c>
      <c r="B666" s="5"/>
      <c r="C666" s="5"/>
      <c r="D666" s="5"/>
      <c r="E666" s="15"/>
      <c r="F666" s="15"/>
      <c r="G666" s="15"/>
      <c r="H666" s="15"/>
      <c r="I666" s="15"/>
      <c r="J666" s="15"/>
      <c r="K666" s="9" t="str">
        <f ca="1">IF(COUNTIFS($A$2:A666,A666,$L$2:L666,L666)&gt;1,"DUPLICATE - CHECK","")</f>
        <v/>
      </c>
      <c r="L666" s="17"/>
      <c r="M666" s="17"/>
      <c r="N666" s="9">
        <f ca="1">IF(COUNTIF($A$2:A665,A666)&gt;0,INDEX($C$2:C665,MATCH(A666,$A$2:A665,0)),"")</f>
        <v>0</v>
      </c>
      <c r="O666" s="13"/>
      <c r="P666" s="19"/>
    </row>
    <row r="667" spans="1:16" ht="15.75" customHeight="1" x14ac:dyDescent="0.3">
      <c r="A667" s="8" t="str">
        <f ca="1">IFERROR(__xludf.DUMMYFUNCTION("IF(B667="""","""",RIGHT(regexreplace(B667&amp;"""",""[^0-9]"",""""),9))"),"")</f>
        <v/>
      </c>
      <c r="B667" s="5"/>
      <c r="C667" s="5"/>
      <c r="D667" s="5"/>
      <c r="E667" s="15"/>
      <c r="F667" s="15"/>
      <c r="G667" s="15"/>
      <c r="H667" s="15"/>
      <c r="I667" s="15"/>
      <c r="J667" s="15"/>
      <c r="K667" s="9" t="str">
        <f ca="1">IF(COUNTIFS($A$2:A667,A667,$L$2:L667,L667)&gt;1,"DUPLICATE - CHECK","")</f>
        <v/>
      </c>
      <c r="L667" s="17"/>
      <c r="M667" s="17"/>
      <c r="N667" s="9">
        <f ca="1">IF(COUNTIF($A$2:A666,A667)&gt;0,INDEX($C$2:C666,MATCH(A667,$A$2:A666,0)),"")</f>
        <v>0</v>
      </c>
      <c r="O667" s="13"/>
      <c r="P667" s="19"/>
    </row>
    <row r="668" spans="1:16" ht="15.75" customHeight="1" x14ac:dyDescent="0.3">
      <c r="A668" s="8" t="str">
        <f ca="1">IFERROR(__xludf.DUMMYFUNCTION("IF(B668="""","""",RIGHT(regexreplace(B668&amp;"""",""[^0-9]"",""""),9))"),"")</f>
        <v/>
      </c>
      <c r="B668" s="5"/>
      <c r="C668" s="5"/>
      <c r="D668" s="5"/>
      <c r="E668" s="15"/>
      <c r="F668" s="15"/>
      <c r="G668" s="15"/>
      <c r="H668" s="15"/>
      <c r="I668" s="15"/>
      <c r="J668" s="15"/>
      <c r="K668" s="9" t="str">
        <f ca="1">IF(COUNTIFS($A$2:A668,A668,$L$2:L668,L668)&gt;1,"DUPLICATE - CHECK","")</f>
        <v/>
      </c>
      <c r="L668" s="17"/>
      <c r="M668" s="17"/>
      <c r="N668" s="9" t="str">
        <f t="array" aca="1" ref="N668" ca="1">IF(COUNTIF($A$2:A667,A)&gt;0,INDEX($C$2:C667,MATCH(A668,$A$2:A667,0)),"")</f>
        <v/>
      </c>
      <c r="O668" s="13"/>
      <c r="P668" s="19"/>
    </row>
    <row r="669" spans="1:16" ht="15.75" customHeight="1" x14ac:dyDescent="0.3">
      <c r="A669" s="8" t="str">
        <f ca="1">IFERROR(__xludf.DUMMYFUNCTION("IF(B669="""","""",RIGHT(regexreplace(B669&amp;"""",""[^0-9]"",""""),9))"),"")</f>
        <v/>
      </c>
      <c r="B669" s="5"/>
      <c r="C669" s="5"/>
      <c r="D669" s="5"/>
      <c r="E669" s="15"/>
      <c r="F669" s="15"/>
      <c r="G669" s="15"/>
      <c r="H669" s="15"/>
      <c r="I669" s="15"/>
      <c r="J669" s="15"/>
      <c r="K669" s="9" t="str">
        <f ca="1">IF(COUNTIFS($A$2:A669,A669,$L$2:L669,L669)&gt;1,"DUPLICATE - CHECK","")</f>
        <v/>
      </c>
      <c r="L669" s="17"/>
      <c r="M669" s="17"/>
      <c r="N669" s="9">
        <f ca="1">IF(COUNTIF($A$2:A668,A669)&gt;0,INDEX($C$2:C668,MATCH(A669,$A$2:A668,0)),"")</f>
        <v>0</v>
      </c>
      <c r="O669" s="13"/>
      <c r="P669" s="19"/>
    </row>
    <row r="670" spans="1:16" ht="15.75" customHeight="1" x14ac:dyDescent="0.3">
      <c r="A670" s="8" t="str">
        <f ca="1">IFERROR(__xludf.DUMMYFUNCTION("IF(B670="""","""",RIGHT(regexreplace(B670&amp;"""",""[^0-9]"",""""),9))"),"")</f>
        <v/>
      </c>
      <c r="B670" s="5"/>
      <c r="C670" s="5"/>
      <c r="D670" s="5"/>
      <c r="E670" s="15"/>
      <c r="F670" s="15"/>
      <c r="G670" s="15"/>
      <c r="H670" s="15"/>
      <c r="I670" s="15"/>
      <c r="J670" s="15"/>
      <c r="K670" s="9" t="str">
        <f ca="1">IF(COUNTIFS($A$2:A670,A670,$L$2:L670,L670)&gt;1,"DUPLICATE - CHECK","")</f>
        <v/>
      </c>
      <c r="L670" s="17"/>
      <c r="M670" s="17"/>
      <c r="N670" s="9">
        <f ca="1">IF(COUNTIF($A$2:A669,A670)&gt;0,INDEX($C$2:C669,MATCH(A670,$A$2:A669,0)),"")</f>
        <v>0</v>
      </c>
      <c r="O670" s="13"/>
      <c r="P670" s="19"/>
    </row>
    <row r="671" spans="1:16" ht="15.75" customHeight="1" x14ac:dyDescent="0.3">
      <c r="A671" s="8" t="str">
        <f ca="1">IFERROR(__xludf.DUMMYFUNCTION("IF(B671="""","""",RIGHT(regexreplace(B671&amp;"""",""[^0-9]"",""""),9))"),"")</f>
        <v/>
      </c>
      <c r="B671" s="5"/>
      <c r="C671" s="5"/>
      <c r="D671" s="5"/>
      <c r="E671" s="15"/>
      <c r="F671" s="15"/>
      <c r="G671" s="15"/>
      <c r="H671" s="15"/>
      <c r="I671" s="15"/>
      <c r="J671" s="15"/>
      <c r="K671" s="9" t="str">
        <f ca="1">IF(COUNTIFS($A$2:A671,A671,$L$2:L671,L671)&gt;1,"DUPLICATE - CHECK","")</f>
        <v/>
      </c>
      <c r="L671" s="17"/>
      <c r="M671" s="17"/>
      <c r="N671" s="9" t="str">
        <f t="array" aca="1" ref="N671" ca="1">IF(COUNTIF($A$2:A670,A)&gt;0,INDEX($C$2:C670,MATCH(A671,$A$2:A670,0)),"")</f>
        <v/>
      </c>
      <c r="O671" s="13"/>
      <c r="P671" s="19"/>
    </row>
    <row r="672" spans="1:16" ht="15.75" customHeight="1" x14ac:dyDescent="0.3">
      <c r="A672" s="8" t="str">
        <f ca="1">IFERROR(__xludf.DUMMYFUNCTION("IF(B672="""","""",RIGHT(regexreplace(B672&amp;"""",""[^0-9]"",""""),9))"),"")</f>
        <v/>
      </c>
      <c r="B672" s="5"/>
      <c r="C672" s="5"/>
      <c r="D672" s="5"/>
      <c r="E672" s="15"/>
      <c r="F672" s="15"/>
      <c r="G672" s="15"/>
      <c r="H672" s="15"/>
      <c r="I672" s="15"/>
      <c r="J672" s="15"/>
      <c r="K672" s="9" t="str">
        <f ca="1">IF(COUNTIFS($A$2:A672,A672,$L$2:L672,L672)&gt;1,"DUPLICATE - CHECK","")</f>
        <v/>
      </c>
      <c r="L672" s="17"/>
      <c r="M672" s="17"/>
      <c r="N672" s="9">
        <f ca="1">IF(COUNTIF($A$2:A671,A672)&gt;0,INDEX($C$2:C671,MATCH(A672,$A$2:A671,0)),"")</f>
        <v>0</v>
      </c>
      <c r="O672" s="13"/>
      <c r="P672" s="19"/>
    </row>
    <row r="673" spans="1:16" ht="15.75" customHeight="1" x14ac:dyDescent="0.3">
      <c r="A673" s="8" t="str">
        <f ca="1">IFERROR(__xludf.DUMMYFUNCTION("IF(B673="""","""",RIGHT(regexreplace(B673&amp;"""",""[^0-9]"",""""),9))"),"")</f>
        <v/>
      </c>
      <c r="B673" s="5"/>
      <c r="C673" s="5"/>
      <c r="D673" s="5"/>
      <c r="E673" s="15"/>
      <c r="F673" s="15"/>
      <c r="G673" s="15"/>
      <c r="H673" s="15"/>
      <c r="I673" s="15"/>
      <c r="J673" s="15"/>
      <c r="K673" s="9" t="str">
        <f ca="1">IF(COUNTIFS($A$2:A673,A673,$L$2:L673,L673)&gt;1,"DUPLICATE - CHECK","")</f>
        <v/>
      </c>
      <c r="L673" s="17"/>
      <c r="M673" s="17"/>
      <c r="N673" s="9">
        <f ca="1">IF(COUNTIF($A$2:A672,A673)&gt;0,INDEX($C$2:C672,MATCH(A673,$A$2:A672,0)),"")</f>
        <v>0</v>
      </c>
      <c r="O673" s="13"/>
      <c r="P673" s="19"/>
    </row>
    <row r="674" spans="1:16" ht="15.75" customHeight="1" x14ac:dyDescent="0.3">
      <c r="A674" s="8" t="str">
        <f ca="1">IFERROR(__xludf.DUMMYFUNCTION("IF(B674="""","""",RIGHT(regexreplace(B674&amp;"""",""[^0-9]"",""""),9))"),"")</f>
        <v/>
      </c>
      <c r="B674" s="5"/>
      <c r="C674" s="5"/>
      <c r="D674" s="5"/>
      <c r="E674" s="15"/>
      <c r="F674" s="15"/>
      <c r="G674" s="15"/>
      <c r="H674" s="15"/>
      <c r="I674" s="15"/>
      <c r="J674" s="15"/>
      <c r="K674" s="9" t="str">
        <f ca="1">IF(COUNTIFS($A$2:A674,A674,$L$2:L674,L674)&gt;1,"DUPLICATE - CHECK","")</f>
        <v/>
      </c>
      <c r="L674" s="17"/>
      <c r="M674" s="17"/>
      <c r="N674" s="9" t="str">
        <f t="array" aca="1" ref="N674" ca="1">IF(COUNTIF($A$2:A673,A)&gt;0,INDEX($C$2:C673,MATCH(A674,$A$2:A673,0)),"")</f>
        <v/>
      </c>
      <c r="O674" s="13"/>
      <c r="P674" s="19"/>
    </row>
    <row r="675" spans="1:16" ht="15.75" customHeight="1" x14ac:dyDescent="0.3">
      <c r="A675" s="8" t="str">
        <f ca="1">IFERROR(__xludf.DUMMYFUNCTION("IF(B675="""","""",RIGHT(regexreplace(B675&amp;"""",""[^0-9]"",""""),9))"),"")</f>
        <v/>
      </c>
      <c r="B675" s="5"/>
      <c r="C675" s="5"/>
      <c r="D675" s="5"/>
      <c r="E675" s="15"/>
      <c r="F675" s="15"/>
      <c r="G675" s="15"/>
      <c r="H675" s="15"/>
      <c r="I675" s="15"/>
      <c r="J675" s="15"/>
      <c r="K675" s="9" t="str">
        <f ca="1">IF(COUNTIFS($A$2:A675,A675,$L$2:L675,L675)&gt;1,"DUPLICATE - CHECK","")</f>
        <v/>
      </c>
      <c r="L675" s="17"/>
      <c r="M675" s="17"/>
      <c r="N675" s="9">
        <f ca="1">IF(COUNTIF($A$2:A674,A675)&gt;0,INDEX($C$2:C674,MATCH(A675,$A$2:A674,0)),"")</f>
        <v>0</v>
      </c>
      <c r="O675" s="13"/>
      <c r="P675" s="19"/>
    </row>
    <row r="676" spans="1:16" ht="15.75" customHeight="1" x14ac:dyDescent="0.3">
      <c r="A676" s="8" t="str">
        <f ca="1">IFERROR(__xludf.DUMMYFUNCTION("IF(B676="""","""",RIGHT(regexreplace(B676&amp;"""",""[^0-9]"",""""),9))"),"")</f>
        <v/>
      </c>
      <c r="B676" s="5"/>
      <c r="C676" s="5"/>
      <c r="D676" s="5"/>
      <c r="E676" s="15"/>
      <c r="F676" s="15"/>
      <c r="G676" s="15"/>
      <c r="H676" s="15"/>
      <c r="I676" s="15"/>
      <c r="J676" s="15"/>
      <c r="K676" s="9" t="str">
        <f ca="1">IF(COUNTIFS($A$2:A676,A676,$L$2:L676,L676)&gt;1,"DUPLICATE - CHECK","")</f>
        <v/>
      </c>
      <c r="L676" s="17"/>
      <c r="M676" s="17"/>
      <c r="N676" s="9">
        <f ca="1">IF(COUNTIF($A$2:A675,A676)&gt;0,INDEX($C$2:C675,MATCH(A676,$A$2:A675,0)),"")</f>
        <v>0</v>
      </c>
      <c r="O676" s="13"/>
      <c r="P676" s="19"/>
    </row>
    <row r="677" spans="1:16" ht="15.75" customHeight="1" x14ac:dyDescent="0.3">
      <c r="A677" s="8" t="str">
        <f ca="1">IFERROR(__xludf.DUMMYFUNCTION("IF(B677="""","""",RIGHT(regexreplace(B677&amp;"""",""[^0-9]"",""""),9))"),"")</f>
        <v/>
      </c>
      <c r="B677" s="5"/>
      <c r="C677" s="5"/>
      <c r="D677" s="5"/>
      <c r="E677" s="15"/>
      <c r="F677" s="15"/>
      <c r="G677" s="15"/>
      <c r="H677" s="15"/>
      <c r="I677" s="15"/>
      <c r="J677" s="15"/>
      <c r="K677" s="9" t="str">
        <f ca="1">IF(COUNTIFS($A$2:A677,A677,$L$2:L677,L677)&gt;1,"DUPLICATE - CHECK","")</f>
        <v/>
      </c>
      <c r="L677" s="17"/>
      <c r="M677" s="17"/>
      <c r="N677" s="9" t="str">
        <f t="array" aca="1" ref="N677" ca="1">IF(COUNTIF($A$2:A676,A)&gt;0,INDEX($C$2:C676,MATCH(A677,$A$2:A676,0)),"")</f>
        <v/>
      </c>
      <c r="O677" s="13"/>
      <c r="P677" s="19"/>
    </row>
    <row r="678" spans="1:16" ht="15.75" customHeight="1" x14ac:dyDescent="0.3">
      <c r="A678" s="8" t="str">
        <f ca="1">IFERROR(__xludf.DUMMYFUNCTION("IF(B678="""","""",RIGHT(regexreplace(B678&amp;"""",""[^0-9]"",""""),9))"),"")</f>
        <v/>
      </c>
      <c r="B678" s="5"/>
      <c r="C678" s="5"/>
      <c r="D678" s="5"/>
      <c r="E678" s="15"/>
      <c r="F678" s="15"/>
      <c r="G678" s="15"/>
      <c r="H678" s="15"/>
      <c r="I678" s="15"/>
      <c r="J678" s="15"/>
      <c r="K678" s="9" t="str">
        <f ca="1">IF(COUNTIFS($A$2:A678,A678,$L$2:L678,L678)&gt;1,"DUPLICATE - CHECK","")</f>
        <v/>
      </c>
      <c r="L678" s="17"/>
      <c r="M678" s="17"/>
      <c r="N678" s="9">
        <f ca="1">IF(COUNTIF($A$2:A677,A678)&gt;0,INDEX($C$2:C677,MATCH(A678,$A$2:A677,0)),"")</f>
        <v>0</v>
      </c>
      <c r="O678" s="13"/>
      <c r="P678" s="19"/>
    </row>
    <row r="679" spans="1:16" ht="15.75" customHeight="1" x14ac:dyDescent="0.3">
      <c r="A679" s="8" t="str">
        <f ca="1">IFERROR(__xludf.DUMMYFUNCTION("IF(B679="""","""",RIGHT(regexreplace(B679&amp;"""",""[^0-9]"",""""),9))"),"")</f>
        <v/>
      </c>
      <c r="B679" s="5"/>
      <c r="C679" s="5"/>
      <c r="D679" s="5"/>
      <c r="E679" s="15"/>
      <c r="F679" s="15"/>
      <c r="G679" s="15"/>
      <c r="H679" s="15"/>
      <c r="I679" s="15"/>
      <c r="J679" s="15"/>
      <c r="K679" s="9" t="str">
        <f ca="1">IF(COUNTIFS($A$2:A679,A679,$L$2:L679,L679)&gt;1,"DUPLICATE - CHECK","")</f>
        <v/>
      </c>
      <c r="L679" s="17"/>
      <c r="M679" s="17"/>
      <c r="N679" s="9">
        <f ca="1">IF(COUNTIF($A$2:A678,A679)&gt;0,INDEX($C$2:C678,MATCH(A679,$A$2:A678,0)),"")</f>
        <v>0</v>
      </c>
      <c r="O679" s="13"/>
      <c r="P679" s="19"/>
    </row>
    <row r="680" spans="1:16" ht="15.75" customHeight="1" x14ac:dyDescent="0.3">
      <c r="A680" s="8" t="str">
        <f ca="1">IFERROR(__xludf.DUMMYFUNCTION("IF(B680="""","""",RIGHT(regexreplace(B680&amp;"""",""[^0-9]"",""""),9))"),"")</f>
        <v/>
      </c>
      <c r="B680" s="5"/>
      <c r="C680" s="5"/>
      <c r="D680" s="5"/>
      <c r="E680" s="15"/>
      <c r="F680" s="15"/>
      <c r="G680" s="15"/>
      <c r="H680" s="15"/>
      <c r="I680" s="15"/>
      <c r="J680" s="15"/>
      <c r="K680" s="9" t="str">
        <f ca="1">IF(COUNTIFS($A$2:A680,A680,$L$2:L680,L680)&gt;1,"DUPLICATE - CHECK","")</f>
        <v/>
      </c>
      <c r="L680" s="17"/>
      <c r="M680" s="17"/>
      <c r="N680" s="9" t="str">
        <f t="array" aca="1" ref="N680" ca="1">IF(COUNTIF($A$2:A679,A)&gt;0,INDEX($C$2:C679,MATCH(A680,$A$2:A679,0)),"")</f>
        <v/>
      </c>
      <c r="O680" s="13"/>
      <c r="P680" s="19"/>
    </row>
    <row r="681" spans="1:16" ht="15.75" customHeight="1" x14ac:dyDescent="0.3">
      <c r="A681" s="8" t="str">
        <f ca="1">IFERROR(__xludf.DUMMYFUNCTION("IF(B681="""","""",RIGHT(regexreplace(B681&amp;"""",""[^0-9]"",""""),9))"),"")</f>
        <v/>
      </c>
      <c r="B681" s="5"/>
      <c r="C681" s="5"/>
      <c r="D681" s="5"/>
      <c r="E681" s="15"/>
      <c r="F681" s="15"/>
      <c r="G681" s="15"/>
      <c r="H681" s="15"/>
      <c r="I681" s="15"/>
      <c r="J681" s="15"/>
      <c r="K681" s="9" t="str">
        <f ca="1">IF(COUNTIFS($A$2:A681,A681,$L$2:L681,L681)&gt;1,"DUPLICATE - CHECK","")</f>
        <v/>
      </c>
      <c r="L681" s="17"/>
      <c r="M681" s="17"/>
      <c r="N681" s="9">
        <f ca="1">IF(COUNTIF($A$2:A680,A681)&gt;0,INDEX($C$2:C680,MATCH(A681,$A$2:A680,0)),"")</f>
        <v>0</v>
      </c>
      <c r="O681" s="13"/>
      <c r="P681" s="19"/>
    </row>
    <row r="682" spans="1:16" ht="15.75" customHeight="1" x14ac:dyDescent="0.3">
      <c r="A682" s="8" t="str">
        <f ca="1">IFERROR(__xludf.DUMMYFUNCTION("IF(B682="""","""",RIGHT(regexreplace(B682&amp;"""",""[^0-9]"",""""),9))"),"")</f>
        <v/>
      </c>
      <c r="B682" s="5"/>
      <c r="C682" s="5"/>
      <c r="D682" s="5"/>
      <c r="E682" s="15"/>
      <c r="F682" s="15"/>
      <c r="G682" s="15"/>
      <c r="H682" s="15"/>
      <c r="I682" s="15"/>
      <c r="J682" s="15"/>
      <c r="K682" s="9" t="str">
        <f ca="1">IF(COUNTIFS($A$2:A682,A682,$L$2:L682,L682)&gt;1,"DUPLICATE - CHECK","")</f>
        <v/>
      </c>
      <c r="L682" s="17"/>
      <c r="M682" s="17"/>
      <c r="N682" s="9">
        <f ca="1">IF(COUNTIF($A$2:A681,A682)&gt;0,INDEX($C$2:C681,MATCH(A682,$A$2:A681,0)),"")</f>
        <v>0</v>
      </c>
      <c r="O682" s="13"/>
      <c r="P682" s="19"/>
    </row>
    <row r="683" spans="1:16" ht="15.75" customHeight="1" x14ac:dyDescent="0.3">
      <c r="A683" s="8" t="str">
        <f ca="1">IFERROR(__xludf.DUMMYFUNCTION("IF(B683="""","""",RIGHT(regexreplace(B683&amp;"""",""[^0-9]"",""""),9))"),"")</f>
        <v/>
      </c>
      <c r="B683" s="5"/>
      <c r="C683" s="5"/>
      <c r="D683" s="5"/>
      <c r="E683" s="15"/>
      <c r="F683" s="15"/>
      <c r="G683" s="15"/>
      <c r="H683" s="15"/>
      <c r="I683" s="15"/>
      <c r="J683" s="15"/>
      <c r="K683" s="9" t="str">
        <f ca="1">IF(COUNTIFS($A$2:A683,A683,$L$2:L683,L683)&gt;1,"DUPLICATE - CHECK","")</f>
        <v/>
      </c>
      <c r="L683" s="17"/>
      <c r="M683" s="17"/>
      <c r="N683" s="9" t="str">
        <f t="array" aca="1" ref="N683" ca="1">IF(COUNTIF($A$2:A682,A)&gt;0,INDEX($C$2:C682,MATCH(A683,$A$2:A682,0)),"")</f>
        <v/>
      </c>
      <c r="O683" s="13"/>
      <c r="P683" s="19"/>
    </row>
    <row r="684" spans="1:16" ht="15.75" customHeight="1" x14ac:dyDescent="0.3">
      <c r="A684" s="8" t="str">
        <f ca="1">IFERROR(__xludf.DUMMYFUNCTION("IF(B684="""","""",RIGHT(regexreplace(B684&amp;"""",""[^0-9]"",""""),9))"),"")</f>
        <v/>
      </c>
      <c r="B684" s="5"/>
      <c r="C684" s="5"/>
      <c r="D684" s="5"/>
      <c r="E684" s="15"/>
      <c r="F684" s="15"/>
      <c r="G684" s="15"/>
      <c r="H684" s="15"/>
      <c r="I684" s="15"/>
      <c r="J684" s="15"/>
      <c r="K684" s="9" t="str">
        <f ca="1">IF(COUNTIFS($A$2:A684,A684,$L$2:L684,L684)&gt;1,"DUPLICATE - CHECK","")</f>
        <v/>
      </c>
      <c r="L684" s="17"/>
      <c r="M684" s="17"/>
      <c r="N684" s="9">
        <f ca="1">IF(COUNTIF($A$2:A683,A684)&gt;0,INDEX($C$2:C683,MATCH(A684,$A$2:A683,0)),"")</f>
        <v>0</v>
      </c>
      <c r="O684" s="13"/>
      <c r="P684" s="19"/>
    </row>
    <row r="685" spans="1:16" ht="15.75" customHeight="1" x14ac:dyDescent="0.3">
      <c r="A685" s="8" t="str">
        <f ca="1">IFERROR(__xludf.DUMMYFUNCTION("IF(B685="""","""",RIGHT(regexreplace(B685&amp;"""",""[^0-9]"",""""),9))"),"")</f>
        <v/>
      </c>
      <c r="B685" s="5"/>
      <c r="C685" s="5"/>
      <c r="D685" s="5"/>
      <c r="E685" s="15"/>
      <c r="F685" s="15"/>
      <c r="G685" s="15"/>
      <c r="H685" s="15"/>
      <c r="I685" s="15"/>
      <c r="J685" s="15"/>
      <c r="K685" s="9" t="str">
        <f ca="1">IF(COUNTIFS($A$2:A685,A685,$L$2:L685,L685)&gt;1,"DUPLICATE - CHECK","")</f>
        <v/>
      </c>
      <c r="L685" s="17"/>
      <c r="M685" s="17"/>
      <c r="N685" s="9">
        <f ca="1">IF(COUNTIF($A$2:A684,A685)&gt;0,INDEX($C$2:C684,MATCH(A685,$A$2:A684,0)),"")</f>
        <v>0</v>
      </c>
      <c r="O685" s="13"/>
      <c r="P685" s="19"/>
    </row>
    <row r="686" spans="1:16" ht="15.75" customHeight="1" x14ac:dyDescent="0.3">
      <c r="A686" s="8" t="str">
        <f ca="1">IFERROR(__xludf.DUMMYFUNCTION("IF(B686="""","""",RIGHT(regexreplace(B686&amp;"""",""[^0-9]"",""""),9))"),"")</f>
        <v/>
      </c>
      <c r="B686" s="5"/>
      <c r="C686" s="5"/>
      <c r="D686" s="5"/>
      <c r="E686" s="15"/>
      <c r="F686" s="15"/>
      <c r="G686" s="15"/>
      <c r="H686" s="15"/>
      <c r="I686" s="15"/>
      <c r="J686" s="15"/>
      <c r="K686" s="9" t="str">
        <f ca="1">IF(COUNTIFS($A$2:A686,A686,$L$2:L686,L686)&gt;1,"DUPLICATE - CHECK","")</f>
        <v/>
      </c>
      <c r="L686" s="17"/>
      <c r="M686" s="17"/>
      <c r="N686" s="9" t="str">
        <f t="array" aca="1" ref="N686" ca="1">IF(COUNTIF($A$2:A685,A)&gt;0,INDEX($C$2:C685,MATCH(A686,$A$2:A685,0)),"")</f>
        <v/>
      </c>
      <c r="O686" s="13"/>
      <c r="P686" s="19"/>
    </row>
    <row r="687" spans="1:16" ht="15.75" customHeight="1" x14ac:dyDescent="0.3">
      <c r="A687" s="8" t="str">
        <f ca="1">IFERROR(__xludf.DUMMYFUNCTION("IF(B687="""","""",RIGHT(regexreplace(B687&amp;"""",""[^0-9]"",""""),9))"),"")</f>
        <v/>
      </c>
      <c r="B687" s="5"/>
      <c r="C687" s="5"/>
      <c r="D687" s="5"/>
      <c r="E687" s="15"/>
      <c r="F687" s="15"/>
      <c r="G687" s="15"/>
      <c r="H687" s="15"/>
      <c r="I687" s="15"/>
      <c r="J687" s="15"/>
      <c r="K687" s="9" t="str">
        <f ca="1">IF(COUNTIFS($A$2:A687,A687,$L$2:L687,L687)&gt;1,"DUPLICATE - CHECK","")</f>
        <v/>
      </c>
      <c r="L687" s="17"/>
      <c r="M687" s="17"/>
      <c r="N687" s="9">
        <f ca="1">IF(COUNTIF($A$2:A686,A687)&gt;0,INDEX($C$2:C686,MATCH(A687,$A$2:A686,0)),"")</f>
        <v>0</v>
      </c>
      <c r="O687" s="13"/>
      <c r="P687" s="19"/>
    </row>
    <row r="688" spans="1:16" ht="15.75" customHeight="1" x14ac:dyDescent="0.3">
      <c r="A688" s="8" t="str">
        <f ca="1">IFERROR(__xludf.DUMMYFUNCTION("IF(B688="""","""",RIGHT(regexreplace(B688&amp;"""",""[^0-9]"",""""),9))"),"")</f>
        <v/>
      </c>
      <c r="B688" s="5"/>
      <c r="C688" s="5"/>
      <c r="D688" s="5"/>
      <c r="E688" s="15"/>
      <c r="F688" s="15"/>
      <c r="G688" s="15"/>
      <c r="H688" s="15"/>
      <c r="I688" s="15"/>
      <c r="J688" s="15"/>
      <c r="K688" s="9" t="str">
        <f ca="1">IF(COUNTIFS($A$2:A688,A688,$L$2:L688,L688)&gt;1,"DUPLICATE - CHECK","")</f>
        <v/>
      </c>
      <c r="L688" s="17"/>
      <c r="M688" s="17"/>
      <c r="N688" s="9">
        <f ca="1">IF(COUNTIF($A$2:A687,A688)&gt;0,INDEX($C$2:C687,MATCH(A688,$A$2:A687,0)),"")</f>
        <v>0</v>
      </c>
      <c r="O688" s="13"/>
      <c r="P688" s="19"/>
    </row>
    <row r="689" spans="1:16" ht="15.75" customHeight="1" x14ac:dyDescent="0.3">
      <c r="A689" s="8" t="str">
        <f ca="1">IFERROR(__xludf.DUMMYFUNCTION("IF(B689="""","""",RIGHT(regexreplace(B689&amp;"""",""[^0-9]"",""""),9))"),"")</f>
        <v/>
      </c>
      <c r="B689" s="5"/>
      <c r="C689" s="5"/>
      <c r="D689" s="5"/>
      <c r="E689" s="15"/>
      <c r="F689" s="15"/>
      <c r="G689" s="15"/>
      <c r="H689" s="15"/>
      <c r="I689" s="15"/>
      <c r="J689" s="15"/>
      <c r="K689" s="9" t="str">
        <f ca="1">IF(COUNTIFS($A$2:A689,A689,$L$2:L689,L689)&gt;1,"DUPLICATE - CHECK","")</f>
        <v/>
      </c>
      <c r="L689" s="17"/>
      <c r="M689" s="17"/>
      <c r="N689" s="9" t="str">
        <f t="array" aca="1" ref="N689" ca="1">IF(COUNTIF($A$2:A688,A)&gt;0,INDEX($C$2:C688,MATCH(A689,$A$2:A688,0)),"")</f>
        <v/>
      </c>
      <c r="O689" s="13"/>
      <c r="P689" s="19"/>
    </row>
    <row r="690" spans="1:16" ht="15.75" customHeight="1" x14ac:dyDescent="0.3">
      <c r="A690" s="8" t="str">
        <f ca="1">IFERROR(__xludf.DUMMYFUNCTION("IF(B690="""","""",RIGHT(regexreplace(B690&amp;"""",""[^0-9]"",""""),9))"),"")</f>
        <v/>
      </c>
      <c r="B690" s="5"/>
      <c r="C690" s="5"/>
      <c r="D690" s="5"/>
      <c r="E690" s="15"/>
      <c r="F690" s="15"/>
      <c r="G690" s="15"/>
      <c r="H690" s="15"/>
      <c r="I690" s="15"/>
      <c r="J690" s="15"/>
      <c r="K690" s="9" t="str">
        <f ca="1">IF(COUNTIFS($A$2:A690,A690,$L$2:L690,L690)&gt;1,"DUPLICATE - CHECK","")</f>
        <v/>
      </c>
      <c r="L690" s="17"/>
      <c r="M690" s="17"/>
      <c r="N690" s="9">
        <f ca="1">IF(COUNTIF($A$2:A689,A690)&gt;0,INDEX($C$2:C689,MATCH(A690,$A$2:A689,0)),"")</f>
        <v>0</v>
      </c>
      <c r="O690" s="13"/>
      <c r="P690" s="19"/>
    </row>
    <row r="691" spans="1:16" ht="15.75" customHeight="1" x14ac:dyDescent="0.3">
      <c r="A691" s="8" t="str">
        <f ca="1">IFERROR(__xludf.DUMMYFUNCTION("IF(B691="""","""",RIGHT(regexreplace(B691&amp;"""",""[^0-9]"",""""),9))"),"")</f>
        <v/>
      </c>
      <c r="B691" s="5"/>
      <c r="C691" s="5"/>
      <c r="D691" s="5"/>
      <c r="E691" s="15"/>
      <c r="F691" s="15"/>
      <c r="G691" s="15"/>
      <c r="H691" s="15"/>
      <c r="I691" s="15"/>
      <c r="J691" s="15"/>
      <c r="K691" s="9" t="str">
        <f ca="1">IF(COUNTIFS($A$2:A691,A691,$L$2:L691,L691)&gt;1,"DUPLICATE - CHECK","")</f>
        <v/>
      </c>
      <c r="L691" s="17"/>
      <c r="M691" s="17"/>
      <c r="N691" s="9">
        <f ca="1">IF(COUNTIF($A$2:A690,A691)&gt;0,INDEX($C$2:C690,MATCH(A691,$A$2:A690,0)),"")</f>
        <v>0</v>
      </c>
      <c r="O691" s="13"/>
      <c r="P691" s="19"/>
    </row>
    <row r="692" spans="1:16" ht="15.75" customHeight="1" x14ac:dyDescent="0.3">
      <c r="A692" s="8" t="str">
        <f ca="1">IFERROR(__xludf.DUMMYFUNCTION("IF(B692="""","""",RIGHT(regexreplace(B692&amp;"""",""[^0-9]"",""""),9))"),"")</f>
        <v/>
      </c>
      <c r="B692" s="5"/>
      <c r="C692" s="5"/>
      <c r="D692" s="5"/>
      <c r="E692" s="15"/>
      <c r="F692" s="15"/>
      <c r="G692" s="15"/>
      <c r="H692" s="15"/>
      <c r="I692" s="15"/>
      <c r="J692" s="15"/>
      <c r="K692" s="9" t="str">
        <f ca="1">IF(COUNTIFS($A$2:A692,A692,$L$2:L692,L692)&gt;1,"DUPLICATE - CHECK","")</f>
        <v/>
      </c>
      <c r="L692" s="17"/>
      <c r="M692" s="17"/>
      <c r="N692" s="9" t="str">
        <f t="array" aca="1" ref="N692" ca="1">IF(COUNTIF($A$2:A691,A)&gt;0,INDEX($C$2:C691,MATCH(A692,$A$2:A691,0)),"")</f>
        <v/>
      </c>
      <c r="O692" s="13"/>
      <c r="P692" s="19"/>
    </row>
    <row r="693" spans="1:16" ht="15.75" customHeight="1" x14ac:dyDescent="0.3">
      <c r="A693" s="8" t="str">
        <f ca="1">IFERROR(__xludf.DUMMYFUNCTION("IF(B693="""","""",RIGHT(regexreplace(B693&amp;"""",""[^0-9]"",""""),9))"),"")</f>
        <v/>
      </c>
      <c r="B693" s="5"/>
      <c r="C693" s="5"/>
      <c r="D693" s="5"/>
      <c r="E693" s="15"/>
      <c r="F693" s="15"/>
      <c r="G693" s="15"/>
      <c r="H693" s="15"/>
      <c r="I693" s="15"/>
      <c r="J693" s="15"/>
      <c r="K693" s="9" t="str">
        <f ca="1">IF(COUNTIFS($A$2:A693,A693,$L$2:L693,L693)&gt;1,"DUPLICATE - CHECK","")</f>
        <v/>
      </c>
      <c r="L693" s="17"/>
      <c r="M693" s="17"/>
      <c r="N693" s="9">
        <f ca="1">IF(COUNTIF($A$2:A692,A693)&gt;0,INDEX($C$2:C692,MATCH(A693,$A$2:A692,0)),"")</f>
        <v>0</v>
      </c>
      <c r="O693" s="13"/>
      <c r="P693" s="19"/>
    </row>
    <row r="694" spans="1:16" ht="15.75" customHeight="1" x14ac:dyDescent="0.3">
      <c r="A694" s="8" t="str">
        <f ca="1">IFERROR(__xludf.DUMMYFUNCTION("IF(B694="""","""",RIGHT(regexreplace(B694&amp;"""",""[^0-9]"",""""),9))"),"")</f>
        <v/>
      </c>
      <c r="B694" s="5"/>
      <c r="C694" s="5"/>
      <c r="D694" s="5"/>
      <c r="E694" s="15"/>
      <c r="F694" s="15"/>
      <c r="G694" s="15"/>
      <c r="H694" s="15"/>
      <c r="I694" s="15"/>
      <c r="J694" s="15"/>
      <c r="K694" s="9" t="str">
        <f ca="1">IF(COUNTIFS($A$2:A694,A694,$L$2:L694,L694)&gt;1,"DUPLICATE - CHECK","")</f>
        <v/>
      </c>
      <c r="L694" s="17"/>
      <c r="M694" s="17"/>
      <c r="N694" s="9">
        <f ca="1">IF(COUNTIF($A$2:A693,A694)&gt;0,INDEX($C$2:C693,MATCH(A694,$A$2:A693,0)),"")</f>
        <v>0</v>
      </c>
      <c r="O694" s="13"/>
      <c r="P694" s="19"/>
    </row>
    <row r="695" spans="1:16" ht="15.75" customHeight="1" x14ac:dyDescent="0.3">
      <c r="A695" s="8" t="str">
        <f ca="1">IFERROR(__xludf.DUMMYFUNCTION("IF(B695="""","""",RIGHT(regexreplace(B695&amp;"""",""[^0-9]"",""""),9))"),"")</f>
        <v/>
      </c>
      <c r="B695" s="5"/>
      <c r="C695" s="5"/>
      <c r="D695" s="5"/>
      <c r="E695" s="15"/>
      <c r="F695" s="15"/>
      <c r="G695" s="15"/>
      <c r="H695" s="15"/>
      <c r="I695" s="15"/>
      <c r="J695" s="15"/>
      <c r="K695" s="9" t="str">
        <f ca="1">IF(COUNTIFS($A$2:A695,A695,$L$2:L695,L695)&gt;1,"DUPLICATE - CHECK","")</f>
        <v/>
      </c>
      <c r="L695" s="17"/>
      <c r="M695" s="17"/>
      <c r="N695" s="9" t="str">
        <f t="array" aca="1" ref="N695" ca="1">IF(COUNTIF($A$2:A694,A)&gt;0,INDEX($C$2:C694,MATCH(A695,$A$2:A694,0)),"")</f>
        <v/>
      </c>
      <c r="O695" s="13"/>
      <c r="P695" s="19"/>
    </row>
    <row r="696" spans="1:16" ht="15.75" customHeight="1" x14ac:dyDescent="0.3">
      <c r="A696" s="8" t="str">
        <f ca="1">IFERROR(__xludf.DUMMYFUNCTION("IF(B696="""","""",RIGHT(regexreplace(B696&amp;"""",""[^0-9]"",""""),9))"),"")</f>
        <v/>
      </c>
      <c r="B696" s="5"/>
      <c r="C696" s="5"/>
      <c r="D696" s="5"/>
      <c r="E696" s="15"/>
      <c r="F696" s="15"/>
      <c r="G696" s="15"/>
      <c r="H696" s="15"/>
      <c r="I696" s="15"/>
      <c r="J696" s="15"/>
      <c r="K696" s="9" t="str">
        <f ca="1">IF(COUNTIFS($A$2:A696,A696,$L$2:L696,L696)&gt;1,"DUPLICATE - CHECK","")</f>
        <v/>
      </c>
      <c r="L696" s="17"/>
      <c r="M696" s="17"/>
      <c r="N696" s="9">
        <f ca="1">IF(COUNTIF($A$2:A695,A696)&gt;0,INDEX($C$2:C695,MATCH(A696,$A$2:A695,0)),"")</f>
        <v>0</v>
      </c>
      <c r="O696" s="13"/>
      <c r="P696" s="19"/>
    </row>
    <row r="697" spans="1:16" ht="15.75" customHeight="1" x14ac:dyDescent="0.3">
      <c r="A697" s="8" t="str">
        <f ca="1">IFERROR(__xludf.DUMMYFUNCTION("IF(B697="""","""",RIGHT(regexreplace(B697&amp;"""",""[^0-9]"",""""),9))"),"")</f>
        <v/>
      </c>
      <c r="B697" s="5"/>
      <c r="C697" s="5"/>
      <c r="D697" s="5"/>
      <c r="E697" s="15"/>
      <c r="F697" s="15"/>
      <c r="G697" s="15"/>
      <c r="H697" s="15"/>
      <c r="I697" s="15"/>
      <c r="J697" s="15"/>
      <c r="K697" s="9" t="str">
        <f ca="1">IF(COUNTIFS($A$2:A697,A697,$L$2:L697,L697)&gt;1,"DUPLICATE - CHECK","")</f>
        <v/>
      </c>
      <c r="L697" s="17"/>
      <c r="M697" s="17"/>
      <c r="N697" s="9">
        <f ca="1">IF(COUNTIF($A$2:A696,A697)&gt;0,INDEX($C$2:C696,MATCH(A697,$A$2:A696,0)),"")</f>
        <v>0</v>
      </c>
      <c r="O697" s="13"/>
      <c r="P697" s="19"/>
    </row>
    <row r="698" spans="1:16" ht="15.75" customHeight="1" x14ac:dyDescent="0.3">
      <c r="A698" s="8" t="str">
        <f ca="1">IFERROR(__xludf.DUMMYFUNCTION("IF(B698="""","""",RIGHT(regexreplace(B698&amp;"""",""[^0-9]"",""""),9))"),"")</f>
        <v/>
      </c>
      <c r="B698" s="5"/>
      <c r="C698" s="5"/>
      <c r="D698" s="5"/>
      <c r="E698" s="15"/>
      <c r="F698" s="15"/>
      <c r="G698" s="15"/>
      <c r="H698" s="15"/>
      <c r="I698" s="15"/>
      <c r="J698" s="15"/>
      <c r="K698" s="9" t="str">
        <f ca="1">IF(COUNTIFS($A$2:A698,A698,$L$2:L698,L698)&gt;1,"DUPLICATE - CHECK","")</f>
        <v/>
      </c>
      <c r="L698" s="17"/>
      <c r="M698" s="17"/>
      <c r="N698" s="9" t="str">
        <f t="array" aca="1" ref="N698" ca="1">IF(COUNTIF($A$2:A697,A)&gt;0,INDEX($C$2:C697,MATCH(A698,$A$2:A697,0)),"")</f>
        <v/>
      </c>
      <c r="O698" s="13"/>
      <c r="P698" s="19"/>
    </row>
    <row r="699" spans="1:16" ht="15.75" customHeight="1" x14ac:dyDescent="0.3">
      <c r="A699" s="8" t="str">
        <f ca="1">IFERROR(__xludf.DUMMYFUNCTION("IF(B699="""","""",RIGHT(regexreplace(B699&amp;"""",""[^0-9]"",""""),9))"),"")</f>
        <v/>
      </c>
      <c r="B699" s="5"/>
      <c r="C699" s="5"/>
      <c r="D699" s="5"/>
      <c r="E699" s="15"/>
      <c r="F699" s="15"/>
      <c r="G699" s="15"/>
      <c r="H699" s="15"/>
      <c r="I699" s="15"/>
      <c r="J699" s="15"/>
      <c r="K699" s="9" t="str">
        <f ca="1">IF(COUNTIFS($A$2:A699,A699,$L$2:L699,L699)&gt;1,"DUPLICATE - CHECK","")</f>
        <v/>
      </c>
      <c r="L699" s="17"/>
      <c r="M699" s="17"/>
      <c r="N699" s="9">
        <f ca="1">IF(COUNTIF($A$2:A698,A699)&gt;0,INDEX($C$2:C698,MATCH(A699,$A$2:A698,0)),"")</f>
        <v>0</v>
      </c>
      <c r="O699" s="13"/>
      <c r="P699" s="19"/>
    </row>
    <row r="700" spans="1:16" ht="15.75" customHeight="1" x14ac:dyDescent="0.3">
      <c r="A700" s="8" t="str">
        <f ca="1">IFERROR(__xludf.DUMMYFUNCTION("IF(B700="""","""",RIGHT(regexreplace(B700&amp;"""",""[^0-9]"",""""),9))"),"")</f>
        <v/>
      </c>
      <c r="B700" s="5"/>
      <c r="C700" s="5"/>
      <c r="D700" s="5"/>
      <c r="E700" s="15"/>
      <c r="F700" s="15"/>
      <c r="G700" s="15"/>
      <c r="H700" s="15"/>
      <c r="I700" s="15"/>
      <c r="J700" s="15"/>
      <c r="K700" s="9" t="str">
        <f ca="1">IF(COUNTIFS($A$2:A700,A700,$L$2:L700,L700)&gt;1,"DUPLICATE - CHECK","")</f>
        <v/>
      </c>
      <c r="L700" s="17"/>
      <c r="M700" s="17"/>
      <c r="N700" s="9">
        <f ca="1">IF(COUNTIF($A$2:A699,A700)&gt;0,INDEX($C$2:C699,MATCH(A700,$A$2:A699,0)),"")</f>
        <v>0</v>
      </c>
      <c r="O700" s="13"/>
      <c r="P700" s="19"/>
    </row>
    <row r="701" spans="1:16" ht="15.75" customHeight="1" x14ac:dyDescent="0.3">
      <c r="A701" s="8" t="str">
        <f ca="1">IFERROR(__xludf.DUMMYFUNCTION("IF(B701="""","""",RIGHT(regexreplace(B701&amp;"""",""[^0-9]"",""""),9))"),"")</f>
        <v/>
      </c>
      <c r="B701" s="5"/>
      <c r="C701" s="5"/>
      <c r="D701" s="5"/>
      <c r="E701" s="15"/>
      <c r="F701" s="15"/>
      <c r="G701" s="15"/>
      <c r="H701" s="15"/>
      <c r="I701" s="15"/>
      <c r="J701" s="15"/>
      <c r="K701" s="9" t="str">
        <f ca="1">IF(COUNTIFS($A$2:A701,A701,$L$2:L701,L701)&gt;1,"DUPLICATE - CHECK","")</f>
        <v/>
      </c>
      <c r="L701" s="17"/>
      <c r="M701" s="17"/>
      <c r="N701" s="9" t="str">
        <f t="array" aca="1" ref="N701" ca="1">IF(COUNTIF($A$2:A700,A)&gt;0,INDEX($C$2:C700,MATCH(A701,$A$2:A700,0)),"")</f>
        <v/>
      </c>
      <c r="O701" s="13"/>
      <c r="P701" s="19"/>
    </row>
    <row r="702" spans="1:16" ht="15.75" customHeight="1" x14ac:dyDescent="0.3">
      <c r="A702" s="8" t="str">
        <f ca="1">IFERROR(__xludf.DUMMYFUNCTION("IF(B702="""","""",RIGHT(regexreplace(B702&amp;"""",""[^0-9]"",""""),9))"),"")</f>
        <v/>
      </c>
      <c r="B702" s="5"/>
      <c r="C702" s="5"/>
      <c r="D702" s="5"/>
      <c r="E702" s="15"/>
      <c r="F702" s="15"/>
      <c r="G702" s="15"/>
      <c r="H702" s="15"/>
      <c r="I702" s="15"/>
      <c r="J702" s="15"/>
      <c r="K702" s="9" t="str">
        <f ca="1">IF(COUNTIFS($A$2:A702,A702,$L$2:L702,L702)&gt;1,"DUPLICATE - CHECK","")</f>
        <v/>
      </c>
      <c r="L702" s="17"/>
      <c r="M702" s="17"/>
      <c r="N702" s="9">
        <f ca="1">IF(COUNTIF($A$2:A701,A702)&gt;0,INDEX($C$2:C701,MATCH(A702,$A$2:A701,0)),"")</f>
        <v>0</v>
      </c>
      <c r="O702" s="13"/>
      <c r="P702" s="19"/>
    </row>
    <row r="703" spans="1:16" ht="15.75" customHeight="1" x14ac:dyDescent="0.3">
      <c r="A703" s="8" t="str">
        <f ca="1">IFERROR(__xludf.DUMMYFUNCTION("IF(B703="""","""",RIGHT(regexreplace(B703&amp;"""",""[^0-9]"",""""),9))"),"")</f>
        <v/>
      </c>
      <c r="B703" s="5"/>
      <c r="C703" s="5"/>
      <c r="D703" s="5"/>
      <c r="E703" s="15"/>
      <c r="F703" s="15"/>
      <c r="G703" s="15"/>
      <c r="H703" s="15"/>
      <c r="I703" s="15"/>
      <c r="J703" s="15"/>
      <c r="K703" s="9" t="str">
        <f ca="1">IF(COUNTIFS($A$2:A703,A703,$L$2:L703,L703)&gt;1,"DUPLICATE - CHECK","")</f>
        <v/>
      </c>
      <c r="L703" s="17"/>
      <c r="M703" s="17"/>
      <c r="N703" s="9">
        <f ca="1">IF(COUNTIF($A$2:A702,A703)&gt;0,INDEX($C$2:C702,MATCH(A703,$A$2:A702,0)),"")</f>
        <v>0</v>
      </c>
      <c r="O703" s="13"/>
      <c r="P703" s="19"/>
    </row>
    <row r="704" spans="1:16" ht="15.75" customHeight="1" x14ac:dyDescent="0.3">
      <c r="A704" s="8" t="str">
        <f ca="1">IFERROR(__xludf.DUMMYFUNCTION("IF(B704="""","""",RIGHT(regexreplace(B704&amp;"""",""[^0-9]"",""""),9))"),"")</f>
        <v/>
      </c>
      <c r="B704" s="5"/>
      <c r="C704" s="5"/>
      <c r="D704" s="5"/>
      <c r="E704" s="15"/>
      <c r="F704" s="15"/>
      <c r="G704" s="15"/>
      <c r="H704" s="15"/>
      <c r="I704" s="15"/>
      <c r="J704" s="15"/>
      <c r="K704" s="9" t="str">
        <f ca="1">IF(COUNTIFS($A$2:A704,A704,$L$2:L704,L704)&gt;1,"DUPLICATE - CHECK","")</f>
        <v/>
      </c>
      <c r="L704" s="17"/>
      <c r="M704" s="17"/>
      <c r="N704" s="9" t="str">
        <f t="array" aca="1" ref="N704" ca="1">IF(COUNTIF($A$2:A703,A)&gt;0,INDEX($C$2:C703,MATCH(A704,$A$2:A703,0)),"")</f>
        <v/>
      </c>
      <c r="O704" s="13"/>
      <c r="P704" s="19"/>
    </row>
    <row r="705" spans="1:16" ht="15.75" customHeight="1" x14ac:dyDescent="0.3">
      <c r="A705" s="8" t="str">
        <f ca="1">IFERROR(__xludf.DUMMYFUNCTION("IF(B705="""","""",RIGHT(regexreplace(B705&amp;"""",""[^0-9]"",""""),9))"),"")</f>
        <v/>
      </c>
      <c r="B705" s="5"/>
      <c r="C705" s="5"/>
      <c r="D705" s="5"/>
      <c r="E705" s="15"/>
      <c r="F705" s="15"/>
      <c r="G705" s="15"/>
      <c r="H705" s="15"/>
      <c r="I705" s="15"/>
      <c r="J705" s="15"/>
      <c r="K705" s="9" t="str">
        <f ca="1">IF(COUNTIFS($A$2:A705,A705,$L$2:L705,L705)&gt;1,"DUPLICATE - CHECK","")</f>
        <v/>
      </c>
      <c r="L705" s="17"/>
      <c r="M705" s="17"/>
      <c r="N705" s="9">
        <f ca="1">IF(COUNTIF($A$2:A704,A705)&gt;0,INDEX($C$2:C704,MATCH(A705,$A$2:A704,0)),"")</f>
        <v>0</v>
      </c>
      <c r="O705" s="13"/>
      <c r="P705" s="19"/>
    </row>
    <row r="706" spans="1:16" ht="15.75" customHeight="1" x14ac:dyDescent="0.3">
      <c r="A706" s="8" t="str">
        <f ca="1">IFERROR(__xludf.DUMMYFUNCTION("IF(B706="""","""",RIGHT(regexreplace(B706&amp;"""",""[^0-9]"",""""),9))"),"")</f>
        <v/>
      </c>
      <c r="B706" s="5"/>
      <c r="C706" s="5"/>
      <c r="D706" s="5"/>
      <c r="E706" s="15"/>
      <c r="F706" s="15"/>
      <c r="G706" s="15"/>
      <c r="H706" s="15"/>
      <c r="I706" s="15"/>
      <c r="J706" s="15"/>
      <c r="K706" s="9" t="str">
        <f ca="1">IF(COUNTIFS($A$2:A706,A706,$L$2:L706,L706)&gt;1,"DUPLICATE - CHECK","")</f>
        <v/>
      </c>
      <c r="L706" s="17"/>
      <c r="M706" s="17"/>
      <c r="N706" s="9">
        <f ca="1">IF(COUNTIF($A$2:A705,A706)&gt;0,INDEX($C$2:C705,MATCH(A706,$A$2:A705,0)),"")</f>
        <v>0</v>
      </c>
      <c r="O706" s="13"/>
      <c r="P706" s="19"/>
    </row>
    <row r="707" spans="1:16" ht="15.75" customHeight="1" x14ac:dyDescent="0.3">
      <c r="A707" s="8" t="str">
        <f ca="1">IFERROR(__xludf.DUMMYFUNCTION("IF(B707="""","""",RIGHT(regexreplace(B707&amp;"""",""[^0-9]"",""""),9))"),"")</f>
        <v/>
      </c>
      <c r="B707" s="5"/>
      <c r="C707" s="5"/>
      <c r="D707" s="5"/>
      <c r="E707" s="15"/>
      <c r="F707" s="15"/>
      <c r="G707" s="15"/>
      <c r="H707" s="15"/>
      <c r="I707" s="15"/>
      <c r="J707" s="15"/>
      <c r="K707" s="9" t="str">
        <f ca="1">IF(COUNTIFS($A$2:A707,A707,$L$2:L707,L707)&gt;1,"DUPLICATE - CHECK","")</f>
        <v/>
      </c>
      <c r="L707" s="17"/>
      <c r="M707" s="17"/>
      <c r="N707" s="9" t="str">
        <f t="array" aca="1" ref="N707" ca="1">IF(COUNTIF($A$2:A706,A)&gt;0,INDEX($C$2:C706,MATCH(A707,$A$2:A706,0)),"")</f>
        <v/>
      </c>
      <c r="O707" s="13"/>
      <c r="P707" s="19"/>
    </row>
    <row r="708" spans="1:16" ht="15.75" customHeight="1" x14ac:dyDescent="0.3">
      <c r="A708" s="8" t="str">
        <f ca="1">IFERROR(__xludf.DUMMYFUNCTION("IF(B708="""","""",RIGHT(regexreplace(B708&amp;"""",""[^0-9]"",""""),9))"),"")</f>
        <v/>
      </c>
      <c r="B708" s="5"/>
      <c r="C708" s="5"/>
      <c r="D708" s="5"/>
      <c r="E708" s="15"/>
      <c r="F708" s="15"/>
      <c r="G708" s="15"/>
      <c r="H708" s="15"/>
      <c r="I708" s="15"/>
      <c r="J708" s="15"/>
      <c r="K708" s="9" t="str">
        <f ca="1">IF(COUNTIFS($A$2:A708,A708,$L$2:L708,L708)&gt;1,"DUPLICATE - CHECK","")</f>
        <v/>
      </c>
      <c r="L708" s="17"/>
      <c r="M708" s="17"/>
      <c r="N708" s="9">
        <f ca="1">IF(COUNTIF($A$2:A707,A708)&gt;0,INDEX($C$2:C707,MATCH(A708,$A$2:A707,0)),"")</f>
        <v>0</v>
      </c>
      <c r="O708" s="13"/>
      <c r="P708" s="19"/>
    </row>
    <row r="709" spans="1:16" ht="15.75" customHeight="1" x14ac:dyDescent="0.3">
      <c r="A709" s="8" t="str">
        <f ca="1">IFERROR(__xludf.DUMMYFUNCTION("IF(B709="""","""",RIGHT(regexreplace(B709&amp;"""",""[^0-9]"",""""),9))"),"")</f>
        <v/>
      </c>
      <c r="B709" s="5"/>
      <c r="C709" s="5"/>
      <c r="D709" s="5"/>
      <c r="E709" s="15"/>
      <c r="F709" s="15"/>
      <c r="G709" s="15"/>
      <c r="H709" s="15"/>
      <c r="I709" s="15"/>
      <c r="J709" s="15"/>
      <c r="K709" s="9" t="str">
        <f ca="1">IF(COUNTIFS($A$2:A709,A709,$L$2:L709,L709)&gt;1,"DUPLICATE - CHECK","")</f>
        <v/>
      </c>
      <c r="L709" s="17"/>
      <c r="M709" s="17"/>
      <c r="N709" s="9">
        <f ca="1">IF(COUNTIF($A$2:A708,A709)&gt;0,INDEX($C$2:C708,MATCH(A709,$A$2:A708,0)),"")</f>
        <v>0</v>
      </c>
      <c r="O709" s="13"/>
      <c r="P709" s="19"/>
    </row>
    <row r="710" spans="1:16" ht="15.75" customHeight="1" x14ac:dyDescent="0.3">
      <c r="A710" s="8" t="str">
        <f ca="1">IFERROR(__xludf.DUMMYFUNCTION("IF(B710="""","""",RIGHT(regexreplace(B710&amp;"""",""[^0-9]"",""""),9))"),"")</f>
        <v/>
      </c>
      <c r="B710" s="5"/>
      <c r="C710" s="5"/>
      <c r="D710" s="5"/>
      <c r="E710" s="15"/>
      <c r="F710" s="15"/>
      <c r="G710" s="15"/>
      <c r="H710" s="15"/>
      <c r="I710" s="15"/>
      <c r="J710" s="15"/>
      <c r="K710" s="9" t="str">
        <f ca="1">IF(COUNTIFS($A$2:A710,A710,$L$2:L710,L710)&gt;1,"DUPLICATE - CHECK","")</f>
        <v/>
      </c>
      <c r="L710" s="17"/>
      <c r="M710" s="17"/>
      <c r="N710" s="9" t="str">
        <f t="array" aca="1" ref="N710" ca="1">IF(COUNTIF($A$2:A709,A)&gt;0,INDEX($C$2:C709,MATCH(A710,$A$2:A709,0)),"")</f>
        <v/>
      </c>
      <c r="O710" s="13"/>
      <c r="P710" s="19"/>
    </row>
    <row r="711" spans="1:16" ht="15.75" customHeight="1" x14ac:dyDescent="0.3">
      <c r="A711" s="8" t="str">
        <f ca="1">IFERROR(__xludf.DUMMYFUNCTION("IF(B711="""","""",RIGHT(regexreplace(B711&amp;"""",""[^0-9]"",""""),9))"),"")</f>
        <v/>
      </c>
      <c r="B711" s="5"/>
      <c r="C711" s="5"/>
      <c r="D711" s="5"/>
      <c r="E711" s="15"/>
      <c r="F711" s="15"/>
      <c r="G711" s="15"/>
      <c r="H711" s="15"/>
      <c r="I711" s="15"/>
      <c r="J711" s="15"/>
      <c r="K711" s="9" t="str">
        <f ca="1">IF(COUNTIFS($A$2:A711,A711,$L$2:L711,L711)&gt;1,"DUPLICATE - CHECK","")</f>
        <v/>
      </c>
      <c r="L711" s="17"/>
      <c r="M711" s="17"/>
      <c r="N711" s="9">
        <f ca="1">IF(COUNTIF($A$2:A710,A711)&gt;0,INDEX($C$2:C710,MATCH(A711,$A$2:A710,0)),"")</f>
        <v>0</v>
      </c>
      <c r="O711" s="13"/>
      <c r="P711" s="19"/>
    </row>
    <row r="712" spans="1:16" ht="15.75" customHeight="1" x14ac:dyDescent="0.3">
      <c r="A712" s="8" t="str">
        <f ca="1">IFERROR(__xludf.DUMMYFUNCTION("IF(B712="""","""",RIGHT(regexreplace(B712&amp;"""",""[^0-9]"",""""),9))"),"")</f>
        <v/>
      </c>
      <c r="B712" s="5"/>
      <c r="C712" s="5"/>
      <c r="D712" s="5"/>
      <c r="E712" s="15"/>
      <c r="F712" s="15"/>
      <c r="G712" s="15"/>
      <c r="H712" s="15"/>
      <c r="I712" s="15"/>
      <c r="J712" s="15"/>
      <c r="K712" s="9" t="str">
        <f ca="1">IF(COUNTIFS($A$2:A712,A712,$L$2:L712,L712)&gt;1,"DUPLICATE - CHECK","")</f>
        <v/>
      </c>
      <c r="L712" s="17"/>
      <c r="M712" s="17"/>
      <c r="N712" s="9">
        <f ca="1">IF(COUNTIF($A$2:A711,A712)&gt;0,INDEX($C$2:C711,MATCH(A712,$A$2:A711,0)),"")</f>
        <v>0</v>
      </c>
      <c r="O712" s="13"/>
      <c r="P712" s="19"/>
    </row>
    <row r="713" spans="1:16" ht="15.75" customHeight="1" x14ac:dyDescent="0.3">
      <c r="A713" s="8" t="str">
        <f ca="1">IFERROR(__xludf.DUMMYFUNCTION("IF(B713="""","""",RIGHT(regexreplace(B713&amp;"""",""[^0-9]"",""""),9))"),"")</f>
        <v/>
      </c>
      <c r="B713" s="5"/>
      <c r="C713" s="5"/>
      <c r="D713" s="5"/>
      <c r="E713" s="15"/>
      <c r="F713" s="15"/>
      <c r="G713" s="15"/>
      <c r="H713" s="15"/>
      <c r="I713" s="15"/>
      <c r="J713" s="15"/>
      <c r="K713" s="9" t="str">
        <f ca="1">IF(COUNTIFS($A$2:A713,A713,$L$2:L713,L713)&gt;1,"DUPLICATE - CHECK","")</f>
        <v/>
      </c>
      <c r="L713" s="17"/>
      <c r="M713" s="17"/>
      <c r="N713" s="9" t="str">
        <f t="array" aca="1" ref="N713" ca="1">IF(COUNTIF($A$2:A712,A)&gt;0,INDEX($C$2:C712,MATCH(A713,$A$2:A712,0)),"")</f>
        <v/>
      </c>
      <c r="O713" s="13"/>
      <c r="P713" s="19"/>
    </row>
    <row r="714" spans="1:16" ht="15.75" customHeight="1" x14ac:dyDescent="0.3">
      <c r="A714" s="8" t="str">
        <f ca="1">IFERROR(__xludf.DUMMYFUNCTION("IF(B714="""","""",RIGHT(regexreplace(B714&amp;"""",""[^0-9]"",""""),9))"),"")</f>
        <v/>
      </c>
      <c r="B714" s="5"/>
      <c r="C714" s="5"/>
      <c r="D714" s="5"/>
      <c r="E714" s="15"/>
      <c r="F714" s="15"/>
      <c r="G714" s="15"/>
      <c r="H714" s="15"/>
      <c r="I714" s="15"/>
      <c r="J714" s="15"/>
      <c r="K714" s="9" t="str">
        <f ca="1">IF(COUNTIFS($A$2:A714,A714,$L$2:L714,L714)&gt;1,"DUPLICATE - CHECK","")</f>
        <v/>
      </c>
      <c r="L714" s="17"/>
      <c r="M714" s="17"/>
      <c r="N714" s="9">
        <f ca="1">IF(COUNTIF($A$2:A713,A714)&gt;0,INDEX($C$2:C713,MATCH(A714,$A$2:A713,0)),"")</f>
        <v>0</v>
      </c>
      <c r="O714" s="13"/>
      <c r="P714" s="19"/>
    </row>
    <row r="715" spans="1:16" ht="15.75" customHeight="1" x14ac:dyDescent="0.3">
      <c r="A715" s="8" t="str">
        <f ca="1">IFERROR(__xludf.DUMMYFUNCTION("IF(B715="""","""",RIGHT(regexreplace(B715&amp;"""",""[^0-9]"",""""),9))"),"")</f>
        <v/>
      </c>
      <c r="B715" s="5"/>
      <c r="C715" s="5"/>
      <c r="D715" s="5"/>
      <c r="E715" s="15"/>
      <c r="F715" s="15"/>
      <c r="G715" s="15"/>
      <c r="H715" s="15"/>
      <c r="I715" s="15"/>
      <c r="J715" s="15"/>
      <c r="K715" s="9" t="str">
        <f ca="1">IF(COUNTIFS($A$2:A715,A715,$L$2:L715,L715)&gt;1,"DUPLICATE - CHECK","")</f>
        <v/>
      </c>
      <c r="L715" s="17"/>
      <c r="M715" s="17"/>
      <c r="N715" s="9">
        <f ca="1">IF(COUNTIF($A$2:A714,A715)&gt;0,INDEX($C$2:C714,MATCH(A715,$A$2:A714,0)),"")</f>
        <v>0</v>
      </c>
      <c r="O715" s="13"/>
      <c r="P715" s="19"/>
    </row>
    <row r="716" spans="1:16" ht="15.75" customHeight="1" x14ac:dyDescent="0.3">
      <c r="A716" s="8" t="str">
        <f ca="1">IFERROR(__xludf.DUMMYFUNCTION("IF(B716="""","""",RIGHT(regexreplace(B716&amp;"""",""[^0-9]"",""""),9))"),"")</f>
        <v/>
      </c>
      <c r="B716" s="5"/>
      <c r="C716" s="5"/>
      <c r="D716" s="5"/>
      <c r="E716" s="15"/>
      <c r="F716" s="15"/>
      <c r="G716" s="15"/>
      <c r="H716" s="15"/>
      <c r="I716" s="15"/>
      <c r="J716" s="15"/>
      <c r="K716" s="9" t="str">
        <f ca="1">IF(COUNTIFS($A$2:A716,A716,$L$2:L716,L716)&gt;1,"DUPLICATE - CHECK","")</f>
        <v/>
      </c>
      <c r="L716" s="17"/>
      <c r="M716" s="17"/>
      <c r="N716" s="9" t="str">
        <f t="array" aca="1" ref="N716" ca="1">IF(COUNTIF($A$2:A715,A)&gt;0,INDEX($C$2:C715,MATCH(A716,$A$2:A715,0)),"")</f>
        <v/>
      </c>
      <c r="O716" s="13"/>
      <c r="P716" s="19"/>
    </row>
    <row r="717" spans="1:16" ht="15.75" customHeight="1" x14ac:dyDescent="0.3">
      <c r="A717" s="8" t="str">
        <f ca="1">IFERROR(__xludf.DUMMYFUNCTION("IF(B717="""","""",RIGHT(regexreplace(B717&amp;"""",""[^0-9]"",""""),9))"),"")</f>
        <v/>
      </c>
      <c r="B717" s="5"/>
      <c r="C717" s="5"/>
      <c r="D717" s="5"/>
      <c r="E717" s="15"/>
      <c r="F717" s="15"/>
      <c r="G717" s="15"/>
      <c r="H717" s="15"/>
      <c r="I717" s="15"/>
      <c r="J717" s="15"/>
      <c r="K717" s="9" t="str">
        <f ca="1">IF(COUNTIFS($A$2:A717,A717,$L$2:L717,L717)&gt;1,"DUPLICATE - CHECK","")</f>
        <v/>
      </c>
      <c r="L717" s="17"/>
      <c r="M717" s="17"/>
      <c r="N717" s="9">
        <f ca="1">IF(COUNTIF($A$2:A716,A717)&gt;0,INDEX($C$2:C716,MATCH(A717,$A$2:A716,0)),"")</f>
        <v>0</v>
      </c>
      <c r="O717" s="13"/>
      <c r="P717" s="19"/>
    </row>
    <row r="718" spans="1:16" ht="15.75" customHeight="1" x14ac:dyDescent="0.3">
      <c r="A718" s="8" t="str">
        <f ca="1">IFERROR(__xludf.DUMMYFUNCTION("IF(B718="""","""",RIGHT(regexreplace(B718&amp;"""",""[^0-9]"",""""),9))"),"")</f>
        <v/>
      </c>
      <c r="B718" s="5"/>
      <c r="C718" s="5"/>
      <c r="D718" s="5"/>
      <c r="E718" s="15"/>
      <c r="F718" s="15"/>
      <c r="G718" s="15"/>
      <c r="H718" s="15"/>
      <c r="I718" s="15"/>
      <c r="J718" s="15"/>
      <c r="K718" s="9" t="str">
        <f ca="1">IF(COUNTIFS($A$2:A718,A718,$L$2:L718,L718)&gt;1,"DUPLICATE - CHECK","")</f>
        <v/>
      </c>
      <c r="L718" s="17"/>
      <c r="M718" s="17"/>
      <c r="N718" s="9">
        <f ca="1">IF(COUNTIF($A$2:A717,A718)&gt;0,INDEX($C$2:C717,MATCH(A718,$A$2:A717,0)),"")</f>
        <v>0</v>
      </c>
      <c r="O718" s="13"/>
      <c r="P718" s="19"/>
    </row>
    <row r="719" spans="1:16" ht="15.75" customHeight="1" x14ac:dyDescent="0.3">
      <c r="A719" s="8" t="str">
        <f ca="1">IFERROR(__xludf.DUMMYFUNCTION("IF(B719="""","""",RIGHT(regexreplace(B719&amp;"""",""[^0-9]"",""""),9))"),"")</f>
        <v/>
      </c>
      <c r="B719" s="5"/>
      <c r="C719" s="5"/>
      <c r="D719" s="5"/>
      <c r="E719" s="15"/>
      <c r="F719" s="15"/>
      <c r="G719" s="15"/>
      <c r="H719" s="15"/>
      <c r="I719" s="15"/>
      <c r="J719" s="15"/>
      <c r="K719" s="9" t="str">
        <f ca="1">IF(COUNTIFS($A$2:A719,A719,$L$2:L719,L719)&gt;1,"DUPLICATE - CHECK","")</f>
        <v/>
      </c>
      <c r="L719" s="17"/>
      <c r="M719" s="17"/>
      <c r="N719" s="9" t="str">
        <f t="array" aca="1" ref="N719" ca="1">IF(COUNTIF($A$2:A718,A)&gt;0,INDEX($C$2:C718,MATCH(A719,$A$2:A718,0)),"")</f>
        <v/>
      </c>
      <c r="O719" s="13"/>
      <c r="P719" s="19"/>
    </row>
    <row r="720" spans="1:16" ht="15.75" customHeight="1" x14ac:dyDescent="0.3">
      <c r="A720" s="8" t="str">
        <f ca="1">IFERROR(__xludf.DUMMYFUNCTION("IF(B720="""","""",RIGHT(regexreplace(B720&amp;"""",""[^0-9]"",""""),9))"),"")</f>
        <v/>
      </c>
      <c r="B720" s="5"/>
      <c r="C720" s="5"/>
      <c r="D720" s="5"/>
      <c r="E720" s="15"/>
      <c r="F720" s="15"/>
      <c r="G720" s="15"/>
      <c r="H720" s="15"/>
      <c r="I720" s="15"/>
      <c r="J720" s="15"/>
      <c r="K720" s="9" t="str">
        <f ca="1">IF(COUNTIFS($A$2:A720,A720,$L$2:L720,L720)&gt;1,"DUPLICATE - CHECK","")</f>
        <v/>
      </c>
      <c r="L720" s="17"/>
      <c r="M720" s="17"/>
      <c r="N720" s="9">
        <f ca="1">IF(COUNTIF($A$2:A719,A720)&gt;0,INDEX($C$2:C719,MATCH(A720,$A$2:A719,0)),"")</f>
        <v>0</v>
      </c>
      <c r="O720" s="13"/>
      <c r="P720" s="19"/>
    </row>
    <row r="721" spans="1:16" ht="15.75" customHeight="1" x14ac:dyDescent="0.3">
      <c r="A721" s="8" t="str">
        <f ca="1">IFERROR(__xludf.DUMMYFUNCTION("IF(B721="""","""",RIGHT(regexreplace(B721&amp;"""",""[^0-9]"",""""),9))"),"")</f>
        <v/>
      </c>
      <c r="B721" s="5"/>
      <c r="C721" s="5"/>
      <c r="D721" s="5"/>
      <c r="E721" s="15"/>
      <c r="F721" s="15"/>
      <c r="G721" s="15"/>
      <c r="H721" s="15"/>
      <c r="I721" s="15"/>
      <c r="J721" s="15"/>
      <c r="K721" s="9" t="str">
        <f ca="1">IF(COUNTIFS($A$2:A721,A721,$L$2:L721,L721)&gt;1,"DUPLICATE - CHECK","")</f>
        <v/>
      </c>
      <c r="L721" s="17"/>
      <c r="M721" s="17"/>
      <c r="N721" s="9">
        <f ca="1">IF(COUNTIF($A$2:A720,A721)&gt;0,INDEX($C$2:C720,MATCH(A721,$A$2:A720,0)),"")</f>
        <v>0</v>
      </c>
      <c r="O721" s="13"/>
      <c r="P721" s="19"/>
    </row>
    <row r="722" spans="1:16" ht="15.75" customHeight="1" x14ac:dyDescent="0.3">
      <c r="A722" s="8" t="str">
        <f ca="1">IFERROR(__xludf.DUMMYFUNCTION("IF(B722="""","""",RIGHT(regexreplace(B722&amp;"""",""[^0-9]"",""""),9))"),"")</f>
        <v/>
      </c>
      <c r="B722" s="5"/>
      <c r="C722" s="5"/>
      <c r="D722" s="5"/>
      <c r="E722" s="15"/>
      <c r="F722" s="15"/>
      <c r="G722" s="15"/>
      <c r="H722" s="15"/>
      <c r="I722" s="15"/>
      <c r="J722" s="15"/>
      <c r="K722" s="9" t="str">
        <f ca="1">IF(COUNTIFS($A$2:A722,A722,$L$2:L722,L722)&gt;1,"DUPLICATE - CHECK","")</f>
        <v/>
      </c>
      <c r="L722" s="17"/>
      <c r="M722" s="17"/>
      <c r="N722" s="9" t="str">
        <f t="array" aca="1" ref="N722" ca="1">IF(COUNTIF($A$2:A721,A)&gt;0,INDEX($C$2:C721,MATCH(A722,$A$2:A721,0)),"")</f>
        <v/>
      </c>
      <c r="O722" s="13"/>
      <c r="P722" s="19"/>
    </row>
    <row r="723" spans="1:16" ht="15.75" customHeight="1" x14ac:dyDescent="0.3">
      <c r="A723" s="8" t="str">
        <f ca="1">IFERROR(__xludf.DUMMYFUNCTION("IF(B723="""","""",RIGHT(regexreplace(B723&amp;"""",""[^0-9]"",""""),9))"),"")</f>
        <v/>
      </c>
      <c r="B723" s="5"/>
      <c r="C723" s="5"/>
      <c r="D723" s="5"/>
      <c r="E723" s="15"/>
      <c r="F723" s="15"/>
      <c r="G723" s="15"/>
      <c r="H723" s="15"/>
      <c r="I723" s="15"/>
      <c r="J723" s="15"/>
      <c r="K723" s="9" t="str">
        <f ca="1">IF(COUNTIFS($A$2:A723,A723,$L$2:L723,L723)&gt;1,"DUPLICATE - CHECK","")</f>
        <v/>
      </c>
      <c r="L723" s="17"/>
      <c r="M723" s="17"/>
      <c r="N723" s="9">
        <f ca="1">IF(COUNTIF($A$2:A722,A723)&gt;0,INDEX($C$2:C722,MATCH(A723,$A$2:A722,0)),"")</f>
        <v>0</v>
      </c>
      <c r="O723" s="13"/>
      <c r="P723" s="19"/>
    </row>
    <row r="724" spans="1:16" ht="15.75" customHeight="1" x14ac:dyDescent="0.3">
      <c r="A724" s="8" t="str">
        <f ca="1">IFERROR(__xludf.DUMMYFUNCTION("IF(B724="""","""",RIGHT(regexreplace(B724&amp;"""",""[^0-9]"",""""),9))"),"")</f>
        <v/>
      </c>
      <c r="B724" s="5"/>
      <c r="C724" s="5"/>
      <c r="D724" s="5"/>
      <c r="E724" s="15"/>
      <c r="F724" s="15"/>
      <c r="G724" s="15"/>
      <c r="H724" s="15"/>
      <c r="I724" s="15"/>
      <c r="J724" s="15"/>
      <c r="K724" s="9" t="str">
        <f ca="1">IF(COUNTIFS($A$2:A724,A724,$L$2:L724,L724)&gt;1,"DUPLICATE - CHECK","")</f>
        <v/>
      </c>
      <c r="L724" s="17"/>
      <c r="M724" s="17"/>
      <c r="N724" s="9">
        <f ca="1">IF(COUNTIF($A$2:A723,A724)&gt;0,INDEX($C$2:C723,MATCH(A724,$A$2:A723,0)),"")</f>
        <v>0</v>
      </c>
      <c r="O724" s="13"/>
      <c r="P724" s="19"/>
    </row>
    <row r="725" spans="1:16" ht="15.75" customHeight="1" x14ac:dyDescent="0.3">
      <c r="A725" s="8" t="str">
        <f ca="1">IFERROR(__xludf.DUMMYFUNCTION("IF(B725="""","""",RIGHT(regexreplace(B725&amp;"""",""[^0-9]"",""""),9))"),"")</f>
        <v/>
      </c>
      <c r="B725" s="5"/>
      <c r="C725" s="5"/>
      <c r="D725" s="5"/>
      <c r="E725" s="15"/>
      <c r="F725" s="15"/>
      <c r="G725" s="15"/>
      <c r="H725" s="15"/>
      <c r="I725" s="15"/>
      <c r="J725" s="15"/>
      <c r="K725" s="9" t="str">
        <f ca="1">IF(COUNTIFS($A$2:A725,A725,$L$2:L725,L725)&gt;1,"DUPLICATE - CHECK","")</f>
        <v/>
      </c>
      <c r="L725" s="17"/>
      <c r="M725" s="17"/>
      <c r="N725" s="9" t="str">
        <f t="array" aca="1" ref="N725" ca="1">IF(COUNTIF($A$2:A724,A)&gt;0,INDEX($C$2:C724,MATCH(A725,$A$2:A724,0)),"")</f>
        <v/>
      </c>
      <c r="O725" s="13"/>
      <c r="P725" s="19"/>
    </row>
    <row r="726" spans="1:16" ht="15.75" customHeight="1" x14ac:dyDescent="0.3">
      <c r="A726" s="8" t="str">
        <f ca="1">IFERROR(__xludf.DUMMYFUNCTION("IF(B726="""","""",RIGHT(regexreplace(B726&amp;"""",""[^0-9]"",""""),9))"),"")</f>
        <v/>
      </c>
      <c r="B726" s="5"/>
      <c r="C726" s="5"/>
      <c r="D726" s="5"/>
      <c r="E726" s="15"/>
      <c r="F726" s="15"/>
      <c r="G726" s="15"/>
      <c r="H726" s="15"/>
      <c r="I726" s="15"/>
      <c r="J726" s="15"/>
      <c r="K726" s="9" t="str">
        <f ca="1">IF(COUNTIFS($A$2:A726,A726,$L$2:L726,L726)&gt;1,"DUPLICATE - CHECK","")</f>
        <v/>
      </c>
      <c r="L726" s="17"/>
      <c r="M726" s="17"/>
      <c r="N726" s="9">
        <f ca="1">IF(COUNTIF($A$2:A725,A726)&gt;0,INDEX($C$2:C725,MATCH(A726,$A$2:A725,0)),"")</f>
        <v>0</v>
      </c>
      <c r="O726" s="13"/>
      <c r="P726" s="19"/>
    </row>
    <row r="727" spans="1:16" ht="15.75" customHeight="1" x14ac:dyDescent="0.3">
      <c r="A727" s="8" t="str">
        <f ca="1">IFERROR(__xludf.DUMMYFUNCTION("IF(B727="""","""",RIGHT(regexreplace(B727&amp;"""",""[^0-9]"",""""),9))"),"")</f>
        <v/>
      </c>
      <c r="B727" s="5"/>
      <c r="C727" s="5"/>
      <c r="D727" s="5"/>
      <c r="E727" s="15"/>
      <c r="F727" s="15"/>
      <c r="G727" s="15"/>
      <c r="H727" s="15"/>
      <c r="I727" s="15"/>
      <c r="J727" s="15"/>
      <c r="K727" s="9" t="str">
        <f ca="1">IF(COUNTIFS($A$2:A727,A727,$L$2:L727,L727)&gt;1,"DUPLICATE - CHECK","")</f>
        <v/>
      </c>
      <c r="L727" s="17"/>
      <c r="M727" s="17"/>
      <c r="N727" s="9">
        <f ca="1">IF(COUNTIF($A$2:A726,A727)&gt;0,INDEX($C$2:C726,MATCH(A727,$A$2:A726,0)),"")</f>
        <v>0</v>
      </c>
      <c r="O727" s="13"/>
      <c r="P727" s="19"/>
    </row>
    <row r="728" spans="1:16" ht="15.75" customHeight="1" x14ac:dyDescent="0.3">
      <c r="A728" s="8" t="str">
        <f ca="1">IFERROR(__xludf.DUMMYFUNCTION("IF(B728="""","""",RIGHT(regexreplace(B728&amp;"""",""[^0-9]"",""""),9))"),"")</f>
        <v/>
      </c>
      <c r="B728" s="5"/>
      <c r="C728" s="5"/>
      <c r="D728" s="5"/>
      <c r="E728" s="15"/>
      <c r="F728" s="15"/>
      <c r="G728" s="15"/>
      <c r="H728" s="15"/>
      <c r="I728" s="15"/>
      <c r="J728" s="15"/>
      <c r="K728" s="9" t="str">
        <f ca="1">IF(COUNTIFS($A$2:A728,A728,$L$2:L728,L728)&gt;1,"DUPLICATE - CHECK","")</f>
        <v/>
      </c>
      <c r="L728" s="17"/>
      <c r="M728" s="17"/>
      <c r="N728" s="9" t="str">
        <f t="array" aca="1" ref="N728" ca="1">IF(COUNTIF($A$2:A727,A)&gt;0,INDEX($C$2:C727,MATCH(A728,$A$2:A727,0)),"")</f>
        <v/>
      </c>
      <c r="O728" s="13"/>
      <c r="P728" s="19"/>
    </row>
    <row r="729" spans="1:16" ht="15.75" customHeight="1" x14ac:dyDescent="0.3">
      <c r="A729" s="8" t="str">
        <f ca="1">IFERROR(__xludf.DUMMYFUNCTION("IF(B729="""","""",RIGHT(regexreplace(B729&amp;"""",""[^0-9]"",""""),9))"),"")</f>
        <v/>
      </c>
      <c r="B729" s="5"/>
      <c r="C729" s="5"/>
      <c r="D729" s="5"/>
      <c r="E729" s="15"/>
      <c r="F729" s="15"/>
      <c r="G729" s="15"/>
      <c r="H729" s="15"/>
      <c r="I729" s="15"/>
      <c r="J729" s="15"/>
      <c r="K729" s="9" t="str">
        <f ca="1">IF(COUNTIFS($A$2:A729,A729,$L$2:L729,L729)&gt;1,"DUPLICATE - CHECK","")</f>
        <v/>
      </c>
      <c r="L729" s="17"/>
      <c r="M729" s="17"/>
      <c r="N729" s="9">
        <f ca="1">IF(COUNTIF($A$2:A728,A729)&gt;0,INDEX($C$2:C728,MATCH(A729,$A$2:A728,0)),"")</f>
        <v>0</v>
      </c>
      <c r="O729" s="13"/>
      <c r="P729" s="19"/>
    </row>
    <row r="730" spans="1:16" ht="15.75" customHeight="1" x14ac:dyDescent="0.3">
      <c r="A730" s="8" t="str">
        <f ca="1">IFERROR(__xludf.DUMMYFUNCTION("IF(B730="""","""",RIGHT(regexreplace(B730&amp;"""",""[^0-9]"",""""),9))"),"")</f>
        <v/>
      </c>
      <c r="B730" s="5"/>
      <c r="C730" s="5"/>
      <c r="D730" s="5"/>
      <c r="E730" s="15"/>
      <c r="F730" s="15"/>
      <c r="G730" s="15"/>
      <c r="H730" s="15"/>
      <c r="I730" s="15"/>
      <c r="J730" s="15"/>
      <c r="K730" s="9" t="str">
        <f ca="1">IF(COUNTIFS($A$2:A730,A730,$L$2:L730,L730)&gt;1,"DUPLICATE - CHECK","")</f>
        <v/>
      </c>
      <c r="L730" s="17"/>
      <c r="M730" s="17"/>
      <c r="N730" s="9">
        <f ca="1">IF(COUNTIF($A$2:A729,A730)&gt;0,INDEX($C$2:C729,MATCH(A730,$A$2:A729,0)),"")</f>
        <v>0</v>
      </c>
      <c r="O730" s="13"/>
      <c r="P730" s="19"/>
    </row>
    <row r="731" spans="1:16" ht="15.75" customHeight="1" x14ac:dyDescent="0.3">
      <c r="A731" s="8" t="str">
        <f ca="1">IFERROR(__xludf.DUMMYFUNCTION("IF(B731="""","""",RIGHT(regexreplace(B731&amp;"""",""[^0-9]"",""""),9))"),"")</f>
        <v/>
      </c>
      <c r="B731" s="5"/>
      <c r="C731" s="5"/>
      <c r="D731" s="5"/>
      <c r="E731" s="15"/>
      <c r="F731" s="15"/>
      <c r="G731" s="15"/>
      <c r="H731" s="15"/>
      <c r="I731" s="15"/>
      <c r="J731" s="15"/>
      <c r="K731" s="9" t="str">
        <f ca="1">IF(COUNTIFS($A$2:A731,A731,$L$2:L731,L731)&gt;1,"DUPLICATE - CHECK","")</f>
        <v/>
      </c>
      <c r="L731" s="17"/>
      <c r="M731" s="17"/>
      <c r="N731" s="9" t="str">
        <f t="array" aca="1" ref="N731" ca="1">IF(COUNTIF($A$2:A730,A)&gt;0,INDEX($C$2:C730,MATCH(A731,$A$2:A730,0)),"")</f>
        <v/>
      </c>
      <c r="O731" s="13"/>
      <c r="P731" s="19"/>
    </row>
    <row r="732" spans="1:16" ht="15.75" customHeight="1" x14ac:dyDescent="0.3">
      <c r="A732" s="8" t="str">
        <f ca="1">IFERROR(__xludf.DUMMYFUNCTION("IF(B732="""","""",RIGHT(regexreplace(B732&amp;"""",""[^0-9]"",""""),9))"),"")</f>
        <v/>
      </c>
      <c r="B732" s="5"/>
      <c r="C732" s="5"/>
      <c r="D732" s="5"/>
      <c r="E732" s="15"/>
      <c r="F732" s="15"/>
      <c r="G732" s="15"/>
      <c r="H732" s="15"/>
      <c r="I732" s="15"/>
      <c r="J732" s="15"/>
      <c r="K732" s="9" t="str">
        <f ca="1">IF(COUNTIFS($A$2:A732,A732,$L$2:L732,L732)&gt;1,"DUPLICATE - CHECK","")</f>
        <v/>
      </c>
      <c r="L732" s="17"/>
      <c r="M732" s="17"/>
      <c r="N732" s="9">
        <f ca="1">IF(COUNTIF($A$2:A731,A732)&gt;0,INDEX($C$2:C731,MATCH(A732,$A$2:A731,0)),"")</f>
        <v>0</v>
      </c>
      <c r="O732" s="13"/>
      <c r="P732" s="19"/>
    </row>
    <row r="733" spans="1:16" ht="15.75" customHeight="1" x14ac:dyDescent="0.3">
      <c r="A733" s="8" t="str">
        <f ca="1">IFERROR(__xludf.DUMMYFUNCTION("IF(B733="""","""",RIGHT(regexreplace(B733&amp;"""",""[^0-9]"",""""),9))"),"")</f>
        <v/>
      </c>
      <c r="B733" s="5"/>
      <c r="C733" s="5"/>
      <c r="D733" s="5"/>
      <c r="E733" s="15"/>
      <c r="F733" s="15"/>
      <c r="G733" s="15"/>
      <c r="H733" s="15"/>
      <c r="I733" s="15"/>
      <c r="J733" s="15"/>
      <c r="K733" s="9" t="str">
        <f ca="1">IF(COUNTIFS($A$2:A733,A733,$L$2:L733,L733)&gt;1,"DUPLICATE - CHECK","")</f>
        <v/>
      </c>
      <c r="L733" s="17"/>
      <c r="M733" s="17"/>
      <c r="N733" s="9">
        <f ca="1">IF(COUNTIF($A$2:A732,A733)&gt;0,INDEX($C$2:C732,MATCH(A733,$A$2:A732,0)),"")</f>
        <v>0</v>
      </c>
      <c r="O733" s="13"/>
      <c r="P733" s="19"/>
    </row>
    <row r="734" spans="1:16" ht="15.75" customHeight="1" x14ac:dyDescent="0.3">
      <c r="A734" s="8" t="str">
        <f ca="1">IFERROR(__xludf.DUMMYFUNCTION("IF(B734="""","""",RIGHT(regexreplace(B734&amp;"""",""[^0-9]"",""""),9))"),"")</f>
        <v/>
      </c>
      <c r="B734" s="5"/>
      <c r="C734" s="5"/>
      <c r="D734" s="5"/>
      <c r="E734" s="15"/>
      <c r="F734" s="15"/>
      <c r="G734" s="15"/>
      <c r="H734" s="15"/>
      <c r="I734" s="15"/>
      <c r="J734" s="15"/>
      <c r="K734" s="9" t="str">
        <f ca="1">IF(COUNTIFS($A$2:A734,A734,$L$2:L734,L734)&gt;1,"DUPLICATE - CHECK","")</f>
        <v/>
      </c>
      <c r="L734" s="17"/>
      <c r="M734" s="17"/>
      <c r="N734" s="9" t="str">
        <f t="array" aca="1" ref="N734" ca="1">IF(COUNTIF($A$2:A733,A)&gt;0,INDEX($C$2:C733,MATCH(A734,$A$2:A733,0)),"")</f>
        <v/>
      </c>
      <c r="O734" s="13"/>
      <c r="P734" s="19"/>
    </row>
    <row r="735" spans="1:16" ht="15.75" customHeight="1" x14ac:dyDescent="0.3">
      <c r="A735" s="8" t="str">
        <f ca="1">IFERROR(__xludf.DUMMYFUNCTION("IF(B735="""","""",RIGHT(regexreplace(B735&amp;"""",""[^0-9]"",""""),9))"),"")</f>
        <v/>
      </c>
      <c r="B735" s="5"/>
      <c r="C735" s="5"/>
      <c r="D735" s="5"/>
      <c r="E735" s="15"/>
      <c r="F735" s="15"/>
      <c r="G735" s="15"/>
      <c r="H735" s="15"/>
      <c r="I735" s="15"/>
      <c r="J735" s="15"/>
      <c r="K735" s="9" t="str">
        <f ca="1">IF(COUNTIFS($A$2:A735,A735,$L$2:L735,L735)&gt;1,"DUPLICATE - CHECK","")</f>
        <v/>
      </c>
      <c r="L735" s="17"/>
      <c r="M735" s="17"/>
      <c r="N735" s="9">
        <f ca="1">IF(COUNTIF($A$2:A734,A735)&gt;0,INDEX($C$2:C734,MATCH(A735,$A$2:A734,0)),"")</f>
        <v>0</v>
      </c>
      <c r="O735" s="13"/>
      <c r="P735" s="19"/>
    </row>
    <row r="736" spans="1:16" ht="15.75" customHeight="1" x14ac:dyDescent="0.3">
      <c r="A736" s="8" t="str">
        <f ca="1">IFERROR(__xludf.DUMMYFUNCTION("IF(B736="""","""",RIGHT(regexreplace(B736&amp;"""",""[^0-9]"",""""),9))"),"")</f>
        <v/>
      </c>
      <c r="B736" s="5"/>
      <c r="C736" s="5"/>
      <c r="D736" s="5"/>
      <c r="E736" s="15"/>
      <c r="F736" s="15"/>
      <c r="G736" s="15"/>
      <c r="H736" s="15"/>
      <c r="I736" s="15"/>
      <c r="J736" s="15"/>
      <c r="K736" s="9" t="str">
        <f ca="1">IF(COUNTIFS($A$2:A736,A736,$L$2:L736,L736)&gt;1,"DUPLICATE - CHECK","")</f>
        <v/>
      </c>
      <c r="L736" s="17"/>
      <c r="M736" s="17"/>
      <c r="N736" s="9">
        <f ca="1">IF(COUNTIF($A$2:A735,A736)&gt;0,INDEX($C$2:C735,MATCH(A736,$A$2:A735,0)),"")</f>
        <v>0</v>
      </c>
      <c r="O736" s="13"/>
      <c r="P736" s="19"/>
    </row>
    <row r="737" spans="1:16" ht="15.75" customHeight="1" x14ac:dyDescent="0.3">
      <c r="A737" s="8" t="str">
        <f ca="1">IFERROR(__xludf.DUMMYFUNCTION("IF(B737="""","""",RIGHT(regexreplace(B737&amp;"""",""[^0-9]"",""""),9))"),"")</f>
        <v/>
      </c>
      <c r="B737" s="5"/>
      <c r="C737" s="5"/>
      <c r="D737" s="5"/>
      <c r="E737" s="15"/>
      <c r="F737" s="15"/>
      <c r="G737" s="15"/>
      <c r="H737" s="15"/>
      <c r="I737" s="15"/>
      <c r="J737" s="15"/>
      <c r="K737" s="9" t="str">
        <f ca="1">IF(COUNTIFS($A$2:A737,A737,$L$2:L737,L737)&gt;1,"DUPLICATE - CHECK","")</f>
        <v/>
      </c>
      <c r="L737" s="17"/>
      <c r="M737" s="17"/>
      <c r="N737" s="9" t="str">
        <f t="array" aca="1" ref="N737" ca="1">IF(COUNTIF($A$2:A736,A)&gt;0,INDEX($C$2:C736,MATCH(A737,$A$2:A736,0)),"")</f>
        <v/>
      </c>
      <c r="O737" s="13"/>
      <c r="P737" s="19"/>
    </row>
    <row r="738" spans="1:16" ht="15.75" customHeight="1" x14ac:dyDescent="0.3">
      <c r="A738" s="8" t="str">
        <f ca="1">IFERROR(__xludf.DUMMYFUNCTION("IF(B738="""","""",RIGHT(regexreplace(B738&amp;"""",""[^0-9]"",""""),9))"),"")</f>
        <v/>
      </c>
      <c r="B738" s="5"/>
      <c r="C738" s="5"/>
      <c r="D738" s="5"/>
      <c r="E738" s="15"/>
      <c r="F738" s="15"/>
      <c r="G738" s="15"/>
      <c r="H738" s="15"/>
      <c r="I738" s="15"/>
      <c r="J738" s="15"/>
      <c r="K738" s="9" t="str">
        <f ca="1">IF(COUNTIFS($A$2:A738,A738,$L$2:L738,L738)&gt;1,"DUPLICATE - CHECK","")</f>
        <v/>
      </c>
      <c r="L738" s="17"/>
      <c r="M738" s="17"/>
      <c r="N738" s="9">
        <f ca="1">IF(COUNTIF($A$2:A737,A738)&gt;0,INDEX($C$2:C737,MATCH(A738,$A$2:A737,0)),"")</f>
        <v>0</v>
      </c>
      <c r="O738" s="13"/>
      <c r="P738" s="19"/>
    </row>
    <row r="739" spans="1:16" ht="15.75" customHeight="1" x14ac:dyDescent="0.3">
      <c r="A739" s="8" t="str">
        <f ca="1">IFERROR(__xludf.DUMMYFUNCTION("IF(B739="""","""",RIGHT(regexreplace(B739&amp;"""",""[^0-9]"",""""),9))"),"")</f>
        <v/>
      </c>
      <c r="B739" s="5"/>
      <c r="C739" s="5"/>
      <c r="D739" s="5"/>
      <c r="E739" s="15"/>
      <c r="F739" s="15"/>
      <c r="G739" s="15"/>
      <c r="H739" s="15"/>
      <c r="I739" s="15"/>
      <c r="J739" s="15"/>
      <c r="K739" s="9" t="str">
        <f ca="1">IF(COUNTIFS($A$2:A739,A739,$L$2:L739,L739)&gt;1,"DUPLICATE - CHECK","")</f>
        <v/>
      </c>
      <c r="L739" s="17"/>
      <c r="M739" s="17"/>
      <c r="N739" s="9">
        <f ca="1">IF(COUNTIF($A$2:A738,A739)&gt;0,INDEX($C$2:C738,MATCH(A739,$A$2:A738,0)),"")</f>
        <v>0</v>
      </c>
      <c r="O739" s="13"/>
      <c r="P739" s="19"/>
    </row>
    <row r="740" spans="1:16" ht="15.75" customHeight="1" x14ac:dyDescent="0.3">
      <c r="A740" s="8" t="str">
        <f ca="1">IFERROR(__xludf.DUMMYFUNCTION("IF(B740="""","""",RIGHT(regexreplace(B740&amp;"""",""[^0-9]"",""""),9))"),"")</f>
        <v/>
      </c>
      <c r="B740" s="5"/>
      <c r="C740" s="5"/>
      <c r="D740" s="5"/>
      <c r="E740" s="15"/>
      <c r="F740" s="15"/>
      <c r="G740" s="15"/>
      <c r="H740" s="15"/>
      <c r="I740" s="15"/>
      <c r="J740" s="15"/>
      <c r="K740" s="9" t="str">
        <f ca="1">IF(COUNTIFS($A$2:A740,A740,$L$2:L740,L740)&gt;1,"DUPLICATE - CHECK","")</f>
        <v/>
      </c>
      <c r="L740" s="17"/>
      <c r="M740" s="17"/>
      <c r="N740" s="9" t="str">
        <f t="array" aca="1" ref="N740" ca="1">IF(COUNTIF($A$2:A739,A)&gt;0,INDEX($C$2:C739,MATCH(A740,$A$2:A739,0)),"")</f>
        <v/>
      </c>
      <c r="O740" s="13"/>
      <c r="P740" s="19"/>
    </row>
    <row r="741" spans="1:16" ht="15.75" customHeight="1" x14ac:dyDescent="0.3">
      <c r="A741" s="8" t="str">
        <f ca="1">IFERROR(__xludf.DUMMYFUNCTION("IF(B741="""","""",RIGHT(regexreplace(B741&amp;"""",""[^0-9]"",""""),9))"),"")</f>
        <v/>
      </c>
      <c r="B741" s="5"/>
      <c r="C741" s="5"/>
      <c r="D741" s="5"/>
      <c r="E741" s="15"/>
      <c r="F741" s="15"/>
      <c r="G741" s="15"/>
      <c r="H741" s="15"/>
      <c r="I741" s="15"/>
      <c r="J741" s="15"/>
      <c r="K741" s="9" t="str">
        <f ca="1">IF(COUNTIFS($A$2:A741,A741,$L$2:L741,L741)&gt;1,"DUPLICATE - CHECK","")</f>
        <v/>
      </c>
      <c r="L741" s="17"/>
      <c r="M741" s="17"/>
      <c r="N741" s="9">
        <f ca="1">IF(COUNTIF($A$2:A740,A741)&gt;0,INDEX($C$2:C740,MATCH(A741,$A$2:A740,0)),"")</f>
        <v>0</v>
      </c>
      <c r="O741" s="13"/>
      <c r="P741" s="19"/>
    </row>
    <row r="742" spans="1:16" ht="15.75" customHeight="1" x14ac:dyDescent="0.3">
      <c r="A742" s="8" t="str">
        <f ca="1">IFERROR(__xludf.DUMMYFUNCTION("IF(B742="""","""",RIGHT(regexreplace(B742&amp;"""",""[^0-9]"",""""),9))"),"")</f>
        <v/>
      </c>
      <c r="B742" s="5"/>
      <c r="C742" s="5"/>
      <c r="D742" s="5"/>
      <c r="E742" s="15"/>
      <c r="F742" s="15"/>
      <c r="G742" s="15"/>
      <c r="H742" s="15"/>
      <c r="I742" s="15"/>
      <c r="J742" s="15"/>
      <c r="K742" s="9" t="str">
        <f ca="1">IF(COUNTIFS($A$2:A742,A742,$L$2:L742,L742)&gt;1,"DUPLICATE - CHECK","")</f>
        <v/>
      </c>
      <c r="L742" s="17"/>
      <c r="M742" s="17"/>
      <c r="N742" s="9">
        <f ca="1">IF(COUNTIF($A$2:A741,A742)&gt;0,INDEX($C$2:C741,MATCH(A742,$A$2:A741,0)),"")</f>
        <v>0</v>
      </c>
      <c r="O742" s="13"/>
      <c r="P742" s="19"/>
    </row>
    <row r="743" spans="1:16" ht="15.75" customHeight="1" x14ac:dyDescent="0.3">
      <c r="A743" s="8" t="str">
        <f ca="1">IFERROR(__xludf.DUMMYFUNCTION("IF(B743="""","""",RIGHT(regexreplace(B743&amp;"""",""[^0-9]"",""""),9))"),"")</f>
        <v/>
      </c>
      <c r="B743" s="5"/>
      <c r="C743" s="5"/>
      <c r="D743" s="5"/>
      <c r="E743" s="15"/>
      <c r="F743" s="15"/>
      <c r="G743" s="15"/>
      <c r="H743" s="15"/>
      <c r="I743" s="15"/>
      <c r="J743" s="15"/>
      <c r="K743" s="9" t="str">
        <f ca="1">IF(COUNTIFS($A$2:A743,A743,$L$2:L743,L743)&gt;1,"DUPLICATE - CHECK","")</f>
        <v/>
      </c>
      <c r="L743" s="17"/>
      <c r="M743" s="17"/>
      <c r="N743" s="9" t="str">
        <f t="array" aca="1" ref="N743" ca="1">IF(COUNTIF($A$2:A742,A)&gt;0,INDEX($C$2:C742,MATCH(A743,$A$2:A742,0)),"")</f>
        <v/>
      </c>
      <c r="O743" s="13"/>
      <c r="P743" s="19"/>
    </row>
    <row r="744" spans="1:16" ht="15.75" customHeight="1" x14ac:dyDescent="0.3">
      <c r="A744" s="8" t="str">
        <f ca="1">IFERROR(__xludf.DUMMYFUNCTION("IF(B744="""","""",RIGHT(regexreplace(B744&amp;"""",""[^0-9]"",""""),9))"),"")</f>
        <v/>
      </c>
      <c r="B744" s="5"/>
      <c r="C744" s="5"/>
      <c r="D744" s="5"/>
      <c r="E744" s="15"/>
      <c r="F744" s="15"/>
      <c r="G744" s="15"/>
      <c r="H744" s="15"/>
      <c r="I744" s="15"/>
      <c r="J744" s="15"/>
      <c r="K744" s="9" t="str">
        <f ca="1">IF(COUNTIFS($A$2:A744,A744,$L$2:L744,L744)&gt;1,"DUPLICATE - CHECK","")</f>
        <v/>
      </c>
      <c r="L744" s="17"/>
      <c r="M744" s="17"/>
      <c r="N744" s="9">
        <f ca="1">IF(COUNTIF($A$2:A743,A744)&gt;0,INDEX($C$2:C743,MATCH(A744,$A$2:A743,0)),"")</f>
        <v>0</v>
      </c>
      <c r="O744" s="13"/>
      <c r="P744" s="19"/>
    </row>
    <row r="745" spans="1:16" ht="15.75" customHeight="1" x14ac:dyDescent="0.3">
      <c r="A745" s="8" t="str">
        <f ca="1">IFERROR(__xludf.DUMMYFUNCTION("IF(B745="""","""",RIGHT(regexreplace(B745&amp;"""",""[^0-9]"",""""),9))"),"")</f>
        <v/>
      </c>
      <c r="B745" s="5"/>
      <c r="C745" s="5"/>
      <c r="D745" s="5"/>
      <c r="E745" s="15"/>
      <c r="F745" s="15"/>
      <c r="G745" s="15"/>
      <c r="H745" s="15"/>
      <c r="I745" s="15"/>
      <c r="J745" s="15"/>
      <c r="K745" s="9" t="str">
        <f ca="1">IF(COUNTIFS($A$2:A745,A745,$L$2:L745,L745)&gt;1,"DUPLICATE - CHECK","")</f>
        <v/>
      </c>
      <c r="L745" s="17"/>
      <c r="M745" s="17"/>
      <c r="N745" s="9">
        <f ca="1">IF(COUNTIF($A$2:A744,A745)&gt;0,INDEX($C$2:C744,MATCH(A745,$A$2:A744,0)),"")</f>
        <v>0</v>
      </c>
      <c r="O745" s="13"/>
      <c r="P745" s="19"/>
    </row>
    <row r="746" spans="1:16" ht="15.75" customHeight="1" x14ac:dyDescent="0.3">
      <c r="A746" s="8" t="str">
        <f ca="1">IFERROR(__xludf.DUMMYFUNCTION("IF(B746="""","""",RIGHT(regexreplace(B746&amp;"""",""[^0-9]"",""""),9))"),"")</f>
        <v/>
      </c>
      <c r="B746" s="5"/>
      <c r="C746" s="5"/>
      <c r="D746" s="5"/>
      <c r="E746" s="15"/>
      <c r="F746" s="15"/>
      <c r="G746" s="15"/>
      <c r="H746" s="15"/>
      <c r="I746" s="15"/>
      <c r="J746" s="15"/>
      <c r="K746" s="9" t="str">
        <f ca="1">IF(COUNTIFS($A$2:A746,A746,$L$2:L746,L746)&gt;1,"DUPLICATE - CHECK","")</f>
        <v/>
      </c>
      <c r="L746" s="17"/>
      <c r="M746" s="17"/>
      <c r="N746" s="9" t="str">
        <f t="array" aca="1" ref="N746" ca="1">IF(COUNTIF($A$2:A745,A)&gt;0,INDEX($C$2:C745,MATCH(A746,$A$2:A745,0)),"")</f>
        <v/>
      </c>
      <c r="O746" s="13"/>
      <c r="P746" s="19"/>
    </row>
    <row r="747" spans="1:16" ht="15.75" customHeight="1" x14ac:dyDescent="0.3">
      <c r="A747" s="8" t="str">
        <f ca="1">IFERROR(__xludf.DUMMYFUNCTION("IF(B747="""","""",RIGHT(regexreplace(B747&amp;"""",""[^0-9]"",""""),9))"),"")</f>
        <v/>
      </c>
      <c r="B747" s="5"/>
      <c r="C747" s="5"/>
      <c r="D747" s="5"/>
      <c r="E747" s="15"/>
      <c r="F747" s="15"/>
      <c r="G747" s="15"/>
      <c r="H747" s="15"/>
      <c r="I747" s="15"/>
      <c r="J747" s="15"/>
      <c r="K747" s="9" t="str">
        <f ca="1">IF(COUNTIFS($A$2:A747,A747,$L$2:L747,L747)&gt;1,"DUPLICATE - CHECK","")</f>
        <v/>
      </c>
      <c r="L747" s="17"/>
      <c r="M747" s="17"/>
      <c r="N747" s="9">
        <f ca="1">IF(COUNTIF($A$2:A746,A747)&gt;0,INDEX($C$2:C746,MATCH(A747,$A$2:A746,0)),"")</f>
        <v>0</v>
      </c>
      <c r="O747" s="13"/>
      <c r="P747" s="19"/>
    </row>
    <row r="748" spans="1:16" ht="15.75" customHeight="1" x14ac:dyDescent="0.3">
      <c r="A748" s="8" t="str">
        <f ca="1">IFERROR(__xludf.DUMMYFUNCTION("IF(B748="""","""",RIGHT(regexreplace(B748&amp;"""",""[^0-9]"",""""),9))"),"")</f>
        <v/>
      </c>
      <c r="B748" s="5"/>
      <c r="C748" s="5"/>
      <c r="D748" s="5"/>
      <c r="E748" s="15"/>
      <c r="F748" s="15"/>
      <c r="G748" s="15"/>
      <c r="H748" s="15"/>
      <c r="I748" s="15"/>
      <c r="J748" s="15"/>
      <c r="K748" s="9" t="str">
        <f ca="1">IF(COUNTIFS($A$2:A748,A748,$L$2:L748,L748)&gt;1,"DUPLICATE - CHECK","")</f>
        <v/>
      </c>
      <c r="L748" s="17"/>
      <c r="M748" s="17"/>
      <c r="N748" s="9">
        <f ca="1">IF(COUNTIF($A$2:A747,A748)&gt;0,INDEX($C$2:C747,MATCH(A748,$A$2:A747,0)),"")</f>
        <v>0</v>
      </c>
      <c r="O748" s="13"/>
      <c r="P748" s="19"/>
    </row>
    <row r="749" spans="1:16" ht="15.75" customHeight="1" x14ac:dyDescent="0.3">
      <c r="A749" s="8" t="str">
        <f ca="1">IFERROR(__xludf.DUMMYFUNCTION("IF(B749="""","""",RIGHT(regexreplace(B749&amp;"""",""[^0-9]"",""""),9))"),"")</f>
        <v/>
      </c>
      <c r="B749" s="5"/>
      <c r="C749" s="5"/>
      <c r="D749" s="5"/>
      <c r="E749" s="15"/>
      <c r="F749" s="15"/>
      <c r="G749" s="15"/>
      <c r="H749" s="15"/>
      <c r="I749" s="15"/>
      <c r="J749" s="15"/>
      <c r="K749" s="9" t="str">
        <f ca="1">IF(COUNTIFS($A$2:A749,A749,$L$2:L749,L749)&gt;1,"DUPLICATE - CHECK","")</f>
        <v/>
      </c>
      <c r="L749" s="17"/>
      <c r="M749" s="17"/>
      <c r="N749" s="9" t="str">
        <f t="array" aca="1" ref="N749" ca="1">IF(COUNTIF($A$2:A748,A)&gt;0,INDEX($C$2:C748,MATCH(A749,$A$2:A748,0)),"")</f>
        <v/>
      </c>
      <c r="O749" s="13"/>
      <c r="P749" s="19"/>
    </row>
    <row r="750" spans="1:16" ht="15.75" customHeight="1" x14ac:dyDescent="0.3">
      <c r="A750" s="8" t="str">
        <f ca="1">IFERROR(__xludf.DUMMYFUNCTION("IF(B750="""","""",RIGHT(regexreplace(B750&amp;"""",""[^0-9]"",""""),9))"),"")</f>
        <v/>
      </c>
      <c r="B750" s="5"/>
      <c r="C750" s="5"/>
      <c r="D750" s="5"/>
      <c r="E750" s="15"/>
      <c r="F750" s="15"/>
      <c r="G750" s="15"/>
      <c r="H750" s="15"/>
      <c r="I750" s="15"/>
      <c r="J750" s="15"/>
      <c r="K750" s="9" t="str">
        <f ca="1">IF(COUNTIFS($A$2:A750,A750,$L$2:L750,L750)&gt;1,"DUPLICATE - CHECK","")</f>
        <v/>
      </c>
      <c r="L750" s="17"/>
      <c r="M750" s="17"/>
      <c r="N750" s="9">
        <f ca="1">IF(COUNTIF($A$2:A749,A750)&gt;0,INDEX($C$2:C749,MATCH(A750,$A$2:A749,0)),"")</f>
        <v>0</v>
      </c>
      <c r="O750" s="13"/>
      <c r="P750" s="19"/>
    </row>
    <row r="751" spans="1:16" ht="15.75" customHeight="1" x14ac:dyDescent="0.3">
      <c r="A751" s="8" t="str">
        <f ca="1">IFERROR(__xludf.DUMMYFUNCTION("IF(B751="""","""",RIGHT(regexreplace(B751&amp;"""",""[^0-9]"",""""),9))"),"")</f>
        <v/>
      </c>
      <c r="B751" s="5"/>
      <c r="C751" s="5"/>
      <c r="D751" s="5"/>
      <c r="E751" s="15"/>
      <c r="F751" s="15"/>
      <c r="G751" s="15"/>
      <c r="H751" s="15"/>
      <c r="I751" s="15"/>
      <c r="J751" s="15"/>
      <c r="K751" s="9" t="str">
        <f ca="1">IF(COUNTIFS($A$2:A751,A751,$L$2:L751,L751)&gt;1,"DUPLICATE - CHECK","")</f>
        <v/>
      </c>
      <c r="L751" s="17"/>
      <c r="M751" s="17"/>
      <c r="N751" s="9">
        <f ca="1">IF(COUNTIF($A$2:A750,A751)&gt;0,INDEX($C$2:C750,MATCH(A751,$A$2:A750,0)),"")</f>
        <v>0</v>
      </c>
      <c r="O751" s="13"/>
      <c r="P751" s="19"/>
    </row>
    <row r="752" spans="1:16" ht="15.75" customHeight="1" x14ac:dyDescent="0.3">
      <c r="A752" s="8" t="str">
        <f ca="1">IFERROR(__xludf.DUMMYFUNCTION("IF(B752="""","""",RIGHT(regexreplace(B752&amp;"""",""[^0-9]"",""""),9))"),"")</f>
        <v/>
      </c>
      <c r="B752" s="5"/>
      <c r="C752" s="5"/>
      <c r="D752" s="5"/>
      <c r="E752" s="15"/>
      <c r="F752" s="15"/>
      <c r="G752" s="15"/>
      <c r="H752" s="15"/>
      <c r="I752" s="15"/>
      <c r="J752" s="15"/>
      <c r="K752" s="9" t="str">
        <f ca="1">IF(COUNTIFS($A$2:A752,A752,$L$2:L752,L752)&gt;1,"DUPLICATE - CHECK","")</f>
        <v/>
      </c>
      <c r="L752" s="17"/>
      <c r="M752" s="17"/>
      <c r="N752" s="9" t="str">
        <f t="array" aca="1" ref="N752" ca="1">IF(COUNTIF($A$2:A751,A)&gt;0,INDEX($C$2:C751,MATCH(A752,$A$2:A751,0)),"")</f>
        <v/>
      </c>
      <c r="O752" s="13"/>
      <c r="P752" s="19"/>
    </row>
    <row r="753" spans="1:16" ht="15.75" customHeight="1" x14ac:dyDescent="0.3">
      <c r="A753" s="8" t="str">
        <f ca="1">IFERROR(__xludf.DUMMYFUNCTION("IF(B753="""","""",RIGHT(regexreplace(B753&amp;"""",""[^0-9]"",""""),9))"),"")</f>
        <v/>
      </c>
      <c r="B753" s="5"/>
      <c r="C753" s="5"/>
      <c r="D753" s="5"/>
      <c r="E753" s="15"/>
      <c r="F753" s="15"/>
      <c r="G753" s="15"/>
      <c r="H753" s="15"/>
      <c r="I753" s="15"/>
      <c r="J753" s="15"/>
      <c r="K753" s="9" t="str">
        <f ca="1">IF(COUNTIFS($A$2:A753,A753,$L$2:L753,L753)&gt;1,"DUPLICATE - CHECK","")</f>
        <v/>
      </c>
      <c r="L753" s="17"/>
      <c r="M753" s="17"/>
      <c r="N753" s="9">
        <f ca="1">IF(COUNTIF($A$2:A752,A753)&gt;0,INDEX($C$2:C752,MATCH(A753,$A$2:A752,0)),"")</f>
        <v>0</v>
      </c>
      <c r="O753" s="13"/>
      <c r="P753" s="19"/>
    </row>
    <row r="754" spans="1:16" ht="15.75" customHeight="1" x14ac:dyDescent="0.3">
      <c r="A754" s="8" t="str">
        <f ca="1">IFERROR(__xludf.DUMMYFUNCTION("IF(B754="""","""",RIGHT(regexreplace(B754&amp;"""",""[^0-9]"",""""),9))"),"")</f>
        <v/>
      </c>
      <c r="B754" s="5"/>
      <c r="C754" s="5"/>
      <c r="D754" s="5"/>
      <c r="E754" s="15"/>
      <c r="F754" s="15"/>
      <c r="G754" s="15"/>
      <c r="H754" s="15"/>
      <c r="I754" s="15"/>
      <c r="J754" s="15"/>
      <c r="K754" s="9" t="str">
        <f ca="1">IF(COUNTIFS($A$2:A754,A754,$L$2:L754,L754)&gt;1,"DUPLICATE - CHECK","")</f>
        <v/>
      </c>
      <c r="L754" s="17"/>
      <c r="M754" s="17"/>
      <c r="N754" s="9">
        <f ca="1">IF(COUNTIF($A$2:A753,A754)&gt;0,INDEX($C$2:C753,MATCH(A754,$A$2:A753,0)),"")</f>
        <v>0</v>
      </c>
      <c r="O754" s="13"/>
      <c r="P754" s="19"/>
    </row>
    <row r="755" spans="1:16" ht="15.75" customHeight="1" x14ac:dyDescent="0.3">
      <c r="A755" s="8" t="str">
        <f ca="1">IFERROR(__xludf.DUMMYFUNCTION("IF(B755="""","""",RIGHT(regexreplace(B755&amp;"""",""[^0-9]"",""""),9))"),"")</f>
        <v/>
      </c>
      <c r="B755" s="5"/>
      <c r="C755" s="5"/>
      <c r="D755" s="5"/>
      <c r="E755" s="15"/>
      <c r="F755" s="15"/>
      <c r="G755" s="15"/>
      <c r="H755" s="15"/>
      <c r="I755" s="15"/>
      <c r="J755" s="15"/>
      <c r="K755" s="9" t="str">
        <f ca="1">IF(COUNTIFS($A$2:A755,A755,$L$2:L755,L755)&gt;1,"DUPLICATE - CHECK","")</f>
        <v/>
      </c>
      <c r="L755" s="17"/>
      <c r="M755" s="17"/>
      <c r="N755" s="9" t="str">
        <f t="array" aca="1" ref="N755" ca="1">IF(COUNTIF($A$2:A754,A)&gt;0,INDEX($C$2:C754,MATCH(A755,$A$2:A754,0)),"")</f>
        <v/>
      </c>
      <c r="O755" s="13"/>
      <c r="P755" s="19"/>
    </row>
    <row r="756" spans="1:16" ht="15.75" customHeight="1" x14ac:dyDescent="0.3">
      <c r="A756" s="8" t="str">
        <f ca="1">IFERROR(__xludf.DUMMYFUNCTION("IF(B756="""","""",RIGHT(regexreplace(B756&amp;"""",""[^0-9]"",""""),9))"),"")</f>
        <v/>
      </c>
      <c r="B756" s="5"/>
      <c r="C756" s="5"/>
      <c r="D756" s="5"/>
      <c r="E756" s="15"/>
      <c r="F756" s="15"/>
      <c r="G756" s="15"/>
      <c r="H756" s="15"/>
      <c r="I756" s="15"/>
      <c r="J756" s="15"/>
      <c r="K756" s="9" t="str">
        <f ca="1">IF(COUNTIFS($A$2:A756,A756,$L$2:L756,L756)&gt;1,"DUPLICATE - CHECK","")</f>
        <v/>
      </c>
      <c r="L756" s="17"/>
      <c r="M756" s="17"/>
      <c r="N756" s="9">
        <f ca="1">IF(COUNTIF($A$2:A755,A756)&gt;0,INDEX($C$2:C755,MATCH(A756,$A$2:A755,0)),"")</f>
        <v>0</v>
      </c>
      <c r="O756" s="13"/>
      <c r="P756" s="19"/>
    </row>
    <row r="757" spans="1:16" ht="15.75" customHeight="1" x14ac:dyDescent="0.3">
      <c r="A757" s="8" t="str">
        <f ca="1">IFERROR(__xludf.DUMMYFUNCTION("IF(B757="""","""",RIGHT(regexreplace(B757&amp;"""",""[^0-9]"",""""),9))"),"")</f>
        <v/>
      </c>
      <c r="B757" s="5"/>
      <c r="C757" s="5"/>
      <c r="D757" s="5"/>
      <c r="E757" s="15"/>
      <c r="F757" s="15"/>
      <c r="G757" s="15"/>
      <c r="H757" s="15"/>
      <c r="I757" s="15"/>
      <c r="J757" s="15"/>
      <c r="K757" s="9" t="str">
        <f ca="1">IF(COUNTIFS($A$2:A757,A757,$L$2:L757,L757)&gt;1,"DUPLICATE - CHECK","")</f>
        <v/>
      </c>
      <c r="L757" s="17"/>
      <c r="M757" s="17"/>
      <c r="N757" s="9">
        <f ca="1">IF(COUNTIF($A$2:A756,A757)&gt;0,INDEX($C$2:C756,MATCH(A757,$A$2:A756,0)),"")</f>
        <v>0</v>
      </c>
      <c r="O757" s="13"/>
      <c r="P757" s="19"/>
    </row>
    <row r="758" spans="1:16" ht="15.75" customHeight="1" x14ac:dyDescent="0.3">
      <c r="A758" s="8" t="str">
        <f ca="1">IFERROR(__xludf.DUMMYFUNCTION("IF(B758="""","""",RIGHT(regexreplace(B758&amp;"""",""[^0-9]"",""""),9))"),"")</f>
        <v/>
      </c>
      <c r="B758" s="5"/>
      <c r="C758" s="5"/>
      <c r="D758" s="5"/>
      <c r="E758" s="15"/>
      <c r="F758" s="15"/>
      <c r="G758" s="15"/>
      <c r="H758" s="15"/>
      <c r="I758" s="15"/>
      <c r="J758" s="15"/>
      <c r="K758" s="9" t="str">
        <f ca="1">IF(COUNTIFS($A$2:A758,A758,$L$2:L758,L758)&gt;1,"DUPLICATE - CHECK","")</f>
        <v/>
      </c>
      <c r="L758" s="17"/>
      <c r="M758" s="17"/>
      <c r="N758" s="9" t="str">
        <f t="array" aca="1" ref="N758" ca="1">IF(COUNTIF($A$2:A757,A)&gt;0,INDEX($C$2:C757,MATCH(A758,$A$2:A757,0)),"")</f>
        <v/>
      </c>
      <c r="O758" s="13"/>
      <c r="P758" s="19"/>
    </row>
    <row r="759" spans="1:16" ht="15.75" customHeight="1" x14ac:dyDescent="0.3">
      <c r="A759" s="8" t="str">
        <f ca="1">IFERROR(__xludf.DUMMYFUNCTION("IF(B759="""","""",RIGHT(regexreplace(B759&amp;"""",""[^0-9]"",""""),9))"),"")</f>
        <v/>
      </c>
      <c r="B759" s="5"/>
      <c r="C759" s="5"/>
      <c r="D759" s="5"/>
      <c r="E759" s="15"/>
      <c r="F759" s="15"/>
      <c r="G759" s="15"/>
      <c r="H759" s="15"/>
      <c r="I759" s="15"/>
      <c r="J759" s="15"/>
      <c r="K759" s="9" t="str">
        <f ca="1">IF(COUNTIFS($A$2:A759,A759,$L$2:L759,L759)&gt;1,"DUPLICATE - CHECK","")</f>
        <v/>
      </c>
      <c r="L759" s="17"/>
      <c r="M759" s="17"/>
      <c r="N759" s="9">
        <f ca="1">IF(COUNTIF($A$2:A758,A759)&gt;0,INDEX($C$2:C758,MATCH(A759,$A$2:A758,0)),"")</f>
        <v>0</v>
      </c>
      <c r="O759" s="13"/>
      <c r="P759" s="19"/>
    </row>
    <row r="760" spans="1:16" ht="15.75" customHeight="1" x14ac:dyDescent="0.3">
      <c r="A760" s="8" t="str">
        <f ca="1">IFERROR(__xludf.DUMMYFUNCTION("IF(B760="""","""",RIGHT(regexreplace(B760&amp;"""",""[^0-9]"",""""),9))"),"")</f>
        <v/>
      </c>
      <c r="B760" s="5"/>
      <c r="C760" s="5"/>
      <c r="D760" s="5"/>
      <c r="E760" s="15"/>
      <c r="F760" s="15"/>
      <c r="G760" s="15"/>
      <c r="H760" s="15"/>
      <c r="I760" s="15"/>
      <c r="J760" s="15"/>
      <c r="K760" s="9" t="str">
        <f ca="1">IF(COUNTIFS($A$2:A760,A760,$L$2:L760,L760)&gt;1,"DUPLICATE - CHECK","")</f>
        <v/>
      </c>
      <c r="L760" s="17"/>
      <c r="M760" s="17"/>
      <c r="N760" s="9">
        <f ca="1">IF(COUNTIF($A$2:A759,A760)&gt;0,INDEX($C$2:C759,MATCH(A760,$A$2:A759,0)),"")</f>
        <v>0</v>
      </c>
      <c r="O760" s="13"/>
      <c r="P760" s="19"/>
    </row>
    <row r="761" spans="1:16" ht="15.75" customHeight="1" x14ac:dyDescent="0.3">
      <c r="A761" s="8" t="str">
        <f ca="1">IFERROR(__xludf.DUMMYFUNCTION("IF(B761="""","""",RIGHT(regexreplace(B761&amp;"""",""[^0-9]"",""""),9))"),"")</f>
        <v/>
      </c>
      <c r="B761" s="5"/>
      <c r="C761" s="5"/>
      <c r="D761" s="5"/>
      <c r="E761" s="15"/>
      <c r="F761" s="15"/>
      <c r="G761" s="15"/>
      <c r="H761" s="15"/>
      <c r="I761" s="15"/>
      <c r="J761" s="15"/>
      <c r="K761" s="9" t="str">
        <f ca="1">IF(COUNTIFS($A$2:A761,A761,$L$2:L761,L761)&gt;1,"DUPLICATE - CHECK","")</f>
        <v/>
      </c>
      <c r="L761" s="17"/>
      <c r="M761" s="17"/>
      <c r="N761" s="9" t="str">
        <f t="array" aca="1" ref="N761" ca="1">IF(COUNTIF($A$2:A760,A)&gt;0,INDEX($C$2:C760,MATCH(A761,$A$2:A760,0)),"")</f>
        <v/>
      </c>
      <c r="O761" s="13"/>
      <c r="P761" s="19"/>
    </row>
    <row r="762" spans="1:16" ht="15.75" customHeight="1" x14ac:dyDescent="0.3">
      <c r="A762" s="8" t="str">
        <f ca="1">IFERROR(__xludf.DUMMYFUNCTION("IF(B762="""","""",RIGHT(regexreplace(B762&amp;"""",""[^0-9]"",""""),9))"),"")</f>
        <v/>
      </c>
      <c r="B762" s="5"/>
      <c r="C762" s="5"/>
      <c r="D762" s="5"/>
      <c r="E762" s="15"/>
      <c r="F762" s="15"/>
      <c r="G762" s="15"/>
      <c r="H762" s="15"/>
      <c r="I762" s="15"/>
      <c r="J762" s="15"/>
      <c r="K762" s="9" t="str">
        <f ca="1">IF(COUNTIFS($A$2:A762,A762,$L$2:L762,L762)&gt;1,"DUPLICATE - CHECK","")</f>
        <v/>
      </c>
      <c r="L762" s="17"/>
      <c r="M762" s="17"/>
      <c r="N762" s="9">
        <f ca="1">IF(COUNTIF($A$2:A761,A762)&gt;0,INDEX($C$2:C761,MATCH(A762,$A$2:A761,0)),"")</f>
        <v>0</v>
      </c>
      <c r="O762" s="13"/>
      <c r="P762" s="19"/>
    </row>
    <row r="763" spans="1:16" ht="15.75" customHeight="1" x14ac:dyDescent="0.3">
      <c r="A763" s="8" t="str">
        <f ca="1">IFERROR(__xludf.DUMMYFUNCTION("IF(B763="""","""",RIGHT(regexreplace(B763&amp;"""",""[^0-9]"",""""),9))"),"")</f>
        <v/>
      </c>
      <c r="B763" s="5"/>
      <c r="C763" s="5"/>
      <c r="D763" s="5"/>
      <c r="E763" s="15"/>
      <c r="F763" s="15"/>
      <c r="G763" s="15"/>
      <c r="H763" s="15"/>
      <c r="I763" s="15"/>
      <c r="J763" s="15"/>
      <c r="K763" s="9" t="str">
        <f ca="1">IF(COUNTIFS($A$2:A763,A763,$L$2:L763,L763)&gt;1,"DUPLICATE - CHECK","")</f>
        <v/>
      </c>
      <c r="L763" s="17"/>
      <c r="M763" s="17"/>
      <c r="N763" s="9">
        <f ca="1">IF(COUNTIF($A$2:A762,A763)&gt;0,INDEX($C$2:C762,MATCH(A763,$A$2:A762,0)),"")</f>
        <v>0</v>
      </c>
      <c r="O763" s="13"/>
      <c r="P763" s="19"/>
    </row>
    <row r="764" spans="1:16" ht="15.75" customHeight="1" x14ac:dyDescent="0.3">
      <c r="A764" s="8" t="str">
        <f ca="1">IFERROR(__xludf.DUMMYFUNCTION("IF(B764="""","""",RIGHT(regexreplace(B764&amp;"""",""[^0-9]"",""""),9))"),"")</f>
        <v/>
      </c>
      <c r="B764" s="5"/>
      <c r="C764" s="5"/>
      <c r="D764" s="5"/>
      <c r="E764" s="15"/>
      <c r="F764" s="15"/>
      <c r="G764" s="15"/>
      <c r="H764" s="15"/>
      <c r="I764" s="15"/>
      <c r="J764" s="15"/>
      <c r="K764" s="9" t="str">
        <f ca="1">IF(COUNTIFS($A$2:A764,A764,$L$2:L764,L764)&gt;1,"DUPLICATE - CHECK","")</f>
        <v/>
      </c>
      <c r="L764" s="17"/>
      <c r="M764" s="17"/>
      <c r="N764" s="9" t="str">
        <f t="array" aca="1" ref="N764" ca="1">IF(COUNTIF($A$2:A763,A)&gt;0,INDEX($C$2:C763,MATCH(A764,$A$2:A763,0)),"")</f>
        <v/>
      </c>
      <c r="O764" s="13"/>
      <c r="P764" s="19"/>
    </row>
    <row r="765" spans="1:16" ht="15.75" customHeight="1" x14ac:dyDescent="0.3">
      <c r="A765" s="8" t="str">
        <f ca="1">IFERROR(__xludf.DUMMYFUNCTION("IF(B765="""","""",RIGHT(regexreplace(B765&amp;"""",""[^0-9]"",""""),9))"),"")</f>
        <v/>
      </c>
      <c r="B765" s="5"/>
      <c r="C765" s="5"/>
      <c r="D765" s="5"/>
      <c r="E765" s="15"/>
      <c r="F765" s="15"/>
      <c r="G765" s="15"/>
      <c r="H765" s="15"/>
      <c r="I765" s="15"/>
      <c r="J765" s="15"/>
      <c r="K765" s="9" t="str">
        <f ca="1">IF(COUNTIFS($A$2:A765,A765,$L$2:L765,L765)&gt;1,"DUPLICATE - CHECK","")</f>
        <v/>
      </c>
      <c r="L765" s="17"/>
      <c r="M765" s="17"/>
      <c r="N765" s="9">
        <f ca="1">IF(COUNTIF($A$2:A764,A765)&gt;0,INDEX($C$2:C764,MATCH(A765,$A$2:A764,0)),"")</f>
        <v>0</v>
      </c>
      <c r="O765" s="13"/>
      <c r="P765" s="19"/>
    </row>
    <row r="766" spans="1:16" ht="15.75" customHeight="1" x14ac:dyDescent="0.3">
      <c r="A766" s="8" t="str">
        <f ca="1">IFERROR(__xludf.DUMMYFUNCTION("IF(B766="""","""",RIGHT(regexreplace(B766&amp;"""",""[^0-9]"",""""),9))"),"")</f>
        <v/>
      </c>
      <c r="B766" s="5"/>
      <c r="C766" s="5"/>
      <c r="D766" s="5"/>
      <c r="E766" s="15"/>
      <c r="F766" s="15"/>
      <c r="G766" s="15"/>
      <c r="H766" s="15"/>
      <c r="I766" s="15"/>
      <c r="J766" s="15"/>
      <c r="K766" s="9" t="str">
        <f ca="1">IF(COUNTIFS($A$2:A766,A766,$L$2:L766,L766)&gt;1,"DUPLICATE - CHECK","")</f>
        <v/>
      </c>
      <c r="L766" s="17"/>
      <c r="M766" s="17"/>
      <c r="N766" s="9">
        <f ca="1">IF(COUNTIF($A$2:A765,A766)&gt;0,INDEX($C$2:C765,MATCH(A766,$A$2:A765,0)),"")</f>
        <v>0</v>
      </c>
      <c r="O766" s="13"/>
      <c r="P766" s="19"/>
    </row>
    <row r="767" spans="1:16" ht="15.75" customHeight="1" x14ac:dyDescent="0.3">
      <c r="A767" s="8" t="str">
        <f ca="1">IFERROR(__xludf.DUMMYFUNCTION("IF(B767="""","""",RIGHT(regexreplace(B767&amp;"""",""[^0-9]"",""""),9))"),"")</f>
        <v/>
      </c>
      <c r="B767" s="5"/>
      <c r="C767" s="5"/>
      <c r="D767" s="5"/>
      <c r="E767" s="15"/>
      <c r="F767" s="15"/>
      <c r="G767" s="15"/>
      <c r="H767" s="15"/>
      <c r="I767" s="15"/>
      <c r="J767" s="15"/>
      <c r="K767" s="9" t="str">
        <f ca="1">IF(COUNTIFS($A$2:A767,A767,$L$2:L767,L767)&gt;1,"DUPLICATE - CHECK","")</f>
        <v/>
      </c>
      <c r="L767" s="17"/>
      <c r="M767" s="17"/>
      <c r="N767" s="9" t="str">
        <f t="array" aca="1" ref="N767" ca="1">IF(COUNTIF($A$2:A766,A)&gt;0,INDEX($C$2:C766,MATCH(A767,$A$2:A766,0)),"")</f>
        <v/>
      </c>
      <c r="O767" s="13"/>
      <c r="P767" s="19"/>
    </row>
    <row r="768" spans="1:16" ht="15.75" customHeight="1" x14ac:dyDescent="0.3">
      <c r="A768" s="8" t="str">
        <f ca="1">IFERROR(__xludf.DUMMYFUNCTION("IF(B768="""","""",RIGHT(regexreplace(B768&amp;"""",""[^0-9]"",""""),9))"),"")</f>
        <v/>
      </c>
      <c r="B768" s="5"/>
      <c r="C768" s="5"/>
      <c r="D768" s="5"/>
      <c r="E768" s="15"/>
      <c r="F768" s="15"/>
      <c r="G768" s="15"/>
      <c r="H768" s="15"/>
      <c r="I768" s="15"/>
      <c r="J768" s="15"/>
      <c r="K768" s="9" t="str">
        <f ca="1">IF(COUNTIFS($A$2:A768,A768,$L$2:L768,L768)&gt;1,"DUPLICATE - CHECK","")</f>
        <v/>
      </c>
      <c r="L768" s="17"/>
      <c r="M768" s="17"/>
      <c r="N768" s="9">
        <f ca="1">IF(COUNTIF($A$2:A767,A768)&gt;0,INDEX($C$2:C767,MATCH(A768,$A$2:A767,0)),"")</f>
        <v>0</v>
      </c>
      <c r="O768" s="13"/>
      <c r="P768" s="19"/>
    </row>
    <row r="769" spans="1:16" ht="15.75" customHeight="1" x14ac:dyDescent="0.3">
      <c r="A769" s="8" t="str">
        <f ca="1">IFERROR(__xludf.DUMMYFUNCTION("IF(B769="""","""",RIGHT(regexreplace(B769&amp;"""",""[^0-9]"",""""),9))"),"")</f>
        <v/>
      </c>
      <c r="B769" s="5"/>
      <c r="C769" s="5"/>
      <c r="D769" s="5"/>
      <c r="E769" s="15"/>
      <c r="F769" s="15"/>
      <c r="G769" s="15"/>
      <c r="H769" s="15"/>
      <c r="I769" s="15"/>
      <c r="J769" s="15"/>
      <c r="K769" s="9" t="str">
        <f ca="1">IF(COUNTIFS($A$2:A769,A769,$L$2:L769,L769)&gt;1,"DUPLICATE - CHECK","")</f>
        <v/>
      </c>
      <c r="L769" s="17"/>
      <c r="M769" s="17"/>
      <c r="N769" s="9">
        <f ca="1">IF(COUNTIF($A$2:A768,A769)&gt;0,INDEX($C$2:C768,MATCH(A769,$A$2:A768,0)),"")</f>
        <v>0</v>
      </c>
      <c r="O769" s="13"/>
      <c r="P769" s="19"/>
    </row>
    <row r="770" spans="1:16" ht="15.75" customHeight="1" x14ac:dyDescent="0.3">
      <c r="A770" s="8" t="str">
        <f ca="1">IFERROR(__xludf.DUMMYFUNCTION("IF(B770="""","""",RIGHT(regexreplace(B770&amp;"""",""[^0-9]"",""""),9))"),"")</f>
        <v/>
      </c>
      <c r="B770" s="5"/>
      <c r="C770" s="5"/>
      <c r="D770" s="5"/>
      <c r="E770" s="15"/>
      <c r="F770" s="15"/>
      <c r="G770" s="15"/>
      <c r="H770" s="15"/>
      <c r="I770" s="15"/>
      <c r="J770" s="15"/>
      <c r="K770" s="9" t="str">
        <f ca="1">IF(COUNTIFS($A$2:A770,A770,$L$2:L770,L770)&gt;1,"DUPLICATE - CHECK","")</f>
        <v/>
      </c>
      <c r="L770" s="17"/>
      <c r="M770" s="17"/>
      <c r="N770" s="9" t="str">
        <f t="array" aca="1" ref="N770" ca="1">IF(COUNTIF($A$2:A769,A)&gt;0,INDEX($C$2:C769,MATCH(A770,$A$2:A769,0)),"")</f>
        <v/>
      </c>
      <c r="O770" s="13"/>
      <c r="P770" s="19"/>
    </row>
    <row r="771" spans="1:16" ht="15.75" customHeight="1" x14ac:dyDescent="0.3">
      <c r="A771" s="8" t="str">
        <f ca="1">IFERROR(__xludf.DUMMYFUNCTION("IF(B771="""","""",RIGHT(regexreplace(B771&amp;"""",""[^0-9]"",""""),9))"),"")</f>
        <v/>
      </c>
      <c r="B771" s="5"/>
      <c r="C771" s="5"/>
      <c r="D771" s="5"/>
      <c r="E771" s="15"/>
      <c r="F771" s="15"/>
      <c r="G771" s="15"/>
      <c r="H771" s="15"/>
      <c r="I771" s="15"/>
      <c r="J771" s="15"/>
      <c r="K771" s="9" t="str">
        <f ca="1">IF(COUNTIFS($A$2:A771,A771,$L$2:L771,L771)&gt;1,"DUPLICATE - CHECK","")</f>
        <v/>
      </c>
      <c r="L771" s="17"/>
      <c r="M771" s="17"/>
      <c r="N771" s="9">
        <f ca="1">IF(COUNTIF($A$2:A770,A771)&gt;0,INDEX($C$2:C770,MATCH(A771,$A$2:A770,0)),"")</f>
        <v>0</v>
      </c>
      <c r="O771" s="13"/>
      <c r="P771" s="19"/>
    </row>
    <row r="772" spans="1:16" ht="15.75" customHeight="1" x14ac:dyDescent="0.3">
      <c r="A772" s="8" t="str">
        <f ca="1">IFERROR(__xludf.DUMMYFUNCTION("IF(B772="""","""",RIGHT(regexreplace(B772&amp;"""",""[^0-9]"",""""),9))"),"")</f>
        <v/>
      </c>
      <c r="B772" s="5"/>
      <c r="C772" s="5"/>
      <c r="D772" s="5"/>
      <c r="E772" s="15"/>
      <c r="F772" s="15"/>
      <c r="G772" s="15"/>
      <c r="H772" s="15"/>
      <c r="I772" s="15"/>
      <c r="J772" s="15"/>
      <c r="K772" s="9" t="str">
        <f ca="1">IF(COUNTIFS($A$2:A772,A772,$L$2:L772,L772)&gt;1,"DUPLICATE - CHECK","")</f>
        <v/>
      </c>
      <c r="L772" s="17"/>
      <c r="M772" s="17"/>
      <c r="N772" s="9">
        <f ca="1">IF(COUNTIF($A$2:A771,A772)&gt;0,INDEX($C$2:C771,MATCH(A772,$A$2:A771,0)),"")</f>
        <v>0</v>
      </c>
      <c r="O772" s="13"/>
      <c r="P772" s="19"/>
    </row>
    <row r="773" spans="1:16" ht="15.75" customHeight="1" x14ac:dyDescent="0.3">
      <c r="A773" s="8" t="str">
        <f ca="1">IFERROR(__xludf.DUMMYFUNCTION("IF(B773="""","""",RIGHT(regexreplace(B773&amp;"""",""[^0-9]"",""""),9))"),"")</f>
        <v/>
      </c>
      <c r="B773" s="5"/>
      <c r="C773" s="5"/>
      <c r="D773" s="5"/>
      <c r="E773" s="15"/>
      <c r="F773" s="15"/>
      <c r="G773" s="15"/>
      <c r="H773" s="15"/>
      <c r="I773" s="15"/>
      <c r="J773" s="15"/>
      <c r="K773" s="9" t="str">
        <f ca="1">IF(COUNTIFS($A$2:A773,A773,$L$2:L773,L773)&gt;1,"DUPLICATE - CHECK","")</f>
        <v/>
      </c>
      <c r="L773" s="17"/>
      <c r="M773" s="17"/>
      <c r="N773" s="9" t="str">
        <f t="array" aca="1" ref="N773" ca="1">IF(COUNTIF($A$2:A772,A)&gt;0,INDEX($C$2:C772,MATCH(A773,$A$2:A772,0)),"")</f>
        <v/>
      </c>
      <c r="O773" s="13"/>
      <c r="P773" s="19"/>
    </row>
    <row r="774" spans="1:16" ht="15.75" customHeight="1" x14ac:dyDescent="0.3">
      <c r="A774" s="8" t="str">
        <f ca="1">IFERROR(__xludf.DUMMYFUNCTION("IF(B774="""","""",RIGHT(regexreplace(B774&amp;"""",""[^0-9]"",""""),9))"),"")</f>
        <v/>
      </c>
      <c r="B774" s="5"/>
      <c r="C774" s="5"/>
      <c r="D774" s="5"/>
      <c r="E774" s="15"/>
      <c r="F774" s="15"/>
      <c r="G774" s="15"/>
      <c r="H774" s="15"/>
      <c r="I774" s="15"/>
      <c r="J774" s="15"/>
      <c r="K774" s="9" t="str">
        <f ca="1">IF(COUNTIFS($A$2:A774,A774,$L$2:L774,L774)&gt;1,"DUPLICATE - CHECK","")</f>
        <v/>
      </c>
      <c r="L774" s="17"/>
      <c r="M774" s="17"/>
      <c r="N774" s="9">
        <f ca="1">IF(COUNTIF($A$2:A773,A774)&gt;0,INDEX($C$2:C773,MATCH(A774,$A$2:A773,0)),"")</f>
        <v>0</v>
      </c>
      <c r="O774" s="13"/>
      <c r="P774" s="19"/>
    </row>
    <row r="775" spans="1:16" ht="15.75" customHeight="1" x14ac:dyDescent="0.3">
      <c r="A775" s="8" t="str">
        <f ca="1">IFERROR(__xludf.DUMMYFUNCTION("IF(B775="""","""",RIGHT(regexreplace(B775&amp;"""",""[^0-9]"",""""),9))"),"")</f>
        <v/>
      </c>
      <c r="B775" s="5"/>
      <c r="C775" s="5"/>
      <c r="D775" s="5"/>
      <c r="E775" s="15"/>
      <c r="F775" s="15"/>
      <c r="G775" s="15"/>
      <c r="H775" s="15"/>
      <c r="I775" s="15"/>
      <c r="J775" s="15"/>
      <c r="K775" s="9" t="str">
        <f ca="1">IF(COUNTIFS($A$2:A775,A775,$L$2:L775,L775)&gt;1,"DUPLICATE - CHECK","")</f>
        <v/>
      </c>
      <c r="L775" s="17"/>
      <c r="M775" s="17"/>
      <c r="N775" s="9">
        <f ca="1">IF(COUNTIF($A$2:A774,A775)&gt;0,INDEX($C$2:C774,MATCH(A775,$A$2:A774,0)),"")</f>
        <v>0</v>
      </c>
      <c r="O775" s="13"/>
      <c r="P775" s="19"/>
    </row>
    <row r="776" spans="1:16" ht="15.75" customHeight="1" x14ac:dyDescent="0.3">
      <c r="A776" s="8" t="str">
        <f ca="1">IFERROR(__xludf.DUMMYFUNCTION("IF(B776="""","""",RIGHT(regexreplace(B776&amp;"""",""[^0-9]"",""""),9))"),"")</f>
        <v/>
      </c>
      <c r="B776" s="5"/>
      <c r="C776" s="5"/>
      <c r="D776" s="5"/>
      <c r="E776" s="15"/>
      <c r="F776" s="15"/>
      <c r="G776" s="15"/>
      <c r="H776" s="15"/>
      <c r="I776" s="15"/>
      <c r="J776" s="15"/>
      <c r="K776" s="9" t="str">
        <f ca="1">IF(COUNTIFS($A$2:A776,A776,$L$2:L776,L776)&gt;1,"DUPLICATE - CHECK","")</f>
        <v/>
      </c>
      <c r="L776" s="17"/>
      <c r="M776" s="17"/>
      <c r="N776" s="9" t="str">
        <f t="array" aca="1" ref="N776" ca="1">IF(COUNTIF($A$2:A775,A)&gt;0,INDEX($C$2:C775,MATCH(A776,$A$2:A775,0)),"")</f>
        <v/>
      </c>
      <c r="O776" s="13"/>
      <c r="P776" s="19"/>
    </row>
    <row r="777" spans="1:16" ht="15.75" customHeight="1" x14ac:dyDescent="0.3">
      <c r="A777" s="8" t="str">
        <f ca="1">IFERROR(__xludf.DUMMYFUNCTION("IF(B777="""","""",RIGHT(regexreplace(B777&amp;"""",""[^0-9]"",""""),9))"),"")</f>
        <v/>
      </c>
      <c r="B777" s="5"/>
      <c r="C777" s="5"/>
      <c r="D777" s="5"/>
      <c r="E777" s="15"/>
      <c r="F777" s="15"/>
      <c r="G777" s="15"/>
      <c r="H777" s="15"/>
      <c r="I777" s="15"/>
      <c r="J777" s="15"/>
      <c r="K777" s="9" t="str">
        <f ca="1">IF(COUNTIFS($A$2:A777,A777,$L$2:L777,L777)&gt;1,"DUPLICATE - CHECK","")</f>
        <v/>
      </c>
      <c r="L777" s="17"/>
      <c r="M777" s="17"/>
      <c r="N777" s="9">
        <f ca="1">IF(COUNTIF($A$2:A776,A777)&gt;0,INDEX($C$2:C776,MATCH(A777,$A$2:A776,0)),"")</f>
        <v>0</v>
      </c>
      <c r="O777" s="13"/>
      <c r="P777" s="19"/>
    </row>
    <row r="778" spans="1:16" ht="15.75" customHeight="1" x14ac:dyDescent="0.3">
      <c r="A778" s="8" t="str">
        <f ca="1">IFERROR(__xludf.DUMMYFUNCTION("IF(B778="""","""",RIGHT(regexreplace(B778&amp;"""",""[^0-9]"",""""),9))"),"")</f>
        <v/>
      </c>
      <c r="B778" s="5"/>
      <c r="C778" s="5"/>
      <c r="D778" s="5"/>
      <c r="E778" s="15"/>
      <c r="F778" s="15"/>
      <c r="G778" s="15"/>
      <c r="H778" s="15"/>
      <c r="I778" s="15"/>
      <c r="J778" s="15"/>
      <c r="K778" s="9" t="str">
        <f ca="1">IF(COUNTIFS($A$2:A778,A778,$L$2:L778,L778)&gt;1,"DUPLICATE - CHECK","")</f>
        <v/>
      </c>
      <c r="L778" s="17"/>
      <c r="M778" s="17"/>
      <c r="N778" s="9">
        <f ca="1">IF(COUNTIF($A$2:A777,A778)&gt;0,INDEX($C$2:C777,MATCH(A778,$A$2:A777,0)),"")</f>
        <v>0</v>
      </c>
      <c r="O778" s="13"/>
      <c r="P778" s="19"/>
    </row>
    <row r="779" spans="1:16" ht="15.75" customHeight="1" x14ac:dyDescent="0.3">
      <c r="A779" s="8" t="str">
        <f ca="1">IFERROR(__xludf.DUMMYFUNCTION("IF(B779="""","""",RIGHT(regexreplace(B779&amp;"""",""[^0-9]"",""""),9))"),"")</f>
        <v/>
      </c>
      <c r="B779" s="5"/>
      <c r="C779" s="5"/>
      <c r="D779" s="5"/>
      <c r="E779" s="15"/>
      <c r="F779" s="15"/>
      <c r="G779" s="15"/>
      <c r="H779" s="15"/>
      <c r="I779" s="15"/>
      <c r="J779" s="15"/>
      <c r="K779" s="9" t="str">
        <f ca="1">IF(COUNTIFS($A$2:A779,A779,$L$2:L779,L779)&gt;1,"DUPLICATE - CHECK","")</f>
        <v/>
      </c>
      <c r="L779" s="17"/>
      <c r="M779" s="17"/>
      <c r="N779" s="9" t="str">
        <f t="array" aca="1" ref="N779" ca="1">IF(COUNTIF($A$2:A778,A)&gt;0,INDEX($C$2:C778,MATCH(A779,$A$2:A778,0)),"")</f>
        <v/>
      </c>
      <c r="O779" s="13"/>
      <c r="P779" s="19"/>
    </row>
    <row r="780" spans="1:16" ht="15.75" customHeight="1" x14ac:dyDescent="0.3">
      <c r="A780" s="8" t="str">
        <f ca="1">IFERROR(__xludf.DUMMYFUNCTION("IF(B780="""","""",RIGHT(regexreplace(B780&amp;"""",""[^0-9]"",""""),9))"),"")</f>
        <v/>
      </c>
      <c r="B780" s="5"/>
      <c r="C780" s="5"/>
      <c r="D780" s="5"/>
      <c r="E780" s="15"/>
      <c r="F780" s="15"/>
      <c r="G780" s="15"/>
      <c r="H780" s="15"/>
      <c r="I780" s="15"/>
      <c r="J780" s="15"/>
      <c r="K780" s="9" t="str">
        <f ca="1">IF(COUNTIFS($A$2:A780,A780,$L$2:L780,L780)&gt;1,"DUPLICATE - CHECK","")</f>
        <v/>
      </c>
      <c r="L780" s="17"/>
      <c r="M780" s="17"/>
      <c r="N780" s="9">
        <f ca="1">IF(COUNTIF($A$2:A779,A780)&gt;0,INDEX($C$2:C779,MATCH(A780,$A$2:A779,0)),"")</f>
        <v>0</v>
      </c>
      <c r="O780" s="13"/>
      <c r="P780" s="19"/>
    </row>
    <row r="781" spans="1:16" ht="15.75" customHeight="1" x14ac:dyDescent="0.3">
      <c r="A781" s="8" t="str">
        <f ca="1">IFERROR(__xludf.DUMMYFUNCTION("IF(B781="""","""",RIGHT(regexreplace(B781&amp;"""",""[^0-9]"",""""),9))"),"")</f>
        <v/>
      </c>
      <c r="B781" s="5"/>
      <c r="C781" s="5"/>
      <c r="D781" s="5"/>
      <c r="E781" s="15"/>
      <c r="F781" s="15"/>
      <c r="G781" s="15"/>
      <c r="H781" s="15"/>
      <c r="I781" s="15"/>
      <c r="J781" s="15"/>
      <c r="K781" s="9" t="str">
        <f ca="1">IF(COUNTIFS($A$2:A781,A781,$L$2:L781,L781)&gt;1,"DUPLICATE - CHECK","")</f>
        <v/>
      </c>
      <c r="L781" s="17"/>
      <c r="M781" s="17"/>
      <c r="N781" s="9">
        <f ca="1">IF(COUNTIF($A$2:A780,A781)&gt;0,INDEX($C$2:C780,MATCH(A781,$A$2:A780,0)),"")</f>
        <v>0</v>
      </c>
      <c r="O781" s="13"/>
      <c r="P781" s="19"/>
    </row>
    <row r="782" spans="1:16" ht="15.75" customHeight="1" x14ac:dyDescent="0.3">
      <c r="A782" s="8" t="str">
        <f ca="1">IFERROR(__xludf.DUMMYFUNCTION("IF(B782="""","""",RIGHT(regexreplace(B782&amp;"""",""[^0-9]"",""""),9))"),"")</f>
        <v/>
      </c>
      <c r="B782" s="5"/>
      <c r="C782" s="5"/>
      <c r="D782" s="5"/>
      <c r="E782" s="15"/>
      <c r="F782" s="15"/>
      <c r="G782" s="15"/>
      <c r="H782" s="15"/>
      <c r="I782" s="15"/>
      <c r="J782" s="15"/>
      <c r="K782" s="9" t="str">
        <f ca="1">IF(COUNTIFS($A$2:A782,A782,$L$2:L782,L782)&gt;1,"DUPLICATE - CHECK","")</f>
        <v/>
      </c>
      <c r="L782" s="17"/>
      <c r="M782" s="17"/>
      <c r="N782" s="9" t="str">
        <f t="array" aca="1" ref="N782" ca="1">IF(COUNTIF($A$2:A781,A)&gt;0,INDEX($C$2:C781,MATCH(A782,$A$2:A781,0)),"")</f>
        <v/>
      </c>
      <c r="O782" s="13"/>
      <c r="P782" s="19"/>
    </row>
    <row r="783" spans="1:16" ht="15.75" customHeight="1" x14ac:dyDescent="0.3">
      <c r="A783" s="8" t="str">
        <f ca="1">IFERROR(__xludf.DUMMYFUNCTION("IF(B783="""","""",RIGHT(regexreplace(B783&amp;"""",""[^0-9]"",""""),9))"),"")</f>
        <v/>
      </c>
      <c r="B783" s="5"/>
      <c r="C783" s="5"/>
      <c r="D783" s="5"/>
      <c r="E783" s="15"/>
      <c r="F783" s="15"/>
      <c r="G783" s="15"/>
      <c r="H783" s="15"/>
      <c r="I783" s="15"/>
      <c r="J783" s="15"/>
      <c r="K783" s="9" t="str">
        <f ca="1">IF(COUNTIFS($A$2:A783,A783,$L$2:L783,L783)&gt;1,"DUPLICATE - CHECK","")</f>
        <v/>
      </c>
      <c r="L783" s="17"/>
      <c r="M783" s="17"/>
      <c r="N783" s="9">
        <f ca="1">IF(COUNTIF($A$2:A782,A783)&gt;0,INDEX($C$2:C782,MATCH(A783,$A$2:A782,0)),"")</f>
        <v>0</v>
      </c>
      <c r="O783" s="13"/>
      <c r="P783" s="19"/>
    </row>
    <row r="784" spans="1:16" ht="15.75" customHeight="1" x14ac:dyDescent="0.3">
      <c r="A784" s="8" t="str">
        <f ca="1">IFERROR(__xludf.DUMMYFUNCTION("IF(B784="""","""",RIGHT(regexreplace(B784&amp;"""",""[^0-9]"",""""),9))"),"")</f>
        <v/>
      </c>
      <c r="B784" s="5"/>
      <c r="C784" s="5"/>
      <c r="D784" s="5"/>
      <c r="E784" s="15"/>
      <c r="F784" s="15"/>
      <c r="G784" s="15"/>
      <c r="H784" s="15"/>
      <c r="I784" s="15"/>
      <c r="J784" s="15"/>
      <c r="K784" s="9" t="str">
        <f ca="1">IF(COUNTIFS($A$2:A784,A784,$L$2:L784,L784)&gt;1,"DUPLICATE - CHECK","")</f>
        <v/>
      </c>
      <c r="L784" s="17"/>
      <c r="M784" s="17"/>
      <c r="N784" s="9">
        <f ca="1">IF(COUNTIF($A$2:A783,A784)&gt;0,INDEX($C$2:C783,MATCH(A784,$A$2:A783,0)),"")</f>
        <v>0</v>
      </c>
      <c r="O784" s="13"/>
      <c r="P784" s="19"/>
    </row>
    <row r="785" spans="1:16" ht="15.75" customHeight="1" x14ac:dyDescent="0.3">
      <c r="A785" s="8" t="str">
        <f ca="1">IFERROR(__xludf.DUMMYFUNCTION("IF(B785="""","""",RIGHT(regexreplace(B785&amp;"""",""[^0-9]"",""""),9))"),"")</f>
        <v/>
      </c>
      <c r="B785" s="5"/>
      <c r="C785" s="5"/>
      <c r="D785" s="5"/>
      <c r="E785" s="15"/>
      <c r="F785" s="15"/>
      <c r="G785" s="15"/>
      <c r="H785" s="15"/>
      <c r="I785" s="15"/>
      <c r="J785" s="15"/>
      <c r="K785" s="9" t="str">
        <f ca="1">IF(COUNTIFS($A$2:A785,A785,$L$2:L785,L785)&gt;1,"DUPLICATE - CHECK","")</f>
        <v/>
      </c>
      <c r="L785" s="17"/>
      <c r="M785" s="17"/>
      <c r="N785" s="9" t="str">
        <f t="array" aca="1" ref="N785" ca="1">IF(COUNTIF($A$2:A784,A)&gt;0,INDEX($C$2:C784,MATCH(A785,$A$2:A784,0)),"")</f>
        <v/>
      </c>
      <c r="O785" s="13"/>
      <c r="P785" s="19"/>
    </row>
    <row r="786" spans="1:16" ht="15.75" customHeight="1" x14ac:dyDescent="0.3">
      <c r="A786" s="8" t="str">
        <f ca="1">IFERROR(__xludf.DUMMYFUNCTION("IF(B786="""","""",RIGHT(regexreplace(B786&amp;"""",""[^0-9]"",""""),9))"),"")</f>
        <v/>
      </c>
      <c r="B786" s="5"/>
      <c r="C786" s="5"/>
      <c r="D786" s="5"/>
      <c r="E786" s="15"/>
      <c r="F786" s="15"/>
      <c r="G786" s="15"/>
      <c r="H786" s="15"/>
      <c r="I786" s="15"/>
      <c r="J786" s="15"/>
      <c r="K786" s="9" t="str">
        <f ca="1">IF(COUNTIFS($A$2:A786,A786,$L$2:L786,L786)&gt;1,"DUPLICATE - CHECK","")</f>
        <v/>
      </c>
      <c r="L786" s="17"/>
      <c r="M786" s="17"/>
      <c r="N786" s="9">
        <f ca="1">IF(COUNTIF($A$2:A785,A786)&gt;0,INDEX($C$2:C785,MATCH(A786,$A$2:A785,0)),"")</f>
        <v>0</v>
      </c>
      <c r="O786" s="13"/>
      <c r="P786" s="19"/>
    </row>
    <row r="787" spans="1:16" ht="15.75" customHeight="1" x14ac:dyDescent="0.3">
      <c r="A787" s="8" t="str">
        <f ca="1">IFERROR(__xludf.DUMMYFUNCTION("IF(B787="""","""",RIGHT(regexreplace(B787&amp;"""",""[^0-9]"",""""),9))"),"")</f>
        <v/>
      </c>
      <c r="B787" s="5"/>
      <c r="C787" s="5"/>
      <c r="D787" s="5"/>
      <c r="E787" s="15"/>
      <c r="F787" s="15"/>
      <c r="G787" s="15"/>
      <c r="H787" s="15"/>
      <c r="I787" s="15"/>
      <c r="J787" s="15"/>
      <c r="K787" s="9" t="str">
        <f ca="1">IF(COUNTIFS($A$2:A787,A787,$L$2:L787,L787)&gt;1,"DUPLICATE - CHECK","")</f>
        <v/>
      </c>
      <c r="L787" s="17"/>
      <c r="M787" s="17"/>
      <c r="N787" s="9">
        <f ca="1">IF(COUNTIF($A$2:A786,A787)&gt;0,INDEX($C$2:C786,MATCH(A787,$A$2:A786,0)),"")</f>
        <v>0</v>
      </c>
      <c r="O787" s="13"/>
      <c r="P787" s="19"/>
    </row>
    <row r="788" spans="1:16" ht="15.75" customHeight="1" x14ac:dyDescent="0.3">
      <c r="A788" s="8" t="str">
        <f ca="1">IFERROR(__xludf.DUMMYFUNCTION("IF(B788="""","""",RIGHT(regexreplace(B788&amp;"""",""[^0-9]"",""""),9))"),"")</f>
        <v/>
      </c>
      <c r="B788" s="5"/>
      <c r="C788" s="5"/>
      <c r="D788" s="5"/>
      <c r="E788" s="15"/>
      <c r="F788" s="15"/>
      <c r="G788" s="15"/>
      <c r="H788" s="15"/>
      <c r="I788" s="15"/>
      <c r="J788" s="15"/>
      <c r="K788" s="9" t="str">
        <f ca="1">IF(COUNTIFS($A$2:A788,A788,$L$2:L788,L788)&gt;1,"DUPLICATE - CHECK","")</f>
        <v/>
      </c>
      <c r="L788" s="17"/>
      <c r="M788" s="17"/>
      <c r="N788" s="9" t="str">
        <f t="array" aca="1" ref="N788" ca="1">IF(COUNTIF($A$2:A787,A)&gt;0,INDEX($C$2:C787,MATCH(A788,$A$2:A787,0)),"")</f>
        <v/>
      </c>
      <c r="O788" s="13"/>
      <c r="P788" s="19"/>
    </row>
    <row r="789" spans="1:16" ht="15.75" customHeight="1" x14ac:dyDescent="0.3">
      <c r="A789" s="8" t="str">
        <f ca="1">IFERROR(__xludf.DUMMYFUNCTION("IF(B789="""","""",RIGHT(regexreplace(B789&amp;"""",""[^0-9]"",""""),9))"),"")</f>
        <v/>
      </c>
      <c r="B789" s="5"/>
      <c r="C789" s="5"/>
      <c r="D789" s="5"/>
      <c r="E789" s="15"/>
      <c r="F789" s="15"/>
      <c r="G789" s="15"/>
      <c r="H789" s="15"/>
      <c r="I789" s="15"/>
      <c r="J789" s="15"/>
      <c r="K789" s="9" t="str">
        <f ca="1">IF(COUNTIFS($A$2:A789,A789,$L$2:L789,L789)&gt;1,"DUPLICATE - CHECK","")</f>
        <v/>
      </c>
      <c r="L789" s="17"/>
      <c r="M789" s="17"/>
      <c r="N789" s="9">
        <f ca="1">IF(COUNTIF($A$2:A788,A789)&gt;0,INDEX($C$2:C788,MATCH(A789,$A$2:A788,0)),"")</f>
        <v>0</v>
      </c>
      <c r="O789" s="13"/>
      <c r="P789" s="19"/>
    </row>
    <row r="790" spans="1:16" ht="15.75" customHeight="1" x14ac:dyDescent="0.3">
      <c r="A790" s="8" t="str">
        <f ca="1">IFERROR(__xludf.DUMMYFUNCTION("IF(B790="""","""",RIGHT(regexreplace(B790&amp;"""",""[^0-9]"",""""),9))"),"")</f>
        <v/>
      </c>
      <c r="B790" s="5"/>
      <c r="C790" s="5"/>
      <c r="D790" s="5"/>
      <c r="E790" s="15"/>
      <c r="F790" s="15"/>
      <c r="G790" s="15"/>
      <c r="H790" s="15"/>
      <c r="I790" s="15"/>
      <c r="J790" s="15"/>
      <c r="K790" s="9" t="str">
        <f ca="1">IF(COUNTIFS($A$2:A790,A790,$L$2:L790,L790)&gt;1,"DUPLICATE - CHECK","")</f>
        <v/>
      </c>
      <c r="L790" s="17"/>
      <c r="M790" s="17"/>
      <c r="N790" s="9">
        <f ca="1">IF(COUNTIF($A$2:A789,A790)&gt;0,INDEX($C$2:C789,MATCH(A790,$A$2:A789,0)),"")</f>
        <v>0</v>
      </c>
      <c r="O790" s="13"/>
      <c r="P790" s="19"/>
    </row>
    <row r="791" spans="1:16" ht="15.75" customHeight="1" x14ac:dyDescent="0.3">
      <c r="A791" s="8" t="str">
        <f ca="1">IFERROR(__xludf.DUMMYFUNCTION("IF(B791="""","""",RIGHT(regexreplace(B791&amp;"""",""[^0-9]"",""""),9))"),"")</f>
        <v/>
      </c>
      <c r="B791" s="5"/>
      <c r="C791" s="5"/>
      <c r="D791" s="5"/>
      <c r="E791" s="15"/>
      <c r="F791" s="15"/>
      <c r="G791" s="15"/>
      <c r="H791" s="15"/>
      <c r="I791" s="15"/>
      <c r="J791" s="15"/>
      <c r="K791" s="9" t="str">
        <f ca="1">IF(COUNTIFS($A$2:A791,A791,$L$2:L791,L791)&gt;1,"DUPLICATE - CHECK","")</f>
        <v/>
      </c>
      <c r="L791" s="17"/>
      <c r="M791" s="17"/>
      <c r="N791" s="9" t="str">
        <f t="array" aca="1" ref="N791" ca="1">IF(COUNTIF($A$2:A790,A)&gt;0,INDEX($C$2:C790,MATCH(A791,$A$2:A790,0)),"")</f>
        <v/>
      </c>
      <c r="O791" s="13"/>
      <c r="P791" s="19"/>
    </row>
    <row r="792" spans="1:16" ht="15.75" customHeight="1" x14ac:dyDescent="0.3">
      <c r="A792" s="8" t="str">
        <f ca="1">IFERROR(__xludf.DUMMYFUNCTION("IF(B792="""","""",RIGHT(regexreplace(B792&amp;"""",""[^0-9]"",""""),9))"),"")</f>
        <v/>
      </c>
      <c r="B792" s="5"/>
      <c r="C792" s="5"/>
      <c r="D792" s="5"/>
      <c r="E792" s="15"/>
      <c r="F792" s="15"/>
      <c r="G792" s="15"/>
      <c r="H792" s="15"/>
      <c r="I792" s="15"/>
      <c r="J792" s="15"/>
      <c r="K792" s="9" t="str">
        <f ca="1">IF(COUNTIFS($A$2:A792,A792,$L$2:L792,L792)&gt;1,"DUPLICATE - CHECK","")</f>
        <v/>
      </c>
      <c r="L792" s="17"/>
      <c r="M792" s="17"/>
      <c r="N792" s="9">
        <f ca="1">IF(COUNTIF($A$2:A791,A792)&gt;0,INDEX($C$2:C791,MATCH(A792,$A$2:A791,0)),"")</f>
        <v>0</v>
      </c>
      <c r="O792" s="13"/>
      <c r="P792" s="19"/>
    </row>
    <row r="793" spans="1:16" ht="15.75" customHeight="1" x14ac:dyDescent="0.3">
      <c r="A793" s="8" t="str">
        <f ca="1">IFERROR(__xludf.DUMMYFUNCTION("IF(B793="""","""",RIGHT(regexreplace(B793&amp;"""",""[^0-9]"",""""),9))"),"")</f>
        <v/>
      </c>
      <c r="B793" s="5"/>
      <c r="C793" s="5"/>
      <c r="D793" s="5"/>
      <c r="E793" s="15"/>
      <c r="F793" s="15"/>
      <c r="G793" s="15"/>
      <c r="H793" s="15"/>
      <c r="I793" s="15"/>
      <c r="J793" s="15"/>
      <c r="K793" s="9" t="str">
        <f ca="1">IF(COUNTIFS($A$2:A793,A793,$L$2:L793,L793)&gt;1,"DUPLICATE - CHECK","")</f>
        <v/>
      </c>
      <c r="L793" s="17"/>
      <c r="M793" s="17"/>
      <c r="N793" s="9">
        <f ca="1">IF(COUNTIF($A$2:A792,A793)&gt;0,INDEX($C$2:C792,MATCH(A793,$A$2:A792,0)),"")</f>
        <v>0</v>
      </c>
      <c r="O793" s="13"/>
      <c r="P793" s="19"/>
    </row>
    <row r="794" spans="1:16" ht="15.75" customHeight="1" x14ac:dyDescent="0.3">
      <c r="A794" s="8" t="str">
        <f ca="1">IFERROR(__xludf.DUMMYFUNCTION("IF(B794="""","""",RIGHT(regexreplace(B794&amp;"""",""[^0-9]"",""""),9))"),"")</f>
        <v/>
      </c>
      <c r="B794" s="5"/>
      <c r="C794" s="5"/>
      <c r="D794" s="5"/>
      <c r="E794" s="15"/>
      <c r="F794" s="15"/>
      <c r="G794" s="15"/>
      <c r="H794" s="15"/>
      <c r="I794" s="15"/>
      <c r="J794" s="15"/>
      <c r="K794" s="9" t="str">
        <f ca="1">IF(COUNTIFS($A$2:A794,A794,$L$2:L794,L794)&gt;1,"DUPLICATE - CHECK","")</f>
        <v/>
      </c>
      <c r="L794" s="17"/>
      <c r="M794" s="17"/>
      <c r="N794" s="9" t="str">
        <f t="array" aca="1" ref="N794" ca="1">IF(COUNTIF($A$2:A793,A)&gt;0,INDEX($C$2:C793,MATCH(A794,$A$2:A793,0)),"")</f>
        <v/>
      </c>
      <c r="O794" s="13"/>
      <c r="P794" s="19"/>
    </row>
    <row r="795" spans="1:16" ht="15.75" customHeight="1" x14ac:dyDescent="0.3">
      <c r="A795" s="8" t="str">
        <f ca="1">IFERROR(__xludf.DUMMYFUNCTION("IF(B795="""","""",RIGHT(regexreplace(B795&amp;"""",""[^0-9]"",""""),9))"),"")</f>
        <v/>
      </c>
      <c r="B795" s="5"/>
      <c r="C795" s="5"/>
      <c r="D795" s="5"/>
      <c r="E795" s="15"/>
      <c r="F795" s="15"/>
      <c r="G795" s="15"/>
      <c r="H795" s="15"/>
      <c r="I795" s="15"/>
      <c r="J795" s="15"/>
      <c r="K795" s="9" t="str">
        <f ca="1">IF(COUNTIFS($A$2:A795,A795,$L$2:L795,L795)&gt;1,"DUPLICATE - CHECK","")</f>
        <v/>
      </c>
      <c r="L795" s="17"/>
      <c r="M795" s="17"/>
      <c r="N795" s="9">
        <f ca="1">IF(COUNTIF($A$2:A794,A795)&gt;0,INDEX($C$2:C794,MATCH(A795,$A$2:A794,0)),"")</f>
        <v>0</v>
      </c>
      <c r="O795" s="13"/>
      <c r="P795" s="19"/>
    </row>
    <row r="796" spans="1:16" ht="15.75" customHeight="1" x14ac:dyDescent="0.3">
      <c r="A796" s="8" t="str">
        <f ca="1">IFERROR(__xludf.DUMMYFUNCTION("IF(B796="""","""",RIGHT(regexreplace(B796&amp;"""",""[^0-9]"",""""),9))"),"")</f>
        <v/>
      </c>
      <c r="B796" s="5"/>
      <c r="C796" s="5"/>
      <c r="D796" s="5"/>
      <c r="E796" s="15"/>
      <c r="F796" s="15"/>
      <c r="G796" s="15"/>
      <c r="H796" s="15"/>
      <c r="I796" s="15"/>
      <c r="J796" s="15"/>
      <c r="K796" s="9" t="str">
        <f ca="1">IF(COUNTIFS($A$2:A796,A796,$L$2:L796,L796)&gt;1,"DUPLICATE - CHECK","")</f>
        <v/>
      </c>
      <c r="L796" s="17"/>
      <c r="M796" s="17"/>
      <c r="N796" s="9">
        <f ca="1">IF(COUNTIF($A$2:A795,A796)&gt;0,INDEX($C$2:C795,MATCH(A796,$A$2:A795,0)),"")</f>
        <v>0</v>
      </c>
      <c r="O796" s="13"/>
      <c r="P796" s="19"/>
    </row>
    <row r="797" spans="1:16" ht="15.75" customHeight="1" x14ac:dyDescent="0.3">
      <c r="A797" s="8" t="str">
        <f ca="1">IFERROR(__xludf.DUMMYFUNCTION("IF(B797="""","""",RIGHT(regexreplace(B797&amp;"""",""[^0-9]"",""""),9))"),"")</f>
        <v/>
      </c>
      <c r="B797" s="5"/>
      <c r="C797" s="5"/>
      <c r="D797" s="5"/>
      <c r="E797" s="15"/>
      <c r="F797" s="15"/>
      <c r="G797" s="15"/>
      <c r="H797" s="15"/>
      <c r="I797" s="15"/>
      <c r="J797" s="15"/>
      <c r="K797" s="9" t="str">
        <f ca="1">IF(COUNTIFS($A$2:A797,A797,$L$2:L797,L797)&gt;1,"DUPLICATE - CHECK","")</f>
        <v/>
      </c>
      <c r="L797" s="17"/>
      <c r="M797" s="17"/>
      <c r="N797" s="9" t="str">
        <f t="array" aca="1" ref="N797" ca="1">IF(COUNTIF($A$2:A796,A)&gt;0,INDEX($C$2:C796,MATCH(A797,$A$2:A796,0)),"")</f>
        <v/>
      </c>
      <c r="O797" s="13"/>
      <c r="P797" s="19"/>
    </row>
    <row r="798" spans="1:16" ht="15.75" customHeight="1" x14ac:dyDescent="0.3">
      <c r="A798" s="8" t="str">
        <f ca="1">IFERROR(__xludf.DUMMYFUNCTION("IF(B798="""","""",RIGHT(regexreplace(B798&amp;"""",""[^0-9]"",""""),9))"),"")</f>
        <v/>
      </c>
      <c r="B798" s="5"/>
      <c r="C798" s="5"/>
      <c r="D798" s="5"/>
      <c r="E798" s="15"/>
      <c r="F798" s="15"/>
      <c r="G798" s="15"/>
      <c r="H798" s="15"/>
      <c r="I798" s="15"/>
      <c r="J798" s="15"/>
      <c r="K798" s="9" t="str">
        <f ca="1">IF(COUNTIFS($A$2:A798,A798,$L$2:L798,L798)&gt;1,"DUPLICATE - CHECK","")</f>
        <v/>
      </c>
      <c r="L798" s="17"/>
      <c r="M798" s="17"/>
      <c r="N798" s="9">
        <f ca="1">IF(COUNTIF($A$2:A797,A798)&gt;0,INDEX($C$2:C797,MATCH(A798,$A$2:A797,0)),"")</f>
        <v>0</v>
      </c>
      <c r="O798" s="13"/>
      <c r="P798" s="19"/>
    </row>
    <row r="799" spans="1:16" ht="15.75" customHeight="1" x14ac:dyDescent="0.3">
      <c r="A799" s="8" t="str">
        <f ca="1">IFERROR(__xludf.DUMMYFUNCTION("IF(B799="""","""",RIGHT(regexreplace(B799&amp;"""",""[^0-9]"",""""),9))"),"")</f>
        <v/>
      </c>
      <c r="B799" s="5"/>
      <c r="C799" s="5"/>
      <c r="D799" s="5"/>
      <c r="E799" s="15"/>
      <c r="F799" s="15"/>
      <c r="G799" s="15"/>
      <c r="H799" s="15"/>
      <c r="I799" s="15"/>
      <c r="J799" s="15"/>
      <c r="K799" s="9" t="str">
        <f ca="1">IF(COUNTIFS($A$2:A799,A799,$L$2:L799,L799)&gt;1,"DUPLICATE - CHECK","")</f>
        <v/>
      </c>
      <c r="L799" s="17"/>
      <c r="M799" s="17"/>
      <c r="N799" s="9">
        <f ca="1">IF(COUNTIF($A$2:A798,A799)&gt;0,INDEX($C$2:C798,MATCH(A799,$A$2:A798,0)),"")</f>
        <v>0</v>
      </c>
      <c r="O799" s="13"/>
      <c r="P799" s="19"/>
    </row>
    <row r="800" spans="1:16" ht="15.75" customHeight="1" x14ac:dyDescent="0.3">
      <c r="A800" s="8" t="str">
        <f ca="1">IFERROR(__xludf.DUMMYFUNCTION("IF(B800="""","""",RIGHT(regexreplace(B800&amp;"""",""[^0-9]"",""""),9))"),"")</f>
        <v/>
      </c>
      <c r="B800" s="5"/>
      <c r="C800" s="5"/>
      <c r="D800" s="5"/>
      <c r="E800" s="15"/>
      <c r="F800" s="15"/>
      <c r="G800" s="15"/>
      <c r="H800" s="15"/>
      <c r="I800" s="15"/>
      <c r="J800" s="15"/>
      <c r="K800" s="9" t="str">
        <f ca="1">IF(COUNTIFS($A$2:A800,A800,$L$2:L800,L800)&gt;1,"DUPLICATE - CHECK","")</f>
        <v/>
      </c>
      <c r="L800" s="17"/>
      <c r="M800" s="17"/>
      <c r="N800" s="9" t="str">
        <f t="array" aca="1" ref="N800" ca="1">IF(COUNTIF($A$2:A799,A)&gt;0,INDEX($C$2:C799,MATCH(A800,$A$2:A799,0)),"")</f>
        <v/>
      </c>
      <c r="O800" s="13"/>
      <c r="P800" s="19"/>
    </row>
    <row r="801" spans="1:16" ht="15.75" customHeight="1" x14ac:dyDescent="0.3">
      <c r="A801" s="8" t="str">
        <f ca="1">IFERROR(__xludf.DUMMYFUNCTION("IF(B801="""","""",RIGHT(regexreplace(B801&amp;"""",""[^0-9]"",""""),9))"),"")</f>
        <v/>
      </c>
      <c r="B801" s="5"/>
      <c r="C801" s="5"/>
      <c r="D801" s="5"/>
      <c r="E801" s="15"/>
      <c r="F801" s="15"/>
      <c r="G801" s="15"/>
      <c r="H801" s="15"/>
      <c r="I801" s="15"/>
      <c r="J801" s="15"/>
      <c r="K801" s="9" t="str">
        <f ca="1">IF(COUNTIFS($A$2:A801,A801,$L$2:L801,L801)&gt;1,"DUPLICATE - CHECK","")</f>
        <v/>
      </c>
      <c r="L801" s="17"/>
      <c r="M801" s="17"/>
      <c r="N801" s="9">
        <f ca="1">IF(COUNTIF($A$2:A800,A801)&gt;0,INDEX($C$2:C800,MATCH(A801,$A$2:A800,0)),"")</f>
        <v>0</v>
      </c>
      <c r="O801" s="13"/>
      <c r="P801" s="19"/>
    </row>
    <row r="802" spans="1:16" ht="15.75" customHeight="1" x14ac:dyDescent="0.3">
      <c r="A802" s="8" t="str">
        <f ca="1">IFERROR(__xludf.DUMMYFUNCTION("IF(B802="""","""",RIGHT(regexreplace(B802&amp;"""",""[^0-9]"",""""),9))"),"")</f>
        <v/>
      </c>
      <c r="B802" s="5"/>
      <c r="C802" s="5"/>
      <c r="D802" s="5"/>
      <c r="E802" s="15"/>
      <c r="F802" s="15"/>
      <c r="G802" s="15"/>
      <c r="H802" s="15"/>
      <c r="I802" s="15"/>
      <c r="J802" s="15"/>
      <c r="K802" s="9" t="str">
        <f ca="1">IF(COUNTIFS($A$2:A802,A802,$L$2:L802,L802)&gt;1,"DUPLICATE - CHECK","")</f>
        <v/>
      </c>
      <c r="L802" s="17"/>
      <c r="M802" s="17"/>
      <c r="N802" s="9">
        <f ca="1">IF(COUNTIF($A$2:A801,A802)&gt;0,INDEX($C$2:C801,MATCH(A802,$A$2:A801,0)),"")</f>
        <v>0</v>
      </c>
      <c r="O802" s="13"/>
      <c r="P802" s="19"/>
    </row>
    <row r="803" spans="1:16" ht="15.75" customHeight="1" x14ac:dyDescent="0.3">
      <c r="A803" s="8" t="str">
        <f ca="1">IFERROR(__xludf.DUMMYFUNCTION("IF(B803="""","""",RIGHT(regexreplace(B803&amp;"""",""[^0-9]"",""""),9))"),"")</f>
        <v/>
      </c>
      <c r="B803" s="5"/>
      <c r="C803" s="5"/>
      <c r="D803" s="5"/>
      <c r="E803" s="15"/>
      <c r="F803" s="15"/>
      <c r="G803" s="15"/>
      <c r="H803" s="15"/>
      <c r="I803" s="15"/>
      <c r="J803" s="15"/>
      <c r="K803" s="9" t="str">
        <f ca="1">IF(COUNTIFS($A$2:A803,A803,$L$2:L803,L803)&gt;1,"DUPLICATE - CHECK","")</f>
        <v/>
      </c>
      <c r="L803" s="17"/>
      <c r="M803" s="17"/>
      <c r="N803" s="9" t="str">
        <f t="array" aca="1" ref="N803" ca="1">IF(COUNTIF($A$2:A802,A)&gt;0,INDEX($C$2:C802,MATCH(A803,$A$2:A802,0)),"")</f>
        <v/>
      </c>
      <c r="O803" s="13"/>
      <c r="P803" s="19"/>
    </row>
    <row r="804" spans="1:16" ht="15.75" customHeight="1" x14ac:dyDescent="0.3">
      <c r="A804" s="8" t="str">
        <f ca="1">IFERROR(__xludf.DUMMYFUNCTION("IF(B804="""","""",RIGHT(regexreplace(B804&amp;"""",""[^0-9]"",""""),9))"),"")</f>
        <v/>
      </c>
      <c r="B804" s="5"/>
      <c r="C804" s="5"/>
      <c r="D804" s="5"/>
      <c r="E804" s="15"/>
      <c r="F804" s="15"/>
      <c r="G804" s="15"/>
      <c r="H804" s="15"/>
      <c r="I804" s="15"/>
      <c r="J804" s="15"/>
      <c r="K804" s="9" t="str">
        <f ca="1">IF(COUNTIFS($A$2:A804,A804,$L$2:L804,L804)&gt;1,"DUPLICATE - CHECK","")</f>
        <v/>
      </c>
      <c r="L804" s="17"/>
      <c r="M804" s="17"/>
      <c r="N804" s="9">
        <f ca="1">IF(COUNTIF($A$2:A803,A804)&gt;0,INDEX($C$2:C803,MATCH(A804,$A$2:A803,0)),"")</f>
        <v>0</v>
      </c>
      <c r="O804" s="13"/>
      <c r="P804" s="19"/>
    </row>
    <row r="805" spans="1:16" ht="15.75" customHeight="1" x14ac:dyDescent="0.3">
      <c r="A805" s="8" t="str">
        <f ca="1">IFERROR(__xludf.DUMMYFUNCTION("IF(B805="""","""",RIGHT(regexreplace(B805&amp;"""",""[^0-9]"",""""),9))"),"")</f>
        <v/>
      </c>
      <c r="B805" s="5"/>
      <c r="C805" s="5"/>
      <c r="D805" s="5"/>
      <c r="E805" s="15"/>
      <c r="F805" s="15"/>
      <c r="G805" s="15"/>
      <c r="H805" s="15"/>
      <c r="I805" s="15"/>
      <c r="J805" s="15"/>
      <c r="K805" s="9" t="str">
        <f ca="1">IF(COUNTIFS($A$2:A805,A805,$L$2:L805,L805)&gt;1,"DUPLICATE - CHECK","")</f>
        <v/>
      </c>
      <c r="L805" s="17"/>
      <c r="M805" s="17"/>
      <c r="N805" s="9">
        <f ca="1">IF(COUNTIF($A$2:A804,A805)&gt;0,INDEX($C$2:C804,MATCH(A805,$A$2:A804,0)),"")</f>
        <v>0</v>
      </c>
      <c r="O805" s="13"/>
      <c r="P805" s="19"/>
    </row>
    <row r="806" spans="1:16" ht="15.75" customHeight="1" x14ac:dyDescent="0.3">
      <c r="A806" s="8" t="str">
        <f ca="1">IFERROR(__xludf.DUMMYFUNCTION("IF(B806="""","""",RIGHT(regexreplace(B806&amp;"""",""[^0-9]"",""""),9))"),"")</f>
        <v/>
      </c>
      <c r="B806" s="5"/>
      <c r="C806" s="5"/>
      <c r="D806" s="5"/>
      <c r="E806" s="15"/>
      <c r="F806" s="15"/>
      <c r="G806" s="15"/>
      <c r="H806" s="15"/>
      <c r="I806" s="15"/>
      <c r="J806" s="15"/>
      <c r="K806" s="9" t="str">
        <f ca="1">IF(COUNTIFS($A$2:A806,A806,$L$2:L806,L806)&gt;1,"DUPLICATE - CHECK","")</f>
        <v/>
      </c>
      <c r="L806" s="17"/>
      <c r="M806" s="17"/>
      <c r="N806" s="9" t="str">
        <f t="array" aca="1" ref="N806" ca="1">IF(COUNTIF($A$2:A805,A)&gt;0,INDEX($C$2:C805,MATCH(A806,$A$2:A805,0)),"")</f>
        <v/>
      </c>
      <c r="O806" s="13"/>
      <c r="P806" s="19"/>
    </row>
    <row r="807" spans="1:16" ht="15.75" customHeight="1" x14ac:dyDescent="0.3">
      <c r="A807" s="8" t="str">
        <f ca="1">IFERROR(__xludf.DUMMYFUNCTION("IF(B807="""","""",RIGHT(regexreplace(B807&amp;"""",""[^0-9]"",""""),9))"),"")</f>
        <v/>
      </c>
      <c r="B807" s="5"/>
      <c r="C807" s="5"/>
      <c r="D807" s="5"/>
      <c r="E807" s="15"/>
      <c r="F807" s="15"/>
      <c r="G807" s="15"/>
      <c r="H807" s="15"/>
      <c r="I807" s="15"/>
      <c r="J807" s="15"/>
      <c r="K807" s="9" t="str">
        <f ca="1">IF(COUNTIFS($A$2:A807,A807,$L$2:L807,L807)&gt;1,"DUPLICATE - CHECK","")</f>
        <v/>
      </c>
      <c r="L807" s="17"/>
      <c r="M807" s="17"/>
      <c r="N807" s="9">
        <f ca="1">IF(COUNTIF($A$2:A806,A807)&gt;0,INDEX($C$2:C806,MATCH(A807,$A$2:A806,0)),"")</f>
        <v>0</v>
      </c>
      <c r="O807" s="13"/>
      <c r="P807" s="19"/>
    </row>
    <row r="808" spans="1:16" ht="15.75" customHeight="1" x14ac:dyDescent="0.3">
      <c r="A808" s="8" t="str">
        <f ca="1">IFERROR(__xludf.DUMMYFUNCTION("IF(B808="""","""",RIGHT(regexreplace(B808&amp;"""",""[^0-9]"",""""),9))"),"")</f>
        <v/>
      </c>
      <c r="B808" s="5"/>
      <c r="C808" s="5"/>
      <c r="D808" s="5"/>
      <c r="E808" s="15"/>
      <c r="F808" s="15"/>
      <c r="G808" s="15"/>
      <c r="H808" s="15"/>
      <c r="I808" s="15"/>
      <c r="J808" s="15"/>
      <c r="K808" s="9" t="str">
        <f ca="1">IF(COUNTIFS($A$2:A808,A808,$L$2:L808,L808)&gt;1,"DUPLICATE - CHECK","")</f>
        <v/>
      </c>
      <c r="L808" s="17"/>
      <c r="M808" s="17"/>
      <c r="N808" s="9">
        <f ca="1">IF(COUNTIF($A$2:A807,A808)&gt;0,INDEX($C$2:C807,MATCH(A808,$A$2:A807,0)),"")</f>
        <v>0</v>
      </c>
      <c r="O808" s="13"/>
      <c r="P808" s="19"/>
    </row>
    <row r="809" spans="1:16" ht="15.75" customHeight="1" x14ac:dyDescent="0.3">
      <c r="A809" s="8" t="str">
        <f ca="1">IFERROR(__xludf.DUMMYFUNCTION("IF(B809="""","""",RIGHT(regexreplace(B809&amp;"""",""[^0-9]"",""""),9))"),"")</f>
        <v/>
      </c>
      <c r="B809" s="5"/>
      <c r="C809" s="5"/>
      <c r="D809" s="5"/>
      <c r="E809" s="15"/>
      <c r="F809" s="15"/>
      <c r="G809" s="15"/>
      <c r="H809" s="15"/>
      <c r="I809" s="15"/>
      <c r="J809" s="15"/>
      <c r="K809" s="9" t="str">
        <f ca="1">IF(COUNTIFS($A$2:A809,A809,$L$2:L809,L809)&gt;1,"DUPLICATE - CHECK","")</f>
        <v/>
      </c>
      <c r="L809" s="17"/>
      <c r="M809" s="17"/>
      <c r="N809" s="9" t="str">
        <f t="array" aca="1" ref="N809" ca="1">IF(COUNTIF($A$2:A808,A)&gt;0,INDEX($C$2:C808,MATCH(A809,$A$2:A808,0)),"")</f>
        <v/>
      </c>
      <c r="O809" s="13"/>
      <c r="P809" s="19"/>
    </row>
    <row r="810" spans="1:16" ht="15.75" customHeight="1" x14ac:dyDescent="0.3">
      <c r="A810" s="8" t="str">
        <f ca="1">IFERROR(__xludf.DUMMYFUNCTION("IF(B810="""","""",RIGHT(regexreplace(B810&amp;"""",""[^0-9]"",""""),9))"),"")</f>
        <v/>
      </c>
      <c r="B810" s="5"/>
      <c r="C810" s="5"/>
      <c r="D810" s="5"/>
      <c r="E810" s="15"/>
      <c r="F810" s="15"/>
      <c r="G810" s="15"/>
      <c r="H810" s="15"/>
      <c r="I810" s="15"/>
      <c r="J810" s="15"/>
      <c r="K810" s="9" t="str">
        <f ca="1">IF(COUNTIFS($A$2:A810,A810,$L$2:L810,L810)&gt;1,"DUPLICATE - CHECK","")</f>
        <v/>
      </c>
      <c r="L810" s="17"/>
      <c r="M810" s="17"/>
      <c r="N810" s="9">
        <f ca="1">IF(COUNTIF($A$2:A809,A810)&gt;0,INDEX($C$2:C809,MATCH(A810,$A$2:A809,0)),"")</f>
        <v>0</v>
      </c>
      <c r="O810" s="13"/>
      <c r="P810" s="19"/>
    </row>
    <row r="811" spans="1:16" ht="15.75" customHeight="1" x14ac:dyDescent="0.3">
      <c r="A811" s="8" t="str">
        <f ca="1">IFERROR(__xludf.DUMMYFUNCTION("IF(B811="""","""",RIGHT(regexreplace(B811&amp;"""",""[^0-9]"",""""),9))"),"")</f>
        <v/>
      </c>
      <c r="B811" s="5"/>
      <c r="C811" s="5"/>
      <c r="D811" s="5"/>
      <c r="E811" s="15"/>
      <c r="F811" s="15"/>
      <c r="G811" s="15"/>
      <c r="H811" s="15"/>
      <c r="I811" s="15"/>
      <c r="J811" s="15"/>
      <c r="K811" s="9" t="str">
        <f ca="1">IF(COUNTIFS($A$2:A811,A811,$L$2:L811,L811)&gt;1,"DUPLICATE - CHECK","")</f>
        <v/>
      </c>
      <c r="L811" s="17"/>
      <c r="M811" s="17"/>
      <c r="N811" s="9">
        <f ca="1">IF(COUNTIF($A$2:A810,A811)&gt;0,INDEX($C$2:C810,MATCH(A811,$A$2:A810,0)),"")</f>
        <v>0</v>
      </c>
      <c r="O811" s="13"/>
      <c r="P811" s="19"/>
    </row>
    <row r="812" spans="1:16" ht="15.75" customHeight="1" x14ac:dyDescent="0.3">
      <c r="A812" s="8" t="str">
        <f ca="1">IFERROR(__xludf.DUMMYFUNCTION("IF(B812="""","""",RIGHT(regexreplace(B812&amp;"""",""[^0-9]"",""""),9))"),"")</f>
        <v/>
      </c>
      <c r="B812" s="5"/>
      <c r="C812" s="5"/>
      <c r="D812" s="5"/>
      <c r="E812" s="15"/>
      <c r="F812" s="15"/>
      <c r="G812" s="15"/>
      <c r="H812" s="15"/>
      <c r="I812" s="15"/>
      <c r="J812" s="15"/>
      <c r="K812" s="9" t="str">
        <f ca="1">IF(COUNTIFS($A$2:A812,A812,$L$2:L812,L812)&gt;1,"DUPLICATE - CHECK","")</f>
        <v/>
      </c>
      <c r="L812" s="17"/>
      <c r="M812" s="17"/>
      <c r="N812" s="9" t="str">
        <f t="array" aca="1" ref="N812" ca="1">IF(COUNTIF($A$2:A811,A)&gt;0,INDEX($C$2:C811,MATCH(A812,$A$2:A811,0)),"")</f>
        <v/>
      </c>
      <c r="O812" s="13"/>
      <c r="P812" s="19"/>
    </row>
    <row r="813" spans="1:16" ht="15.75" customHeight="1" x14ac:dyDescent="0.3">
      <c r="A813" s="8" t="str">
        <f ca="1">IFERROR(__xludf.DUMMYFUNCTION("IF(B813="""","""",RIGHT(regexreplace(B813&amp;"""",""[^0-9]"",""""),9))"),"")</f>
        <v/>
      </c>
      <c r="B813" s="5"/>
      <c r="C813" s="5"/>
      <c r="D813" s="5"/>
      <c r="E813" s="15"/>
      <c r="F813" s="15"/>
      <c r="G813" s="15"/>
      <c r="H813" s="15"/>
      <c r="I813" s="15"/>
      <c r="J813" s="15"/>
      <c r="K813" s="9" t="str">
        <f ca="1">IF(COUNTIFS($A$2:A813,A813,$L$2:L813,L813)&gt;1,"DUPLICATE - CHECK","")</f>
        <v/>
      </c>
      <c r="L813" s="17"/>
      <c r="M813" s="17"/>
      <c r="N813" s="9">
        <f ca="1">IF(COUNTIF($A$2:A812,A813)&gt;0,INDEX($C$2:C812,MATCH(A813,$A$2:A812,0)),"")</f>
        <v>0</v>
      </c>
      <c r="O813" s="13"/>
      <c r="P813" s="19"/>
    </row>
    <row r="814" spans="1:16" ht="15.75" customHeight="1" x14ac:dyDescent="0.3">
      <c r="A814" s="8" t="str">
        <f ca="1">IFERROR(__xludf.DUMMYFUNCTION("IF(B814="""","""",RIGHT(regexreplace(B814&amp;"""",""[^0-9]"",""""),9))"),"")</f>
        <v/>
      </c>
      <c r="B814" s="5"/>
      <c r="C814" s="5"/>
      <c r="D814" s="5"/>
      <c r="E814" s="15"/>
      <c r="F814" s="15"/>
      <c r="G814" s="15"/>
      <c r="H814" s="15"/>
      <c r="I814" s="15"/>
      <c r="J814" s="15"/>
      <c r="K814" s="9" t="str">
        <f ca="1">IF(COUNTIFS($A$2:A814,A814,$L$2:L814,L814)&gt;1,"DUPLICATE - CHECK","")</f>
        <v/>
      </c>
      <c r="L814" s="17"/>
      <c r="M814" s="17"/>
      <c r="N814" s="9">
        <f ca="1">IF(COUNTIF($A$2:A813,A814)&gt;0,INDEX($C$2:C813,MATCH(A814,$A$2:A813,0)),"")</f>
        <v>0</v>
      </c>
      <c r="O814" s="13"/>
      <c r="P814" s="19"/>
    </row>
    <row r="815" spans="1:16" ht="15.75" customHeight="1" x14ac:dyDescent="0.3">
      <c r="A815" s="8" t="str">
        <f ca="1">IFERROR(__xludf.DUMMYFUNCTION("IF(B815="""","""",RIGHT(regexreplace(B815&amp;"""",""[^0-9]"",""""),9))"),"")</f>
        <v/>
      </c>
      <c r="B815" s="5"/>
      <c r="C815" s="5"/>
      <c r="D815" s="5"/>
      <c r="E815" s="15"/>
      <c r="F815" s="15"/>
      <c r="G815" s="15"/>
      <c r="H815" s="15"/>
      <c r="I815" s="15"/>
      <c r="J815" s="15"/>
      <c r="K815" s="9" t="str">
        <f ca="1">IF(COUNTIFS($A$2:A815,A815,$L$2:L815,L815)&gt;1,"DUPLICATE - CHECK","")</f>
        <v/>
      </c>
      <c r="L815" s="17"/>
      <c r="M815" s="17"/>
      <c r="N815" s="9" t="str">
        <f t="array" aca="1" ref="N815" ca="1">IF(COUNTIF($A$2:A814,A)&gt;0,INDEX($C$2:C814,MATCH(A815,$A$2:A814,0)),"")</f>
        <v/>
      </c>
      <c r="O815" s="13"/>
      <c r="P815" s="19"/>
    </row>
    <row r="816" spans="1:16" ht="15.75" customHeight="1" x14ac:dyDescent="0.3">
      <c r="A816" s="8" t="str">
        <f ca="1">IFERROR(__xludf.DUMMYFUNCTION("IF(B816="""","""",RIGHT(regexreplace(B816&amp;"""",""[^0-9]"",""""),9))"),"")</f>
        <v/>
      </c>
      <c r="B816" s="5"/>
      <c r="C816" s="5"/>
      <c r="D816" s="5"/>
      <c r="E816" s="15"/>
      <c r="F816" s="15"/>
      <c r="G816" s="15"/>
      <c r="H816" s="15"/>
      <c r="I816" s="15"/>
      <c r="J816" s="15"/>
      <c r="K816" s="9" t="str">
        <f ca="1">IF(COUNTIFS($A$2:A816,A816,$L$2:L816,L816)&gt;1,"DUPLICATE - CHECK","")</f>
        <v/>
      </c>
      <c r="L816" s="17"/>
      <c r="M816" s="17"/>
      <c r="N816" s="9">
        <f ca="1">IF(COUNTIF($A$2:A815,A816)&gt;0,INDEX($C$2:C815,MATCH(A816,$A$2:A815,0)),"")</f>
        <v>0</v>
      </c>
      <c r="O816" s="13"/>
      <c r="P816" s="19"/>
    </row>
    <row r="817" spans="1:16" ht="15.75" customHeight="1" x14ac:dyDescent="0.3">
      <c r="A817" s="8" t="str">
        <f ca="1">IFERROR(__xludf.DUMMYFUNCTION("IF(B817="""","""",RIGHT(regexreplace(B817&amp;"""",""[^0-9]"",""""),9))"),"")</f>
        <v/>
      </c>
      <c r="B817" s="5"/>
      <c r="C817" s="5"/>
      <c r="D817" s="5"/>
      <c r="E817" s="15"/>
      <c r="F817" s="15"/>
      <c r="G817" s="15"/>
      <c r="H817" s="15"/>
      <c r="I817" s="15"/>
      <c r="J817" s="15"/>
      <c r="K817" s="9" t="str">
        <f ca="1">IF(COUNTIFS($A$2:A817,A817,$L$2:L817,L817)&gt;1,"DUPLICATE - CHECK","")</f>
        <v/>
      </c>
      <c r="L817" s="17"/>
      <c r="M817" s="17"/>
      <c r="N817" s="9">
        <f ca="1">IF(COUNTIF($A$2:A816,A817)&gt;0,INDEX($C$2:C816,MATCH(A817,$A$2:A816,0)),"")</f>
        <v>0</v>
      </c>
      <c r="O817" s="13"/>
      <c r="P817" s="19"/>
    </row>
    <row r="818" spans="1:16" ht="15.75" customHeight="1" x14ac:dyDescent="0.3">
      <c r="A818" s="8" t="str">
        <f ca="1">IFERROR(__xludf.DUMMYFUNCTION("IF(B818="""","""",RIGHT(regexreplace(B818&amp;"""",""[^0-9]"",""""),9))"),"")</f>
        <v/>
      </c>
      <c r="B818" s="5"/>
      <c r="C818" s="5"/>
      <c r="D818" s="5"/>
      <c r="E818" s="15"/>
      <c r="F818" s="15"/>
      <c r="G818" s="15"/>
      <c r="H818" s="15"/>
      <c r="I818" s="15"/>
      <c r="J818" s="15"/>
      <c r="K818" s="9" t="str">
        <f ca="1">IF(COUNTIFS($A$2:A818,A818,$L$2:L818,L818)&gt;1,"DUPLICATE - CHECK","")</f>
        <v/>
      </c>
      <c r="L818" s="17"/>
      <c r="M818" s="17"/>
      <c r="N818" s="9" t="str">
        <f t="array" aca="1" ref="N818" ca="1">IF(COUNTIF($A$2:A817,A)&gt;0,INDEX($C$2:C817,MATCH(A818,$A$2:A817,0)),"")</f>
        <v/>
      </c>
      <c r="O818" s="13"/>
      <c r="P818" s="19"/>
    </row>
    <row r="819" spans="1:16" ht="15.75" customHeight="1" x14ac:dyDescent="0.3">
      <c r="A819" s="8" t="str">
        <f ca="1">IFERROR(__xludf.DUMMYFUNCTION("IF(B819="""","""",RIGHT(regexreplace(B819&amp;"""",""[^0-9]"",""""),9))"),"")</f>
        <v/>
      </c>
      <c r="B819" s="5"/>
      <c r="C819" s="5"/>
      <c r="D819" s="5"/>
      <c r="E819" s="15"/>
      <c r="F819" s="15"/>
      <c r="G819" s="15"/>
      <c r="H819" s="15"/>
      <c r="I819" s="15"/>
      <c r="J819" s="15"/>
      <c r="K819" s="9" t="str">
        <f ca="1">IF(COUNTIFS($A$2:A819,A819,$L$2:L819,L819)&gt;1,"DUPLICATE - CHECK","")</f>
        <v/>
      </c>
      <c r="L819" s="17"/>
      <c r="M819" s="17"/>
      <c r="N819" s="9">
        <f ca="1">IF(COUNTIF($A$2:A818,A819)&gt;0,INDEX($C$2:C818,MATCH(A819,$A$2:A818,0)),"")</f>
        <v>0</v>
      </c>
      <c r="O819" s="13"/>
      <c r="P819" s="19"/>
    </row>
    <row r="820" spans="1:16" ht="15.75" customHeight="1" x14ac:dyDescent="0.3">
      <c r="A820" s="8" t="str">
        <f ca="1">IFERROR(__xludf.DUMMYFUNCTION("IF(B820="""","""",RIGHT(regexreplace(B820&amp;"""",""[^0-9]"",""""),9))"),"")</f>
        <v/>
      </c>
      <c r="B820" s="5"/>
      <c r="C820" s="5"/>
      <c r="D820" s="5"/>
      <c r="E820" s="15"/>
      <c r="F820" s="15"/>
      <c r="G820" s="15"/>
      <c r="H820" s="15"/>
      <c r="I820" s="15"/>
      <c r="J820" s="15"/>
      <c r="K820" s="9" t="str">
        <f ca="1">IF(COUNTIFS($A$2:A820,A820,$L$2:L820,L820)&gt;1,"DUPLICATE - CHECK","")</f>
        <v/>
      </c>
      <c r="L820" s="17"/>
      <c r="M820" s="17"/>
      <c r="N820" s="9">
        <f ca="1">IF(COUNTIF($A$2:A819,A820)&gt;0,INDEX($C$2:C819,MATCH(A820,$A$2:A819,0)),"")</f>
        <v>0</v>
      </c>
      <c r="O820" s="13"/>
      <c r="P820" s="19"/>
    </row>
    <row r="821" spans="1:16" ht="15.75" customHeight="1" x14ac:dyDescent="0.3">
      <c r="A821" s="8" t="str">
        <f ca="1">IFERROR(__xludf.DUMMYFUNCTION("IF(B821="""","""",RIGHT(regexreplace(B821&amp;"""",""[^0-9]"",""""),9))"),"")</f>
        <v/>
      </c>
      <c r="B821" s="5"/>
      <c r="C821" s="5"/>
      <c r="D821" s="5"/>
      <c r="E821" s="15"/>
      <c r="F821" s="15"/>
      <c r="G821" s="15"/>
      <c r="H821" s="15"/>
      <c r="I821" s="15"/>
      <c r="J821" s="15"/>
      <c r="K821" s="9" t="str">
        <f ca="1">IF(COUNTIFS($A$2:A821,A821,$L$2:L821,L821)&gt;1,"DUPLICATE - CHECK","")</f>
        <v/>
      </c>
      <c r="L821" s="17"/>
      <c r="M821" s="17"/>
      <c r="N821" s="9" t="str">
        <f t="array" aca="1" ref="N821" ca="1">IF(COUNTIF($A$2:A820,A)&gt;0,INDEX($C$2:C820,MATCH(A821,$A$2:A820,0)),"")</f>
        <v/>
      </c>
      <c r="O821" s="13"/>
      <c r="P821" s="19"/>
    </row>
    <row r="822" spans="1:16" ht="15.75" customHeight="1" x14ac:dyDescent="0.3">
      <c r="A822" s="8" t="str">
        <f ca="1">IFERROR(__xludf.DUMMYFUNCTION("IF(B822="""","""",RIGHT(regexreplace(B822&amp;"""",""[^0-9]"",""""),9))"),"")</f>
        <v/>
      </c>
      <c r="B822" s="5"/>
      <c r="C822" s="5"/>
      <c r="D822" s="5"/>
      <c r="E822" s="15"/>
      <c r="F822" s="15"/>
      <c r="G822" s="15"/>
      <c r="H822" s="15"/>
      <c r="I822" s="15"/>
      <c r="J822" s="15"/>
      <c r="K822" s="9" t="str">
        <f ca="1">IF(COUNTIFS($A$2:A822,A822,$L$2:L822,L822)&gt;1,"DUPLICATE - CHECK","")</f>
        <v/>
      </c>
      <c r="L822" s="17"/>
      <c r="M822" s="17"/>
      <c r="N822" s="9">
        <f ca="1">IF(COUNTIF($A$2:A821,A822)&gt;0,INDEX($C$2:C821,MATCH(A822,$A$2:A821,0)),"")</f>
        <v>0</v>
      </c>
      <c r="O822" s="13"/>
      <c r="P822" s="19"/>
    </row>
    <row r="823" spans="1:16" ht="15.75" customHeight="1" x14ac:dyDescent="0.3">
      <c r="A823" s="8" t="str">
        <f ca="1">IFERROR(__xludf.DUMMYFUNCTION("IF(B823="""","""",RIGHT(regexreplace(B823&amp;"""",""[^0-9]"",""""),9))"),"")</f>
        <v/>
      </c>
      <c r="B823" s="5"/>
      <c r="C823" s="5"/>
      <c r="D823" s="5"/>
      <c r="E823" s="15"/>
      <c r="F823" s="15"/>
      <c r="G823" s="15"/>
      <c r="H823" s="15"/>
      <c r="I823" s="15"/>
      <c r="J823" s="15"/>
      <c r="K823" s="9" t="str">
        <f ca="1">IF(COUNTIFS($A$2:A823,A823,$L$2:L823,L823)&gt;1,"DUPLICATE - CHECK","")</f>
        <v/>
      </c>
      <c r="L823" s="17"/>
      <c r="M823" s="17"/>
      <c r="N823" s="9">
        <f ca="1">IF(COUNTIF($A$2:A822,A823)&gt;0,INDEX($C$2:C822,MATCH(A823,$A$2:A822,0)),"")</f>
        <v>0</v>
      </c>
      <c r="O823" s="13"/>
      <c r="P823" s="19"/>
    </row>
    <row r="824" spans="1:16" ht="15.75" customHeight="1" x14ac:dyDescent="0.3">
      <c r="A824" s="8" t="str">
        <f ca="1">IFERROR(__xludf.DUMMYFUNCTION("IF(B824="""","""",RIGHT(regexreplace(B824&amp;"""",""[^0-9]"",""""),9))"),"")</f>
        <v/>
      </c>
      <c r="B824" s="5"/>
      <c r="C824" s="5"/>
      <c r="D824" s="5"/>
      <c r="E824" s="15"/>
      <c r="F824" s="15"/>
      <c r="G824" s="15"/>
      <c r="H824" s="15"/>
      <c r="I824" s="15"/>
      <c r="J824" s="15"/>
      <c r="K824" s="9" t="str">
        <f ca="1">IF(COUNTIFS($A$2:A824,A824,$L$2:L824,L824)&gt;1,"DUPLICATE - CHECK","")</f>
        <v/>
      </c>
      <c r="L824" s="17"/>
      <c r="M824" s="17"/>
      <c r="N824" s="9" t="str">
        <f t="array" aca="1" ref="N824" ca="1">IF(COUNTIF($A$2:A823,A)&gt;0,INDEX($C$2:C823,MATCH(A824,$A$2:A823,0)),"")</f>
        <v/>
      </c>
      <c r="O824" s="13"/>
      <c r="P824" s="19"/>
    </row>
    <row r="825" spans="1:16" ht="15.75" customHeight="1" x14ac:dyDescent="0.3">
      <c r="A825" s="8" t="str">
        <f ca="1">IFERROR(__xludf.DUMMYFUNCTION("IF(B825="""","""",RIGHT(regexreplace(B825&amp;"""",""[^0-9]"",""""),9))"),"")</f>
        <v/>
      </c>
      <c r="B825" s="5"/>
      <c r="C825" s="5"/>
      <c r="D825" s="5"/>
      <c r="E825" s="15"/>
      <c r="F825" s="15"/>
      <c r="G825" s="15"/>
      <c r="H825" s="15"/>
      <c r="I825" s="15"/>
      <c r="J825" s="15"/>
      <c r="K825" s="9" t="str">
        <f ca="1">IF(COUNTIFS($A$2:A825,A825,$L$2:L825,L825)&gt;1,"DUPLICATE - CHECK","")</f>
        <v/>
      </c>
      <c r="L825" s="17"/>
      <c r="M825" s="17"/>
      <c r="N825" s="9">
        <f ca="1">IF(COUNTIF($A$2:A824,A825)&gt;0,INDEX($C$2:C824,MATCH(A825,$A$2:A824,0)),"")</f>
        <v>0</v>
      </c>
      <c r="O825" s="13"/>
      <c r="P825" s="19"/>
    </row>
    <row r="826" spans="1:16" ht="15.75" customHeight="1" x14ac:dyDescent="0.3">
      <c r="A826" s="8" t="str">
        <f ca="1">IFERROR(__xludf.DUMMYFUNCTION("IF(B826="""","""",RIGHT(regexreplace(B826&amp;"""",""[^0-9]"",""""),9))"),"")</f>
        <v/>
      </c>
      <c r="B826" s="5"/>
      <c r="C826" s="5"/>
      <c r="D826" s="5"/>
      <c r="E826" s="15"/>
      <c r="F826" s="15"/>
      <c r="G826" s="15"/>
      <c r="H826" s="15"/>
      <c r="I826" s="15"/>
      <c r="J826" s="15"/>
      <c r="K826" s="9" t="str">
        <f ca="1">IF(COUNTIFS($A$2:A826,A826,$L$2:L826,L826)&gt;1,"DUPLICATE - CHECK","")</f>
        <v/>
      </c>
      <c r="L826" s="17"/>
      <c r="M826" s="17"/>
      <c r="N826" s="9">
        <f ca="1">IF(COUNTIF($A$2:A825,A826)&gt;0,INDEX($C$2:C825,MATCH(A826,$A$2:A825,0)),"")</f>
        <v>0</v>
      </c>
      <c r="O826" s="13"/>
      <c r="P826" s="19"/>
    </row>
    <row r="827" spans="1:16" ht="15.75" customHeight="1" x14ac:dyDescent="0.3">
      <c r="A827" s="8" t="str">
        <f ca="1">IFERROR(__xludf.DUMMYFUNCTION("IF(B827="""","""",RIGHT(regexreplace(B827&amp;"""",""[^0-9]"",""""),9))"),"")</f>
        <v/>
      </c>
      <c r="B827" s="5"/>
      <c r="C827" s="5"/>
      <c r="D827" s="5"/>
      <c r="E827" s="15"/>
      <c r="F827" s="15"/>
      <c r="G827" s="15"/>
      <c r="H827" s="15"/>
      <c r="I827" s="15"/>
      <c r="J827" s="15"/>
      <c r="K827" s="9" t="str">
        <f ca="1">IF(COUNTIFS($A$2:A827,A827,$L$2:L827,L827)&gt;1,"DUPLICATE - CHECK","")</f>
        <v/>
      </c>
      <c r="L827" s="17"/>
      <c r="M827" s="17"/>
      <c r="N827" s="9" t="str">
        <f t="array" aca="1" ref="N827" ca="1">IF(COUNTIF($A$2:A826,A)&gt;0,INDEX($C$2:C826,MATCH(A827,$A$2:A826,0)),"")</f>
        <v/>
      </c>
      <c r="O827" s="13"/>
      <c r="P827" s="19"/>
    </row>
    <row r="828" spans="1:16" ht="15.75" customHeight="1" x14ac:dyDescent="0.3">
      <c r="A828" s="8" t="str">
        <f ca="1">IFERROR(__xludf.DUMMYFUNCTION("IF(B828="""","""",RIGHT(regexreplace(B828&amp;"""",""[^0-9]"",""""),9))"),"")</f>
        <v/>
      </c>
      <c r="B828" s="5"/>
      <c r="C828" s="5"/>
      <c r="D828" s="5"/>
      <c r="E828" s="15"/>
      <c r="F828" s="15"/>
      <c r="G828" s="15"/>
      <c r="H828" s="15"/>
      <c r="I828" s="15"/>
      <c r="J828" s="15"/>
      <c r="K828" s="9" t="str">
        <f ca="1">IF(COUNTIFS($A$2:A828,A828,$L$2:L828,L828)&gt;1,"DUPLICATE - CHECK","")</f>
        <v/>
      </c>
      <c r="L828" s="17"/>
      <c r="M828" s="17"/>
      <c r="N828" s="9">
        <f ca="1">IF(COUNTIF($A$2:A827,A828)&gt;0,INDEX($C$2:C827,MATCH(A828,$A$2:A827,0)),"")</f>
        <v>0</v>
      </c>
      <c r="O828" s="13"/>
      <c r="P828" s="19"/>
    </row>
    <row r="829" spans="1:16" ht="15.75" customHeight="1" x14ac:dyDescent="0.3">
      <c r="A829" s="8" t="str">
        <f ca="1">IFERROR(__xludf.DUMMYFUNCTION("IF(B829="""","""",RIGHT(regexreplace(B829&amp;"""",""[^0-9]"",""""),9))"),"")</f>
        <v/>
      </c>
      <c r="B829" s="5"/>
      <c r="C829" s="5"/>
      <c r="D829" s="5"/>
      <c r="E829" s="15"/>
      <c r="F829" s="15"/>
      <c r="G829" s="15"/>
      <c r="H829" s="15"/>
      <c r="I829" s="15"/>
      <c r="J829" s="15"/>
      <c r="K829" s="9" t="str">
        <f ca="1">IF(COUNTIFS($A$2:A829,A829,$L$2:L829,L829)&gt;1,"DUPLICATE - CHECK","")</f>
        <v/>
      </c>
      <c r="L829" s="17"/>
      <c r="M829" s="17"/>
      <c r="N829" s="9">
        <f ca="1">IF(COUNTIF($A$2:A828,A829)&gt;0,INDEX($C$2:C828,MATCH(A829,$A$2:A828,0)),"")</f>
        <v>0</v>
      </c>
      <c r="O829" s="13"/>
      <c r="P829" s="19"/>
    </row>
    <row r="830" spans="1:16" ht="15.75" customHeight="1" x14ac:dyDescent="0.3">
      <c r="A830" s="8" t="str">
        <f ca="1">IFERROR(__xludf.DUMMYFUNCTION("IF(B830="""","""",RIGHT(regexreplace(B830&amp;"""",""[^0-9]"",""""),9))"),"")</f>
        <v/>
      </c>
      <c r="B830" s="5"/>
      <c r="C830" s="5"/>
      <c r="D830" s="5"/>
      <c r="E830" s="15"/>
      <c r="F830" s="15"/>
      <c r="G830" s="15"/>
      <c r="H830" s="15"/>
      <c r="I830" s="15"/>
      <c r="J830" s="15"/>
      <c r="K830" s="9" t="str">
        <f ca="1">IF(COUNTIFS($A$2:A830,A830,$L$2:L830,L830)&gt;1,"DUPLICATE - CHECK","")</f>
        <v/>
      </c>
      <c r="L830" s="17"/>
      <c r="M830" s="17"/>
      <c r="N830" s="9" t="str">
        <f t="array" aca="1" ref="N830" ca="1">IF(COUNTIF($A$2:A829,A)&gt;0,INDEX($C$2:C829,MATCH(A830,$A$2:A829,0)),"")</f>
        <v/>
      </c>
      <c r="O830" s="13"/>
      <c r="P830" s="19"/>
    </row>
    <row r="831" spans="1:16" ht="15.75" customHeight="1" x14ac:dyDescent="0.3">
      <c r="A831" s="8" t="str">
        <f ca="1">IFERROR(__xludf.DUMMYFUNCTION("IF(B831="""","""",RIGHT(regexreplace(B831&amp;"""",""[^0-9]"",""""),9))"),"")</f>
        <v/>
      </c>
      <c r="B831" s="5"/>
      <c r="C831" s="5"/>
      <c r="D831" s="5"/>
      <c r="E831" s="15"/>
      <c r="F831" s="15"/>
      <c r="G831" s="15"/>
      <c r="H831" s="15"/>
      <c r="I831" s="15"/>
      <c r="J831" s="15"/>
      <c r="K831" s="9" t="str">
        <f ca="1">IF(COUNTIFS($A$2:A831,A831,$L$2:L831,L831)&gt;1,"DUPLICATE - CHECK","")</f>
        <v/>
      </c>
      <c r="L831" s="17"/>
      <c r="M831" s="17"/>
      <c r="N831" s="9">
        <f ca="1">IF(COUNTIF($A$2:A830,A831)&gt;0,INDEX($C$2:C830,MATCH(A831,$A$2:A830,0)),"")</f>
        <v>0</v>
      </c>
      <c r="O831" s="13"/>
      <c r="P831" s="19"/>
    </row>
    <row r="832" spans="1:16" ht="15.75" customHeight="1" x14ac:dyDescent="0.3">
      <c r="A832" s="8" t="str">
        <f ca="1">IFERROR(__xludf.DUMMYFUNCTION("IF(B832="""","""",RIGHT(regexreplace(B832&amp;"""",""[^0-9]"",""""),9))"),"")</f>
        <v/>
      </c>
      <c r="B832" s="5"/>
      <c r="C832" s="5"/>
      <c r="D832" s="5"/>
      <c r="E832" s="15"/>
      <c r="F832" s="15"/>
      <c r="G832" s="15"/>
      <c r="H832" s="15"/>
      <c r="I832" s="15"/>
      <c r="J832" s="15"/>
      <c r="K832" s="9" t="str">
        <f ca="1">IF(COUNTIFS($A$2:A832,A832,$L$2:L832,L832)&gt;1,"DUPLICATE - CHECK","")</f>
        <v/>
      </c>
      <c r="L832" s="17"/>
      <c r="M832" s="17"/>
      <c r="N832" s="9">
        <f ca="1">IF(COUNTIF($A$2:A831,A832)&gt;0,INDEX($C$2:C831,MATCH(A832,$A$2:A831,0)),"")</f>
        <v>0</v>
      </c>
      <c r="O832" s="13"/>
      <c r="P832" s="19"/>
    </row>
    <row r="833" spans="1:16" ht="15.75" customHeight="1" x14ac:dyDescent="0.3">
      <c r="A833" s="8" t="str">
        <f ca="1">IFERROR(__xludf.DUMMYFUNCTION("IF(B833="""","""",RIGHT(regexreplace(B833&amp;"""",""[^0-9]"",""""),9))"),"")</f>
        <v/>
      </c>
      <c r="B833" s="5"/>
      <c r="C833" s="5"/>
      <c r="D833" s="5"/>
      <c r="E833" s="15"/>
      <c r="F833" s="15"/>
      <c r="G833" s="15"/>
      <c r="H833" s="15"/>
      <c r="I833" s="15"/>
      <c r="J833" s="15"/>
      <c r="K833" s="9" t="str">
        <f ca="1">IF(COUNTIFS($A$2:A833,A833,$L$2:L833,L833)&gt;1,"DUPLICATE - CHECK","")</f>
        <v/>
      </c>
      <c r="L833" s="17"/>
      <c r="M833" s="17"/>
      <c r="N833" s="9" t="str">
        <f t="array" aca="1" ref="N833" ca="1">IF(COUNTIF($A$2:A832,A)&gt;0,INDEX($C$2:C832,MATCH(A833,$A$2:A832,0)),"")</f>
        <v/>
      </c>
      <c r="O833" s="13"/>
      <c r="P833" s="19"/>
    </row>
    <row r="834" spans="1:16" ht="15.75" customHeight="1" x14ac:dyDescent="0.3">
      <c r="A834" s="8" t="str">
        <f ca="1">IFERROR(__xludf.DUMMYFUNCTION("IF(B834="""","""",RIGHT(regexreplace(B834&amp;"""",""[^0-9]"",""""),9))"),"")</f>
        <v/>
      </c>
      <c r="B834" s="5"/>
      <c r="C834" s="5"/>
      <c r="D834" s="5"/>
      <c r="E834" s="15"/>
      <c r="F834" s="15"/>
      <c r="G834" s="15"/>
      <c r="H834" s="15"/>
      <c r="I834" s="15"/>
      <c r="J834" s="15"/>
      <c r="K834" s="9" t="str">
        <f ca="1">IF(COUNTIFS($A$2:A834,A834,$L$2:L834,L834)&gt;1,"DUPLICATE - CHECK","")</f>
        <v/>
      </c>
      <c r="L834" s="17"/>
      <c r="M834" s="17"/>
      <c r="N834" s="9">
        <f ca="1">IF(COUNTIF($A$2:A833,A834)&gt;0,INDEX($C$2:C833,MATCH(A834,$A$2:A833,0)),"")</f>
        <v>0</v>
      </c>
      <c r="O834" s="13"/>
      <c r="P834" s="19"/>
    </row>
    <row r="835" spans="1:16" ht="15.75" customHeight="1" x14ac:dyDescent="0.3">
      <c r="A835" s="8" t="str">
        <f ca="1">IFERROR(__xludf.DUMMYFUNCTION("IF(B835="""","""",RIGHT(regexreplace(B835&amp;"""",""[^0-9]"",""""),9))"),"")</f>
        <v/>
      </c>
      <c r="B835" s="5"/>
      <c r="C835" s="5"/>
      <c r="D835" s="5"/>
      <c r="E835" s="15"/>
      <c r="F835" s="15"/>
      <c r="G835" s="15"/>
      <c r="H835" s="15"/>
      <c r="I835" s="15"/>
      <c r="J835" s="15"/>
      <c r="K835" s="9" t="str">
        <f ca="1">IF(COUNTIFS($A$2:A835,A835,$L$2:L835,L835)&gt;1,"DUPLICATE - CHECK","")</f>
        <v/>
      </c>
      <c r="L835" s="17"/>
      <c r="M835" s="17"/>
      <c r="N835" s="9">
        <f ca="1">IF(COUNTIF($A$2:A834,A835)&gt;0,INDEX($C$2:C834,MATCH(A835,$A$2:A834,0)),"")</f>
        <v>0</v>
      </c>
      <c r="O835" s="13"/>
      <c r="P835" s="19"/>
    </row>
    <row r="836" spans="1:16" ht="15.75" customHeight="1" x14ac:dyDescent="0.3">
      <c r="A836" s="8" t="str">
        <f ca="1">IFERROR(__xludf.DUMMYFUNCTION("IF(B836="""","""",RIGHT(regexreplace(B836&amp;"""",""[^0-9]"",""""),9))"),"")</f>
        <v/>
      </c>
      <c r="B836" s="5"/>
      <c r="C836" s="5"/>
      <c r="D836" s="5"/>
      <c r="E836" s="15"/>
      <c r="F836" s="15"/>
      <c r="G836" s="15"/>
      <c r="H836" s="15"/>
      <c r="I836" s="15"/>
      <c r="J836" s="15"/>
      <c r="K836" s="9" t="str">
        <f ca="1">IF(COUNTIFS($A$2:A836,A836,$L$2:L836,L836)&gt;1,"DUPLICATE - CHECK","")</f>
        <v/>
      </c>
      <c r="L836" s="17"/>
      <c r="M836" s="17"/>
      <c r="N836" s="9" t="str">
        <f t="array" aca="1" ref="N836" ca="1">IF(COUNTIF($A$2:A835,A)&gt;0,INDEX($C$2:C835,MATCH(A836,$A$2:A835,0)),"")</f>
        <v/>
      </c>
      <c r="O836" s="13"/>
      <c r="P836" s="19"/>
    </row>
    <row r="837" spans="1:16" ht="15.75" customHeight="1" x14ac:dyDescent="0.3">
      <c r="A837" s="8" t="str">
        <f ca="1">IFERROR(__xludf.DUMMYFUNCTION("IF(B837="""","""",RIGHT(regexreplace(B837&amp;"""",""[^0-9]"",""""),9))"),"")</f>
        <v/>
      </c>
      <c r="B837" s="5"/>
      <c r="C837" s="5"/>
      <c r="D837" s="5"/>
      <c r="E837" s="15"/>
      <c r="F837" s="15"/>
      <c r="G837" s="15"/>
      <c r="H837" s="15"/>
      <c r="I837" s="15"/>
      <c r="J837" s="15"/>
      <c r="K837" s="9" t="str">
        <f ca="1">IF(COUNTIFS($A$2:A837,A837,$L$2:L837,L837)&gt;1,"DUPLICATE - CHECK","")</f>
        <v/>
      </c>
      <c r="L837" s="17"/>
      <c r="M837" s="17"/>
      <c r="N837" s="9">
        <f ca="1">IF(COUNTIF($A$2:A836,A837)&gt;0,INDEX($C$2:C836,MATCH(A837,$A$2:A836,0)),"")</f>
        <v>0</v>
      </c>
      <c r="O837" s="13"/>
      <c r="P837" s="19"/>
    </row>
    <row r="838" spans="1:16" ht="15.75" customHeight="1" x14ac:dyDescent="0.3">
      <c r="A838" s="8" t="str">
        <f ca="1">IFERROR(__xludf.DUMMYFUNCTION("IF(B838="""","""",RIGHT(regexreplace(B838&amp;"""",""[^0-9]"",""""),9))"),"")</f>
        <v/>
      </c>
      <c r="B838" s="5"/>
      <c r="C838" s="5"/>
      <c r="D838" s="5"/>
      <c r="E838" s="15"/>
      <c r="F838" s="15"/>
      <c r="G838" s="15"/>
      <c r="H838" s="15"/>
      <c r="I838" s="15"/>
      <c r="J838" s="15"/>
      <c r="K838" s="9" t="str">
        <f ca="1">IF(COUNTIFS($A$2:A838,A838,$L$2:L838,L838)&gt;1,"DUPLICATE - CHECK","")</f>
        <v/>
      </c>
      <c r="L838" s="17"/>
      <c r="M838" s="17"/>
      <c r="N838" s="9">
        <f ca="1">IF(COUNTIF($A$2:A837,A838)&gt;0,INDEX($C$2:C837,MATCH(A838,$A$2:A837,0)),"")</f>
        <v>0</v>
      </c>
      <c r="O838" s="13"/>
      <c r="P838" s="19"/>
    </row>
    <row r="839" spans="1:16" ht="15.75" customHeight="1" x14ac:dyDescent="0.3">
      <c r="A839" s="8" t="str">
        <f ca="1">IFERROR(__xludf.DUMMYFUNCTION("IF(B839="""","""",RIGHT(regexreplace(B839&amp;"""",""[^0-9]"",""""),9))"),"")</f>
        <v/>
      </c>
      <c r="B839" s="5"/>
      <c r="C839" s="5"/>
      <c r="D839" s="5"/>
      <c r="E839" s="15"/>
      <c r="F839" s="15"/>
      <c r="G839" s="15"/>
      <c r="H839" s="15"/>
      <c r="I839" s="15"/>
      <c r="J839" s="15"/>
      <c r="K839" s="9" t="str">
        <f ca="1">IF(COUNTIFS($A$2:A839,A839,$L$2:L839,L839)&gt;1,"DUPLICATE - CHECK","")</f>
        <v/>
      </c>
      <c r="L839" s="17"/>
      <c r="M839" s="17"/>
      <c r="N839" s="9" t="str">
        <f t="array" aca="1" ref="N839" ca="1">IF(COUNTIF($A$2:A838,A)&gt;0,INDEX($C$2:C838,MATCH(A839,$A$2:A838,0)),"")</f>
        <v/>
      </c>
      <c r="O839" s="13"/>
      <c r="P839" s="19"/>
    </row>
    <row r="840" spans="1:16" ht="15.75" customHeight="1" x14ac:dyDescent="0.3">
      <c r="A840" s="8" t="str">
        <f ca="1">IFERROR(__xludf.DUMMYFUNCTION("IF(B840="""","""",RIGHT(regexreplace(B840&amp;"""",""[^0-9]"",""""),9))"),"")</f>
        <v/>
      </c>
      <c r="B840" s="5"/>
      <c r="C840" s="5"/>
      <c r="D840" s="5"/>
      <c r="E840" s="15"/>
      <c r="F840" s="15"/>
      <c r="G840" s="15"/>
      <c r="H840" s="15"/>
      <c r="I840" s="15"/>
      <c r="J840" s="15"/>
      <c r="K840" s="9" t="str">
        <f ca="1">IF(COUNTIFS($A$2:A840,A840,$L$2:L840,L840)&gt;1,"DUPLICATE - CHECK","")</f>
        <v/>
      </c>
      <c r="L840" s="17"/>
      <c r="M840" s="17"/>
      <c r="N840" s="9">
        <f ca="1">IF(COUNTIF($A$2:A839,A840)&gt;0,INDEX($C$2:C839,MATCH(A840,$A$2:A839,0)),"")</f>
        <v>0</v>
      </c>
      <c r="O840" s="13"/>
      <c r="P840" s="19"/>
    </row>
    <row r="841" spans="1:16" ht="15.75" customHeight="1" x14ac:dyDescent="0.3">
      <c r="A841" s="8" t="str">
        <f ca="1">IFERROR(__xludf.DUMMYFUNCTION("IF(B841="""","""",RIGHT(regexreplace(B841&amp;"""",""[^0-9]"",""""),9))"),"")</f>
        <v/>
      </c>
      <c r="B841" s="5"/>
      <c r="C841" s="5"/>
      <c r="D841" s="5"/>
      <c r="E841" s="15"/>
      <c r="F841" s="15"/>
      <c r="G841" s="15"/>
      <c r="H841" s="15"/>
      <c r="I841" s="15"/>
      <c r="J841" s="15"/>
      <c r="K841" s="9" t="str">
        <f ca="1">IF(COUNTIFS($A$2:A841,A841,$L$2:L841,L841)&gt;1,"DUPLICATE - CHECK","")</f>
        <v/>
      </c>
      <c r="L841" s="17"/>
      <c r="M841" s="17"/>
      <c r="N841" s="9">
        <f ca="1">IF(COUNTIF($A$2:A840,A841)&gt;0,INDEX($C$2:C840,MATCH(A841,$A$2:A840,0)),"")</f>
        <v>0</v>
      </c>
      <c r="O841" s="13"/>
      <c r="P841" s="19"/>
    </row>
    <row r="842" spans="1:16" ht="15.75" customHeight="1" x14ac:dyDescent="0.3">
      <c r="A842" s="8" t="str">
        <f ca="1">IFERROR(__xludf.DUMMYFUNCTION("IF(B842="""","""",RIGHT(regexreplace(B842&amp;"""",""[^0-9]"",""""),9))"),"")</f>
        <v/>
      </c>
      <c r="B842" s="5"/>
      <c r="C842" s="5"/>
      <c r="D842" s="5"/>
      <c r="E842" s="15"/>
      <c r="F842" s="15"/>
      <c r="G842" s="15"/>
      <c r="H842" s="15"/>
      <c r="I842" s="15"/>
      <c r="J842" s="15"/>
      <c r="K842" s="9" t="str">
        <f ca="1">IF(COUNTIFS($A$2:A842,A842,$L$2:L842,L842)&gt;1,"DUPLICATE - CHECK","")</f>
        <v/>
      </c>
      <c r="L842" s="17"/>
      <c r="M842" s="17"/>
      <c r="N842" s="9" t="str">
        <f t="array" aca="1" ref="N842" ca="1">IF(COUNTIF($A$2:A841,A)&gt;0,INDEX($C$2:C841,MATCH(A842,$A$2:A841,0)),"")</f>
        <v/>
      </c>
      <c r="O842" s="13"/>
      <c r="P842" s="19"/>
    </row>
    <row r="843" spans="1:16" ht="15.75" customHeight="1" x14ac:dyDescent="0.3">
      <c r="A843" s="8" t="str">
        <f ca="1">IFERROR(__xludf.DUMMYFUNCTION("IF(B843="""","""",RIGHT(regexreplace(B843&amp;"""",""[^0-9]"",""""),9))"),"")</f>
        <v/>
      </c>
      <c r="B843" s="5"/>
      <c r="C843" s="5"/>
      <c r="D843" s="5"/>
      <c r="E843" s="15"/>
      <c r="F843" s="15"/>
      <c r="G843" s="15"/>
      <c r="H843" s="15"/>
      <c r="I843" s="15"/>
      <c r="J843" s="15"/>
      <c r="K843" s="9" t="str">
        <f ca="1">IF(COUNTIFS($A$2:A843,A843,$L$2:L843,L843)&gt;1,"DUPLICATE - CHECK","")</f>
        <v/>
      </c>
      <c r="L843" s="17"/>
      <c r="M843" s="17"/>
      <c r="N843" s="9">
        <f ca="1">IF(COUNTIF($A$2:A842,A843)&gt;0,INDEX($C$2:C842,MATCH(A843,$A$2:A842,0)),"")</f>
        <v>0</v>
      </c>
      <c r="O843" s="13"/>
      <c r="P843" s="19"/>
    </row>
    <row r="844" spans="1:16" ht="15.75" customHeight="1" x14ac:dyDescent="0.3">
      <c r="A844" s="8" t="str">
        <f ca="1">IFERROR(__xludf.DUMMYFUNCTION("IF(B844="""","""",RIGHT(regexreplace(B844&amp;"""",""[^0-9]"",""""),9))"),"")</f>
        <v/>
      </c>
      <c r="B844" s="5"/>
      <c r="C844" s="5"/>
      <c r="D844" s="5"/>
      <c r="E844" s="15"/>
      <c r="F844" s="15"/>
      <c r="G844" s="15"/>
      <c r="H844" s="15"/>
      <c r="I844" s="15"/>
      <c r="J844" s="15"/>
      <c r="K844" s="9" t="str">
        <f ca="1">IF(COUNTIFS($A$2:A844,A844,$L$2:L844,L844)&gt;1,"DUPLICATE - CHECK","")</f>
        <v/>
      </c>
      <c r="L844" s="17"/>
      <c r="M844" s="17"/>
      <c r="N844" s="9">
        <f ca="1">IF(COUNTIF($A$2:A843,A844)&gt;0,INDEX($C$2:C843,MATCH(A844,$A$2:A843,0)),"")</f>
        <v>0</v>
      </c>
      <c r="O844" s="13"/>
      <c r="P844" s="19"/>
    </row>
    <row r="845" spans="1:16" ht="15.75" customHeight="1" x14ac:dyDescent="0.3">
      <c r="A845" s="8" t="str">
        <f ca="1">IFERROR(__xludf.DUMMYFUNCTION("IF(B845="""","""",RIGHT(regexreplace(B845&amp;"""",""[^0-9]"",""""),9))"),"")</f>
        <v/>
      </c>
      <c r="B845" s="5"/>
      <c r="C845" s="5"/>
      <c r="D845" s="5"/>
      <c r="E845" s="15"/>
      <c r="F845" s="15"/>
      <c r="G845" s="15"/>
      <c r="H845" s="15"/>
      <c r="I845" s="15"/>
      <c r="J845" s="15"/>
      <c r="K845" s="9" t="str">
        <f ca="1">IF(COUNTIFS($A$2:A845,A845,$L$2:L845,L845)&gt;1,"DUPLICATE - CHECK","")</f>
        <v/>
      </c>
      <c r="L845" s="17"/>
      <c r="M845" s="17"/>
      <c r="N845" s="9" t="str">
        <f t="array" aca="1" ref="N845" ca="1">IF(COUNTIF($A$2:A844,A)&gt;0,INDEX($C$2:C844,MATCH(A845,$A$2:A844,0)),"")</f>
        <v/>
      </c>
      <c r="O845" s="13"/>
      <c r="P845" s="19"/>
    </row>
    <row r="846" spans="1:16" ht="15.75" customHeight="1" x14ac:dyDescent="0.3">
      <c r="A846" s="8" t="str">
        <f ca="1">IFERROR(__xludf.DUMMYFUNCTION("IF(B846="""","""",RIGHT(regexreplace(B846&amp;"""",""[^0-9]"",""""),9))"),"")</f>
        <v/>
      </c>
      <c r="B846" s="5"/>
      <c r="C846" s="5"/>
      <c r="D846" s="5"/>
      <c r="E846" s="15"/>
      <c r="F846" s="15"/>
      <c r="G846" s="15"/>
      <c r="H846" s="15"/>
      <c r="I846" s="15"/>
      <c r="J846" s="15"/>
      <c r="K846" s="9" t="str">
        <f ca="1">IF(COUNTIFS($A$2:A846,A846,$L$2:L846,L846)&gt;1,"DUPLICATE - CHECK","")</f>
        <v/>
      </c>
      <c r="L846" s="17"/>
      <c r="M846" s="17"/>
      <c r="N846" s="9">
        <f ca="1">IF(COUNTIF($A$2:A845,A846)&gt;0,INDEX($C$2:C845,MATCH(A846,$A$2:A845,0)),"")</f>
        <v>0</v>
      </c>
      <c r="O846" s="13"/>
      <c r="P846" s="19"/>
    </row>
    <row r="847" spans="1:16" ht="15.75" customHeight="1" x14ac:dyDescent="0.3">
      <c r="A847" s="8" t="str">
        <f ca="1">IFERROR(__xludf.DUMMYFUNCTION("IF(B847="""","""",RIGHT(regexreplace(B847&amp;"""",""[^0-9]"",""""),9))"),"")</f>
        <v/>
      </c>
      <c r="B847" s="5"/>
      <c r="C847" s="5"/>
      <c r="D847" s="5"/>
      <c r="E847" s="15"/>
      <c r="F847" s="15"/>
      <c r="G847" s="15"/>
      <c r="H847" s="15"/>
      <c r="I847" s="15"/>
      <c r="J847" s="15"/>
      <c r="K847" s="9" t="str">
        <f ca="1">IF(COUNTIFS($A$2:A847,A847,$L$2:L847,L847)&gt;1,"DUPLICATE - CHECK","")</f>
        <v/>
      </c>
      <c r="L847" s="17"/>
      <c r="M847" s="17"/>
      <c r="N847" s="9">
        <f ca="1">IF(COUNTIF($A$2:A846,A847)&gt;0,INDEX($C$2:C846,MATCH(A847,$A$2:A846,0)),"")</f>
        <v>0</v>
      </c>
      <c r="O847" s="13"/>
      <c r="P847" s="19"/>
    </row>
    <row r="848" spans="1:16" ht="15.75" customHeight="1" x14ac:dyDescent="0.3">
      <c r="A848" s="8" t="str">
        <f ca="1">IFERROR(__xludf.DUMMYFUNCTION("IF(B848="""","""",RIGHT(regexreplace(B848&amp;"""",""[^0-9]"",""""),9))"),"")</f>
        <v/>
      </c>
      <c r="B848" s="5"/>
      <c r="C848" s="5"/>
      <c r="D848" s="5"/>
      <c r="E848" s="15"/>
      <c r="F848" s="15"/>
      <c r="G848" s="15"/>
      <c r="H848" s="15"/>
      <c r="I848" s="15"/>
      <c r="J848" s="15"/>
      <c r="K848" s="9" t="str">
        <f ca="1">IF(COUNTIFS($A$2:A848,A848,$L$2:L848,L848)&gt;1,"DUPLICATE - CHECK","")</f>
        <v/>
      </c>
      <c r="L848" s="17"/>
      <c r="M848" s="17"/>
      <c r="N848" s="9" t="str">
        <f t="array" aca="1" ref="N848" ca="1">IF(COUNTIF($A$2:A847,A)&gt;0,INDEX($C$2:C847,MATCH(A848,$A$2:A847,0)),"")</f>
        <v/>
      </c>
      <c r="O848" s="13"/>
      <c r="P848" s="19"/>
    </row>
    <row r="849" spans="1:16" ht="15.75" customHeight="1" x14ac:dyDescent="0.3">
      <c r="A849" s="8" t="str">
        <f ca="1">IFERROR(__xludf.DUMMYFUNCTION("IF(B849="""","""",RIGHT(regexreplace(B849&amp;"""",""[^0-9]"",""""),9))"),"")</f>
        <v/>
      </c>
      <c r="B849" s="5"/>
      <c r="C849" s="5"/>
      <c r="D849" s="5"/>
      <c r="E849" s="15"/>
      <c r="F849" s="15"/>
      <c r="G849" s="15"/>
      <c r="H849" s="15"/>
      <c r="I849" s="15"/>
      <c r="J849" s="15"/>
      <c r="K849" s="9" t="str">
        <f ca="1">IF(COUNTIFS($A$2:A849,A849,$L$2:L849,L849)&gt;1,"DUPLICATE - CHECK","")</f>
        <v/>
      </c>
      <c r="L849" s="17"/>
      <c r="M849" s="17"/>
      <c r="N849" s="9">
        <f ca="1">IF(COUNTIF($A$2:A848,A849)&gt;0,INDEX($C$2:C848,MATCH(A849,$A$2:A848,0)),"")</f>
        <v>0</v>
      </c>
      <c r="O849" s="13"/>
      <c r="P849" s="19"/>
    </row>
    <row r="850" spans="1:16" ht="15.75" customHeight="1" x14ac:dyDescent="0.3">
      <c r="A850" s="8" t="str">
        <f ca="1">IFERROR(__xludf.DUMMYFUNCTION("IF(B850="""","""",RIGHT(regexreplace(B850&amp;"""",""[^0-9]"",""""),9))"),"")</f>
        <v/>
      </c>
      <c r="B850" s="5"/>
      <c r="C850" s="5"/>
      <c r="D850" s="5"/>
      <c r="E850" s="15"/>
      <c r="F850" s="15"/>
      <c r="G850" s="15"/>
      <c r="H850" s="15"/>
      <c r="I850" s="15"/>
      <c r="J850" s="15"/>
      <c r="K850" s="9" t="str">
        <f ca="1">IF(COUNTIFS($A$2:A850,A850,$L$2:L850,L850)&gt;1,"DUPLICATE - CHECK","")</f>
        <v/>
      </c>
      <c r="L850" s="17"/>
      <c r="M850" s="17"/>
      <c r="N850" s="9">
        <f ca="1">IF(COUNTIF($A$2:A849,A850)&gt;0,INDEX($C$2:C849,MATCH(A850,$A$2:A849,0)),"")</f>
        <v>0</v>
      </c>
      <c r="O850" s="13"/>
      <c r="P850" s="19"/>
    </row>
    <row r="851" spans="1:16" ht="15.75" customHeight="1" x14ac:dyDescent="0.3">
      <c r="A851" s="8" t="str">
        <f ca="1">IFERROR(__xludf.DUMMYFUNCTION("IF(B851="""","""",RIGHT(regexreplace(B851&amp;"""",""[^0-9]"",""""),9))"),"")</f>
        <v/>
      </c>
      <c r="B851" s="5"/>
      <c r="C851" s="5"/>
      <c r="D851" s="5"/>
      <c r="E851" s="15"/>
      <c r="F851" s="15"/>
      <c r="G851" s="15"/>
      <c r="H851" s="15"/>
      <c r="I851" s="15"/>
      <c r="J851" s="15"/>
      <c r="K851" s="9" t="str">
        <f ca="1">IF(COUNTIFS($A$2:A851,A851,$L$2:L851,L851)&gt;1,"DUPLICATE - CHECK","")</f>
        <v/>
      </c>
      <c r="L851" s="17"/>
      <c r="M851" s="17"/>
      <c r="N851" s="9" t="str">
        <f t="array" aca="1" ref="N851" ca="1">IF(COUNTIF($A$2:A850,A)&gt;0,INDEX($C$2:C850,MATCH(A851,$A$2:A850,0)),"")</f>
        <v/>
      </c>
      <c r="O851" s="13"/>
      <c r="P851" s="19"/>
    </row>
    <row r="852" spans="1:16" ht="15.75" customHeight="1" x14ac:dyDescent="0.3">
      <c r="A852" s="8" t="str">
        <f ca="1">IFERROR(__xludf.DUMMYFUNCTION("IF(B852="""","""",RIGHT(regexreplace(B852&amp;"""",""[^0-9]"",""""),9))"),"")</f>
        <v/>
      </c>
      <c r="B852" s="5"/>
      <c r="C852" s="5"/>
      <c r="D852" s="5"/>
      <c r="E852" s="15"/>
      <c r="F852" s="15"/>
      <c r="G852" s="15"/>
      <c r="H852" s="15"/>
      <c r="I852" s="15"/>
      <c r="J852" s="15"/>
      <c r="K852" s="9" t="str">
        <f ca="1">IF(COUNTIFS($A$2:A852,A852,$L$2:L852,L852)&gt;1,"DUPLICATE - CHECK","")</f>
        <v/>
      </c>
      <c r="L852" s="17"/>
      <c r="M852" s="17"/>
      <c r="N852" s="9">
        <f ca="1">IF(COUNTIF($A$2:A851,A852)&gt;0,INDEX($C$2:C851,MATCH(A852,$A$2:A851,0)),"")</f>
        <v>0</v>
      </c>
      <c r="O852" s="13"/>
      <c r="P852" s="19"/>
    </row>
    <row r="853" spans="1:16" ht="15.75" customHeight="1" x14ac:dyDescent="0.3">
      <c r="A853" s="8" t="str">
        <f ca="1">IFERROR(__xludf.DUMMYFUNCTION("IF(B853="""","""",RIGHT(regexreplace(B853&amp;"""",""[^0-9]"",""""),9))"),"")</f>
        <v/>
      </c>
      <c r="B853" s="5"/>
      <c r="C853" s="5"/>
      <c r="D853" s="5"/>
      <c r="E853" s="15"/>
      <c r="F853" s="15"/>
      <c r="G853" s="15"/>
      <c r="H853" s="15"/>
      <c r="I853" s="15"/>
      <c r="J853" s="15"/>
      <c r="K853" s="9" t="str">
        <f ca="1">IF(COUNTIFS($A$2:A853,A853,$L$2:L853,L853)&gt;1,"DUPLICATE - CHECK","")</f>
        <v/>
      </c>
      <c r="L853" s="17"/>
      <c r="M853" s="17"/>
      <c r="N853" s="9">
        <f ca="1">IF(COUNTIF($A$2:A852,A853)&gt;0,INDEX($C$2:C852,MATCH(A853,$A$2:A852,0)),"")</f>
        <v>0</v>
      </c>
      <c r="O853" s="13"/>
      <c r="P853" s="19"/>
    </row>
    <row r="854" spans="1:16" ht="15.75" customHeight="1" x14ac:dyDescent="0.3">
      <c r="A854" s="8" t="str">
        <f ca="1">IFERROR(__xludf.DUMMYFUNCTION("IF(B854="""","""",RIGHT(regexreplace(B854&amp;"""",""[^0-9]"",""""),9))"),"")</f>
        <v/>
      </c>
      <c r="B854" s="5"/>
      <c r="C854" s="5"/>
      <c r="D854" s="5"/>
      <c r="E854" s="15"/>
      <c r="F854" s="15"/>
      <c r="G854" s="15"/>
      <c r="H854" s="15"/>
      <c r="I854" s="15"/>
      <c r="J854" s="15"/>
      <c r="K854" s="9" t="str">
        <f ca="1">IF(COUNTIFS($A$2:A854,A854,$L$2:L854,L854)&gt;1,"DUPLICATE - CHECK","")</f>
        <v/>
      </c>
      <c r="L854" s="17"/>
      <c r="M854" s="17"/>
      <c r="N854" s="9" t="str">
        <f t="array" aca="1" ref="N854" ca="1">IF(COUNTIF($A$2:A853,A)&gt;0,INDEX($C$2:C853,MATCH(A854,$A$2:A853,0)),"")</f>
        <v/>
      </c>
      <c r="O854" s="13"/>
      <c r="P854" s="19"/>
    </row>
    <row r="855" spans="1:16" ht="15.75" customHeight="1" x14ac:dyDescent="0.3">
      <c r="A855" s="8" t="str">
        <f ca="1">IFERROR(__xludf.DUMMYFUNCTION("IF(B855="""","""",RIGHT(regexreplace(B855&amp;"""",""[^0-9]"",""""),9))"),"")</f>
        <v/>
      </c>
      <c r="B855" s="5"/>
      <c r="C855" s="5"/>
      <c r="D855" s="5"/>
      <c r="E855" s="15"/>
      <c r="F855" s="15"/>
      <c r="G855" s="15"/>
      <c r="H855" s="15"/>
      <c r="I855" s="15"/>
      <c r="J855" s="15"/>
      <c r="K855" s="9" t="str">
        <f ca="1">IF(COUNTIFS($A$2:A855,A855,$L$2:L855,L855)&gt;1,"DUPLICATE - CHECK","")</f>
        <v/>
      </c>
      <c r="L855" s="17"/>
      <c r="M855" s="17"/>
      <c r="N855" s="9">
        <f ca="1">IF(COUNTIF($A$2:A854,A855)&gt;0,INDEX($C$2:C854,MATCH(A855,$A$2:A854,0)),"")</f>
        <v>0</v>
      </c>
      <c r="O855" s="13"/>
      <c r="P855" s="19"/>
    </row>
    <row r="856" spans="1:16" ht="15.75" customHeight="1" x14ac:dyDescent="0.3">
      <c r="A856" s="8" t="str">
        <f ca="1">IFERROR(__xludf.DUMMYFUNCTION("IF(B856="""","""",RIGHT(regexreplace(B856&amp;"""",""[^0-9]"",""""),9))"),"")</f>
        <v/>
      </c>
      <c r="B856" s="5"/>
      <c r="C856" s="5"/>
      <c r="D856" s="5"/>
      <c r="E856" s="15"/>
      <c r="F856" s="15"/>
      <c r="G856" s="15"/>
      <c r="H856" s="15"/>
      <c r="I856" s="15"/>
      <c r="J856" s="15"/>
      <c r="K856" s="9" t="str">
        <f ca="1">IF(COUNTIFS($A$2:A856,A856,$L$2:L856,L856)&gt;1,"DUPLICATE - CHECK","")</f>
        <v/>
      </c>
      <c r="L856" s="17"/>
      <c r="M856" s="17"/>
      <c r="N856" s="9">
        <f ca="1">IF(COUNTIF($A$2:A855,A856)&gt;0,INDEX($C$2:C855,MATCH(A856,$A$2:A855,0)),"")</f>
        <v>0</v>
      </c>
      <c r="O856" s="13"/>
      <c r="P856" s="19"/>
    </row>
    <row r="857" spans="1:16" ht="15.75" customHeight="1" x14ac:dyDescent="0.3">
      <c r="A857" s="8" t="str">
        <f ca="1">IFERROR(__xludf.DUMMYFUNCTION("IF(B857="""","""",RIGHT(regexreplace(B857&amp;"""",""[^0-9]"",""""),9))"),"")</f>
        <v/>
      </c>
      <c r="B857" s="5"/>
      <c r="C857" s="5"/>
      <c r="D857" s="5"/>
      <c r="E857" s="15"/>
      <c r="F857" s="15"/>
      <c r="G857" s="15"/>
      <c r="H857" s="15"/>
      <c r="I857" s="15"/>
      <c r="J857" s="15"/>
      <c r="K857" s="9" t="str">
        <f ca="1">IF(COUNTIFS($A$2:A857,A857,$L$2:L857,L857)&gt;1,"DUPLICATE - CHECK","")</f>
        <v/>
      </c>
      <c r="L857" s="17"/>
      <c r="M857" s="17"/>
      <c r="N857" s="9" t="str">
        <f t="array" aca="1" ref="N857" ca="1">IF(COUNTIF($A$2:A856,A)&gt;0,INDEX($C$2:C856,MATCH(A857,$A$2:A856,0)),"")</f>
        <v/>
      </c>
      <c r="O857" s="13"/>
      <c r="P857" s="19"/>
    </row>
    <row r="858" spans="1:16" ht="15.75" customHeight="1" x14ac:dyDescent="0.3">
      <c r="A858" s="8" t="str">
        <f ca="1">IFERROR(__xludf.DUMMYFUNCTION("IF(B858="""","""",RIGHT(regexreplace(B858&amp;"""",""[^0-9]"",""""),9))"),"")</f>
        <v/>
      </c>
      <c r="B858" s="5"/>
      <c r="C858" s="5"/>
      <c r="D858" s="5"/>
      <c r="E858" s="15"/>
      <c r="F858" s="15"/>
      <c r="G858" s="15"/>
      <c r="H858" s="15"/>
      <c r="I858" s="15"/>
      <c r="J858" s="15"/>
      <c r="K858" s="9" t="str">
        <f ca="1">IF(COUNTIFS($A$2:A858,A858,$L$2:L858,L858)&gt;1,"DUPLICATE - CHECK","")</f>
        <v/>
      </c>
      <c r="L858" s="17"/>
      <c r="M858" s="17"/>
      <c r="N858" s="9">
        <f ca="1">IF(COUNTIF($A$2:A857,A858)&gt;0,INDEX($C$2:C857,MATCH(A858,$A$2:A857,0)),"")</f>
        <v>0</v>
      </c>
      <c r="O858" s="13"/>
      <c r="P858" s="19"/>
    </row>
    <row r="859" spans="1:16" ht="15.75" customHeight="1" x14ac:dyDescent="0.3">
      <c r="A859" s="8" t="str">
        <f ca="1">IFERROR(__xludf.DUMMYFUNCTION("IF(B859="""","""",RIGHT(regexreplace(B859&amp;"""",""[^0-9]"",""""),9))"),"")</f>
        <v/>
      </c>
      <c r="B859" s="5"/>
      <c r="C859" s="5"/>
      <c r="D859" s="5"/>
      <c r="E859" s="15"/>
      <c r="F859" s="15"/>
      <c r="G859" s="15"/>
      <c r="H859" s="15"/>
      <c r="I859" s="15"/>
      <c r="J859" s="15"/>
      <c r="K859" s="9" t="str">
        <f ca="1">IF(COUNTIFS($A$2:A859,A859,$L$2:L859,L859)&gt;1,"DUPLICATE - CHECK","")</f>
        <v/>
      </c>
      <c r="L859" s="17"/>
      <c r="M859" s="17"/>
      <c r="N859" s="9">
        <f ca="1">IF(COUNTIF($A$2:A858,A859)&gt;0,INDEX($C$2:C858,MATCH(A859,$A$2:A858,0)),"")</f>
        <v>0</v>
      </c>
      <c r="O859" s="13"/>
      <c r="P859" s="19"/>
    </row>
    <row r="860" spans="1:16" ht="15.75" customHeight="1" x14ac:dyDescent="0.3">
      <c r="A860" s="8" t="str">
        <f ca="1">IFERROR(__xludf.DUMMYFUNCTION("IF(B860="""","""",RIGHT(regexreplace(B860&amp;"""",""[^0-9]"",""""),9))"),"")</f>
        <v/>
      </c>
      <c r="B860" s="5"/>
      <c r="C860" s="5"/>
      <c r="D860" s="5"/>
      <c r="E860" s="15"/>
      <c r="F860" s="15"/>
      <c r="G860" s="15"/>
      <c r="H860" s="15"/>
      <c r="I860" s="15"/>
      <c r="J860" s="15"/>
      <c r="K860" s="9" t="str">
        <f ca="1">IF(COUNTIFS($A$2:A860,A860,$L$2:L860,L860)&gt;1,"DUPLICATE - CHECK","")</f>
        <v/>
      </c>
      <c r="L860" s="17"/>
      <c r="M860" s="17"/>
      <c r="N860" s="9" t="str">
        <f t="array" aca="1" ref="N860" ca="1">IF(COUNTIF($A$2:A859,A)&gt;0,INDEX($C$2:C859,MATCH(A860,$A$2:A859,0)),"")</f>
        <v/>
      </c>
      <c r="O860" s="13"/>
      <c r="P860" s="19"/>
    </row>
    <row r="861" spans="1:16" ht="15.75" customHeight="1" x14ac:dyDescent="0.3">
      <c r="A861" s="8" t="str">
        <f ca="1">IFERROR(__xludf.DUMMYFUNCTION("IF(B861="""","""",RIGHT(regexreplace(B861&amp;"""",""[^0-9]"",""""),9))"),"")</f>
        <v/>
      </c>
      <c r="B861" s="5"/>
      <c r="C861" s="5"/>
      <c r="D861" s="5"/>
      <c r="E861" s="15"/>
      <c r="F861" s="15"/>
      <c r="G861" s="15"/>
      <c r="H861" s="15"/>
      <c r="I861" s="15"/>
      <c r="J861" s="15"/>
      <c r="K861" s="9" t="str">
        <f ca="1">IF(COUNTIFS($A$2:A861,A861,$L$2:L861,L861)&gt;1,"DUPLICATE - CHECK","")</f>
        <v/>
      </c>
      <c r="L861" s="17"/>
      <c r="M861" s="17"/>
      <c r="N861" s="9">
        <f ca="1">IF(COUNTIF($A$2:A860,A861)&gt;0,INDEX($C$2:C860,MATCH(A861,$A$2:A860,0)),"")</f>
        <v>0</v>
      </c>
      <c r="O861" s="13"/>
      <c r="P861" s="19"/>
    </row>
    <row r="862" spans="1:16" ht="15.75" customHeight="1" x14ac:dyDescent="0.3">
      <c r="A862" s="8" t="str">
        <f ca="1">IFERROR(__xludf.DUMMYFUNCTION("IF(B862="""","""",RIGHT(regexreplace(B862&amp;"""",""[^0-9]"",""""),9))"),"")</f>
        <v/>
      </c>
      <c r="B862" s="5"/>
      <c r="C862" s="5"/>
      <c r="D862" s="5"/>
      <c r="E862" s="15"/>
      <c r="F862" s="15"/>
      <c r="G862" s="15"/>
      <c r="H862" s="15"/>
      <c r="I862" s="15"/>
      <c r="J862" s="15"/>
      <c r="K862" s="9" t="str">
        <f ca="1">IF(COUNTIFS($A$2:A862,A862,$L$2:L862,L862)&gt;1,"DUPLICATE - CHECK","")</f>
        <v/>
      </c>
      <c r="L862" s="17"/>
      <c r="M862" s="17"/>
      <c r="N862" s="9">
        <f ca="1">IF(COUNTIF($A$2:A861,A862)&gt;0,INDEX($C$2:C861,MATCH(A862,$A$2:A861,0)),"")</f>
        <v>0</v>
      </c>
      <c r="O862" s="13"/>
      <c r="P862" s="19"/>
    </row>
    <row r="863" spans="1:16" ht="15.75" customHeight="1" x14ac:dyDescent="0.3">
      <c r="A863" s="8" t="str">
        <f ca="1">IFERROR(__xludf.DUMMYFUNCTION("IF(B863="""","""",RIGHT(regexreplace(B863&amp;"""",""[^0-9]"",""""),9))"),"")</f>
        <v/>
      </c>
      <c r="B863" s="5"/>
      <c r="C863" s="5"/>
      <c r="D863" s="5"/>
      <c r="E863" s="15"/>
      <c r="F863" s="15"/>
      <c r="G863" s="15"/>
      <c r="H863" s="15"/>
      <c r="I863" s="15"/>
      <c r="J863" s="15"/>
      <c r="K863" s="9" t="str">
        <f ca="1">IF(COUNTIFS($A$2:A863,A863,$L$2:L863,L863)&gt;1,"DUPLICATE - CHECK","")</f>
        <v/>
      </c>
      <c r="L863" s="17"/>
      <c r="M863" s="17"/>
      <c r="N863" s="9" t="str">
        <f t="array" aca="1" ref="N863" ca="1">IF(COUNTIF($A$2:A862,A)&gt;0,INDEX($C$2:C862,MATCH(A863,$A$2:A862,0)),"")</f>
        <v/>
      </c>
      <c r="O863" s="13"/>
      <c r="P863" s="19"/>
    </row>
    <row r="864" spans="1:16" ht="15.75" customHeight="1" x14ac:dyDescent="0.3">
      <c r="A864" s="8" t="str">
        <f ca="1">IFERROR(__xludf.DUMMYFUNCTION("IF(B864="""","""",RIGHT(regexreplace(B864&amp;"""",""[^0-9]"",""""),9))"),"")</f>
        <v/>
      </c>
      <c r="B864" s="5"/>
      <c r="C864" s="5"/>
      <c r="D864" s="5"/>
      <c r="E864" s="15"/>
      <c r="F864" s="15"/>
      <c r="G864" s="15"/>
      <c r="H864" s="15"/>
      <c r="I864" s="15"/>
      <c r="J864" s="15"/>
      <c r="K864" s="9" t="str">
        <f ca="1">IF(COUNTIFS($A$2:A864,A864,$L$2:L864,L864)&gt;1,"DUPLICATE - CHECK","")</f>
        <v/>
      </c>
      <c r="L864" s="17"/>
      <c r="M864" s="17"/>
      <c r="N864" s="9">
        <f ca="1">IF(COUNTIF($A$2:A863,A864)&gt;0,INDEX($C$2:C863,MATCH(A864,$A$2:A863,0)),"")</f>
        <v>0</v>
      </c>
      <c r="O864" s="13"/>
      <c r="P864" s="19"/>
    </row>
    <row r="865" spans="1:16" ht="15.75" customHeight="1" x14ac:dyDescent="0.3">
      <c r="A865" s="8" t="str">
        <f ca="1">IFERROR(__xludf.DUMMYFUNCTION("IF(B865="""","""",RIGHT(regexreplace(B865&amp;"""",""[^0-9]"",""""),9))"),"")</f>
        <v/>
      </c>
      <c r="B865" s="5"/>
      <c r="C865" s="5"/>
      <c r="D865" s="5"/>
      <c r="E865" s="15"/>
      <c r="F865" s="15"/>
      <c r="G865" s="15"/>
      <c r="H865" s="15"/>
      <c r="I865" s="15"/>
      <c r="J865" s="15"/>
      <c r="K865" s="9" t="str">
        <f ca="1">IF(COUNTIFS($A$2:A865,A865,$L$2:L865,L865)&gt;1,"DUPLICATE - CHECK","")</f>
        <v/>
      </c>
      <c r="L865" s="17"/>
      <c r="M865" s="17"/>
      <c r="N865" s="9">
        <f ca="1">IF(COUNTIF($A$2:A864,A865)&gt;0,INDEX($C$2:C864,MATCH(A865,$A$2:A864,0)),"")</f>
        <v>0</v>
      </c>
      <c r="O865" s="13"/>
      <c r="P865" s="19"/>
    </row>
    <row r="866" spans="1:16" ht="15.75" customHeight="1" x14ac:dyDescent="0.3">
      <c r="A866" s="8" t="str">
        <f ca="1">IFERROR(__xludf.DUMMYFUNCTION("IF(B866="""","""",RIGHT(regexreplace(B866&amp;"""",""[^0-9]"",""""),9))"),"")</f>
        <v/>
      </c>
      <c r="B866" s="5"/>
      <c r="C866" s="5"/>
      <c r="D866" s="5"/>
      <c r="E866" s="15"/>
      <c r="F866" s="15"/>
      <c r="G866" s="15"/>
      <c r="H866" s="15"/>
      <c r="I866" s="15"/>
      <c r="J866" s="15"/>
      <c r="K866" s="9" t="str">
        <f ca="1">IF(COUNTIFS($A$2:A866,A866,$L$2:L866,L866)&gt;1,"DUPLICATE - CHECK","")</f>
        <v/>
      </c>
      <c r="L866" s="17"/>
      <c r="M866" s="17"/>
      <c r="N866" s="9" t="str">
        <f t="array" aca="1" ref="N866" ca="1">IF(COUNTIF($A$2:A865,A)&gt;0,INDEX($C$2:C865,MATCH(A866,$A$2:A865,0)),"")</f>
        <v/>
      </c>
      <c r="O866" s="13"/>
      <c r="P866" s="19"/>
    </row>
    <row r="867" spans="1:16" ht="15.75" customHeight="1" x14ac:dyDescent="0.3">
      <c r="A867" s="8" t="str">
        <f ca="1">IFERROR(__xludf.DUMMYFUNCTION("IF(B867="""","""",RIGHT(regexreplace(B867&amp;"""",""[^0-9]"",""""),9))"),"")</f>
        <v/>
      </c>
      <c r="B867" s="5"/>
      <c r="C867" s="5"/>
      <c r="D867" s="5"/>
      <c r="E867" s="15"/>
      <c r="F867" s="15"/>
      <c r="G867" s="15"/>
      <c r="H867" s="15"/>
      <c r="I867" s="15"/>
      <c r="J867" s="15"/>
      <c r="K867" s="9" t="str">
        <f ca="1">IF(COUNTIFS($A$2:A867,A867,$L$2:L867,L867)&gt;1,"DUPLICATE - CHECK","")</f>
        <v/>
      </c>
      <c r="L867" s="17"/>
      <c r="M867" s="17"/>
      <c r="N867" s="9">
        <f ca="1">IF(COUNTIF($A$2:A866,A867)&gt;0,INDEX($C$2:C866,MATCH(A867,$A$2:A866,0)),"")</f>
        <v>0</v>
      </c>
      <c r="O867" s="13"/>
      <c r="P867" s="19"/>
    </row>
    <row r="868" spans="1:16" ht="15.75" customHeight="1" x14ac:dyDescent="0.3">
      <c r="A868" s="8" t="str">
        <f ca="1">IFERROR(__xludf.DUMMYFUNCTION("IF(B868="""","""",RIGHT(regexreplace(B868&amp;"""",""[^0-9]"",""""),9))"),"")</f>
        <v/>
      </c>
      <c r="B868" s="5"/>
      <c r="C868" s="5"/>
      <c r="D868" s="5"/>
      <c r="E868" s="15"/>
      <c r="F868" s="15"/>
      <c r="G868" s="15"/>
      <c r="H868" s="15"/>
      <c r="I868" s="15"/>
      <c r="J868" s="15"/>
      <c r="K868" s="9" t="str">
        <f ca="1">IF(COUNTIFS($A$2:A868,A868,$L$2:L868,L868)&gt;1,"DUPLICATE - CHECK","")</f>
        <v/>
      </c>
      <c r="L868" s="17"/>
      <c r="M868" s="17"/>
      <c r="N868" s="9">
        <f ca="1">IF(COUNTIF($A$2:A867,A868)&gt;0,INDEX($C$2:C867,MATCH(A868,$A$2:A867,0)),"")</f>
        <v>0</v>
      </c>
      <c r="O868" s="13"/>
      <c r="P868" s="19"/>
    </row>
    <row r="869" spans="1:16" ht="15.75" customHeight="1" x14ac:dyDescent="0.3">
      <c r="A869" s="8" t="str">
        <f ca="1">IFERROR(__xludf.DUMMYFUNCTION("IF(B869="""","""",RIGHT(regexreplace(B869&amp;"""",""[^0-9]"",""""),9))"),"")</f>
        <v/>
      </c>
      <c r="B869" s="5"/>
      <c r="C869" s="5"/>
      <c r="D869" s="5"/>
      <c r="E869" s="15"/>
      <c r="F869" s="15"/>
      <c r="G869" s="15"/>
      <c r="H869" s="15"/>
      <c r="I869" s="15"/>
      <c r="J869" s="15"/>
      <c r="K869" s="9" t="str">
        <f ca="1">IF(COUNTIFS($A$2:A869,A869,$L$2:L869,L869)&gt;1,"DUPLICATE - CHECK","")</f>
        <v/>
      </c>
      <c r="L869" s="17"/>
      <c r="M869" s="17"/>
      <c r="N869" s="9" t="str">
        <f t="array" aca="1" ref="N869" ca="1">IF(COUNTIF($A$2:A868,A)&gt;0,INDEX($C$2:C868,MATCH(A869,$A$2:A868,0)),"")</f>
        <v/>
      </c>
      <c r="O869" s="13"/>
      <c r="P869" s="19"/>
    </row>
    <row r="870" spans="1:16" ht="15.75" customHeight="1" x14ac:dyDescent="0.3">
      <c r="A870" s="8" t="str">
        <f ca="1">IFERROR(__xludf.DUMMYFUNCTION("IF(B870="""","""",RIGHT(regexreplace(B870&amp;"""",""[^0-9]"",""""),9))"),"")</f>
        <v/>
      </c>
      <c r="B870" s="5"/>
      <c r="C870" s="5"/>
      <c r="D870" s="5"/>
      <c r="E870" s="15"/>
      <c r="F870" s="15"/>
      <c r="G870" s="15"/>
      <c r="H870" s="15"/>
      <c r="I870" s="15"/>
      <c r="J870" s="15"/>
      <c r="K870" s="9" t="str">
        <f ca="1">IF(COUNTIFS($A$2:A870,A870,$L$2:L870,L870)&gt;1,"DUPLICATE - CHECK","")</f>
        <v/>
      </c>
      <c r="L870" s="17"/>
      <c r="M870" s="17"/>
      <c r="N870" s="9">
        <f ca="1">IF(COUNTIF($A$2:A869,A870)&gt;0,INDEX($C$2:C869,MATCH(A870,$A$2:A869,0)),"")</f>
        <v>0</v>
      </c>
      <c r="O870" s="13"/>
      <c r="P870" s="19"/>
    </row>
    <row r="871" spans="1:16" ht="15.75" customHeight="1" x14ac:dyDescent="0.3">
      <c r="A871" s="8" t="str">
        <f ca="1">IFERROR(__xludf.DUMMYFUNCTION("IF(B871="""","""",RIGHT(regexreplace(B871&amp;"""",""[^0-9]"",""""),9))"),"")</f>
        <v/>
      </c>
      <c r="B871" s="5"/>
      <c r="C871" s="5"/>
      <c r="D871" s="5"/>
      <c r="E871" s="15"/>
      <c r="F871" s="15"/>
      <c r="G871" s="15"/>
      <c r="H871" s="15"/>
      <c r="I871" s="15"/>
      <c r="J871" s="15"/>
      <c r="K871" s="9" t="str">
        <f ca="1">IF(COUNTIFS($A$2:A871,A871,$L$2:L871,L871)&gt;1,"DUPLICATE - CHECK","")</f>
        <v/>
      </c>
      <c r="L871" s="17"/>
      <c r="M871" s="17"/>
      <c r="N871" s="9">
        <f ca="1">IF(COUNTIF($A$2:A870,A871)&gt;0,INDEX($C$2:C870,MATCH(A871,$A$2:A870,0)),"")</f>
        <v>0</v>
      </c>
      <c r="O871" s="13"/>
      <c r="P871" s="19"/>
    </row>
    <row r="872" spans="1:16" ht="15.75" customHeight="1" x14ac:dyDescent="0.3">
      <c r="A872" s="8" t="str">
        <f ca="1">IFERROR(__xludf.DUMMYFUNCTION("IF(B872="""","""",RIGHT(regexreplace(B872&amp;"""",""[^0-9]"",""""),9))"),"")</f>
        <v/>
      </c>
      <c r="B872" s="5"/>
      <c r="C872" s="5"/>
      <c r="D872" s="5"/>
      <c r="E872" s="15"/>
      <c r="F872" s="15"/>
      <c r="G872" s="15"/>
      <c r="H872" s="15"/>
      <c r="I872" s="15"/>
      <c r="J872" s="15"/>
      <c r="K872" s="9" t="str">
        <f ca="1">IF(COUNTIFS($A$2:A872,A872,$L$2:L872,L872)&gt;1,"DUPLICATE - CHECK","")</f>
        <v/>
      </c>
      <c r="L872" s="17"/>
      <c r="M872" s="17"/>
      <c r="N872" s="9" t="str">
        <f t="array" aca="1" ref="N872" ca="1">IF(COUNTIF($A$2:A871,A)&gt;0,INDEX($C$2:C871,MATCH(A872,$A$2:A871,0)),"")</f>
        <v/>
      </c>
      <c r="O872" s="13"/>
      <c r="P872" s="19"/>
    </row>
    <row r="873" spans="1:16" ht="15.75" customHeight="1" x14ac:dyDescent="0.3">
      <c r="A873" s="8" t="str">
        <f ca="1">IFERROR(__xludf.DUMMYFUNCTION("IF(B873="""","""",RIGHT(regexreplace(B873&amp;"""",""[^0-9]"",""""),9))"),"")</f>
        <v/>
      </c>
      <c r="B873" s="5"/>
      <c r="C873" s="5"/>
      <c r="D873" s="5"/>
      <c r="E873" s="15"/>
      <c r="F873" s="15"/>
      <c r="G873" s="15"/>
      <c r="H873" s="15"/>
      <c r="I873" s="15"/>
      <c r="J873" s="15"/>
      <c r="K873" s="9" t="str">
        <f ca="1">IF(COUNTIFS($A$2:A873,A873,$L$2:L873,L873)&gt;1,"DUPLICATE - CHECK","")</f>
        <v/>
      </c>
      <c r="L873" s="17"/>
      <c r="M873" s="17"/>
      <c r="N873" s="9">
        <f ca="1">IF(COUNTIF($A$2:A872,A873)&gt;0,INDEX($C$2:C872,MATCH(A873,$A$2:A872,0)),"")</f>
        <v>0</v>
      </c>
      <c r="O873" s="13"/>
      <c r="P873" s="19"/>
    </row>
    <row r="874" spans="1:16" ht="15.75" customHeight="1" x14ac:dyDescent="0.3">
      <c r="A874" s="8" t="str">
        <f ca="1">IFERROR(__xludf.DUMMYFUNCTION("IF(B874="""","""",RIGHT(regexreplace(B874&amp;"""",""[^0-9]"",""""),9))"),"")</f>
        <v/>
      </c>
      <c r="B874" s="5"/>
      <c r="C874" s="5"/>
      <c r="D874" s="5"/>
      <c r="E874" s="15"/>
      <c r="F874" s="15"/>
      <c r="G874" s="15"/>
      <c r="H874" s="15"/>
      <c r="I874" s="15"/>
      <c r="J874" s="15"/>
      <c r="K874" s="9" t="str">
        <f ca="1">IF(COUNTIFS($A$2:A874,A874,$L$2:L874,L874)&gt;1,"DUPLICATE - CHECK","")</f>
        <v/>
      </c>
      <c r="L874" s="17"/>
      <c r="M874" s="17"/>
      <c r="N874" s="9">
        <f ca="1">IF(COUNTIF($A$2:A873,A874)&gt;0,INDEX($C$2:C873,MATCH(A874,$A$2:A873,0)),"")</f>
        <v>0</v>
      </c>
      <c r="O874" s="13"/>
      <c r="P874" s="19"/>
    </row>
    <row r="875" spans="1:16" ht="15.75" customHeight="1" x14ac:dyDescent="0.3">
      <c r="A875" s="8" t="str">
        <f ca="1">IFERROR(__xludf.DUMMYFUNCTION("IF(B875="""","""",RIGHT(regexreplace(B875&amp;"""",""[^0-9]"",""""),9))"),"")</f>
        <v/>
      </c>
      <c r="B875" s="5"/>
      <c r="C875" s="5"/>
      <c r="D875" s="5"/>
      <c r="E875" s="15"/>
      <c r="F875" s="15"/>
      <c r="G875" s="15"/>
      <c r="H875" s="15"/>
      <c r="I875" s="15"/>
      <c r="J875" s="15"/>
      <c r="K875" s="9" t="str">
        <f ca="1">IF(COUNTIFS($A$2:A875,A875,$L$2:L875,L875)&gt;1,"DUPLICATE - CHECK","")</f>
        <v/>
      </c>
      <c r="L875" s="17"/>
      <c r="M875" s="17"/>
      <c r="N875" s="9" t="str">
        <f t="array" aca="1" ref="N875" ca="1">IF(COUNTIF($A$2:A874,A)&gt;0,INDEX($C$2:C874,MATCH(A875,$A$2:A874,0)),"")</f>
        <v/>
      </c>
      <c r="O875" s="13"/>
      <c r="P875" s="19"/>
    </row>
    <row r="876" spans="1:16" ht="15.75" customHeight="1" x14ac:dyDescent="0.3">
      <c r="A876" s="8" t="str">
        <f ca="1">IFERROR(__xludf.DUMMYFUNCTION("IF(B876="""","""",RIGHT(regexreplace(B876&amp;"""",""[^0-9]"",""""),9))"),"")</f>
        <v/>
      </c>
      <c r="B876" s="5"/>
      <c r="C876" s="5"/>
      <c r="D876" s="5"/>
      <c r="E876" s="15"/>
      <c r="F876" s="15"/>
      <c r="G876" s="15"/>
      <c r="H876" s="15"/>
      <c r="I876" s="15"/>
      <c r="J876" s="15"/>
      <c r="K876" s="9" t="str">
        <f ca="1">IF(COUNTIFS($A$2:A876,A876,$L$2:L876,L876)&gt;1,"DUPLICATE - CHECK","")</f>
        <v/>
      </c>
      <c r="L876" s="17"/>
      <c r="M876" s="17"/>
      <c r="N876" s="9">
        <f ca="1">IF(COUNTIF($A$2:A875,A876)&gt;0,INDEX($C$2:C875,MATCH(A876,$A$2:A875,0)),"")</f>
        <v>0</v>
      </c>
      <c r="O876" s="13"/>
      <c r="P876" s="19"/>
    </row>
    <row r="877" spans="1:16" ht="15.75" customHeight="1" x14ac:dyDescent="0.3">
      <c r="A877" s="8" t="str">
        <f ca="1">IFERROR(__xludf.DUMMYFUNCTION("IF(B877="""","""",RIGHT(regexreplace(B877&amp;"""",""[^0-9]"",""""),9))"),"")</f>
        <v/>
      </c>
      <c r="B877" s="5"/>
      <c r="C877" s="5"/>
      <c r="D877" s="5"/>
      <c r="E877" s="15"/>
      <c r="F877" s="15"/>
      <c r="G877" s="15"/>
      <c r="H877" s="15"/>
      <c r="I877" s="15"/>
      <c r="J877" s="15"/>
      <c r="K877" s="9" t="str">
        <f ca="1">IF(COUNTIFS($A$2:A877,A877,$L$2:L877,L877)&gt;1,"DUPLICATE - CHECK","")</f>
        <v/>
      </c>
      <c r="L877" s="17"/>
      <c r="M877" s="17"/>
      <c r="N877" s="9">
        <f ca="1">IF(COUNTIF($A$2:A876,A877)&gt;0,INDEX($C$2:C876,MATCH(A877,$A$2:A876,0)),"")</f>
        <v>0</v>
      </c>
      <c r="O877" s="13"/>
      <c r="P877" s="19"/>
    </row>
    <row r="878" spans="1:16" ht="15.75" customHeight="1" x14ac:dyDescent="0.3">
      <c r="A878" s="8" t="str">
        <f ca="1">IFERROR(__xludf.DUMMYFUNCTION("IF(B878="""","""",RIGHT(regexreplace(B878&amp;"""",""[^0-9]"",""""),9))"),"")</f>
        <v/>
      </c>
      <c r="B878" s="5"/>
      <c r="C878" s="5"/>
      <c r="D878" s="5"/>
      <c r="E878" s="15"/>
      <c r="F878" s="15"/>
      <c r="G878" s="15"/>
      <c r="H878" s="15"/>
      <c r="I878" s="15"/>
      <c r="J878" s="15"/>
      <c r="K878" s="9" t="str">
        <f ca="1">IF(COUNTIFS($A$2:A878,A878,$L$2:L878,L878)&gt;1,"DUPLICATE - CHECK","")</f>
        <v/>
      </c>
      <c r="L878" s="17"/>
      <c r="M878" s="17"/>
      <c r="N878" s="9" t="str">
        <f t="array" aca="1" ref="N878" ca="1">IF(COUNTIF($A$2:A877,A)&gt;0,INDEX($C$2:C877,MATCH(A878,$A$2:A877,0)),"")</f>
        <v/>
      </c>
      <c r="O878" s="13"/>
      <c r="P878" s="19"/>
    </row>
    <row r="879" spans="1:16" ht="15.75" customHeight="1" x14ac:dyDescent="0.3">
      <c r="A879" s="8" t="str">
        <f ca="1">IFERROR(__xludf.DUMMYFUNCTION("IF(B879="""","""",RIGHT(regexreplace(B879&amp;"""",""[^0-9]"",""""),9))"),"")</f>
        <v/>
      </c>
      <c r="B879" s="5"/>
      <c r="C879" s="5"/>
      <c r="D879" s="5"/>
      <c r="E879" s="15"/>
      <c r="F879" s="15"/>
      <c r="G879" s="15"/>
      <c r="H879" s="15"/>
      <c r="I879" s="15"/>
      <c r="J879" s="15"/>
      <c r="K879" s="9" t="str">
        <f ca="1">IF(COUNTIFS($A$2:A879,A879,$L$2:L879,L879)&gt;1,"DUPLICATE - CHECK","")</f>
        <v/>
      </c>
      <c r="L879" s="17"/>
      <c r="M879" s="17"/>
      <c r="N879" s="9">
        <f ca="1">IF(COUNTIF($A$2:A878,A879)&gt;0,INDEX($C$2:C878,MATCH(A879,$A$2:A878,0)),"")</f>
        <v>0</v>
      </c>
      <c r="O879" s="13"/>
      <c r="P879" s="19"/>
    </row>
    <row r="880" spans="1:16" ht="15.75" customHeight="1" x14ac:dyDescent="0.3">
      <c r="A880" s="8" t="str">
        <f ca="1">IFERROR(__xludf.DUMMYFUNCTION("IF(B880="""","""",RIGHT(regexreplace(B880&amp;"""",""[^0-9]"",""""),9))"),"")</f>
        <v/>
      </c>
      <c r="B880" s="5"/>
      <c r="C880" s="5"/>
      <c r="D880" s="5"/>
      <c r="E880" s="15"/>
      <c r="F880" s="15"/>
      <c r="G880" s="15"/>
      <c r="H880" s="15"/>
      <c r="I880" s="15"/>
      <c r="J880" s="15"/>
      <c r="K880" s="9" t="str">
        <f ca="1">IF(COUNTIFS($A$2:A880,A880,$L$2:L880,L880)&gt;1,"DUPLICATE - CHECK","")</f>
        <v/>
      </c>
      <c r="L880" s="17"/>
      <c r="M880" s="17"/>
      <c r="N880" s="9">
        <f ca="1">IF(COUNTIF($A$2:A879,A880)&gt;0,INDEX($C$2:C879,MATCH(A880,$A$2:A879,0)),"")</f>
        <v>0</v>
      </c>
      <c r="O880" s="13"/>
      <c r="P880" s="19"/>
    </row>
    <row r="881" spans="1:16" ht="15.75" customHeight="1" x14ac:dyDescent="0.3">
      <c r="A881" s="8" t="str">
        <f ca="1">IFERROR(__xludf.DUMMYFUNCTION("IF(B881="""","""",RIGHT(regexreplace(B881&amp;"""",""[^0-9]"",""""),9))"),"")</f>
        <v/>
      </c>
      <c r="B881" s="5"/>
      <c r="C881" s="5"/>
      <c r="D881" s="5"/>
      <c r="E881" s="15"/>
      <c r="F881" s="15"/>
      <c r="G881" s="15"/>
      <c r="H881" s="15"/>
      <c r="I881" s="15"/>
      <c r="J881" s="15"/>
      <c r="K881" s="9" t="str">
        <f ca="1">IF(COUNTIFS($A$2:A881,A881,$L$2:L881,L881)&gt;1,"DUPLICATE - CHECK","")</f>
        <v/>
      </c>
      <c r="L881" s="17"/>
      <c r="M881" s="17"/>
      <c r="N881" s="9" t="str">
        <f t="array" aca="1" ref="N881" ca="1">IF(COUNTIF($A$2:A880,A)&gt;0,INDEX($C$2:C880,MATCH(A881,$A$2:A880,0)),"")</f>
        <v/>
      </c>
      <c r="O881" s="13"/>
      <c r="P881" s="19"/>
    </row>
    <row r="882" spans="1:16" ht="15.75" customHeight="1" x14ac:dyDescent="0.3">
      <c r="A882" s="8" t="str">
        <f ca="1">IFERROR(__xludf.DUMMYFUNCTION("IF(B882="""","""",RIGHT(regexreplace(B882&amp;"""",""[^0-9]"",""""),9))"),"")</f>
        <v/>
      </c>
      <c r="B882" s="5"/>
      <c r="C882" s="5"/>
      <c r="D882" s="5"/>
      <c r="E882" s="15"/>
      <c r="F882" s="15"/>
      <c r="G882" s="15"/>
      <c r="H882" s="15"/>
      <c r="I882" s="15"/>
      <c r="J882" s="15"/>
      <c r="K882" s="9" t="str">
        <f ca="1">IF(COUNTIFS($A$2:A882,A882,$L$2:L882,L882)&gt;1,"DUPLICATE - CHECK","")</f>
        <v/>
      </c>
      <c r="L882" s="17"/>
      <c r="M882" s="17"/>
      <c r="N882" s="9">
        <f ca="1">IF(COUNTIF($A$2:A881,A882)&gt;0,INDEX($C$2:C881,MATCH(A882,$A$2:A881,0)),"")</f>
        <v>0</v>
      </c>
      <c r="O882" s="13"/>
      <c r="P882" s="19"/>
    </row>
    <row r="883" spans="1:16" ht="15.75" customHeight="1" x14ac:dyDescent="0.3">
      <c r="A883" s="8" t="str">
        <f ca="1">IFERROR(__xludf.DUMMYFUNCTION("IF(B883="""","""",RIGHT(regexreplace(B883&amp;"""",""[^0-9]"",""""),9))"),"")</f>
        <v/>
      </c>
      <c r="B883" s="5"/>
      <c r="C883" s="5"/>
      <c r="D883" s="5"/>
      <c r="E883" s="15"/>
      <c r="F883" s="15"/>
      <c r="G883" s="15"/>
      <c r="H883" s="15"/>
      <c r="I883" s="15"/>
      <c r="J883" s="15"/>
      <c r="K883" s="9" t="str">
        <f ca="1">IF(COUNTIFS($A$2:A883,A883,$L$2:L883,L883)&gt;1,"DUPLICATE - CHECK","")</f>
        <v/>
      </c>
      <c r="L883" s="17"/>
      <c r="M883" s="17"/>
      <c r="N883" s="9">
        <f ca="1">IF(COUNTIF($A$2:A882,A883)&gt;0,INDEX($C$2:C882,MATCH(A883,$A$2:A882,0)),"")</f>
        <v>0</v>
      </c>
      <c r="O883" s="13"/>
      <c r="P883" s="19"/>
    </row>
    <row r="884" spans="1:16" ht="15.75" customHeight="1" x14ac:dyDescent="0.3">
      <c r="A884" s="8" t="str">
        <f ca="1">IFERROR(__xludf.DUMMYFUNCTION("IF(B884="""","""",RIGHT(regexreplace(B884&amp;"""",""[^0-9]"",""""),9))"),"")</f>
        <v/>
      </c>
      <c r="B884" s="5"/>
      <c r="C884" s="5"/>
      <c r="D884" s="5"/>
      <c r="E884" s="15"/>
      <c r="F884" s="15"/>
      <c r="G884" s="15"/>
      <c r="H884" s="15"/>
      <c r="I884" s="15"/>
      <c r="J884" s="15"/>
      <c r="K884" s="9" t="str">
        <f ca="1">IF(COUNTIFS($A$2:A884,A884,$L$2:L884,L884)&gt;1,"DUPLICATE - CHECK","")</f>
        <v/>
      </c>
      <c r="L884" s="17"/>
      <c r="M884" s="17"/>
      <c r="N884" s="9" t="str">
        <f t="array" aca="1" ref="N884" ca="1">IF(COUNTIF($A$2:A883,A)&gt;0,INDEX($C$2:C883,MATCH(A884,$A$2:A883,0)),"")</f>
        <v/>
      </c>
      <c r="O884" s="13"/>
      <c r="P884" s="19"/>
    </row>
    <row r="885" spans="1:16" ht="15.75" customHeight="1" x14ac:dyDescent="0.3">
      <c r="A885" s="8" t="str">
        <f ca="1">IFERROR(__xludf.DUMMYFUNCTION("IF(B885="""","""",RIGHT(regexreplace(B885&amp;"""",""[^0-9]"",""""),9))"),"")</f>
        <v/>
      </c>
      <c r="B885" s="5"/>
      <c r="C885" s="5"/>
      <c r="D885" s="5"/>
      <c r="E885" s="15"/>
      <c r="F885" s="15"/>
      <c r="G885" s="15"/>
      <c r="H885" s="15"/>
      <c r="I885" s="15"/>
      <c r="J885" s="15"/>
      <c r="K885" s="9" t="str">
        <f ca="1">IF(COUNTIFS($A$2:A885,A885,$L$2:L885,L885)&gt;1,"DUPLICATE - CHECK","")</f>
        <v/>
      </c>
      <c r="L885" s="17"/>
      <c r="M885" s="17"/>
      <c r="N885" s="9">
        <f ca="1">IF(COUNTIF($A$2:A884,A885)&gt;0,INDEX($C$2:C884,MATCH(A885,$A$2:A884,0)),"")</f>
        <v>0</v>
      </c>
      <c r="O885" s="13"/>
      <c r="P885" s="19"/>
    </row>
    <row r="886" spans="1:16" ht="15.75" customHeight="1" x14ac:dyDescent="0.3">
      <c r="A886" s="8" t="str">
        <f ca="1">IFERROR(__xludf.DUMMYFUNCTION("IF(B886="""","""",RIGHT(regexreplace(B886&amp;"""",""[^0-9]"",""""),9))"),"")</f>
        <v/>
      </c>
      <c r="B886" s="5"/>
      <c r="C886" s="5"/>
      <c r="D886" s="5"/>
      <c r="E886" s="15"/>
      <c r="F886" s="15"/>
      <c r="G886" s="15"/>
      <c r="H886" s="15"/>
      <c r="I886" s="15"/>
      <c r="J886" s="15"/>
      <c r="K886" s="9" t="str">
        <f ca="1">IF(COUNTIFS($A$2:A886,A886,$L$2:L886,L886)&gt;1,"DUPLICATE - CHECK","")</f>
        <v/>
      </c>
      <c r="L886" s="17"/>
      <c r="M886" s="17"/>
      <c r="N886" s="9">
        <f ca="1">IF(COUNTIF($A$2:A885,A886)&gt;0,INDEX($C$2:C885,MATCH(A886,$A$2:A885,0)),"")</f>
        <v>0</v>
      </c>
      <c r="O886" s="13"/>
      <c r="P886" s="19"/>
    </row>
    <row r="887" spans="1:16" ht="15.75" customHeight="1" x14ac:dyDescent="0.3">
      <c r="A887" s="8" t="str">
        <f ca="1">IFERROR(__xludf.DUMMYFUNCTION("IF(B887="""","""",RIGHT(regexreplace(B887&amp;"""",""[^0-9]"",""""),9))"),"")</f>
        <v/>
      </c>
      <c r="B887" s="5"/>
      <c r="C887" s="5"/>
      <c r="D887" s="5"/>
      <c r="E887" s="15"/>
      <c r="F887" s="15"/>
      <c r="G887" s="15"/>
      <c r="H887" s="15"/>
      <c r="I887" s="15"/>
      <c r="J887" s="15"/>
      <c r="K887" s="9" t="str">
        <f ca="1">IF(COUNTIFS($A$2:A887,A887,$L$2:L887,L887)&gt;1,"DUPLICATE - CHECK","")</f>
        <v/>
      </c>
      <c r="L887" s="17"/>
      <c r="M887" s="17"/>
      <c r="N887" s="9" t="str">
        <f t="array" aca="1" ref="N887" ca="1">IF(COUNTIF($A$2:A886,A)&gt;0,INDEX($C$2:C886,MATCH(A887,$A$2:A886,0)),"")</f>
        <v/>
      </c>
      <c r="O887" s="13"/>
      <c r="P887" s="19"/>
    </row>
    <row r="888" spans="1:16" ht="15.75" customHeight="1" x14ac:dyDescent="0.3">
      <c r="A888" s="8" t="str">
        <f ca="1">IFERROR(__xludf.DUMMYFUNCTION("IF(B888="""","""",RIGHT(regexreplace(B888&amp;"""",""[^0-9]"",""""),9))"),"")</f>
        <v/>
      </c>
      <c r="B888" s="5"/>
      <c r="C888" s="5"/>
      <c r="D888" s="5"/>
      <c r="E888" s="15"/>
      <c r="F888" s="15"/>
      <c r="G888" s="15"/>
      <c r="H888" s="15"/>
      <c r="I888" s="15"/>
      <c r="J888" s="15"/>
      <c r="K888" s="9" t="str">
        <f ca="1">IF(COUNTIFS($A$2:A888,A888,$L$2:L888,L888)&gt;1,"DUPLICATE - CHECK","")</f>
        <v/>
      </c>
      <c r="L888" s="17"/>
      <c r="M888" s="17"/>
      <c r="N888" s="9">
        <f ca="1">IF(COUNTIF($A$2:A887,A888)&gt;0,INDEX($C$2:C887,MATCH(A888,$A$2:A887,0)),"")</f>
        <v>0</v>
      </c>
      <c r="O888" s="13"/>
      <c r="P888" s="19"/>
    </row>
    <row r="889" spans="1:16" ht="15.75" customHeight="1" x14ac:dyDescent="0.3">
      <c r="A889" s="8" t="str">
        <f ca="1">IFERROR(__xludf.DUMMYFUNCTION("IF(B889="""","""",RIGHT(regexreplace(B889&amp;"""",""[^0-9]"",""""),9))"),"")</f>
        <v/>
      </c>
      <c r="B889" s="5"/>
      <c r="C889" s="5"/>
      <c r="D889" s="5"/>
      <c r="E889" s="15"/>
      <c r="F889" s="15"/>
      <c r="G889" s="15"/>
      <c r="H889" s="15"/>
      <c r="I889" s="15"/>
      <c r="J889" s="15"/>
      <c r="K889" s="9" t="str">
        <f ca="1">IF(COUNTIFS($A$2:A889,A889,$L$2:L889,L889)&gt;1,"DUPLICATE - CHECK","")</f>
        <v/>
      </c>
      <c r="L889" s="17"/>
      <c r="M889" s="17"/>
      <c r="N889" s="9">
        <f ca="1">IF(COUNTIF($A$2:A888,A889)&gt;0,INDEX($C$2:C888,MATCH(A889,$A$2:A888,0)),"")</f>
        <v>0</v>
      </c>
      <c r="O889" s="13"/>
      <c r="P889" s="19"/>
    </row>
    <row r="890" spans="1:16" ht="15.75" customHeight="1" x14ac:dyDescent="0.3">
      <c r="A890" s="8" t="str">
        <f ca="1">IFERROR(__xludf.DUMMYFUNCTION("IF(B890="""","""",RIGHT(regexreplace(B890&amp;"""",""[^0-9]"",""""),9))"),"")</f>
        <v/>
      </c>
      <c r="B890" s="5"/>
      <c r="C890" s="5"/>
      <c r="D890" s="5"/>
      <c r="E890" s="15"/>
      <c r="F890" s="15"/>
      <c r="G890" s="15"/>
      <c r="H890" s="15"/>
      <c r="I890" s="15"/>
      <c r="J890" s="15"/>
      <c r="K890" s="9" t="str">
        <f ca="1">IF(COUNTIFS($A$2:A890,A890,$L$2:L890,L890)&gt;1,"DUPLICATE - CHECK","")</f>
        <v/>
      </c>
      <c r="L890" s="17"/>
      <c r="M890" s="17"/>
      <c r="N890" s="9" t="str">
        <f t="array" aca="1" ref="N890" ca="1">IF(COUNTIF($A$2:A889,A)&gt;0,INDEX($C$2:C889,MATCH(A890,$A$2:A889,0)),"")</f>
        <v/>
      </c>
      <c r="O890" s="13"/>
      <c r="P890" s="19"/>
    </row>
    <row r="891" spans="1:16" ht="15.75" customHeight="1" x14ac:dyDescent="0.3">
      <c r="A891" s="8" t="str">
        <f ca="1">IFERROR(__xludf.DUMMYFUNCTION("IF(B891="""","""",RIGHT(regexreplace(B891&amp;"""",""[^0-9]"",""""),9))"),"")</f>
        <v/>
      </c>
      <c r="B891" s="5"/>
      <c r="C891" s="5"/>
      <c r="D891" s="5"/>
      <c r="E891" s="15"/>
      <c r="F891" s="15"/>
      <c r="G891" s="15"/>
      <c r="H891" s="15"/>
      <c r="I891" s="15"/>
      <c r="J891" s="15"/>
      <c r="K891" s="9" t="str">
        <f ca="1">IF(COUNTIFS($A$2:A891,A891,$L$2:L891,L891)&gt;1,"DUPLICATE - CHECK","")</f>
        <v/>
      </c>
      <c r="L891" s="17"/>
      <c r="M891" s="17"/>
      <c r="N891" s="9">
        <f ca="1">IF(COUNTIF($A$2:A890,A891)&gt;0,INDEX($C$2:C890,MATCH(A891,$A$2:A890,0)),"")</f>
        <v>0</v>
      </c>
      <c r="O891" s="13"/>
      <c r="P891" s="19"/>
    </row>
    <row r="892" spans="1:16" ht="15.75" customHeight="1" x14ac:dyDescent="0.3">
      <c r="A892" s="8" t="str">
        <f ca="1">IFERROR(__xludf.DUMMYFUNCTION("IF(B892="""","""",RIGHT(regexreplace(B892&amp;"""",""[^0-9]"",""""),9))"),"")</f>
        <v/>
      </c>
      <c r="B892" s="5"/>
      <c r="C892" s="5"/>
      <c r="D892" s="5"/>
      <c r="E892" s="15"/>
      <c r="F892" s="15"/>
      <c r="G892" s="15"/>
      <c r="H892" s="15"/>
      <c r="I892" s="15"/>
      <c r="J892" s="15"/>
      <c r="K892" s="9" t="str">
        <f ca="1">IF(COUNTIFS($A$2:A892,A892,$L$2:L892,L892)&gt;1,"DUPLICATE - CHECK","")</f>
        <v/>
      </c>
      <c r="L892" s="17"/>
      <c r="M892" s="17"/>
      <c r="N892" s="9">
        <f ca="1">IF(COUNTIF($A$2:A891,A892)&gt;0,INDEX($C$2:C891,MATCH(A892,$A$2:A891,0)),"")</f>
        <v>0</v>
      </c>
      <c r="O892" s="13"/>
      <c r="P892" s="19"/>
    </row>
    <row r="893" spans="1:16" ht="15.75" customHeight="1" x14ac:dyDescent="0.3">
      <c r="A893" s="8" t="str">
        <f ca="1">IFERROR(__xludf.DUMMYFUNCTION("IF(B893="""","""",RIGHT(regexreplace(B893&amp;"""",""[^0-9]"",""""),9))"),"")</f>
        <v/>
      </c>
      <c r="B893" s="5"/>
      <c r="C893" s="5"/>
      <c r="D893" s="5"/>
      <c r="E893" s="15"/>
      <c r="F893" s="15"/>
      <c r="G893" s="15"/>
      <c r="H893" s="15"/>
      <c r="I893" s="15"/>
      <c r="J893" s="15"/>
      <c r="K893" s="9" t="str">
        <f ca="1">IF(COUNTIFS($A$2:A893,A893,$L$2:L893,L893)&gt;1,"DUPLICATE - CHECK","")</f>
        <v/>
      </c>
      <c r="L893" s="17"/>
      <c r="M893" s="17"/>
      <c r="N893" s="9" t="str">
        <f t="array" aca="1" ref="N893" ca="1">IF(COUNTIF($A$2:A892,A)&gt;0,INDEX($C$2:C892,MATCH(A893,$A$2:A892,0)),"")</f>
        <v/>
      </c>
      <c r="O893" s="13"/>
      <c r="P893" s="19"/>
    </row>
    <row r="894" spans="1:16" ht="15.75" customHeight="1" x14ac:dyDescent="0.3">
      <c r="A894" s="8" t="str">
        <f ca="1">IFERROR(__xludf.DUMMYFUNCTION("IF(B894="""","""",RIGHT(regexreplace(B894&amp;"""",""[^0-9]"",""""),9))"),"")</f>
        <v/>
      </c>
      <c r="B894" s="5"/>
      <c r="C894" s="5"/>
      <c r="D894" s="5"/>
      <c r="E894" s="15"/>
      <c r="F894" s="15"/>
      <c r="G894" s="15"/>
      <c r="H894" s="15"/>
      <c r="I894" s="15"/>
      <c r="J894" s="15"/>
      <c r="K894" s="9" t="str">
        <f ca="1">IF(COUNTIFS($A$2:A894,A894,$L$2:L894,L894)&gt;1,"DUPLICATE - CHECK","")</f>
        <v/>
      </c>
      <c r="L894" s="17"/>
      <c r="M894" s="17"/>
      <c r="N894" s="9">
        <f ca="1">IF(COUNTIF($A$2:A893,A894)&gt;0,INDEX($C$2:C893,MATCH(A894,$A$2:A893,0)),"")</f>
        <v>0</v>
      </c>
      <c r="O894" s="13"/>
      <c r="P894" s="19"/>
    </row>
    <row r="895" spans="1:16" ht="15.75" customHeight="1" x14ac:dyDescent="0.3">
      <c r="A895" s="8" t="str">
        <f ca="1">IFERROR(__xludf.DUMMYFUNCTION("IF(B895="""","""",RIGHT(regexreplace(B895&amp;"""",""[^0-9]"",""""),9))"),"")</f>
        <v/>
      </c>
      <c r="B895" s="5"/>
      <c r="C895" s="5"/>
      <c r="D895" s="5"/>
      <c r="E895" s="15"/>
      <c r="F895" s="15"/>
      <c r="G895" s="15"/>
      <c r="H895" s="15"/>
      <c r="I895" s="15"/>
      <c r="J895" s="15"/>
      <c r="K895" s="9" t="str">
        <f ca="1">IF(COUNTIFS($A$2:A895,A895,$L$2:L895,L895)&gt;1,"DUPLICATE - CHECK","")</f>
        <v/>
      </c>
      <c r="L895" s="17"/>
      <c r="M895" s="17"/>
      <c r="N895" s="9">
        <f ca="1">IF(COUNTIF($A$2:A894,A895)&gt;0,INDEX($C$2:C894,MATCH(A895,$A$2:A894,0)),"")</f>
        <v>0</v>
      </c>
      <c r="O895" s="13"/>
      <c r="P895" s="19"/>
    </row>
    <row r="896" spans="1:16" ht="15.75" customHeight="1" x14ac:dyDescent="0.3">
      <c r="A896" s="8" t="str">
        <f ca="1">IFERROR(__xludf.DUMMYFUNCTION("IF(B896="""","""",RIGHT(regexreplace(B896&amp;"""",""[^0-9]"",""""),9))"),"")</f>
        <v/>
      </c>
      <c r="B896" s="5"/>
      <c r="C896" s="5"/>
      <c r="D896" s="5"/>
      <c r="E896" s="15"/>
      <c r="F896" s="15"/>
      <c r="G896" s="15"/>
      <c r="H896" s="15"/>
      <c r="I896" s="15"/>
      <c r="J896" s="15"/>
      <c r="K896" s="9" t="str">
        <f ca="1">IF(COUNTIFS($A$2:A896,A896,$L$2:L896,L896)&gt;1,"DUPLICATE - CHECK","")</f>
        <v/>
      </c>
      <c r="L896" s="17"/>
      <c r="M896" s="17"/>
      <c r="N896" s="9" t="str">
        <f t="array" aca="1" ref="N896" ca="1">IF(COUNTIF($A$2:A895,A)&gt;0,INDEX($C$2:C895,MATCH(A896,$A$2:A895,0)),"")</f>
        <v/>
      </c>
      <c r="O896" s="13"/>
      <c r="P896" s="19"/>
    </row>
    <row r="897" spans="1:16" ht="15.75" customHeight="1" x14ac:dyDescent="0.3">
      <c r="A897" s="8" t="str">
        <f ca="1">IFERROR(__xludf.DUMMYFUNCTION("IF(B897="""","""",RIGHT(regexreplace(B897&amp;"""",""[^0-9]"",""""),9))"),"")</f>
        <v/>
      </c>
      <c r="B897" s="5"/>
      <c r="C897" s="5"/>
      <c r="D897" s="5"/>
      <c r="E897" s="15"/>
      <c r="F897" s="15"/>
      <c r="G897" s="15"/>
      <c r="H897" s="15"/>
      <c r="I897" s="15"/>
      <c r="J897" s="15"/>
      <c r="K897" s="9" t="str">
        <f ca="1">IF(COUNTIFS($A$2:A897,A897,$L$2:L897,L897)&gt;1,"DUPLICATE - CHECK","")</f>
        <v/>
      </c>
      <c r="L897" s="17"/>
      <c r="M897" s="17"/>
      <c r="N897" s="9">
        <f ca="1">IF(COUNTIF($A$2:A896,A897)&gt;0,INDEX($C$2:C896,MATCH(A897,$A$2:A896,0)),"")</f>
        <v>0</v>
      </c>
      <c r="O897" s="13"/>
      <c r="P897" s="19"/>
    </row>
    <row r="898" spans="1:16" ht="15.75" customHeight="1" x14ac:dyDescent="0.3">
      <c r="A898" s="8" t="str">
        <f ca="1">IFERROR(__xludf.DUMMYFUNCTION("IF(B898="""","""",RIGHT(regexreplace(B898&amp;"""",""[^0-9]"",""""),9))"),"")</f>
        <v/>
      </c>
      <c r="B898" s="5"/>
      <c r="C898" s="5"/>
      <c r="D898" s="5"/>
      <c r="E898" s="15"/>
      <c r="F898" s="15"/>
      <c r="G898" s="15"/>
      <c r="H898" s="15"/>
      <c r="I898" s="15"/>
      <c r="J898" s="15"/>
      <c r="K898" s="9" t="str">
        <f ca="1">IF(COUNTIFS($A$2:A898,A898,$L$2:L898,L898)&gt;1,"DUPLICATE - CHECK","")</f>
        <v/>
      </c>
      <c r="L898" s="17"/>
      <c r="M898" s="17"/>
      <c r="N898" s="9">
        <f ca="1">IF(COUNTIF($A$2:A897,A898)&gt;0,INDEX($C$2:C897,MATCH(A898,$A$2:A897,0)),"")</f>
        <v>0</v>
      </c>
      <c r="O898" s="13"/>
      <c r="P898" s="19"/>
    </row>
    <row r="899" spans="1:16" ht="15.75" customHeight="1" x14ac:dyDescent="0.3">
      <c r="A899" s="8" t="str">
        <f ca="1">IFERROR(__xludf.DUMMYFUNCTION("IF(B899="""","""",RIGHT(regexreplace(B899&amp;"""",""[^0-9]"",""""),9))"),"")</f>
        <v/>
      </c>
      <c r="B899" s="5"/>
      <c r="C899" s="5"/>
      <c r="D899" s="5"/>
      <c r="E899" s="15"/>
      <c r="F899" s="15"/>
      <c r="G899" s="15"/>
      <c r="H899" s="15"/>
      <c r="I899" s="15"/>
      <c r="J899" s="15"/>
      <c r="K899" s="9" t="str">
        <f ca="1">IF(COUNTIFS($A$2:A899,A899,$L$2:L899,L899)&gt;1,"DUPLICATE - CHECK","")</f>
        <v/>
      </c>
      <c r="L899" s="17"/>
      <c r="M899" s="17"/>
      <c r="N899" s="9" t="str">
        <f t="array" aca="1" ref="N899" ca="1">IF(COUNTIF($A$2:A898,A)&gt;0,INDEX($C$2:C898,MATCH(A899,$A$2:A898,0)),"")</f>
        <v/>
      </c>
      <c r="O899" s="13"/>
      <c r="P899" s="19"/>
    </row>
    <row r="900" spans="1:16" ht="15.75" customHeight="1" x14ac:dyDescent="0.3">
      <c r="A900" s="8" t="str">
        <f ca="1">IFERROR(__xludf.DUMMYFUNCTION("IF(B900="""","""",RIGHT(regexreplace(B900&amp;"""",""[^0-9]"",""""),9))"),"")</f>
        <v/>
      </c>
      <c r="B900" s="5"/>
      <c r="C900" s="5"/>
      <c r="D900" s="5"/>
      <c r="E900" s="15"/>
      <c r="F900" s="15"/>
      <c r="G900" s="15"/>
      <c r="H900" s="15"/>
      <c r="I900" s="15"/>
      <c r="J900" s="15"/>
      <c r="K900" s="9" t="str">
        <f ca="1">IF(COUNTIFS($A$2:A900,A900,$L$2:L900,L900)&gt;1,"DUPLICATE - CHECK","")</f>
        <v/>
      </c>
      <c r="L900" s="17"/>
      <c r="M900" s="17"/>
      <c r="N900" s="9">
        <f ca="1">IF(COUNTIF($A$2:A899,A900)&gt;0,INDEX($C$2:C899,MATCH(A900,$A$2:A899,0)),"")</f>
        <v>0</v>
      </c>
      <c r="O900" s="13"/>
      <c r="P900" s="19"/>
    </row>
    <row r="901" spans="1:16" ht="15.75" customHeight="1" x14ac:dyDescent="0.3">
      <c r="A901" s="8" t="str">
        <f ca="1">IFERROR(__xludf.DUMMYFUNCTION("IF(B901="""","""",RIGHT(regexreplace(B901&amp;"""",""[^0-9]"",""""),9))"),"")</f>
        <v/>
      </c>
      <c r="B901" s="5"/>
      <c r="C901" s="5"/>
      <c r="D901" s="5"/>
      <c r="E901" s="15"/>
      <c r="F901" s="15"/>
      <c r="G901" s="15"/>
      <c r="H901" s="15"/>
      <c r="I901" s="15"/>
      <c r="J901" s="15"/>
      <c r="K901" s="9" t="str">
        <f ca="1">IF(COUNTIFS($A$2:A901,A901,$L$2:L901,L901)&gt;1,"DUPLICATE - CHECK","")</f>
        <v/>
      </c>
      <c r="L901" s="17"/>
      <c r="M901" s="17"/>
      <c r="N901" s="9">
        <f ca="1">IF(COUNTIF($A$2:A900,A901)&gt;0,INDEX($C$2:C900,MATCH(A901,$A$2:A900,0)),"")</f>
        <v>0</v>
      </c>
      <c r="O901" s="13"/>
      <c r="P901" s="19"/>
    </row>
    <row r="902" spans="1:16" ht="15.75" customHeight="1" x14ac:dyDescent="0.3">
      <c r="A902" s="8" t="str">
        <f ca="1">IFERROR(__xludf.DUMMYFUNCTION("IF(B902="""","""",RIGHT(regexreplace(B902&amp;"""",""[^0-9]"",""""),9))"),"")</f>
        <v/>
      </c>
      <c r="B902" s="5"/>
      <c r="C902" s="5"/>
      <c r="D902" s="5"/>
      <c r="E902" s="15"/>
      <c r="F902" s="15"/>
      <c r="G902" s="15"/>
      <c r="H902" s="15"/>
      <c r="I902" s="15"/>
      <c r="J902" s="15"/>
      <c r="K902" s="9" t="str">
        <f ca="1">IF(COUNTIFS($A$2:A902,A902,$L$2:L902,L902)&gt;1,"DUPLICATE - CHECK","")</f>
        <v/>
      </c>
      <c r="L902" s="17"/>
      <c r="M902" s="17"/>
      <c r="N902" s="9" t="str">
        <f t="array" aca="1" ref="N902" ca="1">IF(COUNTIF($A$2:A901,A)&gt;0,INDEX($C$2:C901,MATCH(A902,$A$2:A901,0)),"")</f>
        <v/>
      </c>
      <c r="O902" s="13"/>
      <c r="P902" s="19"/>
    </row>
    <row r="903" spans="1:16" ht="15.75" customHeight="1" x14ac:dyDescent="0.3">
      <c r="A903" s="8" t="str">
        <f ca="1">IFERROR(__xludf.DUMMYFUNCTION("IF(B903="""","""",RIGHT(regexreplace(B903&amp;"""",""[^0-9]"",""""),9))"),"")</f>
        <v/>
      </c>
      <c r="B903" s="5"/>
      <c r="C903" s="5"/>
      <c r="D903" s="5"/>
      <c r="E903" s="15"/>
      <c r="F903" s="15"/>
      <c r="G903" s="15"/>
      <c r="H903" s="15"/>
      <c r="I903" s="15"/>
      <c r="J903" s="15"/>
      <c r="K903" s="9" t="str">
        <f ca="1">IF(COUNTIFS($A$2:A903,A903,$L$2:L903,L903)&gt;1,"DUPLICATE - CHECK","")</f>
        <v/>
      </c>
      <c r="L903" s="17"/>
      <c r="M903" s="17"/>
      <c r="N903" s="9">
        <f ca="1">IF(COUNTIF($A$2:A902,A903)&gt;0,INDEX($C$2:C902,MATCH(A903,$A$2:A902,0)),"")</f>
        <v>0</v>
      </c>
      <c r="O903" s="13"/>
      <c r="P903" s="19"/>
    </row>
    <row r="904" spans="1:16" ht="15.75" customHeight="1" x14ac:dyDescent="0.3">
      <c r="A904" s="8" t="str">
        <f ca="1">IFERROR(__xludf.DUMMYFUNCTION("IF(B904="""","""",RIGHT(regexreplace(B904&amp;"""",""[^0-9]"",""""),9))"),"")</f>
        <v/>
      </c>
      <c r="B904" s="5"/>
      <c r="C904" s="5"/>
      <c r="D904" s="5"/>
      <c r="E904" s="15"/>
      <c r="F904" s="15"/>
      <c r="G904" s="15"/>
      <c r="H904" s="15"/>
      <c r="I904" s="15"/>
      <c r="J904" s="15"/>
      <c r="K904" s="9" t="str">
        <f ca="1">IF(COUNTIFS($A$2:A904,A904,$L$2:L904,L904)&gt;1,"DUPLICATE - CHECK","")</f>
        <v/>
      </c>
      <c r="L904" s="17"/>
      <c r="M904" s="17"/>
      <c r="N904" s="9">
        <f ca="1">IF(COUNTIF($A$2:A903,A904)&gt;0,INDEX($C$2:C903,MATCH(A904,$A$2:A903,0)),"")</f>
        <v>0</v>
      </c>
      <c r="O904" s="13"/>
      <c r="P904" s="19"/>
    </row>
    <row r="905" spans="1:16" ht="15.75" customHeight="1" x14ac:dyDescent="0.3">
      <c r="A905" s="8" t="str">
        <f ca="1">IFERROR(__xludf.DUMMYFUNCTION("IF(B905="""","""",RIGHT(regexreplace(B905&amp;"""",""[^0-9]"",""""),9))"),"")</f>
        <v/>
      </c>
      <c r="B905" s="5"/>
      <c r="C905" s="5"/>
      <c r="D905" s="5"/>
      <c r="E905" s="15"/>
      <c r="F905" s="15"/>
      <c r="G905" s="15"/>
      <c r="H905" s="15"/>
      <c r="I905" s="15"/>
      <c r="J905" s="15"/>
      <c r="K905" s="9" t="str">
        <f ca="1">IF(COUNTIFS($A$2:A905,A905,$L$2:L905,L905)&gt;1,"DUPLICATE - CHECK","")</f>
        <v/>
      </c>
      <c r="L905" s="17"/>
      <c r="M905" s="17"/>
      <c r="N905" s="9" t="str">
        <f t="array" aca="1" ref="N905" ca="1">IF(COUNTIF($A$2:A904,A)&gt;0,INDEX($C$2:C904,MATCH(A905,$A$2:A904,0)),"")</f>
        <v/>
      </c>
      <c r="O905" s="13"/>
      <c r="P905" s="19"/>
    </row>
    <row r="906" spans="1:16" ht="15.75" customHeight="1" x14ac:dyDescent="0.3">
      <c r="A906" s="8" t="str">
        <f ca="1">IFERROR(__xludf.DUMMYFUNCTION("IF(B906="""","""",RIGHT(regexreplace(B906&amp;"""",""[^0-9]"",""""),9))"),"")</f>
        <v/>
      </c>
      <c r="B906" s="5"/>
      <c r="C906" s="5"/>
      <c r="D906" s="5"/>
      <c r="E906" s="15"/>
      <c r="F906" s="15"/>
      <c r="G906" s="15"/>
      <c r="H906" s="15"/>
      <c r="I906" s="15"/>
      <c r="J906" s="15"/>
      <c r="K906" s="9" t="str">
        <f ca="1">IF(COUNTIFS($A$2:A906,A906,$L$2:L906,L906)&gt;1,"DUPLICATE - CHECK","")</f>
        <v/>
      </c>
      <c r="L906" s="17"/>
      <c r="M906" s="17"/>
      <c r="N906" s="9">
        <f ca="1">IF(COUNTIF($A$2:A905,A906)&gt;0,INDEX($C$2:C905,MATCH(A906,$A$2:A905,0)),"")</f>
        <v>0</v>
      </c>
      <c r="O906" s="13"/>
      <c r="P906" s="19"/>
    </row>
    <row r="907" spans="1:16" ht="15.75" customHeight="1" x14ac:dyDescent="0.3">
      <c r="A907" s="8" t="str">
        <f ca="1">IFERROR(__xludf.DUMMYFUNCTION("IF(B907="""","""",RIGHT(regexreplace(B907&amp;"""",""[^0-9]"",""""),9))"),"")</f>
        <v/>
      </c>
      <c r="B907" s="5"/>
      <c r="C907" s="5"/>
      <c r="D907" s="5"/>
      <c r="E907" s="15"/>
      <c r="F907" s="15"/>
      <c r="G907" s="15"/>
      <c r="H907" s="15"/>
      <c r="I907" s="15"/>
      <c r="J907" s="15"/>
      <c r="K907" s="9" t="str">
        <f ca="1">IF(COUNTIFS($A$2:A907,A907,$L$2:L907,L907)&gt;1,"DUPLICATE - CHECK","")</f>
        <v/>
      </c>
      <c r="L907" s="17"/>
      <c r="M907" s="17"/>
      <c r="N907" s="9">
        <f ca="1">IF(COUNTIF($A$2:A906,A907)&gt;0,INDEX($C$2:C906,MATCH(A907,$A$2:A906,0)),"")</f>
        <v>0</v>
      </c>
      <c r="O907" s="13"/>
      <c r="P907" s="19"/>
    </row>
    <row r="908" spans="1:16" ht="15.75" customHeight="1" x14ac:dyDescent="0.3">
      <c r="A908" s="8" t="str">
        <f ca="1">IFERROR(__xludf.DUMMYFUNCTION("IF(B908="""","""",RIGHT(regexreplace(B908&amp;"""",""[^0-9]"",""""),9))"),"")</f>
        <v/>
      </c>
      <c r="B908" s="5"/>
      <c r="C908" s="5"/>
      <c r="D908" s="5"/>
      <c r="E908" s="15"/>
      <c r="F908" s="15"/>
      <c r="G908" s="15"/>
      <c r="H908" s="15"/>
      <c r="I908" s="15"/>
      <c r="J908" s="15"/>
      <c r="K908" s="9" t="str">
        <f ca="1">IF(COUNTIFS($A$2:A908,A908,$L$2:L908,L908)&gt;1,"DUPLICATE - CHECK","")</f>
        <v/>
      </c>
      <c r="L908" s="17"/>
      <c r="M908" s="17"/>
      <c r="N908" s="9" t="str">
        <f t="array" aca="1" ref="N908" ca="1">IF(COUNTIF($A$2:A907,A)&gt;0,INDEX($C$2:C907,MATCH(A908,$A$2:A907,0)),"")</f>
        <v/>
      </c>
      <c r="O908" s="13"/>
      <c r="P908" s="19"/>
    </row>
    <row r="909" spans="1:16" ht="15.75" customHeight="1" x14ac:dyDescent="0.3">
      <c r="A909" s="8" t="str">
        <f ca="1">IFERROR(__xludf.DUMMYFUNCTION("IF(B909="""","""",RIGHT(regexreplace(B909&amp;"""",""[^0-9]"",""""),9))"),"")</f>
        <v/>
      </c>
      <c r="B909" s="5"/>
      <c r="C909" s="5"/>
      <c r="D909" s="5"/>
      <c r="E909" s="15"/>
      <c r="F909" s="15"/>
      <c r="G909" s="15"/>
      <c r="H909" s="15"/>
      <c r="I909" s="15"/>
      <c r="J909" s="15"/>
      <c r="K909" s="9" t="str">
        <f ca="1">IF(COUNTIFS($A$2:A909,A909,$L$2:L909,L909)&gt;1,"DUPLICATE - CHECK","")</f>
        <v/>
      </c>
      <c r="L909" s="17"/>
      <c r="M909" s="17"/>
      <c r="N909" s="9">
        <f ca="1">IF(COUNTIF($A$2:A908,A909)&gt;0,INDEX($C$2:C908,MATCH(A909,$A$2:A908,0)),"")</f>
        <v>0</v>
      </c>
      <c r="O909" s="13"/>
      <c r="P909" s="19"/>
    </row>
    <row r="910" spans="1:16" ht="15.75" customHeight="1" x14ac:dyDescent="0.3">
      <c r="A910" s="8" t="str">
        <f ca="1">IFERROR(__xludf.DUMMYFUNCTION("IF(B910="""","""",RIGHT(regexreplace(B910&amp;"""",""[^0-9]"",""""),9))"),"")</f>
        <v/>
      </c>
      <c r="B910" s="5"/>
      <c r="C910" s="5"/>
      <c r="D910" s="5"/>
      <c r="E910" s="15"/>
      <c r="F910" s="15"/>
      <c r="G910" s="15"/>
      <c r="H910" s="15"/>
      <c r="I910" s="15"/>
      <c r="J910" s="15"/>
      <c r="K910" s="9" t="str">
        <f ca="1">IF(COUNTIFS($A$2:A910,A910,$L$2:L910,L910)&gt;1,"DUPLICATE - CHECK","")</f>
        <v/>
      </c>
      <c r="L910" s="17"/>
      <c r="M910" s="17"/>
      <c r="N910" s="9">
        <f ca="1">IF(COUNTIF($A$2:A909,A910)&gt;0,INDEX($C$2:C909,MATCH(A910,$A$2:A909,0)),"")</f>
        <v>0</v>
      </c>
      <c r="O910" s="13"/>
      <c r="P910" s="19"/>
    </row>
    <row r="911" spans="1:16" ht="15.75" customHeight="1" x14ac:dyDescent="0.3">
      <c r="A911" s="8" t="str">
        <f ca="1">IFERROR(__xludf.DUMMYFUNCTION("IF(B911="""","""",RIGHT(regexreplace(B911&amp;"""",""[^0-9]"",""""),9))"),"")</f>
        <v/>
      </c>
      <c r="B911" s="5"/>
      <c r="C911" s="5"/>
      <c r="D911" s="5"/>
      <c r="E911" s="15"/>
      <c r="F911" s="15"/>
      <c r="G911" s="15"/>
      <c r="H911" s="15"/>
      <c r="I911" s="15"/>
      <c r="J911" s="15"/>
      <c r="K911" s="9" t="str">
        <f ca="1">IF(COUNTIFS($A$2:A911,A911,$L$2:L911,L911)&gt;1,"DUPLICATE - CHECK","")</f>
        <v/>
      </c>
      <c r="L911" s="17"/>
      <c r="M911" s="17"/>
      <c r="N911" s="9" t="str">
        <f t="array" aca="1" ref="N911" ca="1">IF(COUNTIF($A$2:A910,A)&gt;0,INDEX($C$2:C910,MATCH(A911,$A$2:A910,0)),"")</f>
        <v/>
      </c>
      <c r="O911" s="13"/>
      <c r="P911" s="19"/>
    </row>
    <row r="912" spans="1:16" ht="15.75" customHeight="1" x14ac:dyDescent="0.3">
      <c r="A912" s="8" t="str">
        <f ca="1">IFERROR(__xludf.DUMMYFUNCTION("IF(B912="""","""",RIGHT(regexreplace(B912&amp;"""",""[^0-9]"",""""),9))"),"")</f>
        <v/>
      </c>
      <c r="B912" s="5"/>
      <c r="C912" s="5"/>
      <c r="D912" s="5"/>
      <c r="E912" s="15"/>
      <c r="F912" s="15"/>
      <c r="G912" s="15"/>
      <c r="H912" s="15"/>
      <c r="I912" s="15"/>
      <c r="J912" s="15"/>
      <c r="K912" s="9" t="str">
        <f ca="1">IF(COUNTIFS($A$2:A912,A912,$L$2:L912,L912)&gt;1,"DUPLICATE - CHECK","")</f>
        <v/>
      </c>
      <c r="L912" s="17"/>
      <c r="M912" s="17"/>
      <c r="N912" s="9">
        <f ca="1">IF(COUNTIF($A$2:A911,A912)&gt;0,INDEX($C$2:C911,MATCH(A912,$A$2:A911,0)),"")</f>
        <v>0</v>
      </c>
      <c r="O912" s="13"/>
      <c r="P912" s="19"/>
    </row>
    <row r="913" spans="1:16" ht="15.75" customHeight="1" x14ac:dyDescent="0.3">
      <c r="A913" s="8" t="str">
        <f ca="1">IFERROR(__xludf.DUMMYFUNCTION("IF(B913="""","""",RIGHT(regexreplace(B913&amp;"""",""[^0-9]"",""""),9))"),"")</f>
        <v/>
      </c>
      <c r="B913" s="5"/>
      <c r="C913" s="5"/>
      <c r="D913" s="5"/>
      <c r="E913" s="15"/>
      <c r="F913" s="15"/>
      <c r="G913" s="15"/>
      <c r="H913" s="15"/>
      <c r="I913" s="15"/>
      <c r="J913" s="15"/>
      <c r="K913" s="9" t="str">
        <f ca="1">IF(COUNTIFS($A$2:A913,A913,$L$2:L913,L913)&gt;1,"DUPLICATE - CHECK","")</f>
        <v/>
      </c>
      <c r="L913" s="17"/>
      <c r="M913" s="17"/>
      <c r="N913" s="9">
        <f ca="1">IF(COUNTIF($A$2:A912,A913)&gt;0,INDEX($C$2:C912,MATCH(A913,$A$2:A912,0)),"")</f>
        <v>0</v>
      </c>
      <c r="O913" s="13"/>
      <c r="P913" s="19"/>
    </row>
    <row r="914" spans="1:16" ht="15.75" customHeight="1" x14ac:dyDescent="0.3">
      <c r="A914" s="8" t="str">
        <f ca="1">IFERROR(__xludf.DUMMYFUNCTION("IF(B914="""","""",RIGHT(regexreplace(B914&amp;"""",""[^0-9]"",""""),9))"),"")</f>
        <v/>
      </c>
      <c r="B914" s="5"/>
      <c r="C914" s="5"/>
      <c r="D914" s="5"/>
      <c r="E914" s="15"/>
      <c r="F914" s="15"/>
      <c r="G914" s="15"/>
      <c r="H914" s="15"/>
      <c r="I914" s="15"/>
      <c r="J914" s="15"/>
      <c r="K914" s="9" t="str">
        <f ca="1">IF(COUNTIFS($A$2:A914,A914,$L$2:L914,L914)&gt;1,"DUPLICATE - CHECK","")</f>
        <v/>
      </c>
      <c r="L914" s="17"/>
      <c r="M914" s="17"/>
      <c r="N914" s="9" t="str">
        <f t="array" aca="1" ref="N914" ca="1">IF(COUNTIF($A$2:A913,A)&gt;0,INDEX($C$2:C913,MATCH(A914,$A$2:A913,0)),"")</f>
        <v/>
      </c>
      <c r="O914" s="13"/>
      <c r="P914" s="19"/>
    </row>
    <row r="915" spans="1:16" ht="15.75" customHeight="1" x14ac:dyDescent="0.3">
      <c r="A915" s="8" t="str">
        <f ca="1">IFERROR(__xludf.DUMMYFUNCTION("IF(B915="""","""",RIGHT(regexreplace(B915&amp;"""",""[^0-9]"",""""),9))"),"")</f>
        <v/>
      </c>
      <c r="B915" s="5"/>
      <c r="C915" s="5"/>
      <c r="D915" s="5"/>
      <c r="E915" s="15"/>
      <c r="F915" s="15"/>
      <c r="G915" s="15"/>
      <c r="H915" s="15"/>
      <c r="I915" s="15"/>
      <c r="J915" s="15"/>
      <c r="K915" s="9" t="str">
        <f ca="1">IF(COUNTIFS($A$2:A915,A915,$L$2:L915,L915)&gt;1,"DUPLICATE - CHECK","")</f>
        <v/>
      </c>
      <c r="L915" s="17"/>
      <c r="M915" s="17"/>
      <c r="N915" s="9">
        <f ca="1">IF(COUNTIF($A$2:A914,A915)&gt;0,INDEX($C$2:C914,MATCH(A915,$A$2:A914,0)),"")</f>
        <v>0</v>
      </c>
      <c r="O915" s="13"/>
      <c r="P915" s="19"/>
    </row>
    <row r="916" spans="1:16" ht="15.75" customHeight="1" x14ac:dyDescent="0.3">
      <c r="A916" s="8" t="str">
        <f ca="1">IFERROR(__xludf.DUMMYFUNCTION("IF(B916="""","""",RIGHT(regexreplace(B916&amp;"""",""[^0-9]"",""""),9))"),"")</f>
        <v/>
      </c>
      <c r="B916" s="5"/>
      <c r="C916" s="5"/>
      <c r="D916" s="5"/>
      <c r="E916" s="15"/>
      <c r="F916" s="15"/>
      <c r="G916" s="15"/>
      <c r="H916" s="15"/>
      <c r="I916" s="15"/>
      <c r="J916" s="15"/>
      <c r="K916" s="9" t="str">
        <f ca="1">IF(COUNTIFS($A$2:A916,A916,$L$2:L916,L916)&gt;1,"DUPLICATE - CHECK","")</f>
        <v/>
      </c>
      <c r="L916" s="17"/>
      <c r="M916" s="17"/>
      <c r="N916" s="9">
        <f ca="1">IF(COUNTIF($A$2:A915,A916)&gt;0,INDEX($C$2:C915,MATCH(A916,$A$2:A915,0)),"")</f>
        <v>0</v>
      </c>
      <c r="O916" s="13"/>
      <c r="P916" s="19"/>
    </row>
    <row r="917" spans="1:16" ht="15.75" customHeight="1" x14ac:dyDescent="0.3">
      <c r="A917" s="8" t="str">
        <f ca="1">IFERROR(__xludf.DUMMYFUNCTION("IF(B917="""","""",RIGHT(regexreplace(B917&amp;"""",""[^0-9]"",""""),9))"),"")</f>
        <v/>
      </c>
      <c r="B917" s="5"/>
      <c r="C917" s="5"/>
      <c r="D917" s="5"/>
      <c r="E917" s="15"/>
      <c r="F917" s="15"/>
      <c r="G917" s="15"/>
      <c r="H917" s="15"/>
      <c r="I917" s="15"/>
      <c r="J917" s="15"/>
      <c r="K917" s="9" t="str">
        <f ca="1">IF(COUNTIFS($A$2:A917,A917,$L$2:L917,L917)&gt;1,"DUPLICATE - CHECK","")</f>
        <v/>
      </c>
      <c r="L917" s="17"/>
      <c r="M917" s="17"/>
      <c r="N917" s="9" t="str">
        <f t="array" aca="1" ref="N917" ca="1">IF(COUNTIF($A$2:A916,A)&gt;0,INDEX($C$2:C916,MATCH(A917,$A$2:A916,0)),"")</f>
        <v/>
      </c>
      <c r="O917" s="13"/>
      <c r="P917" s="19"/>
    </row>
    <row r="918" spans="1:16" ht="15.75" customHeight="1" x14ac:dyDescent="0.3">
      <c r="A918" s="8" t="str">
        <f ca="1">IFERROR(__xludf.DUMMYFUNCTION("IF(B918="""","""",RIGHT(regexreplace(B918&amp;"""",""[^0-9]"",""""),9))"),"")</f>
        <v/>
      </c>
      <c r="B918" s="5"/>
      <c r="C918" s="5"/>
      <c r="D918" s="5"/>
      <c r="E918" s="15"/>
      <c r="F918" s="15"/>
      <c r="G918" s="15"/>
      <c r="H918" s="15"/>
      <c r="I918" s="15"/>
      <c r="J918" s="15"/>
      <c r="K918" s="9" t="str">
        <f ca="1">IF(COUNTIFS($A$2:A918,A918,$L$2:L918,L918)&gt;1,"DUPLICATE - CHECK","")</f>
        <v/>
      </c>
      <c r="L918" s="17"/>
      <c r="M918" s="17"/>
      <c r="N918" s="9">
        <f ca="1">IF(COUNTIF($A$2:A917,A918)&gt;0,INDEX($C$2:C917,MATCH(A918,$A$2:A917,0)),"")</f>
        <v>0</v>
      </c>
      <c r="O918" s="13"/>
      <c r="P918" s="19"/>
    </row>
    <row r="919" spans="1:16" ht="15.75" customHeight="1" x14ac:dyDescent="0.3">
      <c r="A919" s="8" t="str">
        <f ca="1">IFERROR(__xludf.DUMMYFUNCTION("IF(B919="""","""",RIGHT(regexreplace(B919&amp;"""",""[^0-9]"",""""),9))"),"")</f>
        <v/>
      </c>
      <c r="B919" s="5"/>
      <c r="C919" s="5"/>
      <c r="D919" s="5"/>
      <c r="E919" s="15"/>
      <c r="F919" s="15"/>
      <c r="G919" s="15"/>
      <c r="H919" s="15"/>
      <c r="I919" s="15"/>
      <c r="J919" s="15"/>
      <c r="K919" s="9" t="str">
        <f ca="1">IF(COUNTIFS($A$2:A919,A919,$L$2:L919,L919)&gt;1,"DUPLICATE - CHECK","")</f>
        <v/>
      </c>
      <c r="L919" s="17"/>
      <c r="M919" s="17"/>
      <c r="N919" s="9">
        <f ca="1">IF(COUNTIF($A$2:A918,A919)&gt;0,INDEX($C$2:C918,MATCH(A919,$A$2:A918,0)),"")</f>
        <v>0</v>
      </c>
      <c r="O919" s="13"/>
      <c r="P919" s="19"/>
    </row>
    <row r="920" spans="1:16" ht="15.75" customHeight="1" x14ac:dyDescent="0.3">
      <c r="A920" s="8" t="str">
        <f ca="1">IFERROR(__xludf.DUMMYFUNCTION("IF(B920="""","""",RIGHT(regexreplace(B920&amp;"""",""[^0-9]"",""""),9))"),"")</f>
        <v/>
      </c>
      <c r="B920" s="5"/>
      <c r="C920" s="5"/>
      <c r="D920" s="5"/>
      <c r="E920" s="15"/>
      <c r="F920" s="15"/>
      <c r="G920" s="15"/>
      <c r="H920" s="15"/>
      <c r="I920" s="15"/>
      <c r="J920" s="15"/>
      <c r="K920" s="9" t="str">
        <f ca="1">IF(COUNTIFS($A$2:A920,A920,$L$2:L920,L920)&gt;1,"DUPLICATE - CHECK","")</f>
        <v/>
      </c>
      <c r="L920" s="17"/>
      <c r="M920" s="17"/>
      <c r="N920" s="9" t="str">
        <f t="array" aca="1" ref="N920" ca="1">IF(COUNTIF($A$2:A919,A)&gt;0,INDEX($C$2:C919,MATCH(A920,$A$2:A919,0)),"")</f>
        <v/>
      </c>
      <c r="O920" s="13"/>
      <c r="P920" s="19"/>
    </row>
    <row r="921" spans="1:16" ht="15.75" customHeight="1" x14ac:dyDescent="0.3">
      <c r="A921" s="8" t="str">
        <f ca="1">IFERROR(__xludf.DUMMYFUNCTION("IF(B921="""","""",RIGHT(regexreplace(B921&amp;"""",""[^0-9]"",""""),9))"),"")</f>
        <v/>
      </c>
      <c r="B921" s="5"/>
      <c r="C921" s="5"/>
      <c r="D921" s="5"/>
      <c r="E921" s="15"/>
      <c r="F921" s="15"/>
      <c r="G921" s="15"/>
      <c r="H921" s="15"/>
      <c r="I921" s="15"/>
      <c r="J921" s="15"/>
      <c r="K921" s="9" t="str">
        <f ca="1">IF(COUNTIFS($A$2:A921,A921,$L$2:L921,L921)&gt;1,"DUPLICATE - CHECK","")</f>
        <v/>
      </c>
      <c r="L921" s="17"/>
      <c r="M921" s="17"/>
      <c r="N921" s="9">
        <f ca="1">IF(COUNTIF($A$2:A920,A921)&gt;0,INDEX($C$2:C920,MATCH(A921,$A$2:A920,0)),"")</f>
        <v>0</v>
      </c>
      <c r="O921" s="13"/>
      <c r="P921" s="19"/>
    </row>
    <row r="922" spans="1:16" ht="15.75" customHeight="1" x14ac:dyDescent="0.3">
      <c r="A922" s="8" t="str">
        <f ca="1">IFERROR(__xludf.DUMMYFUNCTION("IF(B922="""","""",RIGHT(regexreplace(B922&amp;"""",""[^0-9]"",""""),9))"),"")</f>
        <v/>
      </c>
      <c r="B922" s="5"/>
      <c r="C922" s="5"/>
      <c r="D922" s="5"/>
      <c r="E922" s="15"/>
      <c r="F922" s="15"/>
      <c r="G922" s="15"/>
      <c r="H922" s="15"/>
      <c r="I922" s="15"/>
      <c r="J922" s="15"/>
      <c r="K922" s="9" t="str">
        <f ca="1">IF(COUNTIFS($A$2:A922,A922,$L$2:L922,L922)&gt;1,"DUPLICATE - CHECK","")</f>
        <v/>
      </c>
      <c r="L922" s="17"/>
      <c r="M922" s="17"/>
      <c r="N922" s="9">
        <f ca="1">IF(COUNTIF($A$2:A921,A922)&gt;0,INDEX($C$2:C921,MATCH(A922,$A$2:A921,0)),"")</f>
        <v>0</v>
      </c>
      <c r="O922" s="13"/>
      <c r="P922" s="19"/>
    </row>
    <row r="923" spans="1:16" ht="15.75" customHeight="1" x14ac:dyDescent="0.3">
      <c r="A923" s="8" t="str">
        <f ca="1">IFERROR(__xludf.DUMMYFUNCTION("IF(B923="""","""",RIGHT(regexreplace(B923&amp;"""",""[^0-9]"",""""),9))"),"")</f>
        <v/>
      </c>
      <c r="B923" s="5"/>
      <c r="C923" s="5"/>
      <c r="D923" s="5"/>
      <c r="E923" s="15"/>
      <c r="F923" s="15"/>
      <c r="G923" s="15"/>
      <c r="H923" s="15"/>
      <c r="I923" s="15"/>
      <c r="J923" s="15"/>
      <c r="K923" s="9" t="str">
        <f ca="1">IF(COUNTIFS($A$2:A923,A923,$L$2:L923,L923)&gt;1,"DUPLICATE - CHECK","")</f>
        <v/>
      </c>
      <c r="L923" s="17"/>
      <c r="M923" s="17"/>
      <c r="N923" s="9" t="str">
        <f t="array" aca="1" ref="N923" ca="1">IF(COUNTIF($A$2:A922,A)&gt;0,INDEX($C$2:C922,MATCH(A923,$A$2:A922,0)),"")</f>
        <v/>
      </c>
      <c r="O923" s="13"/>
      <c r="P923" s="19"/>
    </row>
    <row r="924" spans="1:16" ht="15.75" customHeight="1" x14ac:dyDescent="0.3">
      <c r="A924" s="8" t="str">
        <f ca="1">IFERROR(__xludf.DUMMYFUNCTION("IF(B924="""","""",RIGHT(regexreplace(B924&amp;"""",""[^0-9]"",""""),9))"),"")</f>
        <v/>
      </c>
      <c r="B924" s="5"/>
      <c r="C924" s="5"/>
      <c r="D924" s="5"/>
      <c r="E924" s="15"/>
      <c r="F924" s="15"/>
      <c r="G924" s="15"/>
      <c r="H924" s="15"/>
      <c r="I924" s="15"/>
      <c r="J924" s="15"/>
      <c r="K924" s="9" t="str">
        <f ca="1">IF(COUNTIFS($A$2:A924,A924,$L$2:L924,L924)&gt;1,"DUPLICATE - CHECK","")</f>
        <v/>
      </c>
      <c r="L924" s="17"/>
      <c r="M924" s="17"/>
      <c r="N924" s="9">
        <f ca="1">IF(COUNTIF($A$2:A923,A924)&gt;0,INDEX($C$2:C923,MATCH(A924,$A$2:A923,0)),"")</f>
        <v>0</v>
      </c>
      <c r="O924" s="13"/>
      <c r="P924" s="19"/>
    </row>
    <row r="925" spans="1:16" ht="15.75" customHeight="1" x14ac:dyDescent="0.3">
      <c r="A925" s="8" t="str">
        <f ca="1">IFERROR(__xludf.DUMMYFUNCTION("IF(B925="""","""",RIGHT(regexreplace(B925&amp;"""",""[^0-9]"",""""),9))"),"")</f>
        <v/>
      </c>
      <c r="B925" s="5"/>
      <c r="C925" s="5"/>
      <c r="D925" s="5"/>
      <c r="E925" s="15"/>
      <c r="F925" s="15"/>
      <c r="G925" s="15"/>
      <c r="H925" s="15"/>
      <c r="I925" s="15"/>
      <c r="J925" s="15"/>
      <c r="K925" s="9" t="str">
        <f ca="1">IF(COUNTIFS($A$2:A925,A925,$L$2:L925,L925)&gt;1,"DUPLICATE - CHECK","")</f>
        <v/>
      </c>
      <c r="L925" s="17"/>
      <c r="M925" s="17"/>
      <c r="N925" s="9">
        <f ca="1">IF(COUNTIF($A$2:A924,A925)&gt;0,INDEX($C$2:C924,MATCH(A925,$A$2:A924,0)),"")</f>
        <v>0</v>
      </c>
      <c r="O925" s="13"/>
      <c r="P925" s="19"/>
    </row>
    <row r="926" spans="1:16" ht="15.75" customHeight="1" x14ac:dyDescent="0.3">
      <c r="A926" s="8" t="str">
        <f ca="1">IFERROR(__xludf.DUMMYFUNCTION("IF(B926="""","""",RIGHT(regexreplace(B926&amp;"""",""[^0-9]"",""""),9))"),"")</f>
        <v/>
      </c>
      <c r="B926" s="5"/>
      <c r="C926" s="5"/>
      <c r="D926" s="5"/>
      <c r="E926" s="15"/>
      <c r="F926" s="15"/>
      <c r="G926" s="15"/>
      <c r="H926" s="15"/>
      <c r="I926" s="15"/>
      <c r="J926" s="15"/>
      <c r="K926" s="9" t="str">
        <f ca="1">IF(COUNTIFS($A$2:A926,A926,$L$2:L926,L926)&gt;1,"DUPLICATE - CHECK","")</f>
        <v/>
      </c>
      <c r="L926" s="17"/>
      <c r="M926" s="17"/>
      <c r="N926" s="9" t="str">
        <f t="array" aca="1" ref="N926" ca="1">IF(COUNTIF($A$2:A925,A)&gt;0,INDEX($C$2:C925,MATCH(A926,$A$2:A925,0)),"")</f>
        <v/>
      </c>
      <c r="O926" s="13"/>
      <c r="P926" s="19"/>
    </row>
    <row r="927" spans="1:16" ht="15.75" customHeight="1" x14ac:dyDescent="0.3">
      <c r="A927" s="8" t="str">
        <f ca="1">IFERROR(__xludf.DUMMYFUNCTION("IF(B927="""","""",RIGHT(regexreplace(B927&amp;"""",""[^0-9]"",""""),9))"),"")</f>
        <v/>
      </c>
      <c r="B927" s="5"/>
      <c r="C927" s="5"/>
      <c r="D927" s="5"/>
      <c r="E927" s="15"/>
      <c r="F927" s="15"/>
      <c r="G927" s="15"/>
      <c r="H927" s="15"/>
      <c r="I927" s="15"/>
      <c r="J927" s="15"/>
      <c r="K927" s="9" t="str">
        <f ca="1">IF(COUNTIFS($A$2:A927,A927,$L$2:L927,L927)&gt;1,"DUPLICATE - CHECK","")</f>
        <v/>
      </c>
      <c r="L927" s="17"/>
      <c r="M927" s="17"/>
      <c r="N927" s="9">
        <f ca="1">IF(COUNTIF($A$2:A926,A927)&gt;0,INDEX($C$2:C926,MATCH(A927,$A$2:A926,0)),"")</f>
        <v>0</v>
      </c>
      <c r="O927" s="13"/>
      <c r="P927" s="19"/>
    </row>
    <row r="928" spans="1:16" ht="15.75" customHeight="1" x14ac:dyDescent="0.3">
      <c r="A928" s="8" t="str">
        <f ca="1">IFERROR(__xludf.DUMMYFUNCTION("IF(B928="""","""",RIGHT(regexreplace(B928&amp;"""",""[^0-9]"",""""),9))"),"")</f>
        <v/>
      </c>
      <c r="B928" s="5"/>
      <c r="C928" s="5"/>
      <c r="D928" s="5"/>
      <c r="E928" s="15"/>
      <c r="F928" s="15"/>
      <c r="G928" s="15"/>
      <c r="H928" s="15"/>
      <c r="I928" s="15"/>
      <c r="J928" s="15"/>
      <c r="K928" s="9" t="str">
        <f ca="1">IF(COUNTIFS($A$2:A928,A928,$L$2:L928,L928)&gt;1,"DUPLICATE - CHECK","")</f>
        <v/>
      </c>
      <c r="L928" s="17"/>
      <c r="M928" s="17"/>
      <c r="N928" s="9">
        <f ca="1">IF(COUNTIF($A$2:A927,A928)&gt;0,INDEX($C$2:C927,MATCH(A928,$A$2:A927,0)),"")</f>
        <v>0</v>
      </c>
      <c r="O928" s="13"/>
      <c r="P928" s="19"/>
    </row>
    <row r="929" spans="1:16" ht="15.75" customHeight="1" x14ac:dyDescent="0.3">
      <c r="A929" s="8" t="str">
        <f ca="1">IFERROR(__xludf.DUMMYFUNCTION("IF(B929="""","""",RIGHT(regexreplace(B929&amp;"""",""[^0-9]"",""""),9))"),"")</f>
        <v/>
      </c>
      <c r="B929" s="5"/>
      <c r="C929" s="5"/>
      <c r="D929" s="5"/>
      <c r="E929" s="15"/>
      <c r="F929" s="15"/>
      <c r="G929" s="15"/>
      <c r="H929" s="15"/>
      <c r="I929" s="15"/>
      <c r="J929" s="15"/>
      <c r="K929" s="9" t="str">
        <f ca="1">IF(COUNTIFS($A$2:A929,A929,$L$2:L929,L929)&gt;1,"DUPLICATE - CHECK","")</f>
        <v/>
      </c>
      <c r="L929" s="17"/>
      <c r="M929" s="17"/>
      <c r="N929" s="9" t="str">
        <f t="array" aca="1" ref="N929" ca="1">IF(COUNTIF($A$2:A928,A)&gt;0,INDEX($C$2:C928,MATCH(A929,$A$2:A928,0)),"")</f>
        <v/>
      </c>
      <c r="O929" s="13"/>
      <c r="P929" s="19"/>
    </row>
    <row r="930" spans="1:16" ht="15.75" customHeight="1" x14ac:dyDescent="0.3">
      <c r="A930" s="8" t="str">
        <f ca="1">IFERROR(__xludf.DUMMYFUNCTION("IF(B930="""","""",RIGHT(regexreplace(B930&amp;"""",""[^0-9]"",""""),9))"),"")</f>
        <v/>
      </c>
      <c r="B930" s="5"/>
      <c r="C930" s="5"/>
      <c r="D930" s="5"/>
      <c r="E930" s="15"/>
      <c r="F930" s="15"/>
      <c r="G930" s="15"/>
      <c r="H930" s="15"/>
      <c r="I930" s="15"/>
      <c r="J930" s="15"/>
      <c r="K930" s="9" t="str">
        <f ca="1">IF(COUNTIFS($A$2:A930,A930,$L$2:L930,L930)&gt;1,"DUPLICATE - CHECK","")</f>
        <v/>
      </c>
      <c r="L930" s="17"/>
      <c r="M930" s="17"/>
      <c r="N930" s="9">
        <f ca="1">IF(COUNTIF($A$2:A929,A930)&gt;0,INDEX($C$2:C929,MATCH(A930,$A$2:A929,0)),"")</f>
        <v>0</v>
      </c>
      <c r="O930" s="13"/>
      <c r="P930" s="19"/>
    </row>
    <row r="931" spans="1:16" ht="15.75" customHeight="1" x14ac:dyDescent="0.3">
      <c r="A931" s="8" t="str">
        <f ca="1">IFERROR(__xludf.DUMMYFUNCTION("IF(B931="""","""",RIGHT(regexreplace(B931&amp;"""",""[^0-9]"",""""),9))"),"")</f>
        <v/>
      </c>
      <c r="B931" s="5"/>
      <c r="C931" s="5"/>
      <c r="D931" s="5"/>
      <c r="E931" s="15"/>
      <c r="F931" s="15"/>
      <c r="G931" s="15"/>
      <c r="H931" s="15"/>
      <c r="I931" s="15"/>
      <c r="J931" s="15"/>
      <c r="K931" s="9" t="str">
        <f ca="1">IF(COUNTIFS($A$2:A931,A931,$L$2:L931,L931)&gt;1,"DUPLICATE - CHECK","")</f>
        <v/>
      </c>
      <c r="L931" s="17"/>
      <c r="M931" s="17"/>
      <c r="N931" s="9">
        <f ca="1">IF(COUNTIF($A$2:A930,A931)&gt;0,INDEX($C$2:C930,MATCH(A931,$A$2:A930,0)),"")</f>
        <v>0</v>
      </c>
      <c r="O931" s="13"/>
      <c r="P931" s="19"/>
    </row>
    <row r="932" spans="1:16" ht="15.75" customHeight="1" x14ac:dyDescent="0.3">
      <c r="A932" s="8" t="str">
        <f ca="1">IFERROR(__xludf.DUMMYFUNCTION("IF(B932="""","""",RIGHT(regexreplace(B932&amp;"""",""[^0-9]"",""""),9))"),"")</f>
        <v/>
      </c>
      <c r="B932" s="5"/>
      <c r="C932" s="5"/>
      <c r="D932" s="5"/>
      <c r="E932" s="15"/>
      <c r="F932" s="15"/>
      <c r="G932" s="15"/>
      <c r="H932" s="15"/>
      <c r="I932" s="15"/>
      <c r="J932" s="15"/>
      <c r="K932" s="9" t="str">
        <f ca="1">IF(COUNTIFS($A$2:A932,A932,$L$2:L932,L932)&gt;1,"DUPLICATE - CHECK","")</f>
        <v/>
      </c>
      <c r="L932" s="17"/>
      <c r="M932" s="17"/>
      <c r="N932" s="9" t="str">
        <f t="array" aca="1" ref="N932" ca="1">IF(COUNTIF($A$2:A931,A)&gt;0,INDEX($C$2:C931,MATCH(A932,$A$2:A931,0)),"")</f>
        <v/>
      </c>
      <c r="O932" s="13"/>
      <c r="P932" s="19"/>
    </row>
    <row r="933" spans="1:16" ht="15.75" customHeight="1" x14ac:dyDescent="0.3">
      <c r="A933" s="8" t="str">
        <f ca="1">IFERROR(__xludf.DUMMYFUNCTION("IF(B933="""","""",RIGHT(regexreplace(B933&amp;"""",""[^0-9]"",""""),9))"),"")</f>
        <v/>
      </c>
      <c r="B933" s="5"/>
      <c r="C933" s="5"/>
      <c r="D933" s="5"/>
      <c r="E933" s="15"/>
      <c r="F933" s="15"/>
      <c r="G933" s="15"/>
      <c r="H933" s="15"/>
      <c r="I933" s="15"/>
      <c r="J933" s="15"/>
      <c r="K933" s="9" t="str">
        <f ca="1">IF(COUNTIFS($A$2:A933,A933,$L$2:L933,L933)&gt;1,"DUPLICATE - CHECK","")</f>
        <v/>
      </c>
      <c r="L933" s="17"/>
      <c r="M933" s="17"/>
      <c r="N933" s="9">
        <f ca="1">IF(COUNTIF($A$2:A932,A933)&gt;0,INDEX($C$2:C932,MATCH(A933,$A$2:A932,0)),"")</f>
        <v>0</v>
      </c>
      <c r="O933" s="13"/>
      <c r="P933" s="19"/>
    </row>
    <row r="934" spans="1:16" ht="15.75" customHeight="1" x14ac:dyDescent="0.3">
      <c r="A934" s="8" t="str">
        <f ca="1">IFERROR(__xludf.DUMMYFUNCTION("IF(B934="""","""",RIGHT(regexreplace(B934&amp;"""",""[^0-9]"",""""),9))"),"")</f>
        <v/>
      </c>
      <c r="B934" s="5"/>
      <c r="C934" s="5"/>
      <c r="D934" s="5"/>
      <c r="E934" s="15"/>
      <c r="F934" s="15"/>
      <c r="G934" s="15"/>
      <c r="H934" s="15"/>
      <c r="I934" s="15"/>
      <c r="J934" s="15"/>
      <c r="K934" s="9" t="str">
        <f ca="1">IF(COUNTIFS($A$2:A934,A934,$L$2:L934,L934)&gt;1,"DUPLICATE - CHECK","")</f>
        <v/>
      </c>
      <c r="L934" s="17"/>
      <c r="M934" s="17"/>
      <c r="N934" s="9">
        <f ca="1">IF(COUNTIF($A$2:A933,A934)&gt;0,INDEX($C$2:C933,MATCH(A934,$A$2:A933,0)),"")</f>
        <v>0</v>
      </c>
      <c r="O934" s="13"/>
      <c r="P934" s="19"/>
    </row>
    <row r="935" spans="1:16" ht="15.75" customHeight="1" x14ac:dyDescent="0.3">
      <c r="A935" s="8" t="str">
        <f ca="1">IFERROR(__xludf.DUMMYFUNCTION("IF(B935="""","""",RIGHT(regexreplace(B935&amp;"""",""[^0-9]"",""""),9))"),"")</f>
        <v/>
      </c>
      <c r="B935" s="5"/>
      <c r="C935" s="5"/>
      <c r="D935" s="5"/>
      <c r="E935" s="15"/>
      <c r="F935" s="15"/>
      <c r="G935" s="15"/>
      <c r="H935" s="15"/>
      <c r="I935" s="15"/>
      <c r="J935" s="15"/>
      <c r="K935" s="9" t="str">
        <f ca="1">IF(COUNTIFS($A$2:A935,A935,$L$2:L935,L935)&gt;1,"DUPLICATE - CHECK","")</f>
        <v/>
      </c>
      <c r="L935" s="17"/>
      <c r="M935" s="17"/>
      <c r="N935" s="9" t="str">
        <f t="array" aca="1" ref="N935" ca="1">IF(COUNTIF($A$2:A934,A)&gt;0,INDEX($C$2:C934,MATCH(A935,$A$2:A934,0)),"")</f>
        <v/>
      </c>
      <c r="O935" s="13"/>
      <c r="P935" s="19"/>
    </row>
    <row r="936" spans="1:16" ht="15.75" customHeight="1" x14ac:dyDescent="0.3">
      <c r="A936" s="8" t="str">
        <f ca="1">IFERROR(__xludf.DUMMYFUNCTION("IF(B936="""","""",RIGHT(regexreplace(B936&amp;"""",""[^0-9]"",""""),9))"),"")</f>
        <v/>
      </c>
      <c r="B936" s="5"/>
      <c r="C936" s="5"/>
      <c r="D936" s="5"/>
      <c r="E936" s="15"/>
      <c r="F936" s="15"/>
      <c r="G936" s="15"/>
      <c r="H936" s="15"/>
      <c r="I936" s="15"/>
      <c r="J936" s="15"/>
      <c r="K936" s="9" t="str">
        <f ca="1">IF(COUNTIFS($A$2:A936,A936,$L$2:L936,L936)&gt;1,"DUPLICATE - CHECK","")</f>
        <v/>
      </c>
      <c r="L936" s="17"/>
      <c r="M936" s="17"/>
      <c r="N936" s="9">
        <f ca="1">IF(COUNTIF($A$2:A935,A936)&gt;0,INDEX($C$2:C935,MATCH(A936,$A$2:A935,0)),"")</f>
        <v>0</v>
      </c>
      <c r="O936" s="13"/>
      <c r="P936" s="19"/>
    </row>
    <row r="937" spans="1:16" ht="15.75" customHeight="1" x14ac:dyDescent="0.3">
      <c r="A937" s="8" t="str">
        <f ca="1">IFERROR(__xludf.DUMMYFUNCTION("IF(B937="""","""",RIGHT(regexreplace(B937&amp;"""",""[^0-9]"",""""),9))"),"")</f>
        <v/>
      </c>
      <c r="B937" s="5"/>
      <c r="C937" s="5"/>
      <c r="D937" s="5"/>
      <c r="E937" s="15"/>
      <c r="F937" s="15"/>
      <c r="G937" s="15"/>
      <c r="H937" s="15"/>
      <c r="I937" s="15"/>
      <c r="J937" s="15"/>
      <c r="K937" s="9" t="str">
        <f ca="1">IF(COUNTIFS($A$2:A937,A937,$L$2:L937,L937)&gt;1,"DUPLICATE - CHECK","")</f>
        <v/>
      </c>
      <c r="L937" s="17"/>
      <c r="M937" s="17"/>
      <c r="N937" s="9">
        <f ca="1">IF(COUNTIF($A$2:A936,A937)&gt;0,INDEX($C$2:C936,MATCH(A937,$A$2:A936,0)),"")</f>
        <v>0</v>
      </c>
      <c r="O937" s="13"/>
      <c r="P937" s="19"/>
    </row>
    <row r="938" spans="1:16" ht="15.75" customHeight="1" x14ac:dyDescent="0.3">
      <c r="A938" s="8" t="str">
        <f ca="1">IFERROR(__xludf.DUMMYFUNCTION("IF(B938="""","""",RIGHT(regexreplace(B938&amp;"""",""[^0-9]"",""""),9))"),"")</f>
        <v/>
      </c>
      <c r="B938" s="5"/>
      <c r="C938" s="5"/>
      <c r="D938" s="5"/>
      <c r="E938" s="15"/>
      <c r="F938" s="15"/>
      <c r="G938" s="15"/>
      <c r="H938" s="15"/>
      <c r="I938" s="15"/>
      <c r="J938" s="15"/>
      <c r="K938" s="9" t="str">
        <f ca="1">IF(COUNTIFS($A$2:A938,A938,$L$2:L938,L938)&gt;1,"DUPLICATE - CHECK","")</f>
        <v/>
      </c>
      <c r="L938" s="17"/>
      <c r="M938" s="17"/>
      <c r="N938" s="9" t="str">
        <f t="array" aca="1" ref="N938" ca="1">IF(COUNTIF($A$2:A937,A)&gt;0,INDEX($C$2:C937,MATCH(A938,$A$2:A937,0)),"")</f>
        <v/>
      </c>
      <c r="O938" s="13"/>
      <c r="P938" s="19"/>
    </row>
    <row r="939" spans="1:16" ht="15.75" customHeight="1" x14ac:dyDescent="0.3">
      <c r="A939" s="8" t="str">
        <f ca="1">IFERROR(__xludf.DUMMYFUNCTION("IF(B939="""","""",RIGHT(regexreplace(B939&amp;"""",""[^0-9]"",""""),9))"),"")</f>
        <v/>
      </c>
      <c r="B939" s="5"/>
      <c r="C939" s="5"/>
      <c r="D939" s="5"/>
      <c r="E939" s="15"/>
      <c r="F939" s="15"/>
      <c r="G939" s="15"/>
      <c r="H939" s="15"/>
      <c r="I939" s="15"/>
      <c r="J939" s="15"/>
      <c r="K939" s="9" t="str">
        <f ca="1">IF(COUNTIFS($A$2:A939,A939,$L$2:L939,L939)&gt;1,"DUPLICATE - CHECK","")</f>
        <v/>
      </c>
      <c r="L939" s="17"/>
      <c r="M939" s="17"/>
      <c r="N939" s="9">
        <f ca="1">IF(COUNTIF($A$2:A938,A939)&gt;0,INDEX($C$2:C938,MATCH(A939,$A$2:A938,0)),"")</f>
        <v>0</v>
      </c>
      <c r="O939" s="13"/>
      <c r="P939" s="19"/>
    </row>
    <row r="940" spans="1:16" ht="15.75" customHeight="1" x14ac:dyDescent="0.3">
      <c r="A940" s="8" t="str">
        <f ca="1">IFERROR(__xludf.DUMMYFUNCTION("IF(B940="""","""",RIGHT(regexreplace(B940&amp;"""",""[^0-9]"",""""),9))"),"")</f>
        <v/>
      </c>
      <c r="B940" s="5"/>
      <c r="C940" s="5"/>
      <c r="D940" s="5"/>
      <c r="E940" s="15"/>
      <c r="F940" s="15"/>
      <c r="G940" s="15"/>
      <c r="H940" s="15"/>
      <c r="I940" s="15"/>
      <c r="J940" s="15"/>
      <c r="K940" s="9" t="str">
        <f ca="1">IF(COUNTIFS($A$2:A940,A940,$L$2:L940,L940)&gt;1,"DUPLICATE - CHECK","")</f>
        <v/>
      </c>
      <c r="L940" s="17"/>
      <c r="M940" s="17"/>
      <c r="N940" s="9">
        <f ca="1">IF(COUNTIF($A$2:A939,A940)&gt;0,INDEX($C$2:C939,MATCH(A940,$A$2:A939,0)),"")</f>
        <v>0</v>
      </c>
      <c r="O940" s="13"/>
      <c r="P940" s="19"/>
    </row>
    <row r="941" spans="1:16" ht="15.75" customHeight="1" x14ac:dyDescent="0.3">
      <c r="A941" s="8" t="str">
        <f ca="1">IFERROR(__xludf.DUMMYFUNCTION("IF(B941="""","""",RIGHT(regexreplace(B941&amp;"""",""[^0-9]"",""""),9))"),"")</f>
        <v/>
      </c>
      <c r="B941" s="5"/>
      <c r="C941" s="5"/>
      <c r="D941" s="5"/>
      <c r="E941" s="15"/>
      <c r="F941" s="15"/>
      <c r="G941" s="15"/>
      <c r="H941" s="15"/>
      <c r="I941" s="15"/>
      <c r="J941" s="15"/>
      <c r="K941" s="9" t="str">
        <f ca="1">IF(COUNTIFS($A$2:A941,A941,$L$2:L941,L941)&gt;1,"DUPLICATE - CHECK","")</f>
        <v/>
      </c>
      <c r="L941" s="17"/>
      <c r="M941" s="17"/>
      <c r="N941" s="9" t="str">
        <f t="array" aca="1" ref="N941" ca="1">IF(COUNTIF($A$2:A940,A)&gt;0,INDEX($C$2:C940,MATCH(A941,$A$2:A940,0)),"")</f>
        <v/>
      </c>
      <c r="O941" s="13"/>
      <c r="P941" s="19"/>
    </row>
    <row r="942" spans="1:16" ht="15.75" customHeight="1" x14ac:dyDescent="0.3">
      <c r="A942" s="8" t="str">
        <f ca="1">IFERROR(__xludf.DUMMYFUNCTION("IF(B942="""","""",RIGHT(regexreplace(B942&amp;"""",""[^0-9]"",""""),9))"),"")</f>
        <v/>
      </c>
      <c r="B942" s="5"/>
      <c r="C942" s="5"/>
      <c r="D942" s="5"/>
      <c r="E942" s="15"/>
      <c r="F942" s="15"/>
      <c r="G942" s="15"/>
      <c r="H942" s="15"/>
      <c r="I942" s="15"/>
      <c r="J942" s="15"/>
      <c r="K942" s="9" t="str">
        <f ca="1">IF(COUNTIFS($A$2:A942,A942,$L$2:L942,L942)&gt;1,"DUPLICATE - CHECK","")</f>
        <v/>
      </c>
      <c r="L942" s="17"/>
      <c r="M942" s="17"/>
      <c r="N942" s="9">
        <f ca="1">IF(COUNTIF($A$2:A941,A942)&gt;0,INDEX($C$2:C941,MATCH(A942,$A$2:A941,0)),"")</f>
        <v>0</v>
      </c>
      <c r="O942" s="13"/>
      <c r="P942" s="19"/>
    </row>
    <row r="943" spans="1:16" ht="15.75" customHeight="1" x14ac:dyDescent="0.3">
      <c r="A943" s="8" t="str">
        <f ca="1">IFERROR(__xludf.DUMMYFUNCTION("IF(B943="""","""",RIGHT(regexreplace(B943&amp;"""",""[^0-9]"",""""),9))"),"")</f>
        <v/>
      </c>
      <c r="B943" s="5"/>
      <c r="C943" s="5"/>
      <c r="D943" s="5"/>
      <c r="E943" s="15"/>
      <c r="F943" s="15"/>
      <c r="G943" s="15"/>
      <c r="H943" s="15"/>
      <c r="I943" s="15"/>
      <c r="J943" s="15"/>
      <c r="K943" s="9" t="str">
        <f ca="1">IF(COUNTIFS($A$2:A943,A943,$L$2:L943,L943)&gt;1,"DUPLICATE - CHECK","")</f>
        <v/>
      </c>
      <c r="L943" s="17"/>
      <c r="M943" s="17"/>
      <c r="N943" s="9">
        <f ca="1">IF(COUNTIF($A$2:A942,A943)&gt;0,INDEX($C$2:C942,MATCH(A943,$A$2:A942,0)),"")</f>
        <v>0</v>
      </c>
      <c r="O943" s="13"/>
      <c r="P943" s="19"/>
    </row>
    <row r="944" spans="1:16" ht="15.75" customHeight="1" x14ac:dyDescent="0.3">
      <c r="A944" s="8" t="str">
        <f ca="1">IFERROR(__xludf.DUMMYFUNCTION("IF(B944="""","""",RIGHT(regexreplace(B944&amp;"""",""[^0-9]"",""""),9))"),"")</f>
        <v/>
      </c>
      <c r="B944" s="5"/>
      <c r="C944" s="5"/>
      <c r="D944" s="5"/>
      <c r="E944" s="15"/>
      <c r="F944" s="15"/>
      <c r="G944" s="15"/>
      <c r="H944" s="15"/>
      <c r="I944" s="15"/>
      <c r="J944" s="15"/>
      <c r="K944" s="9" t="str">
        <f ca="1">IF(COUNTIFS($A$2:A944,A944,$L$2:L944,L944)&gt;1,"DUPLICATE - CHECK","")</f>
        <v/>
      </c>
      <c r="L944" s="17"/>
      <c r="M944" s="17"/>
      <c r="N944" s="9" t="str">
        <f t="array" aca="1" ref="N944" ca="1">IF(COUNTIF($A$2:A943,A)&gt;0,INDEX($C$2:C943,MATCH(A944,$A$2:A943,0)),"")</f>
        <v/>
      </c>
      <c r="O944" s="13"/>
      <c r="P944" s="19"/>
    </row>
    <row r="945" spans="1:16" ht="15.75" customHeight="1" x14ac:dyDescent="0.3">
      <c r="A945" s="8" t="str">
        <f ca="1">IFERROR(__xludf.DUMMYFUNCTION("IF(B945="""","""",RIGHT(regexreplace(B945&amp;"""",""[^0-9]"",""""),9))"),"")</f>
        <v/>
      </c>
      <c r="B945" s="5"/>
      <c r="C945" s="5"/>
      <c r="D945" s="5"/>
      <c r="E945" s="15"/>
      <c r="F945" s="15"/>
      <c r="G945" s="15"/>
      <c r="H945" s="15"/>
      <c r="I945" s="15"/>
      <c r="J945" s="15"/>
      <c r="K945" s="9" t="str">
        <f ca="1">IF(COUNTIFS($A$2:A945,A945,$L$2:L945,L945)&gt;1,"DUPLICATE - CHECK","")</f>
        <v/>
      </c>
      <c r="L945" s="17"/>
      <c r="M945" s="17"/>
      <c r="N945" s="9">
        <f ca="1">IF(COUNTIF($A$2:A944,A945)&gt;0,INDEX($C$2:C944,MATCH(A945,$A$2:A944,0)),"")</f>
        <v>0</v>
      </c>
      <c r="O945" s="13"/>
      <c r="P945" s="19"/>
    </row>
    <row r="946" spans="1:16" ht="15.75" customHeight="1" x14ac:dyDescent="0.3">
      <c r="A946" s="8" t="str">
        <f ca="1">IFERROR(__xludf.DUMMYFUNCTION("IF(B946="""","""",RIGHT(regexreplace(B946&amp;"""",""[^0-9]"",""""),9))"),"")</f>
        <v/>
      </c>
      <c r="B946" s="5"/>
      <c r="C946" s="5"/>
      <c r="D946" s="5"/>
      <c r="E946" s="15"/>
      <c r="F946" s="15"/>
      <c r="G946" s="15"/>
      <c r="H946" s="15"/>
      <c r="I946" s="15"/>
      <c r="J946" s="15"/>
      <c r="K946" s="9" t="str">
        <f ca="1">IF(COUNTIFS($A$2:A946,A946,$L$2:L946,L946)&gt;1,"DUPLICATE - CHECK","")</f>
        <v/>
      </c>
      <c r="L946" s="17"/>
      <c r="M946" s="17"/>
      <c r="N946" s="9">
        <f ca="1">IF(COUNTIF($A$2:A945,A946)&gt;0,INDEX($C$2:C945,MATCH(A946,$A$2:A945,0)),"")</f>
        <v>0</v>
      </c>
      <c r="O946" s="13"/>
      <c r="P946" s="19"/>
    </row>
    <row r="947" spans="1:16" ht="15.75" customHeight="1" x14ac:dyDescent="0.3">
      <c r="A947" s="8" t="str">
        <f ca="1">IFERROR(__xludf.DUMMYFUNCTION("IF(B947="""","""",RIGHT(regexreplace(B947&amp;"""",""[^0-9]"",""""),9))"),"")</f>
        <v/>
      </c>
      <c r="B947" s="5"/>
      <c r="C947" s="5"/>
      <c r="D947" s="5"/>
      <c r="E947" s="15"/>
      <c r="F947" s="15"/>
      <c r="G947" s="15"/>
      <c r="H947" s="15"/>
      <c r="I947" s="15"/>
      <c r="J947" s="15"/>
      <c r="K947" s="9" t="str">
        <f ca="1">IF(COUNTIFS($A$2:A947,A947,$L$2:L947,L947)&gt;1,"DUPLICATE - CHECK","")</f>
        <v/>
      </c>
      <c r="L947" s="17"/>
      <c r="M947" s="17"/>
      <c r="N947" s="9" t="str">
        <f t="array" aca="1" ref="N947" ca="1">IF(COUNTIF($A$2:A946,A)&gt;0,INDEX($C$2:C946,MATCH(A947,$A$2:A946,0)),"")</f>
        <v/>
      </c>
      <c r="O947" s="13"/>
      <c r="P947" s="19"/>
    </row>
    <row r="948" spans="1:16" ht="15.75" customHeight="1" x14ac:dyDescent="0.3">
      <c r="A948" s="8" t="str">
        <f ca="1">IFERROR(__xludf.DUMMYFUNCTION("IF(B948="""","""",RIGHT(regexreplace(B948&amp;"""",""[^0-9]"",""""),9))"),"")</f>
        <v/>
      </c>
      <c r="B948" s="5"/>
      <c r="C948" s="5"/>
      <c r="D948" s="5"/>
      <c r="E948" s="15"/>
      <c r="F948" s="15"/>
      <c r="G948" s="15"/>
      <c r="H948" s="15"/>
      <c r="I948" s="15"/>
      <c r="J948" s="15"/>
      <c r="K948" s="9" t="str">
        <f ca="1">IF(COUNTIFS($A$2:A948,A948,$L$2:L948,L948)&gt;1,"DUPLICATE - CHECK","")</f>
        <v/>
      </c>
      <c r="L948" s="17"/>
      <c r="M948" s="17"/>
      <c r="N948" s="9">
        <f ca="1">IF(COUNTIF($A$2:A947,A948)&gt;0,INDEX($C$2:C947,MATCH(A948,$A$2:A947,0)),"")</f>
        <v>0</v>
      </c>
      <c r="O948" s="13"/>
      <c r="P948" s="19"/>
    </row>
    <row r="949" spans="1:16" ht="15.75" customHeight="1" x14ac:dyDescent="0.3">
      <c r="A949" s="8" t="str">
        <f ca="1">IFERROR(__xludf.DUMMYFUNCTION("IF(B949="""","""",RIGHT(regexreplace(B949&amp;"""",""[^0-9]"",""""),9))"),"")</f>
        <v/>
      </c>
      <c r="B949" s="5"/>
      <c r="C949" s="5"/>
      <c r="D949" s="5"/>
      <c r="E949" s="15"/>
      <c r="F949" s="15"/>
      <c r="G949" s="15"/>
      <c r="H949" s="15"/>
      <c r="I949" s="15"/>
      <c r="J949" s="15"/>
      <c r="K949" s="9" t="str">
        <f ca="1">IF(COUNTIFS($A$2:A949,A949,$L$2:L949,L949)&gt;1,"DUPLICATE - CHECK","")</f>
        <v/>
      </c>
      <c r="L949" s="17"/>
      <c r="M949" s="17"/>
      <c r="N949" s="9">
        <f ca="1">IF(COUNTIF($A$2:A948,A949)&gt;0,INDEX($C$2:C948,MATCH(A949,$A$2:A948,0)),"")</f>
        <v>0</v>
      </c>
      <c r="O949" s="13"/>
      <c r="P949" s="19"/>
    </row>
    <row r="950" spans="1:16" ht="15.75" customHeight="1" x14ac:dyDescent="0.3">
      <c r="A950" s="8" t="str">
        <f ca="1">IFERROR(__xludf.DUMMYFUNCTION("IF(B950="""","""",RIGHT(regexreplace(B950&amp;"""",""[^0-9]"",""""),9))"),"")</f>
        <v/>
      </c>
      <c r="B950" s="5"/>
      <c r="C950" s="5"/>
      <c r="D950" s="5"/>
      <c r="E950" s="15"/>
      <c r="F950" s="15"/>
      <c r="G950" s="15"/>
      <c r="H950" s="15"/>
      <c r="I950" s="15"/>
      <c r="J950" s="15"/>
      <c r="K950" s="9" t="str">
        <f ca="1">IF(COUNTIFS($A$2:A950,A950,$L$2:L950,L950)&gt;1,"DUPLICATE - CHECK","")</f>
        <v/>
      </c>
      <c r="L950" s="17"/>
      <c r="M950" s="17"/>
      <c r="N950" s="9" t="str">
        <f t="array" aca="1" ref="N950" ca="1">IF(COUNTIF($A$2:A949,A)&gt;0,INDEX($C$2:C949,MATCH(A950,$A$2:A949,0)),"")</f>
        <v/>
      </c>
      <c r="O950" s="13"/>
      <c r="P950" s="19"/>
    </row>
    <row r="951" spans="1:16" ht="15.75" customHeight="1" x14ac:dyDescent="0.3">
      <c r="A951" s="8" t="str">
        <f ca="1">IFERROR(__xludf.DUMMYFUNCTION("IF(B951="""","""",RIGHT(regexreplace(B951&amp;"""",""[^0-9]"",""""),9))"),"")</f>
        <v/>
      </c>
      <c r="B951" s="5"/>
      <c r="C951" s="5"/>
      <c r="D951" s="5"/>
      <c r="E951" s="15"/>
      <c r="F951" s="15"/>
      <c r="G951" s="15"/>
      <c r="H951" s="15"/>
      <c r="I951" s="15"/>
      <c r="J951" s="15"/>
      <c r="K951" s="9" t="str">
        <f ca="1">IF(COUNTIFS($A$2:A951,A951,$L$2:L951,L951)&gt;1,"DUPLICATE - CHECK","")</f>
        <v/>
      </c>
      <c r="L951" s="17"/>
      <c r="M951" s="17"/>
      <c r="N951" s="9">
        <f ca="1">IF(COUNTIF($A$2:A950,A951)&gt;0,INDEX($C$2:C950,MATCH(A951,$A$2:A950,0)),"")</f>
        <v>0</v>
      </c>
      <c r="O951" s="13"/>
      <c r="P951" s="19"/>
    </row>
    <row r="952" spans="1:16" ht="15.75" customHeight="1" x14ac:dyDescent="0.3">
      <c r="A952" s="8" t="str">
        <f ca="1">IFERROR(__xludf.DUMMYFUNCTION("IF(B952="""","""",RIGHT(regexreplace(B952&amp;"""",""[^0-9]"",""""),9))"),"")</f>
        <v/>
      </c>
      <c r="B952" s="5"/>
      <c r="C952" s="5"/>
      <c r="D952" s="5"/>
      <c r="E952" s="15"/>
      <c r="F952" s="15"/>
      <c r="G952" s="15"/>
      <c r="H952" s="15"/>
      <c r="I952" s="15"/>
      <c r="J952" s="15"/>
      <c r="K952" s="9" t="str">
        <f ca="1">IF(COUNTIFS($A$2:A952,A952,$L$2:L952,L952)&gt;1,"DUPLICATE - CHECK","")</f>
        <v/>
      </c>
      <c r="L952" s="17"/>
      <c r="M952" s="17"/>
      <c r="N952" s="9">
        <f ca="1">IF(COUNTIF($A$2:A951,A952)&gt;0,INDEX($C$2:C951,MATCH(A952,$A$2:A951,0)),"")</f>
        <v>0</v>
      </c>
      <c r="O952" s="13"/>
      <c r="P952" s="19"/>
    </row>
    <row r="953" spans="1:16" ht="15.75" customHeight="1" x14ac:dyDescent="0.3">
      <c r="A953" s="8" t="str">
        <f ca="1">IFERROR(__xludf.DUMMYFUNCTION("IF(B953="""","""",RIGHT(regexreplace(B953&amp;"""",""[^0-9]"",""""),9))"),"")</f>
        <v/>
      </c>
      <c r="B953" s="5"/>
      <c r="C953" s="5"/>
      <c r="D953" s="5"/>
      <c r="E953" s="15"/>
      <c r="F953" s="15"/>
      <c r="G953" s="15"/>
      <c r="H953" s="15"/>
      <c r="I953" s="15"/>
      <c r="J953" s="15"/>
      <c r="K953" s="9" t="str">
        <f ca="1">IF(COUNTIFS($A$2:A953,A953,$L$2:L953,L953)&gt;1,"DUPLICATE - CHECK","")</f>
        <v/>
      </c>
      <c r="L953" s="17"/>
      <c r="M953" s="17"/>
      <c r="N953" s="9" t="str">
        <f t="array" aca="1" ref="N953" ca="1">IF(COUNTIF($A$2:A952,A)&gt;0,INDEX($C$2:C952,MATCH(A953,$A$2:A952,0)),"")</f>
        <v/>
      </c>
      <c r="O953" s="13"/>
      <c r="P953" s="19"/>
    </row>
    <row r="954" spans="1:16" ht="15.75" customHeight="1" x14ac:dyDescent="0.3">
      <c r="A954" s="8" t="str">
        <f ca="1">IFERROR(__xludf.DUMMYFUNCTION("IF(B954="""","""",RIGHT(regexreplace(B954&amp;"""",""[^0-9]"",""""),9))"),"")</f>
        <v/>
      </c>
      <c r="B954" s="5"/>
      <c r="C954" s="5"/>
      <c r="D954" s="5"/>
      <c r="E954" s="15"/>
      <c r="F954" s="15"/>
      <c r="G954" s="15"/>
      <c r="H954" s="15"/>
      <c r="I954" s="15"/>
      <c r="J954" s="15"/>
      <c r="K954" s="9" t="str">
        <f ca="1">IF(COUNTIFS($A$2:A954,A954,$L$2:L954,L954)&gt;1,"DUPLICATE - CHECK","")</f>
        <v/>
      </c>
      <c r="L954" s="17"/>
      <c r="M954" s="17"/>
      <c r="N954" s="9">
        <f ca="1">IF(COUNTIF($A$2:A953,A954)&gt;0,INDEX($C$2:C953,MATCH(A954,$A$2:A953,0)),"")</f>
        <v>0</v>
      </c>
      <c r="O954" s="13"/>
      <c r="P954" s="19"/>
    </row>
    <row r="955" spans="1:16" ht="15.75" customHeight="1" x14ac:dyDescent="0.3">
      <c r="A955" s="8" t="str">
        <f ca="1">IFERROR(__xludf.DUMMYFUNCTION("IF(B955="""","""",RIGHT(regexreplace(B955&amp;"""",""[^0-9]"",""""),9))"),"")</f>
        <v/>
      </c>
      <c r="B955" s="5"/>
      <c r="C955" s="5"/>
      <c r="D955" s="5"/>
      <c r="E955" s="15"/>
      <c r="F955" s="15"/>
      <c r="G955" s="15"/>
      <c r="H955" s="15"/>
      <c r="I955" s="15"/>
      <c r="J955" s="15"/>
      <c r="K955" s="9" t="str">
        <f ca="1">IF(COUNTIFS($A$2:A955,A955,$L$2:L955,L955)&gt;1,"DUPLICATE - CHECK","")</f>
        <v/>
      </c>
      <c r="L955" s="17"/>
      <c r="M955" s="17"/>
      <c r="N955" s="9">
        <f ca="1">IF(COUNTIF($A$2:A954,A955)&gt;0,INDEX($C$2:C954,MATCH(A955,$A$2:A954,0)),"")</f>
        <v>0</v>
      </c>
      <c r="O955" s="13"/>
      <c r="P955" s="19"/>
    </row>
    <row r="956" spans="1:16" ht="15.75" customHeight="1" x14ac:dyDescent="0.3">
      <c r="A956" s="8" t="str">
        <f ca="1">IFERROR(__xludf.DUMMYFUNCTION("IF(B956="""","""",RIGHT(regexreplace(B956&amp;"""",""[^0-9]"",""""),9))"),"")</f>
        <v/>
      </c>
      <c r="B956" s="5"/>
      <c r="C956" s="5"/>
      <c r="D956" s="5"/>
      <c r="E956" s="15"/>
      <c r="F956" s="15"/>
      <c r="G956" s="15"/>
      <c r="H956" s="15"/>
      <c r="I956" s="15"/>
      <c r="J956" s="15"/>
      <c r="K956" s="9" t="str">
        <f ca="1">IF(COUNTIFS($A$2:A956,A956,$L$2:L956,L956)&gt;1,"DUPLICATE - CHECK","")</f>
        <v/>
      </c>
      <c r="L956" s="17"/>
      <c r="M956" s="17"/>
      <c r="N956" s="9" t="str">
        <f t="array" aca="1" ref="N956" ca="1">IF(COUNTIF($A$2:A955,A)&gt;0,INDEX($C$2:C955,MATCH(A956,$A$2:A955,0)),"")</f>
        <v/>
      </c>
      <c r="O956" s="13"/>
      <c r="P956" s="19"/>
    </row>
    <row r="957" spans="1:16" ht="15.75" customHeight="1" x14ac:dyDescent="0.3">
      <c r="A957" s="8" t="str">
        <f ca="1">IFERROR(__xludf.DUMMYFUNCTION("IF(B957="""","""",RIGHT(regexreplace(B957&amp;"""",""[^0-9]"",""""),9))"),"")</f>
        <v/>
      </c>
      <c r="B957" s="5"/>
      <c r="C957" s="5"/>
      <c r="D957" s="5"/>
      <c r="E957" s="15"/>
      <c r="F957" s="15"/>
      <c r="G957" s="15"/>
      <c r="H957" s="15"/>
      <c r="I957" s="15"/>
      <c r="J957" s="15"/>
      <c r="K957" s="9" t="str">
        <f ca="1">IF(COUNTIFS($A$2:A957,A957,$L$2:L957,L957)&gt;1,"DUPLICATE - CHECK","")</f>
        <v/>
      </c>
      <c r="L957" s="17"/>
      <c r="M957" s="17"/>
      <c r="N957" s="9">
        <f ca="1">IF(COUNTIF($A$2:A956,A957)&gt;0,INDEX($C$2:C956,MATCH(A957,$A$2:A956,0)),"")</f>
        <v>0</v>
      </c>
      <c r="O957" s="13"/>
      <c r="P957" s="19"/>
    </row>
    <row r="958" spans="1:16" ht="15.75" customHeight="1" x14ac:dyDescent="0.3">
      <c r="A958" s="8" t="str">
        <f ca="1">IFERROR(__xludf.DUMMYFUNCTION("IF(B958="""","""",RIGHT(regexreplace(B958&amp;"""",""[^0-9]"",""""),9))"),"")</f>
        <v/>
      </c>
      <c r="B958" s="5"/>
      <c r="C958" s="5"/>
      <c r="D958" s="5"/>
      <c r="E958" s="15"/>
      <c r="F958" s="15"/>
      <c r="G958" s="15"/>
      <c r="H958" s="15"/>
      <c r="I958" s="15"/>
      <c r="J958" s="15"/>
      <c r="K958" s="9" t="str">
        <f ca="1">IF(COUNTIFS($A$2:A958,A958,$L$2:L958,L958)&gt;1,"DUPLICATE - CHECK","")</f>
        <v/>
      </c>
      <c r="L958" s="17"/>
      <c r="M958" s="17"/>
      <c r="N958" s="9">
        <f ca="1">IF(COUNTIF($A$2:A957,A958)&gt;0,INDEX($C$2:C957,MATCH(A958,$A$2:A957,0)),"")</f>
        <v>0</v>
      </c>
      <c r="O958" s="13"/>
      <c r="P958" s="19"/>
    </row>
    <row r="959" spans="1:16" ht="15.75" customHeight="1" x14ac:dyDescent="0.3">
      <c r="A959" s="8" t="str">
        <f ca="1">IFERROR(__xludf.DUMMYFUNCTION("IF(B959="""","""",RIGHT(regexreplace(B959&amp;"""",""[^0-9]"",""""),9))"),"")</f>
        <v/>
      </c>
      <c r="B959" s="5"/>
      <c r="C959" s="5"/>
      <c r="D959" s="5"/>
      <c r="E959" s="15"/>
      <c r="F959" s="15"/>
      <c r="G959" s="15"/>
      <c r="H959" s="15"/>
      <c r="I959" s="15"/>
      <c r="J959" s="15"/>
      <c r="K959" s="9" t="str">
        <f ca="1">IF(COUNTIFS($A$2:A959,A959,$L$2:L959,L959)&gt;1,"DUPLICATE - CHECK","")</f>
        <v/>
      </c>
      <c r="L959" s="17"/>
      <c r="M959" s="17"/>
      <c r="N959" s="9" t="str">
        <f t="array" aca="1" ref="N959" ca="1">IF(COUNTIF($A$2:A958,A)&gt;0,INDEX($C$2:C958,MATCH(A959,$A$2:A958,0)),"")</f>
        <v/>
      </c>
      <c r="O959" s="13"/>
      <c r="P959" s="19"/>
    </row>
    <row r="960" spans="1:16" ht="15.75" customHeight="1" x14ac:dyDescent="0.3">
      <c r="A960" s="8" t="str">
        <f ca="1">IFERROR(__xludf.DUMMYFUNCTION("IF(B960="""","""",RIGHT(regexreplace(B960&amp;"""",""[^0-9]"",""""),9))"),"")</f>
        <v/>
      </c>
      <c r="B960" s="5"/>
      <c r="C960" s="5"/>
      <c r="D960" s="5"/>
      <c r="E960" s="15"/>
      <c r="F960" s="15"/>
      <c r="G960" s="15"/>
      <c r="H960" s="15"/>
      <c r="I960" s="15"/>
      <c r="J960" s="15"/>
      <c r="K960" s="9" t="str">
        <f ca="1">IF(COUNTIFS($A$2:A960,A960,$L$2:L960,L960)&gt;1,"DUPLICATE - CHECK","")</f>
        <v/>
      </c>
      <c r="L960" s="17"/>
      <c r="M960" s="17"/>
      <c r="N960" s="9">
        <f ca="1">IF(COUNTIF($A$2:A959,A960)&gt;0,INDEX($C$2:C959,MATCH(A960,$A$2:A959,0)),"")</f>
        <v>0</v>
      </c>
      <c r="O960" s="13"/>
      <c r="P960" s="19"/>
    </row>
    <row r="961" spans="1:16" ht="15.75" customHeight="1" x14ac:dyDescent="0.3">
      <c r="A961" s="8" t="str">
        <f ca="1">IFERROR(__xludf.DUMMYFUNCTION("IF(B961="""","""",RIGHT(regexreplace(B961&amp;"""",""[^0-9]"",""""),9))"),"")</f>
        <v/>
      </c>
      <c r="B961" s="5"/>
      <c r="C961" s="5"/>
      <c r="D961" s="5"/>
      <c r="E961" s="15"/>
      <c r="F961" s="15"/>
      <c r="G961" s="15"/>
      <c r="H961" s="15"/>
      <c r="I961" s="15"/>
      <c r="J961" s="15"/>
      <c r="K961" s="9" t="str">
        <f ca="1">IF(COUNTIFS($A$2:A961,A961,$L$2:L961,L961)&gt;1,"DUPLICATE - CHECK","")</f>
        <v/>
      </c>
      <c r="L961" s="17"/>
      <c r="M961" s="17"/>
      <c r="N961" s="9">
        <f ca="1">IF(COUNTIF($A$2:A960,A961)&gt;0,INDEX($C$2:C960,MATCH(A961,$A$2:A960,0)),"")</f>
        <v>0</v>
      </c>
      <c r="O961" s="13"/>
      <c r="P961" s="19"/>
    </row>
    <row r="962" spans="1:16" ht="15.75" customHeight="1" x14ac:dyDescent="0.3">
      <c r="A962" s="8" t="str">
        <f ca="1">IFERROR(__xludf.DUMMYFUNCTION("IF(B962="""","""",RIGHT(regexreplace(B962&amp;"""",""[^0-9]"",""""),9))"),"")</f>
        <v/>
      </c>
      <c r="B962" s="5"/>
      <c r="C962" s="5"/>
      <c r="D962" s="5"/>
      <c r="E962" s="15"/>
      <c r="F962" s="15"/>
      <c r="G962" s="15"/>
      <c r="H962" s="15"/>
      <c r="I962" s="15"/>
      <c r="J962" s="15"/>
      <c r="K962" s="9" t="str">
        <f ca="1">IF(COUNTIFS($A$2:A962,A962,$L$2:L962,L962)&gt;1,"DUPLICATE - CHECK","")</f>
        <v/>
      </c>
      <c r="L962" s="17"/>
      <c r="M962" s="17"/>
      <c r="N962" s="9" t="str">
        <f t="array" aca="1" ref="N962" ca="1">IF(COUNTIF($A$2:A961,A)&gt;0,INDEX($C$2:C961,MATCH(A962,$A$2:A961,0)),"")</f>
        <v/>
      </c>
      <c r="O962" s="13"/>
      <c r="P962" s="19"/>
    </row>
    <row r="963" spans="1:16" ht="15.75" customHeight="1" x14ac:dyDescent="0.3">
      <c r="A963" s="8" t="str">
        <f ca="1">IFERROR(__xludf.DUMMYFUNCTION("IF(B963="""","""",RIGHT(regexreplace(B963&amp;"""",""[^0-9]"",""""),9))"),"")</f>
        <v/>
      </c>
      <c r="B963" s="5"/>
      <c r="C963" s="5"/>
      <c r="D963" s="5"/>
      <c r="E963" s="15"/>
      <c r="F963" s="15"/>
      <c r="G963" s="15"/>
      <c r="H963" s="15"/>
      <c r="I963" s="15"/>
      <c r="J963" s="15"/>
      <c r="K963" s="9" t="str">
        <f ca="1">IF(COUNTIFS($A$2:A963,A963,$L$2:L963,L963)&gt;1,"DUPLICATE - CHECK","")</f>
        <v/>
      </c>
      <c r="L963" s="17"/>
      <c r="M963" s="17"/>
      <c r="N963" s="9">
        <f ca="1">IF(COUNTIF($A$2:A962,A963)&gt;0,INDEX($C$2:C962,MATCH(A963,$A$2:A962,0)),"")</f>
        <v>0</v>
      </c>
      <c r="O963" s="13"/>
      <c r="P963" s="19"/>
    </row>
    <row r="964" spans="1:16" ht="15.75" customHeight="1" x14ac:dyDescent="0.3">
      <c r="A964" s="8" t="str">
        <f ca="1">IFERROR(__xludf.DUMMYFUNCTION("IF(B964="""","""",RIGHT(regexreplace(B964&amp;"""",""[^0-9]"",""""),9))"),"")</f>
        <v/>
      </c>
      <c r="B964" s="5"/>
      <c r="C964" s="5"/>
      <c r="D964" s="5"/>
      <c r="E964" s="15"/>
      <c r="F964" s="15"/>
      <c r="G964" s="15"/>
      <c r="H964" s="15"/>
      <c r="I964" s="15"/>
      <c r="J964" s="15"/>
      <c r="K964" s="9" t="str">
        <f ca="1">IF(COUNTIFS($A$2:A964,A964,$L$2:L964,L964)&gt;1,"DUPLICATE - CHECK","")</f>
        <v/>
      </c>
      <c r="L964" s="17"/>
      <c r="M964" s="17"/>
      <c r="N964" s="9">
        <f ca="1">IF(COUNTIF($A$2:A963,A964)&gt;0,INDEX($C$2:C963,MATCH(A964,$A$2:A963,0)),"")</f>
        <v>0</v>
      </c>
      <c r="O964" s="13"/>
      <c r="P964" s="19"/>
    </row>
    <row r="965" spans="1:16" ht="15.75" customHeight="1" x14ac:dyDescent="0.3">
      <c r="A965" s="8" t="str">
        <f ca="1">IFERROR(__xludf.DUMMYFUNCTION("IF(B965="""","""",RIGHT(regexreplace(B965&amp;"""",""[^0-9]"",""""),9))"),"")</f>
        <v/>
      </c>
      <c r="B965" s="5"/>
      <c r="C965" s="5"/>
      <c r="D965" s="5"/>
      <c r="E965" s="15"/>
      <c r="F965" s="15"/>
      <c r="G965" s="15"/>
      <c r="H965" s="15"/>
      <c r="I965" s="15"/>
      <c r="J965" s="15"/>
      <c r="K965" s="9" t="str">
        <f ca="1">IF(COUNTIFS($A$2:A965,A965,$L$2:L965,L965)&gt;1,"DUPLICATE - CHECK","")</f>
        <v/>
      </c>
      <c r="L965" s="17"/>
      <c r="M965" s="17"/>
      <c r="N965" s="9" t="str">
        <f t="array" aca="1" ref="N965" ca="1">IF(COUNTIF($A$2:A964,A)&gt;0,INDEX($C$2:C964,MATCH(A965,$A$2:A964,0)),"")</f>
        <v/>
      </c>
      <c r="O965" s="13"/>
      <c r="P965" s="19"/>
    </row>
    <row r="966" spans="1:16" ht="15.75" customHeight="1" x14ac:dyDescent="0.3">
      <c r="A966" s="8" t="str">
        <f ca="1">IFERROR(__xludf.DUMMYFUNCTION("IF(B966="""","""",RIGHT(regexreplace(B966&amp;"""",""[^0-9]"",""""),9))"),"")</f>
        <v/>
      </c>
      <c r="B966" s="5"/>
      <c r="C966" s="5"/>
      <c r="D966" s="5"/>
      <c r="E966" s="15"/>
      <c r="F966" s="15"/>
      <c r="G966" s="15"/>
      <c r="H966" s="15"/>
      <c r="I966" s="15"/>
      <c r="J966" s="15"/>
      <c r="K966" s="9" t="str">
        <f ca="1">IF(COUNTIFS($A$2:A966,A966,$L$2:L966,L966)&gt;1,"DUPLICATE - CHECK","")</f>
        <v/>
      </c>
      <c r="L966" s="17"/>
      <c r="M966" s="17"/>
      <c r="N966" s="9">
        <f ca="1">IF(COUNTIF($A$2:A965,A966)&gt;0,INDEX($C$2:C965,MATCH(A966,$A$2:A965,0)),"")</f>
        <v>0</v>
      </c>
      <c r="O966" s="13"/>
      <c r="P966" s="19"/>
    </row>
    <row r="967" spans="1:16" ht="15.75" customHeight="1" x14ac:dyDescent="0.3">
      <c r="A967" s="8" t="str">
        <f ca="1">IFERROR(__xludf.DUMMYFUNCTION("IF(B967="""","""",RIGHT(regexreplace(B967&amp;"""",""[^0-9]"",""""),9))"),"")</f>
        <v/>
      </c>
      <c r="B967" s="5"/>
      <c r="C967" s="5"/>
      <c r="D967" s="5"/>
      <c r="E967" s="15"/>
      <c r="F967" s="15"/>
      <c r="G967" s="15"/>
      <c r="H967" s="15"/>
      <c r="I967" s="15"/>
      <c r="J967" s="15"/>
      <c r="K967" s="9" t="str">
        <f ca="1">IF(COUNTIFS($A$2:A967,A967,$L$2:L967,L967)&gt;1,"DUPLICATE - CHECK","")</f>
        <v/>
      </c>
      <c r="L967" s="17"/>
      <c r="M967" s="17"/>
      <c r="N967" s="9">
        <f ca="1">IF(COUNTIF($A$2:A966,A967)&gt;0,INDEX($C$2:C966,MATCH(A967,$A$2:A966,0)),"")</f>
        <v>0</v>
      </c>
      <c r="O967" s="13"/>
      <c r="P967" s="19"/>
    </row>
    <row r="968" spans="1:16" ht="15.75" customHeight="1" x14ac:dyDescent="0.3">
      <c r="A968" s="8" t="str">
        <f ca="1">IFERROR(__xludf.DUMMYFUNCTION("IF(B968="""","""",RIGHT(regexreplace(B968&amp;"""",""[^0-9]"",""""),9))"),"")</f>
        <v/>
      </c>
      <c r="B968" s="5"/>
      <c r="C968" s="5"/>
      <c r="D968" s="5"/>
      <c r="E968" s="15"/>
      <c r="F968" s="15"/>
      <c r="G968" s="15"/>
      <c r="H968" s="15"/>
      <c r="I968" s="15"/>
      <c r="J968" s="15"/>
      <c r="K968" s="9" t="str">
        <f ca="1">IF(COUNTIFS($A$2:A968,A968,$L$2:L968,L968)&gt;1,"DUPLICATE - CHECK","")</f>
        <v/>
      </c>
      <c r="L968" s="17"/>
      <c r="M968" s="17"/>
      <c r="N968" s="9" t="str">
        <f t="array" aca="1" ref="N968" ca="1">IF(COUNTIF($A$2:A967,A)&gt;0,INDEX($C$2:C967,MATCH(A968,$A$2:A967,0)),"")</f>
        <v/>
      </c>
      <c r="O968" s="13"/>
      <c r="P968" s="19"/>
    </row>
    <row r="969" spans="1:16" ht="15.75" customHeight="1" x14ac:dyDescent="0.3">
      <c r="A969" s="8" t="str">
        <f ca="1">IFERROR(__xludf.DUMMYFUNCTION("IF(B969="""","""",RIGHT(regexreplace(B969&amp;"""",""[^0-9]"",""""),9))"),"")</f>
        <v/>
      </c>
      <c r="B969" s="5"/>
      <c r="C969" s="5"/>
      <c r="D969" s="5"/>
      <c r="E969" s="15"/>
      <c r="F969" s="15"/>
      <c r="G969" s="15"/>
      <c r="H969" s="15"/>
      <c r="I969" s="15"/>
      <c r="J969" s="15"/>
      <c r="K969" s="9" t="str">
        <f ca="1">IF(COUNTIFS($A$2:A969,A969,$L$2:L969,L969)&gt;1,"DUPLICATE - CHECK","")</f>
        <v/>
      </c>
      <c r="L969" s="17"/>
      <c r="M969" s="17"/>
      <c r="N969" s="9">
        <f ca="1">IF(COUNTIF($A$2:A968,A969)&gt;0,INDEX($C$2:C968,MATCH(A969,$A$2:A968,0)),"")</f>
        <v>0</v>
      </c>
      <c r="O969" s="13"/>
      <c r="P969" s="19"/>
    </row>
    <row r="970" spans="1:16" ht="15.75" customHeight="1" x14ac:dyDescent="0.3">
      <c r="A970" s="8" t="str">
        <f ca="1">IFERROR(__xludf.DUMMYFUNCTION("IF(B970="""","""",RIGHT(regexreplace(B970&amp;"""",""[^0-9]"",""""),9))"),"")</f>
        <v/>
      </c>
      <c r="B970" s="5"/>
      <c r="C970" s="5"/>
      <c r="D970" s="5"/>
      <c r="E970" s="15"/>
      <c r="F970" s="15"/>
      <c r="G970" s="15"/>
      <c r="H970" s="15"/>
      <c r="I970" s="15"/>
      <c r="J970" s="15"/>
      <c r="K970" s="9" t="str">
        <f ca="1">IF(COUNTIFS($A$2:A970,A970,$L$2:L970,L970)&gt;1,"DUPLICATE - CHECK","")</f>
        <v/>
      </c>
      <c r="L970" s="17"/>
      <c r="M970" s="17"/>
      <c r="N970" s="9">
        <f ca="1">IF(COUNTIF($A$2:A969,A970)&gt;0,INDEX($C$2:C969,MATCH(A970,$A$2:A969,0)),"")</f>
        <v>0</v>
      </c>
      <c r="O970" s="13"/>
      <c r="P970" s="19"/>
    </row>
    <row r="971" spans="1:16" ht="15.75" customHeight="1" x14ac:dyDescent="0.3">
      <c r="A971" s="8" t="str">
        <f ca="1">IFERROR(__xludf.DUMMYFUNCTION("IF(B971="""","""",RIGHT(regexreplace(B971&amp;"""",""[^0-9]"",""""),9))"),"")</f>
        <v/>
      </c>
      <c r="B971" s="5"/>
      <c r="C971" s="5"/>
      <c r="D971" s="5"/>
      <c r="E971" s="15"/>
      <c r="F971" s="15"/>
      <c r="G971" s="15"/>
      <c r="H971" s="15"/>
      <c r="I971" s="15"/>
      <c r="J971" s="15"/>
      <c r="K971" s="9" t="str">
        <f ca="1">IF(COUNTIFS($A$2:A971,A971,$L$2:L971,L971)&gt;1,"DUPLICATE - CHECK","")</f>
        <v/>
      </c>
      <c r="L971" s="17"/>
      <c r="M971" s="17"/>
      <c r="N971" s="9" t="str">
        <f t="array" aca="1" ref="N971" ca="1">IF(COUNTIF($A$2:A970,A)&gt;0,INDEX($C$2:C970,MATCH(A971,$A$2:A970,0)),"")</f>
        <v/>
      </c>
      <c r="O971" s="13"/>
      <c r="P971" s="19"/>
    </row>
    <row r="972" spans="1:16" ht="15.75" customHeight="1" x14ac:dyDescent="0.3">
      <c r="A972" s="8" t="str">
        <f ca="1">IFERROR(__xludf.DUMMYFUNCTION("IF(B972="""","""",RIGHT(regexreplace(B972&amp;"""",""[^0-9]"",""""),9))"),"")</f>
        <v/>
      </c>
      <c r="B972" s="5"/>
      <c r="C972" s="5"/>
      <c r="D972" s="5"/>
      <c r="E972" s="15"/>
      <c r="F972" s="15"/>
      <c r="G972" s="15"/>
      <c r="H972" s="15"/>
      <c r="I972" s="15"/>
      <c r="J972" s="15"/>
      <c r="K972" s="9" t="str">
        <f ca="1">IF(COUNTIFS($A$2:A972,A972,$L$2:L972,L972)&gt;1,"DUPLICATE - CHECK","")</f>
        <v/>
      </c>
      <c r="L972" s="17"/>
      <c r="M972" s="17"/>
      <c r="N972" s="9">
        <f ca="1">IF(COUNTIF($A$2:A971,A972)&gt;0,INDEX($C$2:C971,MATCH(A972,$A$2:A971,0)),"")</f>
        <v>0</v>
      </c>
      <c r="O972" s="13"/>
      <c r="P972" s="19"/>
    </row>
    <row r="973" spans="1:16" ht="15.75" customHeight="1" x14ac:dyDescent="0.3">
      <c r="A973" s="8" t="str">
        <f ca="1">IFERROR(__xludf.DUMMYFUNCTION("IF(B973="""","""",RIGHT(regexreplace(B973&amp;"""",""[^0-9]"",""""),9))"),"")</f>
        <v/>
      </c>
      <c r="B973" s="5"/>
      <c r="C973" s="5"/>
      <c r="D973" s="5"/>
      <c r="E973" s="15"/>
      <c r="F973" s="15"/>
      <c r="G973" s="15"/>
      <c r="H973" s="15"/>
      <c r="I973" s="15"/>
      <c r="J973" s="15"/>
      <c r="K973" s="9" t="str">
        <f ca="1">IF(COUNTIFS($A$2:A973,A973,$L$2:L973,L973)&gt;1,"DUPLICATE - CHECK","")</f>
        <v/>
      </c>
      <c r="L973" s="17"/>
      <c r="M973" s="17"/>
      <c r="N973" s="9">
        <f ca="1">IF(COUNTIF($A$2:A972,A973)&gt;0,INDEX($C$2:C972,MATCH(A973,$A$2:A972,0)),"")</f>
        <v>0</v>
      </c>
      <c r="O973" s="13"/>
      <c r="P973" s="19"/>
    </row>
    <row r="974" spans="1:16" ht="15.75" customHeight="1" x14ac:dyDescent="0.3">
      <c r="A974" s="8" t="str">
        <f ca="1">IFERROR(__xludf.DUMMYFUNCTION("IF(B974="""","""",RIGHT(regexreplace(B974&amp;"""",""[^0-9]"",""""),9))"),"")</f>
        <v/>
      </c>
      <c r="B974" s="5"/>
      <c r="C974" s="5"/>
      <c r="D974" s="5"/>
      <c r="E974" s="15"/>
      <c r="F974" s="15"/>
      <c r="G974" s="15"/>
      <c r="H974" s="15"/>
      <c r="I974" s="15"/>
      <c r="J974" s="15"/>
      <c r="K974" s="9" t="str">
        <f ca="1">IF(COUNTIFS($A$2:A974,A974,$L$2:L974,L974)&gt;1,"DUPLICATE - CHECK","")</f>
        <v/>
      </c>
      <c r="L974" s="17"/>
      <c r="M974" s="17"/>
      <c r="N974" s="9" t="str">
        <f t="array" aca="1" ref="N974" ca="1">IF(COUNTIF($A$2:A973,A)&gt;0,INDEX($C$2:C973,MATCH(A974,$A$2:A973,0)),"")</f>
        <v/>
      </c>
      <c r="O974" s="13"/>
      <c r="P974" s="19"/>
    </row>
    <row r="975" spans="1:16" ht="15.75" customHeight="1" x14ac:dyDescent="0.3">
      <c r="A975" s="8" t="str">
        <f ca="1">IFERROR(__xludf.DUMMYFUNCTION("IF(B975="""","""",RIGHT(regexreplace(B975&amp;"""",""[^0-9]"",""""),9))"),"")</f>
        <v/>
      </c>
      <c r="B975" s="5"/>
      <c r="C975" s="5"/>
      <c r="D975" s="5"/>
      <c r="E975" s="15"/>
      <c r="F975" s="15"/>
      <c r="G975" s="15"/>
      <c r="H975" s="15"/>
      <c r="I975" s="15"/>
      <c r="J975" s="15"/>
      <c r="K975" s="9" t="str">
        <f ca="1">IF(COUNTIFS($A$2:A975,A975,$L$2:L975,L975)&gt;1,"DUPLICATE - CHECK","")</f>
        <v/>
      </c>
      <c r="L975" s="17"/>
      <c r="M975" s="17"/>
      <c r="N975" s="9">
        <f ca="1">IF(COUNTIF($A$2:A974,A975)&gt;0,INDEX($C$2:C974,MATCH(A975,$A$2:A974,0)),"")</f>
        <v>0</v>
      </c>
      <c r="O975" s="13"/>
      <c r="P975" s="19"/>
    </row>
    <row r="976" spans="1:16" ht="15.75" customHeight="1" x14ac:dyDescent="0.3">
      <c r="A976" s="8" t="str">
        <f ca="1">IFERROR(__xludf.DUMMYFUNCTION("IF(B976="""","""",RIGHT(regexreplace(B976&amp;"""",""[^0-9]"",""""),9))"),"")</f>
        <v/>
      </c>
      <c r="B976" s="5"/>
      <c r="C976" s="5"/>
      <c r="D976" s="5"/>
      <c r="E976" s="15"/>
      <c r="F976" s="15"/>
      <c r="G976" s="15"/>
      <c r="H976" s="15"/>
      <c r="I976" s="15"/>
      <c r="J976" s="15"/>
      <c r="K976" s="9" t="str">
        <f ca="1">IF(COUNTIFS($A$2:A976,A976,$L$2:L976,L976)&gt;1,"DUPLICATE - CHECK","")</f>
        <v/>
      </c>
      <c r="L976" s="17"/>
      <c r="M976" s="17"/>
      <c r="N976" s="9">
        <f ca="1">IF(COUNTIF($A$2:A975,A976)&gt;0,INDEX($C$2:C975,MATCH(A976,$A$2:A975,0)),"")</f>
        <v>0</v>
      </c>
      <c r="O976" s="13"/>
      <c r="P976" s="19"/>
    </row>
    <row r="977" spans="1:16" ht="15.75" customHeight="1" x14ac:dyDescent="0.3">
      <c r="A977" s="8" t="str">
        <f ca="1">IFERROR(__xludf.DUMMYFUNCTION("IF(B977="""","""",RIGHT(regexreplace(B977&amp;"""",""[^0-9]"",""""),9))"),"")</f>
        <v/>
      </c>
      <c r="B977" s="5"/>
      <c r="C977" s="5"/>
      <c r="D977" s="5"/>
      <c r="E977" s="15"/>
      <c r="F977" s="15"/>
      <c r="G977" s="15"/>
      <c r="H977" s="15"/>
      <c r="I977" s="15"/>
      <c r="J977" s="15"/>
      <c r="K977" s="9" t="str">
        <f ca="1">IF(COUNTIFS($A$2:A977,A977,$L$2:L977,L977)&gt;1,"DUPLICATE - CHECK","")</f>
        <v/>
      </c>
      <c r="L977" s="17"/>
      <c r="M977" s="17"/>
      <c r="N977" s="9" t="str">
        <f t="array" aca="1" ref="N977" ca="1">IF(COUNTIF($A$2:A976,A)&gt;0,INDEX($C$2:C976,MATCH(A977,$A$2:A976,0)),"")</f>
        <v/>
      </c>
      <c r="O977" s="13"/>
      <c r="P977" s="19"/>
    </row>
    <row r="978" spans="1:16" ht="15.75" customHeight="1" x14ac:dyDescent="0.3">
      <c r="A978" s="8" t="str">
        <f ca="1">IFERROR(__xludf.DUMMYFUNCTION("IF(B978="""","""",RIGHT(regexreplace(B978&amp;"""",""[^0-9]"",""""),9))"),"")</f>
        <v/>
      </c>
      <c r="B978" s="5"/>
      <c r="C978" s="5"/>
      <c r="D978" s="5"/>
      <c r="E978" s="15"/>
      <c r="F978" s="15"/>
      <c r="G978" s="15"/>
      <c r="H978" s="15"/>
      <c r="I978" s="15"/>
      <c r="J978" s="15"/>
      <c r="K978" s="9" t="str">
        <f ca="1">IF(COUNTIFS($A$2:A978,A978,$L$2:L978,L978)&gt;1,"DUPLICATE - CHECK","")</f>
        <v/>
      </c>
      <c r="L978" s="17"/>
      <c r="M978" s="17"/>
      <c r="N978" s="9">
        <f ca="1">IF(COUNTIF($A$2:A977,A978)&gt;0,INDEX($C$2:C977,MATCH(A978,$A$2:A977,0)),"")</f>
        <v>0</v>
      </c>
      <c r="O978" s="13"/>
      <c r="P978" s="19"/>
    </row>
    <row r="979" spans="1:16" ht="15.75" customHeight="1" x14ac:dyDescent="0.3">
      <c r="A979" s="8" t="str">
        <f ca="1">IFERROR(__xludf.DUMMYFUNCTION("IF(B979="""","""",RIGHT(regexreplace(B979&amp;"""",""[^0-9]"",""""),9))"),"")</f>
        <v/>
      </c>
      <c r="B979" s="5"/>
      <c r="C979" s="5"/>
      <c r="D979" s="5"/>
      <c r="E979" s="15"/>
      <c r="F979" s="15"/>
      <c r="G979" s="15"/>
      <c r="H979" s="15"/>
      <c r="I979" s="15"/>
      <c r="J979" s="15"/>
      <c r="K979" s="9" t="str">
        <f ca="1">IF(COUNTIFS($A$2:A979,A979,$L$2:L979,L979)&gt;1,"DUPLICATE - CHECK","")</f>
        <v/>
      </c>
      <c r="L979" s="17"/>
      <c r="M979" s="17"/>
      <c r="N979" s="9">
        <f ca="1">IF(COUNTIF($A$2:A978,A979)&gt;0,INDEX($C$2:C978,MATCH(A979,$A$2:A978,0)),"")</f>
        <v>0</v>
      </c>
      <c r="O979" s="13"/>
      <c r="P979" s="19"/>
    </row>
    <row r="980" spans="1:16" ht="15.75" customHeight="1" x14ac:dyDescent="0.3">
      <c r="A980" s="8" t="str">
        <f ca="1">IFERROR(__xludf.DUMMYFUNCTION("IF(B980="""","""",RIGHT(regexreplace(B980&amp;"""",""[^0-9]"",""""),9))"),"")</f>
        <v/>
      </c>
      <c r="B980" s="5"/>
      <c r="C980" s="5"/>
      <c r="D980" s="5"/>
      <c r="E980" s="15"/>
      <c r="F980" s="15"/>
      <c r="G980" s="15"/>
      <c r="H980" s="15"/>
      <c r="I980" s="15"/>
      <c r="J980" s="15"/>
      <c r="K980" s="9" t="str">
        <f ca="1">IF(COUNTIFS($A$2:A980,A980,$L$2:L980,L980)&gt;1,"DUPLICATE - CHECK","")</f>
        <v/>
      </c>
      <c r="L980" s="17"/>
      <c r="M980" s="17"/>
      <c r="N980" s="9" t="str">
        <f t="array" aca="1" ref="N980" ca="1">IF(COUNTIF($A$2:A979,A)&gt;0,INDEX($C$2:C979,MATCH(A980,$A$2:A979,0)),"")</f>
        <v/>
      </c>
      <c r="O980" s="13"/>
      <c r="P980" s="19"/>
    </row>
    <row r="981" spans="1:16" ht="15.75" customHeight="1" x14ac:dyDescent="0.3">
      <c r="A981" s="8" t="str">
        <f ca="1">IFERROR(__xludf.DUMMYFUNCTION("IF(B981="""","""",RIGHT(regexreplace(B981&amp;"""",""[^0-9]"",""""),9))"),"")</f>
        <v/>
      </c>
      <c r="B981" s="5"/>
      <c r="C981" s="5"/>
      <c r="D981" s="5"/>
      <c r="E981" s="15"/>
      <c r="F981" s="15"/>
      <c r="G981" s="15"/>
      <c r="H981" s="15"/>
      <c r="I981" s="15"/>
      <c r="J981" s="15"/>
      <c r="K981" s="9" t="str">
        <f ca="1">IF(COUNTIFS($A$2:A981,A981,$L$2:L981,L981)&gt;1,"DUPLICATE - CHECK","")</f>
        <v/>
      </c>
      <c r="L981" s="17"/>
      <c r="M981" s="17"/>
      <c r="N981" s="9">
        <f ca="1">IF(COUNTIF($A$2:A980,A981)&gt;0,INDEX($C$2:C980,MATCH(A981,$A$2:A980,0)),"")</f>
        <v>0</v>
      </c>
      <c r="O981" s="13"/>
      <c r="P981" s="19"/>
    </row>
    <row r="982" spans="1:16" ht="15.75" customHeight="1" x14ac:dyDescent="0.3">
      <c r="A982" s="8" t="str">
        <f ca="1">IFERROR(__xludf.DUMMYFUNCTION("IF(B982="""","""",RIGHT(regexreplace(B982&amp;"""",""[^0-9]"",""""),9))"),"")</f>
        <v/>
      </c>
      <c r="B982" s="5"/>
      <c r="C982" s="5"/>
      <c r="D982" s="5"/>
      <c r="E982" s="15"/>
      <c r="F982" s="15"/>
      <c r="G982" s="15"/>
      <c r="H982" s="15"/>
      <c r="I982" s="15"/>
      <c r="J982" s="15"/>
      <c r="K982" s="9" t="str">
        <f ca="1">IF(COUNTIFS($A$2:A982,A982,$L$2:L982,L982)&gt;1,"DUPLICATE - CHECK","")</f>
        <v/>
      </c>
      <c r="L982" s="17"/>
      <c r="M982" s="17"/>
      <c r="N982" s="9">
        <f ca="1">IF(COUNTIF($A$2:A981,A982)&gt;0,INDEX($C$2:C981,MATCH(A982,$A$2:A981,0)),"")</f>
        <v>0</v>
      </c>
      <c r="O982" s="13"/>
      <c r="P982" s="19"/>
    </row>
    <row r="983" spans="1:16" ht="15.75" customHeight="1" x14ac:dyDescent="0.3">
      <c r="A983" s="8" t="str">
        <f ca="1">IFERROR(__xludf.DUMMYFUNCTION("IF(B983="""","""",RIGHT(regexreplace(B983&amp;"""",""[^0-9]"",""""),9))"),"")</f>
        <v/>
      </c>
      <c r="B983" s="5"/>
      <c r="C983" s="5"/>
      <c r="D983" s="5"/>
      <c r="E983" s="15"/>
      <c r="F983" s="15"/>
      <c r="G983" s="15"/>
      <c r="H983" s="15"/>
      <c r="I983" s="15"/>
      <c r="J983" s="15"/>
      <c r="K983" s="9" t="str">
        <f ca="1">IF(COUNTIFS($A$2:A983,A983,$L$2:L983,L983)&gt;1,"DUPLICATE - CHECK","")</f>
        <v/>
      </c>
      <c r="L983" s="17"/>
      <c r="M983" s="17"/>
      <c r="N983" s="9" t="str">
        <f t="array" aca="1" ref="N983" ca="1">IF(COUNTIF($A$2:A982,A)&gt;0,INDEX($C$2:C982,MATCH(A983,$A$2:A982,0)),"")</f>
        <v/>
      </c>
      <c r="O983" s="13"/>
      <c r="P983" s="19"/>
    </row>
    <row r="984" spans="1:16" ht="15.75" customHeight="1" x14ac:dyDescent="0.3">
      <c r="A984" s="8" t="str">
        <f ca="1">IFERROR(__xludf.DUMMYFUNCTION("IF(B984="""","""",RIGHT(regexreplace(B984&amp;"""",""[^0-9]"",""""),9))"),"")</f>
        <v/>
      </c>
      <c r="B984" s="5"/>
      <c r="C984" s="5"/>
      <c r="D984" s="5"/>
      <c r="E984" s="15"/>
      <c r="F984" s="15"/>
      <c r="G984" s="15"/>
      <c r="H984" s="15"/>
      <c r="I984" s="15"/>
      <c r="J984" s="15"/>
      <c r="K984" s="9" t="str">
        <f ca="1">IF(COUNTIFS($A$2:A984,A984,$L$2:L984,L984)&gt;1,"DUPLICATE - CHECK","")</f>
        <v/>
      </c>
      <c r="L984" s="17"/>
      <c r="M984" s="17"/>
      <c r="N984" s="9">
        <f ca="1">IF(COUNTIF($A$2:A983,A984)&gt;0,INDEX($C$2:C983,MATCH(A984,$A$2:A983,0)),"")</f>
        <v>0</v>
      </c>
      <c r="O984" s="13"/>
      <c r="P984" s="19"/>
    </row>
    <row r="985" spans="1:16" ht="15.75" customHeight="1" x14ac:dyDescent="0.3">
      <c r="A985" s="8" t="str">
        <f ca="1">IFERROR(__xludf.DUMMYFUNCTION("IF(B985="""","""",RIGHT(regexreplace(B985&amp;"""",""[^0-9]"",""""),9))"),"")</f>
        <v/>
      </c>
      <c r="B985" s="5"/>
      <c r="C985" s="5"/>
      <c r="D985" s="5"/>
      <c r="E985" s="15"/>
      <c r="F985" s="15"/>
      <c r="G985" s="15"/>
      <c r="H985" s="15"/>
      <c r="I985" s="15"/>
      <c r="J985" s="15"/>
      <c r="K985" s="9" t="str">
        <f ca="1">IF(COUNTIFS($A$2:A985,A985,$L$2:L985,L985)&gt;1,"DUPLICATE - CHECK","")</f>
        <v/>
      </c>
      <c r="L985" s="17"/>
      <c r="M985" s="17"/>
      <c r="N985" s="9">
        <f ca="1">IF(COUNTIF($A$2:A984,A985)&gt;0,INDEX($C$2:C984,MATCH(A985,$A$2:A984,0)),"")</f>
        <v>0</v>
      </c>
      <c r="O985" s="13"/>
      <c r="P985" s="19"/>
    </row>
    <row r="986" spans="1:16" ht="15.75" customHeight="1" x14ac:dyDescent="0.3">
      <c r="A986" s="8" t="str">
        <f ca="1">IFERROR(__xludf.DUMMYFUNCTION("IF(B986="""","""",RIGHT(regexreplace(B986&amp;"""",""[^0-9]"",""""),9))"),"")</f>
        <v/>
      </c>
      <c r="B986" s="5"/>
      <c r="C986" s="5"/>
      <c r="D986" s="5"/>
      <c r="E986" s="15"/>
      <c r="F986" s="15"/>
      <c r="G986" s="15"/>
      <c r="H986" s="15"/>
      <c r="I986" s="15"/>
      <c r="J986" s="15"/>
      <c r="K986" s="9" t="str">
        <f ca="1">IF(COUNTIFS($A$2:A986,A986,$L$2:L986,L986)&gt;1,"DUPLICATE - CHECK","")</f>
        <v/>
      </c>
      <c r="L986" s="17"/>
      <c r="M986" s="17"/>
      <c r="N986" s="9" t="str">
        <f t="array" aca="1" ref="N986" ca="1">IF(COUNTIF($A$2:A985,A)&gt;0,INDEX($C$2:C985,MATCH(A986,$A$2:A985,0)),"")</f>
        <v/>
      </c>
      <c r="O986" s="13"/>
      <c r="P986" s="19"/>
    </row>
    <row r="987" spans="1:16" ht="15.75" customHeight="1" x14ac:dyDescent="0.3">
      <c r="A987" s="8" t="str">
        <f ca="1">IFERROR(__xludf.DUMMYFUNCTION("IF(B987="""","""",RIGHT(regexreplace(B987&amp;"""",""[^0-9]"",""""),9))"),"")</f>
        <v/>
      </c>
      <c r="B987" s="5"/>
      <c r="C987" s="5"/>
      <c r="D987" s="5"/>
      <c r="E987" s="15"/>
      <c r="F987" s="15"/>
      <c r="G987" s="15"/>
      <c r="H987" s="15"/>
      <c r="I987" s="15"/>
      <c r="J987" s="15"/>
      <c r="K987" s="9" t="str">
        <f ca="1">IF(COUNTIFS($A$2:A987,A987,$L$2:L987,L987)&gt;1,"DUPLICATE - CHECK","")</f>
        <v/>
      </c>
      <c r="L987" s="17"/>
      <c r="M987" s="17"/>
      <c r="N987" s="9">
        <f ca="1">IF(COUNTIF($A$2:A986,A987)&gt;0,INDEX($C$2:C986,MATCH(A987,$A$2:A986,0)),"")</f>
        <v>0</v>
      </c>
      <c r="O987" s="13"/>
      <c r="P987" s="19"/>
    </row>
    <row r="988" spans="1:16" ht="15.75" customHeight="1" x14ac:dyDescent="0.3">
      <c r="A988" s="8" t="str">
        <f ca="1">IFERROR(__xludf.DUMMYFUNCTION("IF(B988="""","""",RIGHT(regexreplace(B988&amp;"""",""[^0-9]"",""""),9))"),"")</f>
        <v/>
      </c>
      <c r="B988" s="5"/>
      <c r="C988" s="5"/>
      <c r="D988" s="5"/>
      <c r="E988" s="15"/>
      <c r="F988" s="15"/>
      <c r="G988" s="15"/>
      <c r="H988" s="15"/>
      <c r="I988" s="15"/>
      <c r="J988" s="15"/>
      <c r="K988" s="9" t="str">
        <f ca="1">IF(COUNTIFS($A$2:A988,A988,$L$2:L988,L988)&gt;1,"DUPLICATE - CHECK","")</f>
        <v/>
      </c>
      <c r="L988" s="17"/>
      <c r="M988" s="17"/>
      <c r="N988" s="9">
        <f ca="1">IF(COUNTIF($A$2:A987,A988)&gt;0,INDEX($C$2:C987,MATCH(A988,$A$2:A987,0)),"")</f>
        <v>0</v>
      </c>
      <c r="O988" s="13"/>
      <c r="P988" s="19"/>
    </row>
    <row r="989" spans="1:16" ht="15.75" customHeight="1" x14ac:dyDescent="0.3">
      <c r="A989" s="8" t="str">
        <f ca="1">IFERROR(__xludf.DUMMYFUNCTION("IF(B989="""","""",RIGHT(regexreplace(B989&amp;"""",""[^0-9]"",""""),9))"),"")</f>
        <v/>
      </c>
      <c r="B989" s="5"/>
      <c r="C989" s="5"/>
      <c r="D989" s="5"/>
      <c r="E989" s="15"/>
      <c r="F989" s="15"/>
      <c r="G989" s="15"/>
      <c r="H989" s="15"/>
      <c r="I989" s="15"/>
      <c r="J989" s="15"/>
      <c r="K989" s="9" t="str">
        <f ca="1">IF(COUNTIFS($A$2:A989,A989,$L$2:L989,L989)&gt;1,"DUPLICATE - CHECK","")</f>
        <v/>
      </c>
      <c r="L989" s="17"/>
      <c r="M989" s="17"/>
      <c r="N989" s="9" t="str">
        <f t="array" aca="1" ref="N989" ca="1">IF(COUNTIF($A$2:A988,A)&gt;0,INDEX($C$2:C988,MATCH(A989,$A$2:A988,0)),"")</f>
        <v/>
      </c>
      <c r="O989" s="13"/>
      <c r="P989" s="19"/>
    </row>
    <row r="990" spans="1:16" ht="15.75" customHeight="1" x14ac:dyDescent="0.3">
      <c r="A990" s="8" t="str">
        <f ca="1">IFERROR(__xludf.DUMMYFUNCTION("IF(B990="""","""",RIGHT(regexreplace(B990&amp;"""",""[^0-9]"",""""),9))"),"")</f>
        <v/>
      </c>
      <c r="B990" s="5"/>
      <c r="C990" s="5"/>
      <c r="D990" s="5"/>
      <c r="E990" s="15"/>
      <c r="F990" s="15"/>
      <c r="G990" s="15"/>
      <c r="H990" s="15"/>
      <c r="I990" s="15"/>
      <c r="J990" s="15"/>
      <c r="K990" s="9" t="str">
        <f ca="1">IF(COUNTIFS($A$2:A990,A990,$L$2:L990,L990)&gt;1,"DUPLICATE - CHECK","")</f>
        <v/>
      </c>
      <c r="L990" s="17"/>
      <c r="M990" s="17"/>
      <c r="N990" s="9">
        <f ca="1">IF(COUNTIF($A$2:A989,A990)&gt;0,INDEX($C$2:C989,MATCH(A990,$A$2:A989,0)),"")</f>
        <v>0</v>
      </c>
      <c r="O990" s="13"/>
      <c r="P990" s="19"/>
    </row>
    <row r="991" spans="1:16" ht="15.75" customHeight="1" x14ac:dyDescent="0.3">
      <c r="A991" s="8" t="str">
        <f ca="1">IFERROR(__xludf.DUMMYFUNCTION("IF(B991="""","""",RIGHT(regexreplace(B991&amp;"""",""[^0-9]"",""""),9))"),"")</f>
        <v/>
      </c>
      <c r="B991" s="5"/>
      <c r="C991" s="5"/>
      <c r="D991" s="5"/>
      <c r="E991" s="15"/>
      <c r="F991" s="15"/>
      <c r="G991" s="15"/>
      <c r="H991" s="15"/>
      <c r="I991" s="15"/>
      <c r="J991" s="15"/>
      <c r="K991" s="9" t="str">
        <f ca="1">IF(COUNTIFS($A$2:A991,A991,$L$2:L991,L991)&gt;1,"DUPLICATE - CHECK","")</f>
        <v/>
      </c>
      <c r="L991" s="17"/>
      <c r="M991" s="17"/>
      <c r="N991" s="9">
        <f ca="1">IF(COUNTIF($A$2:A990,A991)&gt;0,INDEX($C$2:C990,MATCH(A991,$A$2:A990,0)),"")</f>
        <v>0</v>
      </c>
      <c r="O991" s="13"/>
      <c r="P991" s="19"/>
    </row>
    <row r="992" spans="1:16" ht="15.75" customHeight="1" x14ac:dyDescent="0.3">
      <c r="A992" s="8" t="str">
        <f ca="1">IFERROR(__xludf.DUMMYFUNCTION("IF(B992="""","""",RIGHT(regexreplace(B992&amp;"""",""[^0-9]"",""""),9))"),"")</f>
        <v/>
      </c>
      <c r="B992" s="5"/>
      <c r="C992" s="5"/>
      <c r="D992" s="5"/>
      <c r="E992" s="15"/>
      <c r="F992" s="15"/>
      <c r="G992" s="15"/>
      <c r="H992" s="15"/>
      <c r="I992" s="15"/>
      <c r="J992" s="15"/>
      <c r="K992" s="9" t="str">
        <f ca="1">IF(COUNTIFS($A$2:A992,A992,$L$2:L992,L992)&gt;1,"DUPLICATE - CHECK","")</f>
        <v/>
      </c>
      <c r="L992" s="17"/>
      <c r="M992" s="17"/>
      <c r="N992" s="9" t="str">
        <f t="array" aca="1" ref="N992" ca="1">IF(COUNTIF($A$2:A991,A)&gt;0,INDEX($C$2:C991,MATCH(A992,$A$2:A991,0)),"")</f>
        <v/>
      </c>
      <c r="O992" s="13"/>
      <c r="P992" s="19"/>
    </row>
    <row r="993" spans="1:16" ht="15.75" customHeight="1" x14ac:dyDescent="0.3">
      <c r="A993" s="8" t="str">
        <f ca="1">IFERROR(__xludf.DUMMYFUNCTION("IF(B993="""","""",RIGHT(regexreplace(B993&amp;"""",""[^0-9]"",""""),9))"),"")</f>
        <v/>
      </c>
      <c r="B993" s="5"/>
      <c r="C993" s="5"/>
      <c r="D993" s="5"/>
      <c r="E993" s="15"/>
      <c r="F993" s="15"/>
      <c r="G993" s="15"/>
      <c r="H993" s="15"/>
      <c r="I993" s="15"/>
      <c r="J993" s="15"/>
      <c r="K993" s="9" t="str">
        <f ca="1">IF(COUNTIFS($A$2:A993,A993,$L$2:L993,L993)&gt;1,"DUPLICATE - CHECK","")</f>
        <v/>
      </c>
      <c r="L993" s="17"/>
      <c r="M993" s="17"/>
      <c r="N993" s="9">
        <f ca="1">IF(COUNTIF($A$2:A992,A993)&gt;0,INDEX($C$2:C992,MATCH(A993,$A$2:A992,0)),"")</f>
        <v>0</v>
      </c>
      <c r="O993" s="13"/>
      <c r="P993" s="19"/>
    </row>
    <row r="994" spans="1:16" ht="15.75" customHeight="1" x14ac:dyDescent="0.3">
      <c r="A994" s="8" t="str">
        <f ca="1">IFERROR(__xludf.DUMMYFUNCTION("IF(B994="""","""",RIGHT(regexreplace(B994&amp;"""",""[^0-9]"",""""),9))"),"")</f>
        <v/>
      </c>
      <c r="B994" s="5"/>
      <c r="C994" s="5"/>
      <c r="D994" s="5"/>
      <c r="E994" s="15"/>
      <c r="F994" s="15"/>
      <c r="G994" s="15"/>
      <c r="H994" s="15"/>
      <c r="I994" s="15"/>
      <c r="J994" s="15"/>
      <c r="K994" s="9" t="str">
        <f ca="1">IF(COUNTIFS($A$2:A994,A994,$L$2:L994,L994)&gt;1,"DUPLICATE - CHECK","")</f>
        <v/>
      </c>
      <c r="L994" s="17"/>
      <c r="M994" s="17"/>
      <c r="N994" s="9">
        <f ca="1">IF(COUNTIF($A$2:A993,A994)&gt;0,INDEX($C$2:C993,MATCH(A994,$A$2:A993,0)),"")</f>
        <v>0</v>
      </c>
      <c r="O994" s="13"/>
      <c r="P994" s="19"/>
    </row>
    <row r="995" spans="1:16" ht="15.75" customHeight="1" x14ac:dyDescent="0.3">
      <c r="A995" s="8" t="str">
        <f ca="1">IFERROR(__xludf.DUMMYFUNCTION("IF(B995="""","""",RIGHT(regexreplace(B995&amp;"""",""[^0-9]"",""""),9))"),"")</f>
        <v/>
      </c>
      <c r="B995" s="5"/>
      <c r="C995" s="5"/>
      <c r="D995" s="5"/>
      <c r="E995" s="15"/>
      <c r="F995" s="15"/>
      <c r="G995" s="15"/>
      <c r="H995" s="15"/>
      <c r="I995" s="15"/>
      <c r="J995" s="15"/>
      <c r="K995" s="9" t="str">
        <f ca="1">IF(COUNTIFS($A$2:A995,A995,$L$2:L995,L995)&gt;1,"DUPLICATE - CHECK","")</f>
        <v/>
      </c>
      <c r="L995" s="17"/>
      <c r="M995" s="17"/>
      <c r="N995" s="9" t="str">
        <f t="array" aca="1" ref="N995" ca="1">IF(COUNTIF($A$2:A994,A)&gt;0,INDEX($C$2:C994,MATCH(A995,$A$2:A994,0)),"")</f>
        <v/>
      </c>
      <c r="O995" s="13"/>
      <c r="P995" s="19"/>
    </row>
    <row r="996" spans="1:16" ht="15.75" customHeight="1" x14ac:dyDescent="0.3">
      <c r="A996" s="8" t="str">
        <f ca="1">IFERROR(__xludf.DUMMYFUNCTION("IF(B996="""","""",RIGHT(regexreplace(B996&amp;"""",""[^0-9]"",""""),9))"),"")</f>
        <v/>
      </c>
      <c r="B996" s="5"/>
      <c r="C996" s="5"/>
      <c r="D996" s="5"/>
      <c r="E996" s="15"/>
      <c r="F996" s="15"/>
      <c r="G996" s="15"/>
      <c r="H996" s="15"/>
      <c r="I996" s="15"/>
      <c r="J996" s="15"/>
      <c r="K996" s="9" t="str">
        <f ca="1">IF(COUNTIFS($A$2:A996,A996,$L$2:L996,L996)&gt;1,"DUPLICATE - CHECK","")</f>
        <v/>
      </c>
      <c r="L996" s="17"/>
      <c r="M996" s="17"/>
      <c r="N996" s="9">
        <f ca="1">IF(COUNTIF($A$2:A995,A996)&gt;0,INDEX($C$2:C995,MATCH(A996,$A$2:A995,0)),"")</f>
        <v>0</v>
      </c>
      <c r="O996" s="13"/>
      <c r="P996" s="19"/>
    </row>
    <row r="997" spans="1:16" ht="15.75" customHeight="1" x14ac:dyDescent="0.3">
      <c r="A997" s="8" t="str">
        <f ca="1">IFERROR(__xludf.DUMMYFUNCTION("IF(B997="""","""",RIGHT(regexreplace(B997&amp;"""",""[^0-9]"",""""),9))"),"")</f>
        <v/>
      </c>
      <c r="B997" s="5"/>
      <c r="C997" s="5"/>
      <c r="D997" s="5"/>
      <c r="E997" s="15"/>
      <c r="F997" s="15"/>
      <c r="G997" s="15"/>
      <c r="H997" s="15"/>
      <c r="I997" s="15"/>
      <c r="J997" s="15"/>
      <c r="K997" s="9" t="str">
        <f ca="1">IF(COUNTIFS($A$2:A997,A997,$L$2:L997,L997)&gt;1,"DUPLICATE - CHECK","")</f>
        <v/>
      </c>
      <c r="L997" s="17"/>
      <c r="M997" s="17"/>
      <c r="N997" s="9">
        <f ca="1">IF(COUNTIF($A$2:A996,A997)&gt;0,INDEX($C$2:C996,MATCH(A997,$A$2:A996,0)),"")</f>
        <v>0</v>
      </c>
      <c r="O997" s="13"/>
      <c r="P997" s="19"/>
    </row>
    <row r="998" spans="1:16" ht="15.75" customHeight="1" x14ac:dyDescent="0.3">
      <c r="A998" s="8" t="str">
        <f ca="1">IFERROR(__xludf.DUMMYFUNCTION("IF(B998="""","""",RIGHT(regexreplace(B998&amp;"""",""[^0-9]"",""""),9))"),"")</f>
        <v/>
      </c>
      <c r="B998" s="5"/>
      <c r="C998" s="5"/>
      <c r="D998" s="5"/>
      <c r="E998" s="15"/>
      <c r="F998" s="15"/>
      <c r="G998" s="15"/>
      <c r="H998" s="15"/>
      <c r="I998" s="15"/>
      <c r="J998" s="15"/>
      <c r="K998" s="9" t="str">
        <f ca="1">IF(COUNTIFS($A$2:A998,A998,$L$2:L998,L998)&gt;1,"DUPLICATE - CHECK","")</f>
        <v/>
      </c>
      <c r="L998" s="17"/>
      <c r="M998" s="17"/>
      <c r="N998" s="9" t="str">
        <f t="array" aca="1" ref="N998" ca="1">IF(COUNTIF($A$2:A997,A)&gt;0,INDEX($C$2:C997,MATCH(A998,$A$2:A997,0)),"")</f>
        <v/>
      </c>
      <c r="O998" s="13"/>
      <c r="P998" s="19"/>
    </row>
    <row r="999" spans="1:16" ht="15.75" customHeight="1" x14ac:dyDescent="0.3">
      <c r="A999" s="8" t="str">
        <f ca="1">IFERROR(__xludf.DUMMYFUNCTION("IF(B999="""","""",RIGHT(regexreplace(B999&amp;"""",""[^0-9]"",""""),9))"),"")</f>
        <v/>
      </c>
      <c r="B999" s="5"/>
      <c r="C999" s="5"/>
      <c r="D999" s="5"/>
      <c r="E999" s="15"/>
      <c r="F999" s="15"/>
      <c r="G999" s="15"/>
      <c r="H999" s="15"/>
      <c r="I999" s="15"/>
      <c r="J999" s="15"/>
      <c r="K999" s="9" t="str">
        <f ca="1">IF(COUNTIFS($A$2:A999,A999,$L$2:L999,L999)&gt;1,"DUPLICATE - CHECK","")</f>
        <v/>
      </c>
      <c r="L999" s="17"/>
      <c r="M999" s="17"/>
      <c r="N999" s="9">
        <f ca="1">IF(COUNTIF($A$2:A998,A999)&gt;0,INDEX($C$2:C998,MATCH(A999,$A$2:A998,0)),"")</f>
        <v>0</v>
      </c>
      <c r="O999" s="13"/>
      <c r="P999" s="19"/>
    </row>
    <row r="1000" spans="1:16" ht="15.75" customHeight="1" x14ac:dyDescent="0.3">
      <c r="A1000" s="8" t="str">
        <f ca="1">IFERROR(__xludf.DUMMYFUNCTION("IF(B1000="""","""",RIGHT(regexreplace(B1000&amp;"""",""[^0-9]"",""""),9))"),"")</f>
        <v/>
      </c>
      <c r="B1000" s="5"/>
      <c r="C1000" s="5"/>
      <c r="D1000" s="5"/>
      <c r="E1000" s="15"/>
      <c r="F1000" s="15"/>
      <c r="G1000" s="15"/>
      <c r="H1000" s="15"/>
      <c r="I1000" s="15"/>
      <c r="J1000" s="15"/>
      <c r="K1000" s="9" t="str">
        <f ca="1">IF(COUNTIFS($A$2:A1000,A1000,$L$2:L1000,L1000)&gt;1,"DUPLICATE - CHECK","")</f>
        <v/>
      </c>
      <c r="L1000" s="17"/>
      <c r="M1000" s="17"/>
      <c r="N1000" s="9">
        <f ca="1">IF(COUNTIF($A$2:A999,A1000)&gt;0,INDEX($C$2:C999,MATCH(A1000,$A$2:A999,0)),"")</f>
        <v>0</v>
      </c>
      <c r="O1000" s="13"/>
      <c r="P1000" s="19"/>
    </row>
  </sheetData>
  <conditionalFormatting sqref="C2:C1000">
    <cfRule type="expression" dxfId="9" priority="2">
      <formula>AND($B2&lt;&gt;"",$C2="")</formula>
    </cfRule>
  </conditionalFormatting>
  <conditionalFormatting sqref="D2:D1000">
    <cfRule type="expression" dxfId="8" priority="3">
      <formula>AND($B2&lt;&gt;"",$D2="")</formula>
    </cfRule>
  </conditionalFormatting>
  <conditionalFormatting sqref="F2:F1000">
    <cfRule type="cellIs" dxfId="7" priority="6" operator="equal">
      <formula>"Converted"</formula>
    </cfRule>
    <cfRule type="cellIs" dxfId="6" priority="7" operator="equal">
      <formula>"Not Interested"</formula>
    </cfRule>
    <cfRule type="cellIs" dxfId="5" priority="8" operator="equal">
      <formula>"No Answer"</formula>
    </cfRule>
    <cfRule type="cellIs" dxfId="4" priority="9" operator="equal">
      <formula>"New"</formula>
    </cfRule>
    <cfRule type="cellIs" dxfId="3" priority="10" operator="equal">
      <formula>"Contacted"</formula>
    </cfRule>
  </conditionalFormatting>
  <conditionalFormatting sqref="L2:L1000">
    <cfRule type="expression" dxfId="2" priority="4">
      <formula>AND($B2&lt;&gt;"",$L2="")</formula>
    </cfRule>
  </conditionalFormatting>
  <conditionalFormatting sqref="M2:M1000">
    <cfRule type="expression" dxfId="1" priority="5">
      <formula>LEFT($M2,3)="Yes"</formula>
    </cfRule>
  </conditionalFormatting>
  <conditionalFormatting sqref="O2 A2:N1000 P2:P1000">
    <cfRule type="expression" dxfId="0" priority="1">
      <formula>$K2="DUPLICATE - CHECK"</formula>
    </cfRule>
  </conditionalFormatting>
  <dataValidations count="3">
    <dataValidation type="list" allowBlank="1" sqref="F2:F1000" xr:uid="{00000000-0002-0000-0D00-000001000000}">
      <formula1>"New,Contacted,No Answer,Not Interested,Converted"</formula1>
    </dataValidation>
    <dataValidation type="list" allowBlank="1" sqref="G2:G1000 P2:P1000" xr:uid="{00000000-0002-0000-0D00-000002000000}">
      <formula1>"6,7,8,9,10,11"</formula1>
    </dataValidation>
    <dataValidation type="list" allowBlank="1" sqref="I2:I1000 O2:O1000" xr:uid="{00000000-0002-0000-0D00-000003000000}">
      <formula1>"Yes,No"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D00-000000000000}">
          <x14:formula1>
            <xm:f>Members!$A$2:$A$9</xm:f>
          </x14:formula1>
          <xm:sqref>D2:D1000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8" customWidth="1"/>
    <col min="2" max="2" width="20" customWidth="1"/>
    <col min="3" max="4" width="18" customWidth="1"/>
    <col min="5" max="26" width="8.6640625" customWidth="1"/>
  </cols>
  <sheetData>
    <row r="1" spans="1:4" ht="15" customHeight="1" x14ac:dyDescent="0.3">
      <c r="A1" s="2" t="s">
        <v>70</v>
      </c>
      <c r="B1" s="2" t="s">
        <v>262</v>
      </c>
      <c r="C1" s="2" t="s">
        <v>263</v>
      </c>
      <c r="D1" s="2" t="s">
        <v>264</v>
      </c>
    </row>
    <row r="2" spans="1:4" ht="15" customHeight="1" x14ac:dyDescent="0.3">
      <c r="A2" s="5" t="str">
        <f>Members!A2</f>
        <v>maheesha</v>
      </c>
      <c r="B2" s="5">
        <f>COUNTIF('Master Leads'!$D$2:$D$1000,A2)</f>
        <v>1</v>
      </c>
      <c r="C2" s="5">
        <f>COUNTIFS('Master Leads'!$D$2:$D$1000,A2,'Master Leads'!$F$2:$F$1000,"Converted")</f>
        <v>1</v>
      </c>
      <c r="D2" s="7">
        <f t="shared" ref="D2:D10" si="0">IF(B2=0,"-",C2/B2)</f>
        <v>1</v>
      </c>
    </row>
    <row r="3" spans="1:4" ht="15" customHeight="1" x14ac:dyDescent="0.3">
      <c r="A3" s="5" t="str">
        <f>Members!A3</f>
        <v>menik</v>
      </c>
      <c r="B3" s="5">
        <f>COUNTIF('Master Leads'!$D$2:$D$1000,A3)</f>
        <v>0</v>
      </c>
      <c r="C3" s="5">
        <f>COUNTIFS('Master Leads'!$D$2:$D$1000,A3,'Master Leads'!$F$2:$F$1000,"Converted")</f>
        <v>0</v>
      </c>
      <c r="D3" s="7" t="str">
        <f t="shared" si="0"/>
        <v>-</v>
      </c>
    </row>
    <row r="4" spans="1:4" ht="15" customHeight="1" x14ac:dyDescent="0.3">
      <c r="A4" s="5" t="str">
        <f>Members!A4</f>
        <v>kavinda</v>
      </c>
      <c r="B4" s="5">
        <f>COUNTIF('Master Leads'!$D$2:$D$1000,A4)</f>
        <v>2</v>
      </c>
      <c r="C4" s="5">
        <f>COUNTIFS('Master Leads'!$D$2:$D$1000,A4,'Master Leads'!$F$2:$F$1000,"Converted")</f>
        <v>0</v>
      </c>
      <c r="D4" s="7">
        <f t="shared" si="0"/>
        <v>0</v>
      </c>
    </row>
    <row r="5" spans="1:4" ht="15" customHeight="1" x14ac:dyDescent="0.3">
      <c r="A5" s="5" t="str">
        <f>Members!A5</f>
        <v>umesh</v>
      </c>
      <c r="B5" s="5">
        <f>COUNTIF('Master Leads'!$D$2:$D$1000,A5)</f>
        <v>4</v>
      </c>
      <c r="C5" s="5">
        <f>COUNTIFS('Master Leads'!$D$2:$D$1000,A5,'Master Leads'!$F$2:$F$1000,"Converted")</f>
        <v>1</v>
      </c>
      <c r="D5" s="7">
        <f t="shared" si="0"/>
        <v>0.25</v>
      </c>
    </row>
    <row r="6" spans="1:4" ht="15" customHeight="1" x14ac:dyDescent="0.3">
      <c r="A6" s="5" t="str">
        <f>Members!A6</f>
        <v>Avishka</v>
      </c>
      <c r="B6" s="5">
        <f>COUNTIF('Master Leads'!$D$2:$D$1000,A6)</f>
        <v>0</v>
      </c>
      <c r="C6" s="5">
        <f>COUNTIFS('Master Leads'!$D$2:$D$1000,A6,'Master Leads'!$F$2:$F$1000,"Converted")</f>
        <v>0</v>
      </c>
      <c r="D6" s="7" t="str">
        <f t="shared" si="0"/>
        <v>-</v>
      </c>
    </row>
    <row r="7" spans="1:4" ht="15" customHeight="1" x14ac:dyDescent="0.3">
      <c r="A7" s="5" t="str">
        <f>Members!A7</f>
        <v>Wihanga</v>
      </c>
      <c r="B7" s="5">
        <f>COUNTIF('Master Leads'!$D$2:$D$1000,A7)</f>
        <v>0</v>
      </c>
      <c r="C7" s="5">
        <f>COUNTIFS('Master Leads'!$D$2:$D$1000,A7,'Master Leads'!$F$2:$F$1000,"Converted")</f>
        <v>0</v>
      </c>
      <c r="D7" s="7" t="str">
        <f t="shared" si="0"/>
        <v>-</v>
      </c>
    </row>
    <row r="8" spans="1:4" ht="15" customHeight="1" x14ac:dyDescent="0.3">
      <c r="A8" s="5" t="str">
        <f>Members!A8</f>
        <v>muthumali</v>
      </c>
      <c r="B8" s="5">
        <f>COUNTIF('Master Leads'!$D$2:$D$1000,A8)</f>
        <v>1</v>
      </c>
      <c r="C8" s="5">
        <f>COUNTIFS('Master Leads'!$D$2:$D$1000,A8,'Master Leads'!$F$2:$F$1000,"Converted")</f>
        <v>0</v>
      </c>
      <c r="D8" s="7">
        <f t="shared" si="0"/>
        <v>0</v>
      </c>
    </row>
    <row r="9" spans="1:4" ht="15" customHeight="1" x14ac:dyDescent="0.3">
      <c r="A9" s="5" t="str">
        <f>Members!A9</f>
        <v>shamali</v>
      </c>
      <c r="B9" s="5">
        <f>COUNTIF('Master Leads'!$D$2:$D$1000,A9)</f>
        <v>0</v>
      </c>
      <c r="C9" s="5">
        <f>COUNTIFS('Master Leads'!$D$2:$D$1000,A9,'Master Leads'!$F$2:$F$1000,"Converted")</f>
        <v>0</v>
      </c>
      <c r="D9" s="7" t="str">
        <f t="shared" si="0"/>
        <v>-</v>
      </c>
    </row>
    <row r="10" spans="1:4" ht="15" customHeight="1" x14ac:dyDescent="0.3">
      <c r="A10" s="10" t="s">
        <v>39</v>
      </c>
      <c r="B10" s="5">
        <f>SUM(B2:B9)</f>
        <v>8</v>
      </c>
      <c r="C10" s="5">
        <f>SUM(C2:C9)</f>
        <v>2</v>
      </c>
      <c r="D10" s="7">
        <f t="shared" si="0"/>
        <v>0.25</v>
      </c>
    </row>
    <row r="11" spans="1:4" ht="14.4" x14ac:dyDescent="0.3">
      <c r="A11" s="5"/>
      <c r="B11" s="5"/>
      <c r="C11" s="5"/>
      <c r="D11" s="5"/>
    </row>
    <row r="12" spans="1:4" ht="14.4" x14ac:dyDescent="0.3">
      <c r="A12" s="5"/>
      <c r="B12" s="5"/>
      <c r="C12" s="5"/>
      <c r="D12" s="5"/>
    </row>
    <row r="13" spans="1:4" ht="14.4" x14ac:dyDescent="0.3">
      <c r="A13" s="5"/>
      <c r="B13" s="5"/>
      <c r="C13" s="5"/>
      <c r="D13" s="5"/>
    </row>
    <row r="14" spans="1:4" ht="14.4" x14ac:dyDescent="0.3">
      <c r="A14" s="5"/>
      <c r="B14" s="5"/>
      <c r="C14" s="5"/>
      <c r="D14" s="5"/>
    </row>
    <row r="15" spans="1:4" ht="14.4" x14ac:dyDescent="0.3">
      <c r="A15" s="5"/>
      <c r="B15" s="5"/>
      <c r="C15" s="5"/>
      <c r="D15" s="5"/>
    </row>
    <row r="16" spans="1:4" ht="14.4" x14ac:dyDescent="0.3">
      <c r="A16" s="5"/>
      <c r="B16" s="5"/>
      <c r="C16" s="5"/>
      <c r="D16" s="5"/>
    </row>
    <row r="17" spans="1:4" ht="14.4" x14ac:dyDescent="0.3">
      <c r="A17" s="5"/>
      <c r="B17" s="5"/>
      <c r="C17" s="5"/>
      <c r="D17" s="5"/>
    </row>
    <row r="18" spans="1:4" ht="14.4" x14ac:dyDescent="0.3">
      <c r="A18" s="5"/>
      <c r="B18" s="5"/>
      <c r="C18" s="5"/>
      <c r="D18" s="5"/>
    </row>
    <row r="19" spans="1:4" ht="14.4" x14ac:dyDescent="0.3">
      <c r="A19" s="5"/>
      <c r="B19" s="5"/>
      <c r="C19" s="5"/>
      <c r="D19" s="5"/>
    </row>
    <row r="20" spans="1:4" ht="14.4" x14ac:dyDescent="0.3">
      <c r="A20" s="5"/>
      <c r="B20" s="5"/>
      <c r="C20" s="5"/>
      <c r="D20" s="5"/>
    </row>
    <row r="21" spans="1:4" ht="15.75" customHeight="1" x14ac:dyDescent="0.3">
      <c r="A21" s="5"/>
      <c r="B21" s="5"/>
      <c r="C21" s="5"/>
      <c r="D21" s="5"/>
    </row>
    <row r="22" spans="1:4" ht="15.75" customHeight="1" x14ac:dyDescent="0.3">
      <c r="A22" s="5"/>
      <c r="B22" s="5"/>
      <c r="C22" s="5"/>
      <c r="D22" s="5"/>
    </row>
    <row r="23" spans="1:4" ht="15.75" customHeight="1" x14ac:dyDescent="0.3">
      <c r="A23" s="5"/>
      <c r="B23" s="5"/>
      <c r="C23" s="5"/>
      <c r="D23" s="5"/>
    </row>
    <row r="24" spans="1:4" ht="15.75" customHeight="1" x14ac:dyDescent="0.3">
      <c r="A24" s="5"/>
      <c r="B24" s="5"/>
      <c r="C24" s="5"/>
      <c r="D24" s="5"/>
    </row>
    <row r="25" spans="1:4" ht="15.75" customHeight="1" x14ac:dyDescent="0.3">
      <c r="A25" s="5"/>
      <c r="B25" s="5"/>
      <c r="C25" s="5"/>
      <c r="D25" s="5"/>
    </row>
    <row r="26" spans="1:4" ht="15.75" customHeight="1" x14ac:dyDescent="0.3">
      <c r="A26" s="5"/>
      <c r="B26" s="5"/>
      <c r="C26" s="5"/>
      <c r="D26" s="5"/>
    </row>
    <row r="27" spans="1:4" ht="15.75" customHeight="1" x14ac:dyDescent="0.3">
      <c r="A27" s="5"/>
      <c r="B27" s="5"/>
      <c r="C27" s="5"/>
      <c r="D27" s="5"/>
    </row>
    <row r="28" spans="1:4" ht="15.75" customHeight="1" x14ac:dyDescent="0.3">
      <c r="A28" s="5"/>
      <c r="B28" s="5"/>
      <c r="C28" s="5"/>
      <c r="D28" s="5"/>
    </row>
    <row r="29" spans="1:4" ht="15.75" customHeight="1" x14ac:dyDescent="0.3">
      <c r="A29" s="5"/>
      <c r="B29" s="5"/>
      <c r="C29" s="5"/>
      <c r="D29" s="5"/>
    </row>
    <row r="30" spans="1:4" ht="15.75" customHeight="1" x14ac:dyDescent="0.3">
      <c r="A30" s="5"/>
      <c r="B30" s="5"/>
      <c r="C30" s="5"/>
      <c r="D30" s="5"/>
    </row>
    <row r="31" spans="1:4" ht="15.75" customHeight="1" x14ac:dyDescent="0.3">
      <c r="A31" s="5"/>
      <c r="B31" s="5"/>
      <c r="C31" s="5"/>
      <c r="D31" s="5"/>
    </row>
    <row r="32" spans="1:4" ht="15.75" customHeight="1" x14ac:dyDescent="0.3">
      <c r="A32" s="5"/>
      <c r="B32" s="5"/>
      <c r="C32" s="5"/>
      <c r="D32" s="5"/>
    </row>
    <row r="33" spans="1:4" ht="15.75" customHeight="1" x14ac:dyDescent="0.3">
      <c r="A33" s="5"/>
      <c r="B33" s="5"/>
      <c r="C33" s="5"/>
      <c r="D33" s="5"/>
    </row>
    <row r="34" spans="1:4" ht="15.75" customHeight="1" x14ac:dyDescent="0.3">
      <c r="A34" s="5"/>
      <c r="B34" s="5"/>
      <c r="C34" s="5"/>
      <c r="D34" s="5"/>
    </row>
    <row r="35" spans="1:4" ht="15.75" customHeight="1" x14ac:dyDescent="0.3">
      <c r="A35" s="5"/>
      <c r="B35" s="5"/>
      <c r="C35" s="5"/>
      <c r="D35" s="5"/>
    </row>
    <row r="36" spans="1:4" ht="15.75" customHeight="1" x14ac:dyDescent="0.3">
      <c r="A36" s="5"/>
      <c r="B36" s="5"/>
      <c r="C36" s="5"/>
      <c r="D36" s="5"/>
    </row>
    <row r="37" spans="1:4" ht="15.75" customHeight="1" x14ac:dyDescent="0.3">
      <c r="A37" s="5"/>
      <c r="B37" s="5"/>
      <c r="C37" s="5"/>
      <c r="D37" s="5"/>
    </row>
    <row r="38" spans="1:4" ht="15.75" customHeight="1" x14ac:dyDescent="0.3">
      <c r="A38" s="5"/>
      <c r="B38" s="5"/>
      <c r="C38" s="5"/>
      <c r="D38" s="5"/>
    </row>
    <row r="39" spans="1:4" ht="15.75" customHeight="1" x14ac:dyDescent="0.3">
      <c r="A39" s="5"/>
      <c r="B39" s="5"/>
      <c r="C39" s="5"/>
      <c r="D39" s="5"/>
    </row>
    <row r="40" spans="1:4" ht="15.75" customHeight="1" x14ac:dyDescent="0.3">
      <c r="A40" s="5"/>
      <c r="B40" s="5"/>
      <c r="C40" s="5"/>
      <c r="D40" s="5"/>
    </row>
    <row r="41" spans="1:4" ht="15.75" customHeight="1" x14ac:dyDescent="0.3">
      <c r="A41" s="5"/>
      <c r="B41" s="5"/>
      <c r="C41" s="5"/>
      <c r="D41" s="5"/>
    </row>
    <row r="42" spans="1:4" ht="15.75" customHeight="1" x14ac:dyDescent="0.3">
      <c r="A42" s="5"/>
      <c r="B42" s="5"/>
      <c r="C42" s="5"/>
      <c r="D42" s="5"/>
    </row>
    <row r="43" spans="1:4" ht="15.75" customHeight="1" x14ac:dyDescent="0.3">
      <c r="A43" s="5"/>
      <c r="B43" s="5"/>
      <c r="C43" s="5"/>
      <c r="D43" s="5"/>
    </row>
    <row r="44" spans="1:4" ht="15.75" customHeight="1" x14ac:dyDescent="0.3">
      <c r="A44" s="5"/>
      <c r="B44" s="5"/>
      <c r="C44" s="5"/>
      <c r="D44" s="5"/>
    </row>
    <row r="45" spans="1:4" ht="15.75" customHeight="1" x14ac:dyDescent="0.3">
      <c r="A45" s="5"/>
      <c r="B45" s="5"/>
      <c r="C45" s="5"/>
      <c r="D45" s="5"/>
    </row>
    <row r="46" spans="1:4" ht="15.75" customHeight="1" x14ac:dyDescent="0.3">
      <c r="A46" s="5"/>
      <c r="B46" s="5"/>
      <c r="C46" s="5"/>
      <c r="D46" s="5"/>
    </row>
    <row r="47" spans="1:4" ht="15.75" customHeight="1" x14ac:dyDescent="0.3">
      <c r="A47" s="5"/>
      <c r="B47" s="5"/>
      <c r="C47" s="5"/>
      <c r="D47" s="5"/>
    </row>
    <row r="48" spans="1:4" ht="15.75" customHeight="1" x14ac:dyDescent="0.3">
      <c r="A48" s="5"/>
      <c r="B48" s="5"/>
      <c r="C48" s="5"/>
      <c r="D48" s="5"/>
    </row>
    <row r="49" spans="1:4" ht="15.75" customHeight="1" x14ac:dyDescent="0.3">
      <c r="A49" s="5"/>
      <c r="B49" s="5"/>
      <c r="C49" s="5"/>
      <c r="D49" s="5"/>
    </row>
    <row r="50" spans="1:4" ht="15.75" customHeight="1" x14ac:dyDescent="0.3">
      <c r="A50" s="5"/>
      <c r="B50" s="5"/>
      <c r="C50" s="5"/>
      <c r="D50" s="5"/>
    </row>
    <row r="51" spans="1:4" ht="15.75" customHeight="1" x14ac:dyDescent="0.3">
      <c r="A51" s="5"/>
      <c r="B51" s="5"/>
      <c r="C51" s="5"/>
      <c r="D51" s="5"/>
    </row>
    <row r="52" spans="1:4" ht="15.75" customHeight="1" x14ac:dyDescent="0.3">
      <c r="A52" s="5"/>
      <c r="B52" s="5"/>
      <c r="C52" s="5"/>
      <c r="D52" s="5"/>
    </row>
    <row r="53" spans="1:4" ht="15.75" customHeight="1" x14ac:dyDescent="0.3">
      <c r="A53" s="5"/>
      <c r="B53" s="5"/>
      <c r="C53" s="5"/>
      <c r="D53" s="5"/>
    </row>
    <row r="54" spans="1:4" ht="15.75" customHeight="1" x14ac:dyDescent="0.3">
      <c r="A54" s="5"/>
      <c r="B54" s="5"/>
      <c r="C54" s="5"/>
      <c r="D54" s="5"/>
    </row>
    <row r="55" spans="1:4" ht="15.75" customHeight="1" x14ac:dyDescent="0.3">
      <c r="A55" s="5"/>
      <c r="B55" s="5"/>
      <c r="C55" s="5"/>
      <c r="D55" s="5"/>
    </row>
    <row r="56" spans="1:4" ht="15.75" customHeight="1" x14ac:dyDescent="0.3">
      <c r="A56" s="5"/>
      <c r="B56" s="5"/>
      <c r="C56" s="5"/>
      <c r="D56" s="5"/>
    </row>
    <row r="57" spans="1:4" ht="15.75" customHeight="1" x14ac:dyDescent="0.3">
      <c r="A57" s="5"/>
      <c r="B57" s="5"/>
      <c r="C57" s="5"/>
      <c r="D57" s="5"/>
    </row>
    <row r="58" spans="1:4" ht="15.75" customHeight="1" x14ac:dyDescent="0.3">
      <c r="A58" s="5"/>
      <c r="B58" s="5"/>
      <c r="C58" s="5"/>
      <c r="D58" s="5"/>
    </row>
    <row r="59" spans="1:4" ht="15.75" customHeight="1" x14ac:dyDescent="0.3">
      <c r="A59" s="5"/>
      <c r="B59" s="5"/>
      <c r="C59" s="5"/>
      <c r="D59" s="5"/>
    </row>
    <row r="60" spans="1:4" ht="15.75" customHeight="1" x14ac:dyDescent="0.3">
      <c r="A60" s="5"/>
      <c r="B60" s="5"/>
      <c r="C60" s="5"/>
      <c r="D60" s="5"/>
    </row>
    <row r="61" spans="1:4" ht="15.75" customHeight="1" x14ac:dyDescent="0.3">
      <c r="A61" s="5"/>
      <c r="B61" s="5"/>
      <c r="C61" s="5"/>
      <c r="D61" s="5"/>
    </row>
    <row r="62" spans="1:4" ht="15.75" customHeight="1" x14ac:dyDescent="0.3">
      <c r="A62" s="5"/>
      <c r="B62" s="5"/>
      <c r="C62" s="5"/>
      <c r="D62" s="5"/>
    </row>
    <row r="63" spans="1:4" ht="15.75" customHeight="1" x14ac:dyDescent="0.3">
      <c r="A63" s="5"/>
      <c r="B63" s="5"/>
      <c r="C63" s="5"/>
      <c r="D63" s="5"/>
    </row>
    <row r="64" spans="1:4" ht="15.75" customHeight="1" x14ac:dyDescent="0.3">
      <c r="A64" s="5"/>
      <c r="B64" s="5"/>
      <c r="C64" s="5"/>
      <c r="D64" s="5"/>
    </row>
    <row r="65" spans="1:4" ht="15.75" customHeight="1" x14ac:dyDescent="0.3">
      <c r="A65" s="5"/>
      <c r="B65" s="5"/>
      <c r="C65" s="5"/>
      <c r="D65" s="5"/>
    </row>
    <row r="66" spans="1:4" ht="15.75" customHeight="1" x14ac:dyDescent="0.3">
      <c r="A66" s="5"/>
      <c r="B66" s="5"/>
      <c r="C66" s="5"/>
      <c r="D66" s="5"/>
    </row>
    <row r="67" spans="1:4" ht="15.75" customHeight="1" x14ac:dyDescent="0.3">
      <c r="A67" s="5"/>
      <c r="B67" s="5"/>
      <c r="C67" s="5"/>
      <c r="D67" s="5"/>
    </row>
    <row r="68" spans="1:4" ht="15.75" customHeight="1" x14ac:dyDescent="0.3">
      <c r="A68" s="5"/>
      <c r="B68" s="5"/>
      <c r="C68" s="5"/>
      <c r="D68" s="5"/>
    </row>
    <row r="69" spans="1:4" ht="15.75" customHeight="1" x14ac:dyDescent="0.3">
      <c r="A69" s="5"/>
      <c r="B69" s="5"/>
      <c r="C69" s="5"/>
      <c r="D69" s="5"/>
    </row>
    <row r="70" spans="1:4" ht="15.75" customHeight="1" x14ac:dyDescent="0.3">
      <c r="A70" s="5"/>
      <c r="B70" s="5"/>
      <c r="C70" s="5"/>
      <c r="D70" s="5"/>
    </row>
    <row r="71" spans="1:4" ht="15.75" customHeight="1" x14ac:dyDescent="0.3">
      <c r="A71" s="5"/>
      <c r="B71" s="5"/>
      <c r="C71" s="5"/>
      <c r="D71" s="5"/>
    </row>
    <row r="72" spans="1:4" ht="15.75" customHeight="1" x14ac:dyDescent="0.3">
      <c r="A72" s="5"/>
      <c r="B72" s="5"/>
      <c r="C72" s="5"/>
      <c r="D72" s="5"/>
    </row>
    <row r="73" spans="1:4" ht="15.75" customHeight="1" x14ac:dyDescent="0.3">
      <c r="A73" s="5"/>
      <c r="B73" s="5"/>
      <c r="C73" s="5"/>
      <c r="D73" s="5"/>
    </row>
    <row r="74" spans="1:4" ht="15.75" customHeight="1" x14ac:dyDescent="0.3">
      <c r="A74" s="5"/>
      <c r="B74" s="5"/>
      <c r="C74" s="5"/>
      <c r="D74" s="5"/>
    </row>
    <row r="75" spans="1:4" ht="15.75" customHeight="1" x14ac:dyDescent="0.3">
      <c r="A75" s="5"/>
      <c r="B75" s="5"/>
      <c r="C75" s="5"/>
      <c r="D75" s="5"/>
    </row>
    <row r="76" spans="1:4" ht="15.75" customHeight="1" x14ac:dyDescent="0.3">
      <c r="A76" s="5"/>
      <c r="B76" s="5"/>
      <c r="C76" s="5"/>
      <c r="D76" s="5"/>
    </row>
    <row r="77" spans="1:4" ht="15.75" customHeight="1" x14ac:dyDescent="0.3">
      <c r="A77" s="5"/>
      <c r="B77" s="5"/>
      <c r="C77" s="5"/>
      <c r="D77" s="5"/>
    </row>
    <row r="78" spans="1:4" ht="15.75" customHeight="1" x14ac:dyDescent="0.3">
      <c r="A78" s="5"/>
      <c r="B78" s="5"/>
      <c r="C78" s="5"/>
      <c r="D78" s="5"/>
    </row>
    <row r="79" spans="1:4" ht="15.75" customHeight="1" x14ac:dyDescent="0.3">
      <c r="A79" s="5"/>
      <c r="B79" s="5"/>
      <c r="C79" s="5"/>
      <c r="D79" s="5"/>
    </row>
    <row r="80" spans="1:4" ht="15.75" customHeight="1" x14ac:dyDescent="0.3">
      <c r="A80" s="5"/>
      <c r="B80" s="5"/>
      <c r="C80" s="5"/>
      <c r="D80" s="5"/>
    </row>
    <row r="81" spans="1:4" ht="15.75" customHeight="1" x14ac:dyDescent="0.3">
      <c r="A81" s="5"/>
      <c r="B81" s="5"/>
      <c r="C81" s="5"/>
      <c r="D81" s="5"/>
    </row>
    <row r="82" spans="1:4" ht="15.75" customHeight="1" x14ac:dyDescent="0.3">
      <c r="A82" s="5"/>
      <c r="B82" s="5"/>
      <c r="C82" s="5"/>
      <c r="D82" s="5"/>
    </row>
    <row r="83" spans="1:4" ht="15.75" customHeight="1" x14ac:dyDescent="0.3">
      <c r="A83" s="5"/>
      <c r="B83" s="5"/>
      <c r="C83" s="5"/>
      <c r="D83" s="5"/>
    </row>
    <row r="84" spans="1:4" ht="15.75" customHeight="1" x14ac:dyDescent="0.3">
      <c r="A84" s="5"/>
      <c r="B84" s="5"/>
      <c r="C84" s="5"/>
      <c r="D84" s="5"/>
    </row>
    <row r="85" spans="1:4" ht="15.75" customHeight="1" x14ac:dyDescent="0.3">
      <c r="A85" s="5"/>
      <c r="B85" s="5"/>
      <c r="C85" s="5"/>
      <c r="D85" s="5"/>
    </row>
    <row r="86" spans="1:4" ht="15.75" customHeight="1" x14ac:dyDescent="0.3">
      <c r="A86" s="5"/>
      <c r="B86" s="5"/>
      <c r="C86" s="5"/>
      <c r="D86" s="5"/>
    </row>
    <row r="87" spans="1:4" ht="15.75" customHeight="1" x14ac:dyDescent="0.3">
      <c r="A87" s="5"/>
      <c r="B87" s="5"/>
      <c r="C87" s="5"/>
      <c r="D87" s="5"/>
    </row>
    <row r="88" spans="1:4" ht="15.75" customHeight="1" x14ac:dyDescent="0.3">
      <c r="A88" s="5"/>
      <c r="B88" s="5"/>
      <c r="C88" s="5"/>
      <c r="D88" s="5"/>
    </row>
    <row r="89" spans="1:4" ht="15.75" customHeight="1" x14ac:dyDescent="0.3">
      <c r="A89" s="5"/>
      <c r="B89" s="5"/>
      <c r="C89" s="5"/>
      <c r="D89" s="5"/>
    </row>
    <row r="90" spans="1:4" ht="15.75" customHeight="1" x14ac:dyDescent="0.3">
      <c r="A90" s="5"/>
      <c r="B90" s="5"/>
      <c r="C90" s="5"/>
      <c r="D90" s="5"/>
    </row>
    <row r="91" spans="1:4" ht="15.75" customHeight="1" x14ac:dyDescent="0.3">
      <c r="A91" s="5"/>
      <c r="B91" s="5"/>
      <c r="C91" s="5"/>
      <c r="D91" s="5"/>
    </row>
    <row r="92" spans="1:4" ht="15.75" customHeight="1" x14ac:dyDescent="0.3">
      <c r="A92" s="5"/>
      <c r="B92" s="5"/>
      <c r="C92" s="5"/>
      <c r="D92" s="5"/>
    </row>
    <row r="93" spans="1:4" ht="15.75" customHeight="1" x14ac:dyDescent="0.3">
      <c r="A93" s="5"/>
      <c r="B93" s="5"/>
      <c r="C93" s="5"/>
      <c r="D93" s="5"/>
    </row>
    <row r="94" spans="1:4" ht="15.75" customHeight="1" x14ac:dyDescent="0.3">
      <c r="A94" s="5"/>
      <c r="B94" s="5"/>
      <c r="C94" s="5"/>
      <c r="D94" s="5"/>
    </row>
    <row r="95" spans="1:4" ht="15.75" customHeight="1" x14ac:dyDescent="0.3">
      <c r="A95" s="5"/>
      <c r="B95" s="5"/>
      <c r="C95" s="5"/>
      <c r="D95" s="5"/>
    </row>
    <row r="96" spans="1:4" ht="15.75" customHeight="1" x14ac:dyDescent="0.3">
      <c r="A96" s="5"/>
      <c r="B96" s="5"/>
      <c r="C96" s="5"/>
      <c r="D96" s="5"/>
    </row>
    <row r="97" spans="1:4" ht="15.75" customHeight="1" x14ac:dyDescent="0.3">
      <c r="A97" s="5"/>
      <c r="B97" s="5"/>
      <c r="C97" s="5"/>
      <c r="D97" s="5"/>
    </row>
    <row r="98" spans="1:4" ht="15.75" customHeight="1" x14ac:dyDescent="0.3">
      <c r="A98" s="5"/>
      <c r="B98" s="5"/>
      <c r="C98" s="5"/>
      <c r="D98" s="5"/>
    </row>
    <row r="99" spans="1:4" ht="15.75" customHeight="1" x14ac:dyDescent="0.3">
      <c r="A99" s="5"/>
      <c r="B99" s="5"/>
      <c r="C99" s="5"/>
      <c r="D99" s="5"/>
    </row>
    <row r="100" spans="1:4" ht="15.75" customHeight="1" x14ac:dyDescent="0.3">
      <c r="A100" s="5"/>
      <c r="B100" s="5"/>
      <c r="C100" s="5"/>
      <c r="D100" s="5"/>
    </row>
    <row r="101" spans="1:4" ht="15.75" customHeight="1" x14ac:dyDescent="0.3">
      <c r="A101" s="5"/>
      <c r="B101" s="5"/>
      <c r="C101" s="5"/>
      <c r="D101" s="5"/>
    </row>
    <row r="102" spans="1:4" ht="15.75" customHeight="1" x14ac:dyDescent="0.3">
      <c r="A102" s="5"/>
      <c r="B102" s="5"/>
      <c r="C102" s="5"/>
      <c r="D102" s="5"/>
    </row>
    <row r="103" spans="1:4" ht="15.75" customHeight="1" x14ac:dyDescent="0.3">
      <c r="A103" s="5"/>
      <c r="B103" s="5"/>
      <c r="C103" s="5"/>
      <c r="D103" s="5"/>
    </row>
    <row r="104" spans="1:4" ht="15.75" customHeight="1" x14ac:dyDescent="0.3">
      <c r="A104" s="5"/>
      <c r="B104" s="5"/>
      <c r="C104" s="5"/>
      <c r="D104" s="5"/>
    </row>
    <row r="105" spans="1:4" ht="15.75" customHeight="1" x14ac:dyDescent="0.3">
      <c r="A105" s="5"/>
      <c r="B105" s="5"/>
      <c r="C105" s="5"/>
      <c r="D105" s="5"/>
    </row>
    <row r="106" spans="1:4" ht="15.75" customHeight="1" x14ac:dyDescent="0.3">
      <c r="A106" s="5"/>
      <c r="B106" s="5"/>
      <c r="C106" s="5"/>
      <c r="D106" s="5"/>
    </row>
    <row r="107" spans="1:4" ht="15.75" customHeight="1" x14ac:dyDescent="0.3">
      <c r="A107" s="5"/>
      <c r="B107" s="5"/>
      <c r="C107" s="5"/>
      <c r="D107" s="5"/>
    </row>
    <row r="108" spans="1:4" ht="15.75" customHeight="1" x14ac:dyDescent="0.3">
      <c r="A108" s="5"/>
      <c r="B108" s="5"/>
      <c r="C108" s="5"/>
      <c r="D108" s="5"/>
    </row>
    <row r="109" spans="1:4" ht="15.75" customHeight="1" x14ac:dyDescent="0.3">
      <c r="A109" s="5"/>
      <c r="B109" s="5"/>
      <c r="C109" s="5"/>
      <c r="D109" s="5"/>
    </row>
    <row r="110" spans="1:4" ht="15.75" customHeight="1" x14ac:dyDescent="0.3">
      <c r="A110" s="5"/>
      <c r="B110" s="5"/>
      <c r="C110" s="5"/>
      <c r="D110" s="5"/>
    </row>
    <row r="111" spans="1:4" ht="15.75" customHeight="1" x14ac:dyDescent="0.3">
      <c r="A111" s="5"/>
      <c r="B111" s="5"/>
      <c r="C111" s="5"/>
      <c r="D111" s="5"/>
    </row>
    <row r="112" spans="1:4" ht="15.75" customHeight="1" x14ac:dyDescent="0.3">
      <c r="A112" s="5"/>
      <c r="B112" s="5"/>
      <c r="C112" s="5"/>
      <c r="D112" s="5"/>
    </row>
    <row r="113" spans="1:4" ht="15.75" customHeight="1" x14ac:dyDescent="0.3">
      <c r="A113" s="5"/>
      <c r="B113" s="5"/>
      <c r="C113" s="5"/>
      <c r="D113" s="5"/>
    </row>
    <row r="114" spans="1:4" ht="15.75" customHeight="1" x14ac:dyDescent="0.3">
      <c r="A114" s="5"/>
      <c r="B114" s="5"/>
      <c r="C114" s="5"/>
      <c r="D114" s="5"/>
    </row>
    <row r="115" spans="1:4" ht="15.75" customHeight="1" x14ac:dyDescent="0.3">
      <c r="A115" s="5"/>
      <c r="B115" s="5"/>
      <c r="C115" s="5"/>
      <c r="D115" s="5"/>
    </row>
    <row r="116" spans="1:4" ht="15.75" customHeight="1" x14ac:dyDescent="0.3">
      <c r="A116" s="5"/>
      <c r="B116" s="5"/>
      <c r="C116" s="5"/>
      <c r="D116" s="5"/>
    </row>
    <row r="117" spans="1:4" ht="15.75" customHeight="1" x14ac:dyDescent="0.3">
      <c r="A117" s="5"/>
      <c r="B117" s="5"/>
      <c r="C117" s="5"/>
      <c r="D117" s="5"/>
    </row>
    <row r="118" spans="1:4" ht="15.75" customHeight="1" x14ac:dyDescent="0.3">
      <c r="A118" s="5"/>
      <c r="B118" s="5"/>
      <c r="C118" s="5"/>
      <c r="D118" s="5"/>
    </row>
    <row r="119" spans="1:4" ht="15.75" customHeight="1" x14ac:dyDescent="0.3">
      <c r="A119" s="5"/>
      <c r="B119" s="5"/>
      <c r="C119" s="5"/>
      <c r="D119" s="5"/>
    </row>
    <row r="120" spans="1:4" ht="15.75" customHeight="1" x14ac:dyDescent="0.3">
      <c r="A120" s="5"/>
      <c r="B120" s="5"/>
      <c r="C120" s="5"/>
      <c r="D120" s="5"/>
    </row>
    <row r="121" spans="1:4" ht="15.75" customHeight="1" x14ac:dyDescent="0.3">
      <c r="A121" s="5"/>
      <c r="B121" s="5"/>
      <c r="C121" s="5"/>
      <c r="D121" s="5"/>
    </row>
    <row r="122" spans="1:4" ht="15.75" customHeight="1" x14ac:dyDescent="0.3">
      <c r="A122" s="5"/>
      <c r="B122" s="5"/>
      <c r="C122" s="5"/>
      <c r="D122" s="5"/>
    </row>
    <row r="123" spans="1:4" ht="15.75" customHeight="1" x14ac:dyDescent="0.3">
      <c r="A123" s="5"/>
      <c r="B123" s="5"/>
      <c r="C123" s="5"/>
      <c r="D123" s="5"/>
    </row>
    <row r="124" spans="1:4" ht="15.75" customHeight="1" x14ac:dyDescent="0.3">
      <c r="A124" s="5"/>
      <c r="B124" s="5"/>
      <c r="C124" s="5"/>
      <c r="D124" s="5"/>
    </row>
    <row r="125" spans="1:4" ht="15.75" customHeight="1" x14ac:dyDescent="0.3">
      <c r="A125" s="5"/>
      <c r="B125" s="5"/>
      <c r="C125" s="5"/>
      <c r="D125" s="5"/>
    </row>
    <row r="126" spans="1:4" ht="15.75" customHeight="1" x14ac:dyDescent="0.3">
      <c r="A126" s="5"/>
      <c r="B126" s="5"/>
      <c r="C126" s="5"/>
      <c r="D126" s="5"/>
    </row>
    <row r="127" spans="1:4" ht="15.75" customHeight="1" x14ac:dyDescent="0.3">
      <c r="A127" s="5"/>
      <c r="B127" s="5"/>
      <c r="C127" s="5"/>
      <c r="D127" s="5"/>
    </row>
    <row r="128" spans="1:4" ht="15.75" customHeight="1" x14ac:dyDescent="0.3">
      <c r="A128" s="5"/>
      <c r="B128" s="5"/>
      <c r="C128" s="5"/>
      <c r="D128" s="5"/>
    </row>
    <row r="129" spans="1:4" ht="15.75" customHeight="1" x14ac:dyDescent="0.3">
      <c r="A129" s="5"/>
      <c r="B129" s="5"/>
      <c r="C129" s="5"/>
      <c r="D129" s="5"/>
    </row>
    <row r="130" spans="1:4" ht="15.75" customHeight="1" x14ac:dyDescent="0.3">
      <c r="A130" s="5"/>
      <c r="B130" s="5"/>
      <c r="C130" s="5"/>
      <c r="D130" s="5"/>
    </row>
    <row r="131" spans="1:4" ht="15.75" customHeight="1" x14ac:dyDescent="0.3">
      <c r="A131" s="5"/>
      <c r="B131" s="5"/>
      <c r="C131" s="5"/>
      <c r="D131" s="5"/>
    </row>
    <row r="132" spans="1:4" ht="15.75" customHeight="1" x14ac:dyDescent="0.3">
      <c r="A132" s="5"/>
      <c r="B132" s="5"/>
      <c r="C132" s="5"/>
      <c r="D132" s="5"/>
    </row>
    <row r="133" spans="1:4" ht="15.75" customHeight="1" x14ac:dyDescent="0.3">
      <c r="A133" s="5"/>
      <c r="B133" s="5"/>
      <c r="C133" s="5"/>
      <c r="D133" s="5"/>
    </row>
    <row r="134" spans="1:4" ht="15.75" customHeight="1" x14ac:dyDescent="0.3">
      <c r="A134" s="5"/>
      <c r="B134" s="5"/>
      <c r="C134" s="5"/>
      <c r="D134" s="5"/>
    </row>
    <row r="135" spans="1:4" ht="15.75" customHeight="1" x14ac:dyDescent="0.3">
      <c r="A135" s="5"/>
      <c r="B135" s="5"/>
      <c r="C135" s="5"/>
      <c r="D135" s="5"/>
    </row>
    <row r="136" spans="1:4" ht="15.75" customHeight="1" x14ac:dyDescent="0.3">
      <c r="A136" s="5"/>
      <c r="B136" s="5"/>
      <c r="C136" s="5"/>
      <c r="D136" s="5"/>
    </row>
    <row r="137" spans="1:4" ht="15.75" customHeight="1" x14ac:dyDescent="0.3">
      <c r="A137" s="5"/>
      <c r="B137" s="5"/>
      <c r="C137" s="5"/>
      <c r="D137" s="5"/>
    </row>
    <row r="138" spans="1:4" ht="15.75" customHeight="1" x14ac:dyDescent="0.3">
      <c r="A138" s="5"/>
      <c r="B138" s="5"/>
      <c r="C138" s="5"/>
      <c r="D138" s="5"/>
    </row>
    <row r="139" spans="1:4" ht="15.75" customHeight="1" x14ac:dyDescent="0.3">
      <c r="A139" s="5"/>
      <c r="B139" s="5"/>
      <c r="C139" s="5"/>
      <c r="D139" s="5"/>
    </row>
    <row r="140" spans="1:4" ht="15.75" customHeight="1" x14ac:dyDescent="0.3">
      <c r="A140" s="5"/>
      <c r="B140" s="5"/>
      <c r="C140" s="5"/>
      <c r="D140" s="5"/>
    </row>
    <row r="141" spans="1:4" ht="15.75" customHeight="1" x14ac:dyDescent="0.3">
      <c r="A141" s="5"/>
      <c r="B141" s="5"/>
      <c r="C141" s="5"/>
      <c r="D141" s="5"/>
    </row>
    <row r="142" spans="1:4" ht="15.75" customHeight="1" x14ac:dyDescent="0.3">
      <c r="A142" s="5"/>
      <c r="B142" s="5"/>
      <c r="C142" s="5"/>
      <c r="D142" s="5"/>
    </row>
    <row r="143" spans="1:4" ht="15.75" customHeight="1" x14ac:dyDescent="0.3">
      <c r="A143" s="5"/>
      <c r="B143" s="5"/>
      <c r="C143" s="5"/>
      <c r="D143" s="5"/>
    </row>
    <row r="144" spans="1:4" ht="15.75" customHeight="1" x14ac:dyDescent="0.3">
      <c r="A144" s="5"/>
      <c r="B144" s="5"/>
      <c r="C144" s="5"/>
      <c r="D144" s="5"/>
    </row>
    <row r="145" spans="1:4" ht="15.75" customHeight="1" x14ac:dyDescent="0.3">
      <c r="A145" s="5"/>
      <c r="B145" s="5"/>
      <c r="C145" s="5"/>
      <c r="D145" s="5"/>
    </row>
    <row r="146" spans="1:4" ht="15.75" customHeight="1" x14ac:dyDescent="0.3">
      <c r="A146" s="5"/>
      <c r="B146" s="5"/>
      <c r="C146" s="5"/>
      <c r="D146" s="5"/>
    </row>
    <row r="147" spans="1:4" ht="15.75" customHeight="1" x14ac:dyDescent="0.3">
      <c r="A147" s="5"/>
      <c r="B147" s="5"/>
      <c r="C147" s="5"/>
      <c r="D147" s="5"/>
    </row>
    <row r="148" spans="1:4" ht="15.75" customHeight="1" x14ac:dyDescent="0.3">
      <c r="A148" s="5"/>
      <c r="B148" s="5"/>
      <c r="C148" s="5"/>
      <c r="D148" s="5"/>
    </row>
    <row r="149" spans="1:4" ht="15.75" customHeight="1" x14ac:dyDescent="0.3">
      <c r="A149" s="5"/>
      <c r="B149" s="5"/>
      <c r="C149" s="5"/>
      <c r="D149" s="5"/>
    </row>
    <row r="150" spans="1:4" ht="15.75" customHeight="1" x14ac:dyDescent="0.3">
      <c r="A150" s="5"/>
      <c r="B150" s="5"/>
      <c r="C150" s="5"/>
      <c r="D150" s="5"/>
    </row>
    <row r="151" spans="1:4" ht="15.75" customHeight="1" x14ac:dyDescent="0.3">
      <c r="A151" s="5"/>
      <c r="B151" s="5"/>
      <c r="C151" s="5"/>
      <c r="D151" s="5"/>
    </row>
    <row r="152" spans="1:4" ht="15.75" customHeight="1" x14ac:dyDescent="0.3">
      <c r="A152" s="5"/>
      <c r="B152" s="5"/>
      <c r="C152" s="5"/>
      <c r="D152" s="5"/>
    </row>
    <row r="153" spans="1:4" ht="15.75" customHeight="1" x14ac:dyDescent="0.3">
      <c r="A153" s="5"/>
      <c r="B153" s="5"/>
      <c r="C153" s="5"/>
      <c r="D153" s="5"/>
    </row>
    <row r="154" spans="1:4" ht="15.75" customHeight="1" x14ac:dyDescent="0.3">
      <c r="A154" s="5"/>
      <c r="B154" s="5"/>
      <c r="C154" s="5"/>
      <c r="D154" s="5"/>
    </row>
    <row r="155" spans="1:4" ht="15.75" customHeight="1" x14ac:dyDescent="0.3">
      <c r="A155" s="5"/>
      <c r="B155" s="5"/>
      <c r="C155" s="5"/>
      <c r="D155" s="5"/>
    </row>
    <row r="156" spans="1:4" ht="15.75" customHeight="1" x14ac:dyDescent="0.3">
      <c r="A156" s="5"/>
      <c r="B156" s="5"/>
      <c r="C156" s="5"/>
      <c r="D156" s="5"/>
    </row>
    <row r="157" spans="1:4" ht="15.75" customHeight="1" x14ac:dyDescent="0.3">
      <c r="A157" s="5"/>
      <c r="B157" s="5"/>
      <c r="C157" s="5"/>
      <c r="D157" s="5"/>
    </row>
    <row r="158" spans="1:4" ht="15.75" customHeight="1" x14ac:dyDescent="0.3">
      <c r="A158" s="5"/>
      <c r="B158" s="5"/>
      <c r="C158" s="5"/>
      <c r="D158" s="5"/>
    </row>
    <row r="159" spans="1:4" ht="15.75" customHeight="1" x14ac:dyDescent="0.3">
      <c r="A159" s="5"/>
      <c r="B159" s="5"/>
      <c r="C159" s="5"/>
      <c r="D159" s="5"/>
    </row>
    <row r="160" spans="1:4" ht="15.75" customHeight="1" x14ac:dyDescent="0.3">
      <c r="A160" s="5"/>
      <c r="B160" s="5"/>
      <c r="C160" s="5"/>
      <c r="D160" s="5"/>
    </row>
    <row r="161" spans="1:4" ht="15.75" customHeight="1" x14ac:dyDescent="0.3">
      <c r="A161" s="5"/>
      <c r="B161" s="5"/>
      <c r="C161" s="5"/>
      <c r="D161" s="5"/>
    </row>
    <row r="162" spans="1:4" ht="15.75" customHeight="1" x14ac:dyDescent="0.3">
      <c r="A162" s="5"/>
      <c r="B162" s="5"/>
      <c r="C162" s="5"/>
      <c r="D162" s="5"/>
    </row>
    <row r="163" spans="1:4" ht="15.75" customHeight="1" x14ac:dyDescent="0.3">
      <c r="A163" s="5"/>
      <c r="B163" s="5"/>
      <c r="C163" s="5"/>
      <c r="D163" s="5"/>
    </row>
    <row r="164" spans="1:4" ht="15.75" customHeight="1" x14ac:dyDescent="0.3">
      <c r="A164" s="5"/>
      <c r="B164" s="5"/>
      <c r="C164" s="5"/>
      <c r="D164" s="5"/>
    </row>
    <row r="165" spans="1:4" ht="15.75" customHeight="1" x14ac:dyDescent="0.3">
      <c r="A165" s="5"/>
      <c r="B165" s="5"/>
      <c r="C165" s="5"/>
      <c r="D165" s="5"/>
    </row>
    <row r="166" spans="1:4" ht="15.75" customHeight="1" x14ac:dyDescent="0.3">
      <c r="A166" s="5"/>
      <c r="B166" s="5"/>
      <c r="C166" s="5"/>
      <c r="D166" s="5"/>
    </row>
    <row r="167" spans="1:4" ht="15.75" customHeight="1" x14ac:dyDescent="0.3">
      <c r="A167" s="5"/>
      <c r="B167" s="5"/>
      <c r="C167" s="5"/>
      <c r="D167" s="5"/>
    </row>
    <row r="168" spans="1:4" ht="15.75" customHeight="1" x14ac:dyDescent="0.3">
      <c r="A168" s="5"/>
      <c r="B168" s="5"/>
      <c r="C168" s="5"/>
      <c r="D168" s="5"/>
    </row>
    <row r="169" spans="1:4" ht="15.75" customHeight="1" x14ac:dyDescent="0.3">
      <c r="A169" s="5"/>
      <c r="B169" s="5"/>
      <c r="C169" s="5"/>
      <c r="D169" s="5"/>
    </row>
    <row r="170" spans="1:4" ht="15.75" customHeight="1" x14ac:dyDescent="0.3">
      <c r="A170" s="5"/>
      <c r="B170" s="5"/>
      <c r="C170" s="5"/>
      <c r="D170" s="5"/>
    </row>
    <row r="171" spans="1:4" ht="15.75" customHeight="1" x14ac:dyDescent="0.3">
      <c r="A171" s="5"/>
      <c r="B171" s="5"/>
      <c r="C171" s="5"/>
      <c r="D171" s="5"/>
    </row>
    <row r="172" spans="1:4" ht="15.75" customHeight="1" x14ac:dyDescent="0.3">
      <c r="A172" s="5"/>
      <c r="B172" s="5"/>
      <c r="C172" s="5"/>
      <c r="D172" s="5"/>
    </row>
    <row r="173" spans="1:4" ht="15.75" customHeight="1" x14ac:dyDescent="0.3">
      <c r="A173" s="5"/>
      <c r="B173" s="5"/>
      <c r="C173" s="5"/>
      <c r="D173" s="5"/>
    </row>
    <row r="174" spans="1:4" ht="15.75" customHeight="1" x14ac:dyDescent="0.3">
      <c r="A174" s="5"/>
      <c r="B174" s="5"/>
      <c r="C174" s="5"/>
      <c r="D174" s="5"/>
    </row>
    <row r="175" spans="1:4" ht="15.75" customHeight="1" x14ac:dyDescent="0.3">
      <c r="A175" s="5"/>
      <c r="B175" s="5"/>
      <c r="C175" s="5"/>
      <c r="D175" s="5"/>
    </row>
    <row r="176" spans="1:4" ht="15.75" customHeight="1" x14ac:dyDescent="0.3">
      <c r="A176" s="5"/>
      <c r="B176" s="5"/>
      <c r="C176" s="5"/>
      <c r="D176" s="5"/>
    </row>
    <row r="177" spans="1:4" ht="15.75" customHeight="1" x14ac:dyDescent="0.3">
      <c r="A177" s="5"/>
      <c r="B177" s="5"/>
      <c r="C177" s="5"/>
      <c r="D177" s="5"/>
    </row>
    <row r="178" spans="1:4" ht="15.75" customHeight="1" x14ac:dyDescent="0.3">
      <c r="A178" s="5"/>
      <c r="B178" s="5"/>
      <c r="C178" s="5"/>
      <c r="D178" s="5"/>
    </row>
    <row r="179" spans="1:4" ht="15.75" customHeight="1" x14ac:dyDescent="0.3">
      <c r="A179" s="5"/>
      <c r="B179" s="5"/>
      <c r="C179" s="5"/>
      <c r="D179" s="5"/>
    </row>
    <row r="180" spans="1:4" ht="15.75" customHeight="1" x14ac:dyDescent="0.3">
      <c r="A180" s="5"/>
      <c r="B180" s="5"/>
      <c r="C180" s="5"/>
      <c r="D180" s="5"/>
    </row>
    <row r="181" spans="1:4" ht="15.75" customHeight="1" x14ac:dyDescent="0.3">
      <c r="A181" s="5"/>
      <c r="B181" s="5"/>
      <c r="C181" s="5"/>
      <c r="D181" s="5"/>
    </row>
    <row r="182" spans="1:4" ht="15.75" customHeight="1" x14ac:dyDescent="0.3">
      <c r="A182" s="5"/>
      <c r="B182" s="5"/>
      <c r="C182" s="5"/>
      <c r="D182" s="5"/>
    </row>
    <row r="183" spans="1:4" ht="15.75" customHeight="1" x14ac:dyDescent="0.3">
      <c r="A183" s="5"/>
      <c r="B183" s="5"/>
      <c r="C183" s="5"/>
      <c r="D183" s="5"/>
    </row>
    <row r="184" spans="1:4" ht="15.75" customHeight="1" x14ac:dyDescent="0.3">
      <c r="A184" s="5"/>
      <c r="B184" s="5"/>
      <c r="C184" s="5"/>
      <c r="D184" s="5"/>
    </row>
    <row r="185" spans="1:4" ht="15.75" customHeight="1" x14ac:dyDescent="0.3">
      <c r="A185" s="5"/>
      <c r="B185" s="5"/>
      <c r="C185" s="5"/>
      <c r="D185" s="5"/>
    </row>
    <row r="186" spans="1:4" ht="15.75" customHeight="1" x14ac:dyDescent="0.3">
      <c r="A186" s="5"/>
      <c r="B186" s="5"/>
      <c r="C186" s="5"/>
      <c r="D186" s="5"/>
    </row>
    <row r="187" spans="1:4" ht="15.75" customHeight="1" x14ac:dyDescent="0.3">
      <c r="A187" s="5"/>
      <c r="B187" s="5"/>
      <c r="C187" s="5"/>
      <c r="D187" s="5"/>
    </row>
    <row r="188" spans="1:4" ht="15.75" customHeight="1" x14ac:dyDescent="0.3">
      <c r="A188" s="5"/>
      <c r="B188" s="5"/>
      <c r="C188" s="5"/>
      <c r="D188" s="5"/>
    </row>
    <row r="189" spans="1:4" ht="15.75" customHeight="1" x14ac:dyDescent="0.3">
      <c r="A189" s="5"/>
      <c r="B189" s="5"/>
      <c r="C189" s="5"/>
      <c r="D189" s="5"/>
    </row>
    <row r="190" spans="1:4" ht="15.75" customHeight="1" x14ac:dyDescent="0.3">
      <c r="A190" s="5"/>
      <c r="B190" s="5"/>
      <c r="C190" s="5"/>
      <c r="D190" s="5"/>
    </row>
    <row r="191" spans="1:4" ht="15.75" customHeight="1" x14ac:dyDescent="0.3">
      <c r="A191" s="5"/>
      <c r="B191" s="5"/>
      <c r="C191" s="5"/>
      <c r="D191" s="5"/>
    </row>
    <row r="192" spans="1:4" ht="15.75" customHeight="1" x14ac:dyDescent="0.3">
      <c r="A192" s="5"/>
      <c r="B192" s="5"/>
      <c r="C192" s="5"/>
      <c r="D192" s="5"/>
    </row>
    <row r="193" spans="1:4" ht="15.75" customHeight="1" x14ac:dyDescent="0.3">
      <c r="A193" s="5"/>
      <c r="B193" s="5"/>
      <c r="C193" s="5"/>
      <c r="D193" s="5"/>
    </row>
    <row r="194" spans="1:4" ht="15.75" customHeight="1" x14ac:dyDescent="0.3">
      <c r="A194" s="5"/>
      <c r="B194" s="5"/>
      <c r="C194" s="5"/>
      <c r="D194" s="5"/>
    </row>
    <row r="195" spans="1:4" ht="15.75" customHeight="1" x14ac:dyDescent="0.3">
      <c r="A195" s="5"/>
      <c r="B195" s="5"/>
      <c r="C195" s="5"/>
      <c r="D195" s="5"/>
    </row>
    <row r="196" spans="1:4" ht="15.75" customHeight="1" x14ac:dyDescent="0.3">
      <c r="A196" s="5"/>
      <c r="B196" s="5"/>
      <c r="C196" s="5"/>
      <c r="D196" s="5"/>
    </row>
    <row r="197" spans="1:4" ht="15.75" customHeight="1" x14ac:dyDescent="0.3">
      <c r="A197" s="5"/>
      <c r="B197" s="5"/>
      <c r="C197" s="5"/>
      <c r="D197" s="5"/>
    </row>
    <row r="198" spans="1:4" ht="15.75" customHeight="1" x14ac:dyDescent="0.3">
      <c r="A198" s="5"/>
      <c r="B198" s="5"/>
      <c r="C198" s="5"/>
      <c r="D198" s="5"/>
    </row>
    <row r="199" spans="1:4" ht="15.75" customHeight="1" x14ac:dyDescent="0.3">
      <c r="A199" s="5"/>
      <c r="B199" s="5"/>
      <c r="C199" s="5"/>
      <c r="D199" s="5"/>
    </row>
    <row r="200" spans="1:4" ht="15.75" customHeight="1" x14ac:dyDescent="0.3">
      <c r="A200" s="5"/>
      <c r="B200" s="5"/>
      <c r="C200" s="5"/>
      <c r="D200" s="5"/>
    </row>
    <row r="201" spans="1:4" ht="15.75" customHeight="1" x14ac:dyDescent="0.3">
      <c r="A201" s="5"/>
      <c r="B201" s="5"/>
      <c r="C201" s="5"/>
      <c r="D201" s="5"/>
    </row>
    <row r="202" spans="1:4" ht="15.75" customHeight="1" x14ac:dyDescent="0.3">
      <c r="A202" s="5"/>
      <c r="B202" s="5"/>
      <c r="C202" s="5"/>
      <c r="D202" s="5"/>
    </row>
    <row r="203" spans="1:4" ht="15.75" customHeight="1" x14ac:dyDescent="0.3">
      <c r="A203" s="5"/>
      <c r="B203" s="5"/>
      <c r="C203" s="5"/>
      <c r="D203" s="5"/>
    </row>
    <row r="204" spans="1:4" ht="15.75" customHeight="1" x14ac:dyDescent="0.3">
      <c r="A204" s="5"/>
      <c r="B204" s="5"/>
      <c r="C204" s="5"/>
      <c r="D204" s="5"/>
    </row>
    <row r="205" spans="1:4" ht="15.75" customHeight="1" x14ac:dyDescent="0.3">
      <c r="A205" s="5"/>
      <c r="B205" s="5"/>
      <c r="C205" s="5"/>
      <c r="D205" s="5"/>
    </row>
    <row r="206" spans="1:4" ht="15.75" customHeight="1" x14ac:dyDescent="0.3">
      <c r="A206" s="5"/>
      <c r="B206" s="5"/>
      <c r="C206" s="5"/>
      <c r="D206" s="5"/>
    </row>
    <row r="207" spans="1:4" ht="15.75" customHeight="1" x14ac:dyDescent="0.3">
      <c r="A207" s="5"/>
      <c r="B207" s="5"/>
      <c r="C207" s="5"/>
      <c r="D207" s="5"/>
    </row>
    <row r="208" spans="1:4" ht="15.75" customHeight="1" x14ac:dyDescent="0.3">
      <c r="A208" s="5"/>
      <c r="B208" s="5"/>
      <c r="C208" s="5"/>
      <c r="D208" s="5"/>
    </row>
    <row r="209" spans="1:4" ht="15.75" customHeight="1" x14ac:dyDescent="0.3">
      <c r="A209" s="5"/>
      <c r="B209" s="5"/>
      <c r="C209" s="5"/>
      <c r="D209" s="5"/>
    </row>
    <row r="210" spans="1:4" ht="15.75" customHeight="1" x14ac:dyDescent="0.3">
      <c r="A210" s="5"/>
      <c r="B210" s="5"/>
      <c r="C210" s="5"/>
      <c r="D210" s="5"/>
    </row>
    <row r="211" spans="1:4" ht="15.75" customHeight="1" x14ac:dyDescent="0.3">
      <c r="A211" s="5"/>
      <c r="B211" s="5"/>
      <c r="C211" s="5"/>
      <c r="D211" s="5"/>
    </row>
    <row r="212" spans="1:4" ht="15.75" customHeight="1" x14ac:dyDescent="0.3">
      <c r="A212" s="5"/>
      <c r="B212" s="5"/>
      <c r="C212" s="5"/>
      <c r="D212" s="5"/>
    </row>
    <row r="213" spans="1:4" ht="15.75" customHeight="1" x14ac:dyDescent="0.3">
      <c r="A213" s="5"/>
      <c r="B213" s="5"/>
      <c r="C213" s="5"/>
      <c r="D213" s="5"/>
    </row>
    <row r="214" spans="1:4" ht="15.75" customHeight="1" x14ac:dyDescent="0.3">
      <c r="A214" s="5"/>
      <c r="B214" s="5"/>
      <c r="C214" s="5"/>
      <c r="D214" s="5"/>
    </row>
    <row r="215" spans="1:4" ht="15.75" customHeight="1" x14ac:dyDescent="0.3">
      <c r="A215" s="5"/>
      <c r="B215" s="5"/>
      <c r="C215" s="5"/>
      <c r="D215" s="5"/>
    </row>
    <row r="216" spans="1:4" ht="15.75" customHeight="1" x14ac:dyDescent="0.3">
      <c r="A216" s="5"/>
      <c r="B216" s="5"/>
      <c r="C216" s="5"/>
      <c r="D216" s="5"/>
    </row>
    <row r="217" spans="1:4" ht="15.75" customHeight="1" x14ac:dyDescent="0.3">
      <c r="A217" s="5"/>
      <c r="B217" s="5"/>
      <c r="C217" s="5"/>
      <c r="D217" s="5"/>
    </row>
    <row r="218" spans="1:4" ht="15.75" customHeight="1" x14ac:dyDescent="0.3">
      <c r="A218" s="5"/>
      <c r="B218" s="5"/>
      <c r="C218" s="5"/>
      <c r="D218" s="5"/>
    </row>
    <row r="219" spans="1:4" ht="15.75" customHeight="1" x14ac:dyDescent="0.3">
      <c r="A219" s="5"/>
      <c r="B219" s="5"/>
      <c r="C219" s="5"/>
      <c r="D219" s="5"/>
    </row>
    <row r="220" spans="1:4" ht="15.75" customHeight="1" x14ac:dyDescent="0.3">
      <c r="A220" s="5"/>
      <c r="B220" s="5"/>
      <c r="C220" s="5"/>
      <c r="D220" s="5"/>
    </row>
    <row r="221" spans="1:4" ht="15.75" customHeight="1" x14ac:dyDescent="0.3">
      <c r="A221" s="5"/>
      <c r="B221" s="5"/>
      <c r="C221" s="5"/>
      <c r="D221" s="5"/>
    </row>
    <row r="222" spans="1:4" ht="15.75" customHeight="1" x14ac:dyDescent="0.3">
      <c r="A222" s="5"/>
      <c r="B222" s="5"/>
      <c r="C222" s="5"/>
      <c r="D222" s="5"/>
    </row>
    <row r="223" spans="1:4" ht="15.75" customHeight="1" x14ac:dyDescent="0.3">
      <c r="A223" s="5"/>
      <c r="B223" s="5"/>
      <c r="C223" s="5"/>
      <c r="D223" s="5"/>
    </row>
    <row r="224" spans="1:4" ht="15.75" customHeight="1" x14ac:dyDescent="0.3">
      <c r="A224" s="5"/>
      <c r="B224" s="5"/>
      <c r="C224" s="5"/>
      <c r="D224" s="5"/>
    </row>
    <row r="225" spans="1:4" ht="15.75" customHeight="1" x14ac:dyDescent="0.3">
      <c r="A225" s="5"/>
      <c r="B225" s="5"/>
      <c r="C225" s="5"/>
      <c r="D225" s="5"/>
    </row>
    <row r="226" spans="1:4" ht="15.75" customHeight="1" x14ac:dyDescent="0.3">
      <c r="A226" s="5"/>
      <c r="B226" s="5"/>
      <c r="C226" s="5"/>
      <c r="D226" s="5"/>
    </row>
    <row r="227" spans="1:4" ht="15.75" customHeight="1" x14ac:dyDescent="0.3">
      <c r="A227" s="5"/>
      <c r="B227" s="5"/>
      <c r="C227" s="5"/>
      <c r="D227" s="5"/>
    </row>
    <row r="228" spans="1:4" ht="15.75" customHeight="1" x14ac:dyDescent="0.3">
      <c r="A228" s="5"/>
      <c r="B228" s="5"/>
      <c r="C228" s="5"/>
      <c r="D228" s="5"/>
    </row>
    <row r="229" spans="1:4" ht="15.75" customHeight="1" x14ac:dyDescent="0.3">
      <c r="A229" s="5"/>
      <c r="B229" s="5"/>
      <c r="C229" s="5"/>
      <c r="D229" s="5"/>
    </row>
    <row r="230" spans="1:4" ht="15.75" customHeight="1" x14ac:dyDescent="0.3">
      <c r="A230" s="5"/>
      <c r="B230" s="5"/>
      <c r="C230" s="5"/>
      <c r="D230" s="5"/>
    </row>
    <row r="231" spans="1:4" ht="15.75" customHeight="1" x14ac:dyDescent="0.3">
      <c r="A231" s="5"/>
      <c r="B231" s="5"/>
      <c r="C231" s="5"/>
      <c r="D231" s="5"/>
    </row>
    <row r="232" spans="1:4" ht="15.75" customHeight="1" x14ac:dyDescent="0.3">
      <c r="A232" s="5"/>
      <c r="B232" s="5"/>
      <c r="C232" s="5"/>
      <c r="D232" s="5"/>
    </row>
    <row r="233" spans="1:4" ht="15.75" customHeight="1" x14ac:dyDescent="0.3">
      <c r="A233" s="5"/>
      <c r="B233" s="5"/>
      <c r="C233" s="5"/>
      <c r="D233" s="5"/>
    </row>
    <row r="234" spans="1:4" ht="15.75" customHeight="1" x14ac:dyDescent="0.3">
      <c r="A234" s="5"/>
      <c r="B234" s="5"/>
      <c r="C234" s="5"/>
      <c r="D234" s="5"/>
    </row>
    <row r="235" spans="1:4" ht="15.75" customHeight="1" x14ac:dyDescent="0.3">
      <c r="A235" s="5"/>
      <c r="B235" s="5"/>
      <c r="C235" s="5"/>
      <c r="D235" s="5"/>
    </row>
    <row r="236" spans="1:4" ht="15.75" customHeight="1" x14ac:dyDescent="0.3">
      <c r="A236" s="5"/>
      <c r="B236" s="5"/>
      <c r="C236" s="5"/>
      <c r="D236" s="5"/>
    </row>
    <row r="237" spans="1:4" ht="15.75" customHeight="1" x14ac:dyDescent="0.3">
      <c r="A237" s="5"/>
      <c r="B237" s="5"/>
      <c r="C237" s="5"/>
      <c r="D237" s="5"/>
    </row>
    <row r="238" spans="1:4" ht="15.75" customHeight="1" x14ac:dyDescent="0.3">
      <c r="A238" s="5"/>
      <c r="B238" s="5"/>
      <c r="C238" s="5"/>
      <c r="D238" s="5"/>
    </row>
    <row r="239" spans="1:4" ht="15.75" customHeight="1" x14ac:dyDescent="0.3">
      <c r="A239" s="5"/>
      <c r="B239" s="5"/>
      <c r="C239" s="5"/>
      <c r="D239" s="5"/>
    </row>
    <row r="240" spans="1:4" ht="15.75" customHeight="1" x14ac:dyDescent="0.3">
      <c r="A240" s="5"/>
      <c r="B240" s="5"/>
      <c r="C240" s="5"/>
      <c r="D240" s="5"/>
    </row>
    <row r="241" spans="1:4" ht="15.75" customHeight="1" x14ac:dyDescent="0.3">
      <c r="A241" s="5"/>
      <c r="B241" s="5"/>
      <c r="C241" s="5"/>
      <c r="D241" s="5"/>
    </row>
    <row r="242" spans="1:4" ht="15.75" customHeight="1" x14ac:dyDescent="0.3">
      <c r="A242" s="5"/>
      <c r="B242" s="5"/>
      <c r="C242" s="5"/>
      <c r="D242" s="5"/>
    </row>
    <row r="243" spans="1:4" ht="15.75" customHeight="1" x14ac:dyDescent="0.3">
      <c r="A243" s="5"/>
      <c r="B243" s="5"/>
      <c r="C243" s="5"/>
      <c r="D243" s="5"/>
    </row>
    <row r="244" spans="1:4" ht="15.75" customHeight="1" x14ac:dyDescent="0.3">
      <c r="A244" s="5"/>
      <c r="B244" s="5"/>
      <c r="C244" s="5"/>
      <c r="D244" s="5"/>
    </row>
    <row r="245" spans="1:4" ht="15.75" customHeight="1" x14ac:dyDescent="0.3">
      <c r="A245" s="5"/>
      <c r="B245" s="5"/>
      <c r="C245" s="5"/>
      <c r="D245" s="5"/>
    </row>
    <row r="246" spans="1:4" ht="15.75" customHeight="1" x14ac:dyDescent="0.3">
      <c r="A246" s="5"/>
      <c r="B246" s="5"/>
      <c r="C246" s="5"/>
      <c r="D246" s="5"/>
    </row>
    <row r="247" spans="1:4" ht="15.75" customHeight="1" x14ac:dyDescent="0.3">
      <c r="A247" s="5"/>
      <c r="B247" s="5"/>
      <c r="C247" s="5"/>
      <c r="D247" s="5"/>
    </row>
    <row r="248" spans="1:4" ht="15.75" customHeight="1" x14ac:dyDescent="0.3">
      <c r="A248" s="5"/>
      <c r="B248" s="5"/>
      <c r="C248" s="5"/>
      <c r="D248" s="5"/>
    </row>
    <row r="249" spans="1:4" ht="15.75" customHeight="1" x14ac:dyDescent="0.3">
      <c r="A249" s="5"/>
      <c r="B249" s="5"/>
      <c r="C249" s="5"/>
      <c r="D249" s="5"/>
    </row>
    <row r="250" spans="1:4" ht="15.75" customHeight="1" x14ac:dyDescent="0.3">
      <c r="A250" s="5"/>
      <c r="B250" s="5"/>
      <c r="C250" s="5"/>
      <c r="D250" s="5"/>
    </row>
    <row r="251" spans="1:4" ht="15.75" customHeight="1" x14ac:dyDescent="0.3">
      <c r="A251" s="5"/>
      <c r="B251" s="5"/>
      <c r="C251" s="5"/>
      <c r="D251" s="5"/>
    </row>
    <row r="252" spans="1:4" ht="15.75" customHeight="1" x14ac:dyDescent="0.3">
      <c r="A252" s="5"/>
      <c r="B252" s="5"/>
      <c r="C252" s="5"/>
      <c r="D252" s="5"/>
    </row>
    <row r="253" spans="1:4" ht="15.75" customHeight="1" x14ac:dyDescent="0.3">
      <c r="A253" s="5"/>
      <c r="B253" s="5"/>
      <c r="C253" s="5"/>
      <c r="D253" s="5"/>
    </row>
    <row r="254" spans="1:4" ht="15.75" customHeight="1" x14ac:dyDescent="0.3">
      <c r="A254" s="5"/>
      <c r="B254" s="5"/>
      <c r="C254" s="5"/>
      <c r="D254" s="5"/>
    </row>
    <row r="255" spans="1:4" ht="15.75" customHeight="1" x14ac:dyDescent="0.3">
      <c r="A255" s="5"/>
      <c r="B255" s="5"/>
      <c r="C255" s="5"/>
      <c r="D255" s="5"/>
    </row>
    <row r="256" spans="1:4" ht="15.75" customHeight="1" x14ac:dyDescent="0.3">
      <c r="A256" s="5"/>
      <c r="B256" s="5"/>
      <c r="C256" s="5"/>
      <c r="D256" s="5"/>
    </row>
    <row r="257" spans="1:4" ht="15.75" customHeight="1" x14ac:dyDescent="0.3">
      <c r="A257" s="5"/>
      <c r="B257" s="5"/>
      <c r="C257" s="5"/>
      <c r="D257" s="5"/>
    </row>
    <row r="258" spans="1:4" ht="15.75" customHeight="1" x14ac:dyDescent="0.3">
      <c r="A258" s="5"/>
      <c r="B258" s="5"/>
      <c r="C258" s="5"/>
      <c r="D258" s="5"/>
    </row>
    <row r="259" spans="1:4" ht="15.75" customHeight="1" x14ac:dyDescent="0.3">
      <c r="A259" s="5"/>
      <c r="B259" s="5"/>
      <c r="C259" s="5"/>
      <c r="D259" s="5"/>
    </row>
    <row r="260" spans="1:4" ht="15.75" customHeight="1" x14ac:dyDescent="0.3">
      <c r="A260" s="5"/>
      <c r="B260" s="5"/>
      <c r="C260" s="5"/>
      <c r="D260" s="5"/>
    </row>
    <row r="261" spans="1:4" ht="15.75" customHeight="1" x14ac:dyDescent="0.3">
      <c r="A261" s="5"/>
      <c r="B261" s="5"/>
      <c r="C261" s="5"/>
      <c r="D261" s="5"/>
    </row>
    <row r="262" spans="1:4" ht="15.75" customHeight="1" x14ac:dyDescent="0.3">
      <c r="A262" s="5"/>
      <c r="B262" s="5"/>
      <c r="C262" s="5"/>
      <c r="D262" s="5"/>
    </row>
    <row r="263" spans="1:4" ht="15.75" customHeight="1" x14ac:dyDescent="0.3">
      <c r="A263" s="5"/>
      <c r="B263" s="5"/>
      <c r="C263" s="5"/>
      <c r="D263" s="5"/>
    </row>
    <row r="264" spans="1:4" ht="15.75" customHeight="1" x14ac:dyDescent="0.3">
      <c r="A264" s="5"/>
      <c r="B264" s="5"/>
      <c r="C264" s="5"/>
      <c r="D264" s="5"/>
    </row>
    <row r="265" spans="1:4" ht="15.75" customHeight="1" x14ac:dyDescent="0.3">
      <c r="A265" s="5"/>
      <c r="B265" s="5"/>
      <c r="C265" s="5"/>
      <c r="D265" s="5"/>
    </row>
    <row r="266" spans="1:4" ht="15.75" customHeight="1" x14ac:dyDescent="0.3">
      <c r="A266" s="5"/>
      <c r="B266" s="5"/>
      <c r="C266" s="5"/>
      <c r="D266" s="5"/>
    </row>
    <row r="267" spans="1:4" ht="15.75" customHeight="1" x14ac:dyDescent="0.3">
      <c r="A267" s="5"/>
      <c r="B267" s="5"/>
      <c r="C267" s="5"/>
      <c r="D267" s="5"/>
    </row>
    <row r="268" spans="1:4" ht="15.75" customHeight="1" x14ac:dyDescent="0.3">
      <c r="A268" s="5"/>
      <c r="B268" s="5"/>
      <c r="C268" s="5"/>
      <c r="D268" s="5"/>
    </row>
    <row r="269" spans="1:4" ht="15.75" customHeight="1" x14ac:dyDescent="0.3">
      <c r="A269" s="5"/>
      <c r="B269" s="5"/>
      <c r="C269" s="5"/>
      <c r="D269" s="5"/>
    </row>
    <row r="270" spans="1:4" ht="15.75" customHeight="1" x14ac:dyDescent="0.3">
      <c r="A270" s="5"/>
      <c r="B270" s="5"/>
      <c r="C270" s="5"/>
      <c r="D270" s="5"/>
    </row>
    <row r="271" spans="1:4" ht="15.75" customHeight="1" x14ac:dyDescent="0.3">
      <c r="A271" s="5"/>
      <c r="B271" s="5"/>
      <c r="C271" s="5"/>
      <c r="D271" s="5"/>
    </row>
    <row r="272" spans="1:4" ht="15.75" customHeight="1" x14ac:dyDescent="0.3">
      <c r="A272" s="5"/>
      <c r="B272" s="5"/>
      <c r="C272" s="5"/>
      <c r="D272" s="5"/>
    </row>
    <row r="273" spans="1:4" ht="15.75" customHeight="1" x14ac:dyDescent="0.3">
      <c r="A273" s="5"/>
      <c r="B273" s="5"/>
      <c r="C273" s="5"/>
      <c r="D273" s="5"/>
    </row>
    <row r="274" spans="1:4" ht="15.75" customHeight="1" x14ac:dyDescent="0.3">
      <c r="A274" s="5"/>
      <c r="B274" s="5"/>
      <c r="C274" s="5"/>
      <c r="D274" s="5"/>
    </row>
    <row r="275" spans="1:4" ht="15.75" customHeight="1" x14ac:dyDescent="0.3">
      <c r="A275" s="5"/>
      <c r="B275" s="5"/>
      <c r="C275" s="5"/>
      <c r="D275" s="5"/>
    </row>
    <row r="276" spans="1:4" ht="15.75" customHeight="1" x14ac:dyDescent="0.3">
      <c r="A276" s="5"/>
      <c r="B276" s="5"/>
      <c r="C276" s="5"/>
      <c r="D276" s="5"/>
    </row>
    <row r="277" spans="1:4" ht="15.75" customHeight="1" x14ac:dyDescent="0.3">
      <c r="A277" s="5"/>
      <c r="B277" s="5"/>
      <c r="C277" s="5"/>
      <c r="D277" s="5"/>
    </row>
    <row r="278" spans="1:4" ht="15.75" customHeight="1" x14ac:dyDescent="0.3">
      <c r="A278" s="5"/>
      <c r="B278" s="5"/>
      <c r="C278" s="5"/>
      <c r="D278" s="5"/>
    </row>
    <row r="279" spans="1:4" ht="15.75" customHeight="1" x14ac:dyDescent="0.3">
      <c r="A279" s="5"/>
      <c r="B279" s="5"/>
      <c r="C279" s="5"/>
      <c r="D279" s="5"/>
    </row>
    <row r="280" spans="1:4" ht="15.75" customHeight="1" x14ac:dyDescent="0.3">
      <c r="A280" s="5"/>
      <c r="B280" s="5"/>
      <c r="C280" s="5"/>
      <c r="D280" s="5"/>
    </row>
    <row r="281" spans="1:4" ht="15.75" customHeight="1" x14ac:dyDescent="0.3">
      <c r="A281" s="5"/>
      <c r="B281" s="5"/>
      <c r="C281" s="5"/>
      <c r="D281" s="5"/>
    </row>
    <row r="282" spans="1:4" ht="15.75" customHeight="1" x14ac:dyDescent="0.3">
      <c r="A282" s="5"/>
      <c r="B282" s="5"/>
      <c r="C282" s="5"/>
      <c r="D282" s="5"/>
    </row>
    <row r="283" spans="1:4" ht="15.75" customHeight="1" x14ac:dyDescent="0.3">
      <c r="A283" s="5"/>
      <c r="B283" s="5"/>
      <c r="C283" s="5"/>
      <c r="D283" s="5"/>
    </row>
    <row r="284" spans="1:4" ht="15.75" customHeight="1" x14ac:dyDescent="0.3">
      <c r="A284" s="5"/>
      <c r="B284" s="5"/>
      <c r="C284" s="5"/>
      <c r="D284" s="5"/>
    </row>
    <row r="285" spans="1:4" ht="15.75" customHeight="1" x14ac:dyDescent="0.3">
      <c r="A285" s="5"/>
      <c r="B285" s="5"/>
      <c r="C285" s="5"/>
      <c r="D285" s="5"/>
    </row>
    <row r="286" spans="1:4" ht="15.75" customHeight="1" x14ac:dyDescent="0.3">
      <c r="A286" s="5"/>
      <c r="B286" s="5"/>
      <c r="C286" s="5"/>
      <c r="D286" s="5"/>
    </row>
    <row r="287" spans="1:4" ht="15.75" customHeight="1" x14ac:dyDescent="0.3">
      <c r="A287" s="5"/>
      <c r="B287" s="5"/>
      <c r="C287" s="5"/>
      <c r="D287" s="5"/>
    </row>
    <row r="288" spans="1:4" ht="15.75" customHeight="1" x14ac:dyDescent="0.3">
      <c r="A288" s="5"/>
      <c r="B288" s="5"/>
      <c r="C288" s="5"/>
      <c r="D288" s="5"/>
    </row>
    <row r="289" spans="1:4" ht="15.75" customHeight="1" x14ac:dyDescent="0.3">
      <c r="A289" s="5"/>
      <c r="B289" s="5"/>
      <c r="C289" s="5"/>
      <c r="D289" s="5"/>
    </row>
    <row r="290" spans="1:4" ht="15.75" customHeight="1" x14ac:dyDescent="0.3">
      <c r="A290" s="5"/>
      <c r="B290" s="5"/>
      <c r="C290" s="5"/>
      <c r="D290" s="5"/>
    </row>
    <row r="291" spans="1:4" ht="15.75" customHeight="1" x14ac:dyDescent="0.3">
      <c r="A291" s="5"/>
      <c r="B291" s="5"/>
      <c r="C291" s="5"/>
      <c r="D291" s="5"/>
    </row>
    <row r="292" spans="1:4" ht="15.75" customHeight="1" x14ac:dyDescent="0.3">
      <c r="A292" s="5"/>
      <c r="B292" s="5"/>
      <c r="C292" s="5"/>
      <c r="D292" s="5"/>
    </row>
    <row r="293" spans="1:4" ht="15.75" customHeight="1" x14ac:dyDescent="0.3">
      <c r="A293" s="5"/>
      <c r="B293" s="5"/>
      <c r="C293" s="5"/>
      <c r="D293" s="5"/>
    </row>
    <row r="294" spans="1:4" ht="15.75" customHeight="1" x14ac:dyDescent="0.3">
      <c r="A294" s="5"/>
      <c r="B294" s="5"/>
      <c r="C294" s="5"/>
      <c r="D294" s="5"/>
    </row>
    <row r="295" spans="1:4" ht="15.75" customHeight="1" x14ac:dyDescent="0.3">
      <c r="A295" s="5"/>
      <c r="B295" s="5"/>
      <c r="C295" s="5"/>
      <c r="D295" s="5"/>
    </row>
    <row r="296" spans="1:4" ht="15.75" customHeight="1" x14ac:dyDescent="0.3">
      <c r="A296" s="5"/>
      <c r="B296" s="5"/>
      <c r="C296" s="5"/>
      <c r="D296" s="5"/>
    </row>
    <row r="297" spans="1:4" ht="15.75" customHeight="1" x14ac:dyDescent="0.3">
      <c r="A297" s="5"/>
      <c r="B297" s="5"/>
      <c r="C297" s="5"/>
      <c r="D297" s="5"/>
    </row>
    <row r="298" spans="1:4" ht="15.75" customHeight="1" x14ac:dyDescent="0.3">
      <c r="A298" s="5"/>
      <c r="B298" s="5"/>
      <c r="C298" s="5"/>
      <c r="D298" s="5"/>
    </row>
    <row r="299" spans="1:4" ht="15.75" customHeight="1" x14ac:dyDescent="0.3">
      <c r="A299" s="5"/>
      <c r="B299" s="5"/>
      <c r="C299" s="5"/>
      <c r="D299" s="5"/>
    </row>
    <row r="300" spans="1:4" ht="15.75" customHeight="1" x14ac:dyDescent="0.3">
      <c r="A300" s="5"/>
      <c r="B300" s="5"/>
      <c r="C300" s="5"/>
      <c r="D300" s="5"/>
    </row>
    <row r="301" spans="1:4" ht="15.75" customHeight="1" x14ac:dyDescent="0.3">
      <c r="A301" s="5"/>
      <c r="B301" s="5"/>
      <c r="C301" s="5"/>
      <c r="D301" s="5"/>
    </row>
    <row r="302" spans="1:4" ht="15.75" customHeight="1" x14ac:dyDescent="0.3">
      <c r="A302" s="5"/>
      <c r="B302" s="5"/>
      <c r="C302" s="5"/>
      <c r="D302" s="5"/>
    </row>
    <row r="303" spans="1:4" ht="15.75" customHeight="1" x14ac:dyDescent="0.3">
      <c r="A303" s="5"/>
      <c r="B303" s="5"/>
      <c r="C303" s="5"/>
      <c r="D303" s="5"/>
    </row>
    <row r="304" spans="1:4" ht="15.75" customHeight="1" x14ac:dyDescent="0.3">
      <c r="A304" s="5"/>
      <c r="B304" s="5"/>
      <c r="C304" s="5"/>
      <c r="D304" s="5"/>
    </row>
    <row r="305" spans="1:4" ht="15.75" customHeight="1" x14ac:dyDescent="0.3">
      <c r="A305" s="5"/>
      <c r="B305" s="5"/>
      <c r="C305" s="5"/>
      <c r="D305" s="5"/>
    </row>
    <row r="306" spans="1:4" ht="15.75" customHeight="1" x14ac:dyDescent="0.3">
      <c r="A306" s="5"/>
      <c r="B306" s="5"/>
      <c r="C306" s="5"/>
      <c r="D306" s="5"/>
    </row>
    <row r="307" spans="1:4" ht="15.75" customHeight="1" x14ac:dyDescent="0.3">
      <c r="A307" s="5"/>
      <c r="B307" s="5"/>
      <c r="C307" s="5"/>
      <c r="D307" s="5"/>
    </row>
    <row r="308" spans="1:4" ht="15.75" customHeight="1" x14ac:dyDescent="0.3">
      <c r="A308" s="5"/>
      <c r="B308" s="5"/>
      <c r="C308" s="5"/>
      <c r="D308" s="5"/>
    </row>
    <row r="309" spans="1:4" ht="15.75" customHeight="1" x14ac:dyDescent="0.3">
      <c r="A309" s="5"/>
      <c r="B309" s="5"/>
      <c r="C309" s="5"/>
      <c r="D309" s="5"/>
    </row>
    <row r="310" spans="1:4" ht="15.75" customHeight="1" x14ac:dyDescent="0.3">
      <c r="A310" s="5"/>
      <c r="B310" s="5"/>
      <c r="C310" s="5"/>
      <c r="D310" s="5"/>
    </row>
    <row r="311" spans="1:4" ht="15.75" customHeight="1" x14ac:dyDescent="0.3">
      <c r="A311" s="5"/>
      <c r="B311" s="5"/>
      <c r="C311" s="5"/>
      <c r="D311" s="5"/>
    </row>
    <row r="312" spans="1:4" ht="15.75" customHeight="1" x14ac:dyDescent="0.3">
      <c r="A312" s="5"/>
      <c r="B312" s="5"/>
      <c r="C312" s="5"/>
      <c r="D312" s="5"/>
    </row>
    <row r="313" spans="1:4" ht="15.75" customHeight="1" x14ac:dyDescent="0.3">
      <c r="A313" s="5"/>
      <c r="B313" s="5"/>
      <c r="C313" s="5"/>
      <c r="D313" s="5"/>
    </row>
    <row r="314" spans="1:4" ht="15.75" customHeight="1" x14ac:dyDescent="0.3">
      <c r="A314" s="5"/>
      <c r="B314" s="5"/>
      <c r="C314" s="5"/>
      <c r="D314" s="5"/>
    </row>
    <row r="315" spans="1:4" ht="15.75" customHeight="1" x14ac:dyDescent="0.3">
      <c r="A315" s="5"/>
      <c r="B315" s="5"/>
      <c r="C315" s="5"/>
      <c r="D315" s="5"/>
    </row>
    <row r="316" spans="1:4" ht="15.75" customHeight="1" x14ac:dyDescent="0.3">
      <c r="A316" s="5"/>
      <c r="B316" s="5"/>
      <c r="C316" s="5"/>
      <c r="D316" s="5"/>
    </row>
    <row r="317" spans="1:4" ht="15.75" customHeight="1" x14ac:dyDescent="0.3">
      <c r="A317" s="5"/>
      <c r="B317" s="5"/>
      <c r="C317" s="5"/>
      <c r="D317" s="5"/>
    </row>
    <row r="318" spans="1:4" ht="15.75" customHeight="1" x14ac:dyDescent="0.3">
      <c r="A318" s="5"/>
      <c r="B318" s="5"/>
      <c r="C318" s="5"/>
      <c r="D318" s="5"/>
    </row>
    <row r="319" spans="1:4" ht="15.75" customHeight="1" x14ac:dyDescent="0.3">
      <c r="A319" s="5"/>
      <c r="B319" s="5"/>
      <c r="C319" s="5"/>
      <c r="D319" s="5"/>
    </row>
    <row r="320" spans="1:4" ht="15.75" customHeight="1" x14ac:dyDescent="0.3">
      <c r="A320" s="5"/>
      <c r="B320" s="5"/>
      <c r="C320" s="5"/>
      <c r="D320" s="5"/>
    </row>
    <row r="321" spans="1:4" ht="15.75" customHeight="1" x14ac:dyDescent="0.3">
      <c r="A321" s="5"/>
      <c r="B321" s="5"/>
      <c r="C321" s="5"/>
      <c r="D321" s="5"/>
    </row>
    <row r="322" spans="1:4" ht="15.75" customHeight="1" x14ac:dyDescent="0.3">
      <c r="A322" s="5"/>
      <c r="B322" s="5"/>
      <c r="C322" s="5"/>
      <c r="D322" s="5"/>
    </row>
    <row r="323" spans="1:4" ht="15.75" customHeight="1" x14ac:dyDescent="0.3">
      <c r="A323" s="5"/>
      <c r="B323" s="5"/>
      <c r="C323" s="5"/>
      <c r="D323" s="5"/>
    </row>
    <row r="324" spans="1:4" ht="15.75" customHeight="1" x14ac:dyDescent="0.3">
      <c r="A324" s="5"/>
      <c r="B324" s="5"/>
      <c r="C324" s="5"/>
      <c r="D324" s="5"/>
    </row>
    <row r="325" spans="1:4" ht="15.75" customHeight="1" x14ac:dyDescent="0.3">
      <c r="A325" s="5"/>
      <c r="B325" s="5"/>
      <c r="C325" s="5"/>
      <c r="D325" s="5"/>
    </row>
    <row r="326" spans="1:4" ht="15.75" customHeight="1" x14ac:dyDescent="0.3">
      <c r="A326" s="5"/>
      <c r="B326" s="5"/>
      <c r="C326" s="5"/>
      <c r="D326" s="5"/>
    </row>
    <row r="327" spans="1:4" ht="15.75" customHeight="1" x14ac:dyDescent="0.3">
      <c r="A327" s="5"/>
      <c r="B327" s="5"/>
      <c r="C327" s="5"/>
      <c r="D327" s="5"/>
    </row>
    <row r="328" spans="1:4" ht="15.75" customHeight="1" x14ac:dyDescent="0.3">
      <c r="A328" s="5"/>
      <c r="B328" s="5"/>
      <c r="C328" s="5"/>
      <c r="D328" s="5"/>
    </row>
    <row r="329" spans="1:4" ht="15.75" customHeight="1" x14ac:dyDescent="0.3">
      <c r="A329" s="5"/>
      <c r="B329" s="5"/>
      <c r="C329" s="5"/>
      <c r="D329" s="5"/>
    </row>
    <row r="330" spans="1:4" ht="15.75" customHeight="1" x14ac:dyDescent="0.3">
      <c r="A330" s="5"/>
      <c r="B330" s="5"/>
      <c r="C330" s="5"/>
      <c r="D330" s="5"/>
    </row>
    <row r="331" spans="1:4" ht="15.75" customHeight="1" x14ac:dyDescent="0.3">
      <c r="A331" s="5"/>
      <c r="B331" s="5"/>
      <c r="C331" s="5"/>
      <c r="D331" s="5"/>
    </row>
    <row r="332" spans="1:4" ht="15.75" customHeight="1" x14ac:dyDescent="0.3">
      <c r="A332" s="5"/>
      <c r="B332" s="5"/>
      <c r="C332" s="5"/>
      <c r="D332" s="5"/>
    </row>
    <row r="333" spans="1:4" ht="15.75" customHeight="1" x14ac:dyDescent="0.3">
      <c r="A333" s="5"/>
      <c r="B333" s="5"/>
      <c r="C333" s="5"/>
      <c r="D333" s="5"/>
    </row>
    <row r="334" spans="1:4" ht="15.75" customHeight="1" x14ac:dyDescent="0.3">
      <c r="A334" s="5"/>
      <c r="B334" s="5"/>
      <c r="C334" s="5"/>
      <c r="D334" s="5"/>
    </row>
    <row r="335" spans="1:4" ht="15.75" customHeight="1" x14ac:dyDescent="0.3">
      <c r="A335" s="5"/>
      <c r="B335" s="5"/>
      <c r="C335" s="5"/>
      <c r="D335" s="5"/>
    </row>
    <row r="336" spans="1:4" ht="15.75" customHeight="1" x14ac:dyDescent="0.3">
      <c r="A336" s="5"/>
      <c r="B336" s="5"/>
      <c r="C336" s="5"/>
      <c r="D336" s="5"/>
    </row>
    <row r="337" spans="1:4" ht="15.75" customHeight="1" x14ac:dyDescent="0.3">
      <c r="A337" s="5"/>
      <c r="B337" s="5"/>
      <c r="C337" s="5"/>
      <c r="D337" s="5"/>
    </row>
    <row r="338" spans="1:4" ht="15.75" customHeight="1" x14ac:dyDescent="0.3">
      <c r="A338" s="5"/>
      <c r="B338" s="5"/>
      <c r="C338" s="5"/>
      <c r="D338" s="5"/>
    </row>
    <row r="339" spans="1:4" ht="15.75" customHeight="1" x14ac:dyDescent="0.3">
      <c r="A339" s="5"/>
      <c r="B339" s="5"/>
      <c r="C339" s="5"/>
      <c r="D339" s="5"/>
    </row>
    <row r="340" spans="1:4" ht="15.75" customHeight="1" x14ac:dyDescent="0.3">
      <c r="A340" s="5"/>
      <c r="B340" s="5"/>
      <c r="C340" s="5"/>
      <c r="D340" s="5"/>
    </row>
    <row r="341" spans="1:4" ht="15.75" customHeight="1" x14ac:dyDescent="0.3">
      <c r="A341" s="5"/>
      <c r="B341" s="5"/>
      <c r="C341" s="5"/>
      <c r="D341" s="5"/>
    </row>
    <row r="342" spans="1:4" ht="15.75" customHeight="1" x14ac:dyDescent="0.3">
      <c r="A342" s="5"/>
      <c r="B342" s="5"/>
      <c r="C342" s="5"/>
      <c r="D342" s="5"/>
    </row>
    <row r="343" spans="1:4" ht="15.75" customHeight="1" x14ac:dyDescent="0.3">
      <c r="A343" s="5"/>
      <c r="B343" s="5"/>
      <c r="C343" s="5"/>
      <c r="D343" s="5"/>
    </row>
    <row r="344" spans="1:4" ht="15.75" customHeight="1" x14ac:dyDescent="0.3">
      <c r="A344" s="5"/>
      <c r="B344" s="5"/>
      <c r="C344" s="5"/>
      <c r="D344" s="5"/>
    </row>
    <row r="345" spans="1:4" ht="15.75" customHeight="1" x14ac:dyDescent="0.3">
      <c r="A345" s="5"/>
      <c r="B345" s="5"/>
      <c r="C345" s="5"/>
      <c r="D345" s="5"/>
    </row>
    <row r="346" spans="1:4" ht="15.75" customHeight="1" x14ac:dyDescent="0.3">
      <c r="A346" s="5"/>
      <c r="B346" s="5"/>
      <c r="C346" s="5"/>
      <c r="D346" s="5"/>
    </row>
    <row r="347" spans="1:4" ht="15.75" customHeight="1" x14ac:dyDescent="0.3">
      <c r="A347" s="5"/>
      <c r="B347" s="5"/>
      <c r="C347" s="5"/>
      <c r="D347" s="5"/>
    </row>
    <row r="348" spans="1:4" ht="15.75" customHeight="1" x14ac:dyDescent="0.3">
      <c r="A348" s="5"/>
      <c r="B348" s="5"/>
      <c r="C348" s="5"/>
      <c r="D348" s="5"/>
    </row>
    <row r="349" spans="1:4" ht="15.75" customHeight="1" x14ac:dyDescent="0.3">
      <c r="A349" s="5"/>
      <c r="B349" s="5"/>
      <c r="C349" s="5"/>
      <c r="D349" s="5"/>
    </row>
    <row r="350" spans="1:4" ht="15.75" customHeight="1" x14ac:dyDescent="0.3">
      <c r="A350" s="5"/>
      <c r="B350" s="5"/>
      <c r="C350" s="5"/>
      <c r="D350" s="5"/>
    </row>
    <row r="351" spans="1:4" ht="15.75" customHeight="1" x14ac:dyDescent="0.3">
      <c r="A351" s="5"/>
      <c r="B351" s="5"/>
      <c r="C351" s="5"/>
      <c r="D351" s="5"/>
    </row>
    <row r="352" spans="1:4" ht="15.75" customHeight="1" x14ac:dyDescent="0.3">
      <c r="A352" s="5"/>
      <c r="B352" s="5"/>
      <c r="C352" s="5"/>
      <c r="D352" s="5"/>
    </row>
    <row r="353" spans="1:4" ht="15.75" customHeight="1" x14ac:dyDescent="0.3">
      <c r="A353" s="5"/>
      <c r="B353" s="5"/>
      <c r="C353" s="5"/>
      <c r="D353" s="5"/>
    </row>
    <row r="354" spans="1:4" ht="15.75" customHeight="1" x14ac:dyDescent="0.3">
      <c r="A354" s="5"/>
      <c r="B354" s="5"/>
      <c r="C354" s="5"/>
      <c r="D354" s="5"/>
    </row>
    <row r="355" spans="1:4" ht="15.75" customHeight="1" x14ac:dyDescent="0.3">
      <c r="A355" s="5"/>
      <c r="B355" s="5"/>
      <c r="C355" s="5"/>
      <c r="D355" s="5"/>
    </row>
    <row r="356" spans="1:4" ht="15.75" customHeight="1" x14ac:dyDescent="0.3">
      <c r="A356" s="5"/>
      <c r="B356" s="5"/>
      <c r="C356" s="5"/>
      <c r="D356" s="5"/>
    </row>
    <row r="357" spans="1:4" ht="15.75" customHeight="1" x14ac:dyDescent="0.3">
      <c r="A357" s="5"/>
      <c r="B357" s="5"/>
      <c r="C357" s="5"/>
      <c r="D357" s="5"/>
    </row>
    <row r="358" spans="1:4" ht="15.75" customHeight="1" x14ac:dyDescent="0.3">
      <c r="A358" s="5"/>
      <c r="B358" s="5"/>
      <c r="C358" s="5"/>
      <c r="D358" s="5"/>
    </row>
    <row r="359" spans="1:4" ht="15.75" customHeight="1" x14ac:dyDescent="0.3">
      <c r="A359" s="5"/>
      <c r="B359" s="5"/>
      <c r="C359" s="5"/>
      <c r="D359" s="5"/>
    </row>
    <row r="360" spans="1:4" ht="15.75" customHeight="1" x14ac:dyDescent="0.3">
      <c r="A360" s="5"/>
      <c r="B360" s="5"/>
      <c r="C360" s="5"/>
      <c r="D360" s="5"/>
    </row>
    <row r="361" spans="1:4" ht="15.75" customHeight="1" x14ac:dyDescent="0.3">
      <c r="A361" s="5"/>
      <c r="B361" s="5"/>
      <c r="C361" s="5"/>
      <c r="D361" s="5"/>
    </row>
    <row r="362" spans="1:4" ht="15.75" customHeight="1" x14ac:dyDescent="0.3">
      <c r="A362" s="5"/>
      <c r="B362" s="5"/>
      <c r="C362" s="5"/>
      <c r="D362" s="5"/>
    </row>
    <row r="363" spans="1:4" ht="15.75" customHeight="1" x14ac:dyDescent="0.3">
      <c r="A363" s="5"/>
      <c r="B363" s="5"/>
      <c r="C363" s="5"/>
      <c r="D363" s="5"/>
    </row>
    <row r="364" spans="1:4" ht="15.75" customHeight="1" x14ac:dyDescent="0.3">
      <c r="A364" s="5"/>
      <c r="B364" s="5"/>
      <c r="C364" s="5"/>
      <c r="D364" s="5"/>
    </row>
    <row r="365" spans="1:4" ht="15.75" customHeight="1" x14ac:dyDescent="0.3">
      <c r="A365" s="5"/>
      <c r="B365" s="5"/>
      <c r="C365" s="5"/>
      <c r="D365" s="5"/>
    </row>
    <row r="366" spans="1:4" ht="15.75" customHeight="1" x14ac:dyDescent="0.3">
      <c r="A366" s="5"/>
      <c r="B366" s="5"/>
      <c r="C366" s="5"/>
      <c r="D366" s="5"/>
    </row>
    <row r="367" spans="1:4" ht="15.75" customHeight="1" x14ac:dyDescent="0.3">
      <c r="A367" s="5"/>
      <c r="B367" s="5"/>
      <c r="C367" s="5"/>
      <c r="D367" s="5"/>
    </row>
    <row r="368" spans="1:4" ht="15.75" customHeight="1" x14ac:dyDescent="0.3">
      <c r="A368" s="5"/>
      <c r="B368" s="5"/>
      <c r="C368" s="5"/>
      <c r="D368" s="5"/>
    </row>
    <row r="369" spans="1:4" ht="15.75" customHeight="1" x14ac:dyDescent="0.3">
      <c r="A369" s="5"/>
      <c r="B369" s="5"/>
      <c r="C369" s="5"/>
      <c r="D369" s="5"/>
    </row>
    <row r="370" spans="1:4" ht="15.75" customHeight="1" x14ac:dyDescent="0.3">
      <c r="A370" s="5"/>
      <c r="B370" s="5"/>
      <c r="C370" s="5"/>
      <c r="D370" s="5"/>
    </row>
    <row r="371" spans="1:4" ht="15.75" customHeight="1" x14ac:dyDescent="0.3">
      <c r="A371" s="5"/>
      <c r="B371" s="5"/>
      <c r="C371" s="5"/>
      <c r="D371" s="5"/>
    </row>
    <row r="372" spans="1:4" ht="15.75" customHeight="1" x14ac:dyDescent="0.3">
      <c r="A372" s="5"/>
      <c r="B372" s="5"/>
      <c r="C372" s="5"/>
      <c r="D372" s="5"/>
    </row>
    <row r="373" spans="1:4" ht="15.75" customHeight="1" x14ac:dyDescent="0.3">
      <c r="A373" s="5"/>
      <c r="B373" s="5"/>
      <c r="C373" s="5"/>
      <c r="D373" s="5"/>
    </row>
    <row r="374" spans="1:4" ht="15.75" customHeight="1" x14ac:dyDescent="0.3">
      <c r="A374" s="5"/>
      <c r="B374" s="5"/>
      <c r="C374" s="5"/>
      <c r="D374" s="5"/>
    </row>
    <row r="375" spans="1:4" ht="15.75" customHeight="1" x14ac:dyDescent="0.3">
      <c r="A375" s="5"/>
      <c r="B375" s="5"/>
      <c r="C375" s="5"/>
      <c r="D375" s="5"/>
    </row>
    <row r="376" spans="1:4" ht="15.75" customHeight="1" x14ac:dyDescent="0.3">
      <c r="A376" s="5"/>
      <c r="B376" s="5"/>
      <c r="C376" s="5"/>
      <c r="D376" s="5"/>
    </row>
    <row r="377" spans="1:4" ht="15.75" customHeight="1" x14ac:dyDescent="0.3">
      <c r="A377" s="5"/>
      <c r="B377" s="5"/>
      <c r="C377" s="5"/>
      <c r="D377" s="5"/>
    </row>
    <row r="378" spans="1:4" ht="15.75" customHeight="1" x14ac:dyDescent="0.3">
      <c r="A378" s="5"/>
      <c r="B378" s="5"/>
      <c r="C378" s="5"/>
      <c r="D378" s="5"/>
    </row>
    <row r="379" spans="1:4" ht="15.75" customHeight="1" x14ac:dyDescent="0.3">
      <c r="A379" s="5"/>
      <c r="B379" s="5"/>
      <c r="C379" s="5"/>
      <c r="D379" s="5"/>
    </row>
    <row r="380" spans="1:4" ht="15.75" customHeight="1" x14ac:dyDescent="0.3">
      <c r="A380" s="5"/>
      <c r="B380" s="5"/>
      <c r="C380" s="5"/>
      <c r="D380" s="5"/>
    </row>
    <row r="381" spans="1:4" ht="15.75" customHeight="1" x14ac:dyDescent="0.3">
      <c r="A381" s="5"/>
      <c r="B381" s="5"/>
      <c r="C381" s="5"/>
      <c r="D381" s="5"/>
    </row>
    <row r="382" spans="1:4" ht="15.75" customHeight="1" x14ac:dyDescent="0.3">
      <c r="A382" s="5"/>
      <c r="B382" s="5"/>
      <c r="C382" s="5"/>
      <c r="D382" s="5"/>
    </row>
    <row r="383" spans="1:4" ht="15.75" customHeight="1" x14ac:dyDescent="0.3">
      <c r="A383" s="5"/>
      <c r="B383" s="5"/>
      <c r="C383" s="5"/>
      <c r="D383" s="5"/>
    </row>
    <row r="384" spans="1:4" ht="15.75" customHeight="1" x14ac:dyDescent="0.3">
      <c r="A384" s="5"/>
      <c r="B384" s="5"/>
      <c r="C384" s="5"/>
      <c r="D384" s="5"/>
    </row>
    <row r="385" spans="1:4" ht="15.75" customHeight="1" x14ac:dyDescent="0.3">
      <c r="A385" s="5"/>
      <c r="B385" s="5"/>
      <c r="C385" s="5"/>
      <c r="D385" s="5"/>
    </row>
    <row r="386" spans="1:4" ht="15.75" customHeight="1" x14ac:dyDescent="0.3">
      <c r="A386" s="5"/>
      <c r="B386" s="5"/>
      <c r="C386" s="5"/>
      <c r="D386" s="5"/>
    </row>
    <row r="387" spans="1:4" ht="15.75" customHeight="1" x14ac:dyDescent="0.3">
      <c r="A387" s="5"/>
      <c r="B387" s="5"/>
      <c r="C387" s="5"/>
      <c r="D387" s="5"/>
    </row>
    <row r="388" spans="1:4" ht="15.75" customHeight="1" x14ac:dyDescent="0.3">
      <c r="A388" s="5"/>
      <c r="B388" s="5"/>
      <c r="C388" s="5"/>
      <c r="D388" s="5"/>
    </row>
    <row r="389" spans="1:4" ht="15.75" customHeight="1" x14ac:dyDescent="0.3">
      <c r="A389" s="5"/>
      <c r="B389" s="5"/>
      <c r="C389" s="5"/>
      <c r="D389" s="5"/>
    </row>
    <row r="390" spans="1:4" ht="15.75" customHeight="1" x14ac:dyDescent="0.3">
      <c r="A390" s="5"/>
      <c r="B390" s="5"/>
      <c r="C390" s="5"/>
      <c r="D390" s="5"/>
    </row>
    <row r="391" spans="1:4" ht="15.75" customHeight="1" x14ac:dyDescent="0.3">
      <c r="A391" s="5"/>
      <c r="B391" s="5"/>
      <c r="C391" s="5"/>
      <c r="D391" s="5"/>
    </row>
    <row r="392" spans="1:4" ht="15.75" customHeight="1" x14ac:dyDescent="0.3">
      <c r="A392" s="5"/>
      <c r="B392" s="5"/>
      <c r="C392" s="5"/>
      <c r="D392" s="5"/>
    </row>
    <row r="393" spans="1:4" ht="15.75" customHeight="1" x14ac:dyDescent="0.3">
      <c r="A393" s="5"/>
      <c r="B393" s="5"/>
      <c r="C393" s="5"/>
      <c r="D393" s="5"/>
    </row>
    <row r="394" spans="1:4" ht="15.75" customHeight="1" x14ac:dyDescent="0.3">
      <c r="A394" s="5"/>
      <c r="B394" s="5"/>
      <c r="C394" s="5"/>
      <c r="D394" s="5"/>
    </row>
    <row r="395" spans="1:4" ht="15.75" customHeight="1" x14ac:dyDescent="0.3">
      <c r="A395" s="5"/>
      <c r="B395" s="5"/>
      <c r="C395" s="5"/>
      <c r="D395" s="5"/>
    </row>
    <row r="396" spans="1:4" ht="15.75" customHeight="1" x14ac:dyDescent="0.3">
      <c r="A396" s="5"/>
      <c r="B396" s="5"/>
      <c r="C396" s="5"/>
      <c r="D396" s="5"/>
    </row>
    <row r="397" spans="1:4" ht="15.75" customHeight="1" x14ac:dyDescent="0.3">
      <c r="A397" s="5"/>
      <c r="B397" s="5"/>
      <c r="C397" s="5"/>
      <c r="D397" s="5"/>
    </row>
    <row r="398" spans="1:4" ht="15.75" customHeight="1" x14ac:dyDescent="0.3">
      <c r="A398" s="5"/>
      <c r="B398" s="5"/>
      <c r="C398" s="5"/>
      <c r="D398" s="5"/>
    </row>
    <row r="399" spans="1:4" ht="15.75" customHeight="1" x14ac:dyDescent="0.3">
      <c r="A399" s="5"/>
      <c r="B399" s="5"/>
      <c r="C399" s="5"/>
      <c r="D399" s="5"/>
    </row>
    <row r="400" spans="1:4" ht="15.75" customHeight="1" x14ac:dyDescent="0.3">
      <c r="A400" s="5"/>
      <c r="B400" s="5"/>
      <c r="C400" s="5"/>
      <c r="D400" s="5"/>
    </row>
    <row r="401" spans="1:4" ht="15.75" customHeight="1" x14ac:dyDescent="0.3">
      <c r="A401" s="5"/>
      <c r="B401" s="5"/>
      <c r="C401" s="5"/>
      <c r="D401" s="5"/>
    </row>
    <row r="402" spans="1:4" ht="15.75" customHeight="1" x14ac:dyDescent="0.3">
      <c r="A402" s="5"/>
      <c r="B402" s="5"/>
      <c r="C402" s="5"/>
      <c r="D402" s="5"/>
    </row>
    <row r="403" spans="1:4" ht="15.75" customHeight="1" x14ac:dyDescent="0.3">
      <c r="A403" s="5"/>
      <c r="B403" s="5"/>
      <c r="C403" s="5"/>
      <c r="D403" s="5"/>
    </row>
    <row r="404" spans="1:4" ht="15.75" customHeight="1" x14ac:dyDescent="0.3">
      <c r="A404" s="5"/>
      <c r="B404" s="5"/>
      <c r="C404" s="5"/>
      <c r="D404" s="5"/>
    </row>
    <row r="405" spans="1:4" ht="15.75" customHeight="1" x14ac:dyDescent="0.3">
      <c r="A405" s="5"/>
      <c r="B405" s="5"/>
      <c r="C405" s="5"/>
      <c r="D405" s="5"/>
    </row>
    <row r="406" spans="1:4" ht="15.75" customHeight="1" x14ac:dyDescent="0.3">
      <c r="A406" s="5"/>
      <c r="B406" s="5"/>
      <c r="C406" s="5"/>
      <c r="D406" s="5"/>
    </row>
    <row r="407" spans="1:4" ht="15.75" customHeight="1" x14ac:dyDescent="0.3">
      <c r="A407" s="5"/>
      <c r="B407" s="5"/>
      <c r="C407" s="5"/>
      <c r="D407" s="5"/>
    </row>
    <row r="408" spans="1:4" ht="15.75" customHeight="1" x14ac:dyDescent="0.3">
      <c r="A408" s="5"/>
      <c r="B408" s="5"/>
      <c r="C408" s="5"/>
      <c r="D408" s="5"/>
    </row>
    <row r="409" spans="1:4" ht="15.75" customHeight="1" x14ac:dyDescent="0.3">
      <c r="A409" s="5"/>
      <c r="B409" s="5"/>
      <c r="C409" s="5"/>
      <c r="D409" s="5"/>
    </row>
    <row r="410" spans="1:4" ht="15.75" customHeight="1" x14ac:dyDescent="0.3">
      <c r="A410" s="5"/>
      <c r="B410" s="5"/>
      <c r="C410" s="5"/>
      <c r="D410" s="5"/>
    </row>
    <row r="411" spans="1:4" ht="15.75" customHeight="1" x14ac:dyDescent="0.3">
      <c r="A411" s="5"/>
      <c r="B411" s="5"/>
      <c r="C411" s="5"/>
      <c r="D411" s="5"/>
    </row>
    <row r="412" spans="1:4" ht="15.75" customHeight="1" x14ac:dyDescent="0.3">
      <c r="A412" s="5"/>
      <c r="B412" s="5"/>
      <c r="C412" s="5"/>
      <c r="D412" s="5"/>
    </row>
    <row r="413" spans="1:4" ht="15.75" customHeight="1" x14ac:dyDescent="0.3">
      <c r="A413" s="5"/>
      <c r="B413" s="5"/>
      <c r="C413" s="5"/>
      <c r="D413" s="5"/>
    </row>
    <row r="414" spans="1:4" ht="15.75" customHeight="1" x14ac:dyDescent="0.3">
      <c r="A414" s="5"/>
      <c r="B414" s="5"/>
      <c r="C414" s="5"/>
      <c r="D414" s="5"/>
    </row>
    <row r="415" spans="1:4" ht="15.75" customHeight="1" x14ac:dyDescent="0.3">
      <c r="A415" s="5"/>
      <c r="B415" s="5"/>
      <c r="C415" s="5"/>
      <c r="D415" s="5"/>
    </row>
    <row r="416" spans="1:4" ht="15.75" customHeight="1" x14ac:dyDescent="0.3">
      <c r="A416" s="5"/>
      <c r="B416" s="5"/>
      <c r="C416" s="5"/>
      <c r="D416" s="5"/>
    </row>
    <row r="417" spans="1:4" ht="15.75" customHeight="1" x14ac:dyDescent="0.3">
      <c r="A417" s="5"/>
      <c r="B417" s="5"/>
      <c r="C417" s="5"/>
      <c r="D417" s="5"/>
    </row>
    <row r="418" spans="1:4" ht="15.75" customHeight="1" x14ac:dyDescent="0.3">
      <c r="A418" s="5"/>
      <c r="B418" s="5"/>
      <c r="C418" s="5"/>
      <c r="D418" s="5"/>
    </row>
    <row r="419" spans="1:4" ht="15.75" customHeight="1" x14ac:dyDescent="0.3">
      <c r="A419" s="5"/>
      <c r="B419" s="5"/>
      <c r="C419" s="5"/>
      <c r="D419" s="5"/>
    </row>
    <row r="420" spans="1:4" ht="15.75" customHeight="1" x14ac:dyDescent="0.3">
      <c r="A420" s="5"/>
      <c r="B420" s="5"/>
      <c r="C420" s="5"/>
      <c r="D420" s="5"/>
    </row>
    <row r="421" spans="1:4" ht="15.75" customHeight="1" x14ac:dyDescent="0.3">
      <c r="A421" s="5"/>
      <c r="B421" s="5"/>
      <c r="C421" s="5"/>
      <c r="D421" s="5"/>
    </row>
    <row r="422" spans="1:4" ht="15.75" customHeight="1" x14ac:dyDescent="0.3">
      <c r="A422" s="5"/>
      <c r="B422" s="5"/>
      <c r="C422" s="5"/>
      <c r="D422" s="5"/>
    </row>
    <row r="423" spans="1:4" ht="15.75" customHeight="1" x14ac:dyDescent="0.3">
      <c r="A423" s="5"/>
      <c r="B423" s="5"/>
      <c r="C423" s="5"/>
      <c r="D423" s="5"/>
    </row>
    <row r="424" spans="1:4" ht="15.75" customHeight="1" x14ac:dyDescent="0.3">
      <c r="A424" s="5"/>
      <c r="B424" s="5"/>
      <c r="C424" s="5"/>
      <c r="D424" s="5"/>
    </row>
    <row r="425" spans="1:4" ht="15.75" customHeight="1" x14ac:dyDescent="0.3">
      <c r="A425" s="5"/>
      <c r="B425" s="5"/>
      <c r="C425" s="5"/>
      <c r="D425" s="5"/>
    </row>
    <row r="426" spans="1:4" ht="15.75" customHeight="1" x14ac:dyDescent="0.3">
      <c r="A426" s="5"/>
      <c r="B426" s="5"/>
      <c r="C426" s="5"/>
      <c r="D426" s="5"/>
    </row>
    <row r="427" spans="1:4" ht="15.75" customHeight="1" x14ac:dyDescent="0.3">
      <c r="A427" s="5"/>
      <c r="B427" s="5"/>
      <c r="C427" s="5"/>
      <c r="D427" s="5"/>
    </row>
    <row r="428" spans="1:4" ht="15.75" customHeight="1" x14ac:dyDescent="0.3">
      <c r="A428" s="5"/>
      <c r="B428" s="5"/>
      <c r="C428" s="5"/>
      <c r="D428" s="5"/>
    </row>
    <row r="429" spans="1:4" ht="15.75" customHeight="1" x14ac:dyDescent="0.3">
      <c r="A429" s="5"/>
      <c r="B429" s="5"/>
      <c r="C429" s="5"/>
      <c r="D429" s="5"/>
    </row>
    <row r="430" spans="1:4" ht="15.75" customHeight="1" x14ac:dyDescent="0.3">
      <c r="A430" s="5"/>
      <c r="B430" s="5"/>
      <c r="C430" s="5"/>
      <c r="D430" s="5"/>
    </row>
    <row r="431" spans="1:4" ht="15.75" customHeight="1" x14ac:dyDescent="0.3">
      <c r="A431" s="5"/>
      <c r="B431" s="5"/>
      <c r="C431" s="5"/>
      <c r="D431" s="5"/>
    </row>
    <row r="432" spans="1:4" ht="15.75" customHeight="1" x14ac:dyDescent="0.3">
      <c r="A432" s="5"/>
      <c r="B432" s="5"/>
      <c r="C432" s="5"/>
      <c r="D432" s="5"/>
    </row>
    <row r="433" spans="1:4" ht="15.75" customHeight="1" x14ac:dyDescent="0.3">
      <c r="A433" s="5"/>
      <c r="B433" s="5"/>
      <c r="C433" s="5"/>
      <c r="D433" s="5"/>
    </row>
    <row r="434" spans="1:4" ht="15.75" customHeight="1" x14ac:dyDescent="0.3">
      <c r="A434" s="5"/>
      <c r="B434" s="5"/>
      <c r="C434" s="5"/>
      <c r="D434" s="5"/>
    </row>
    <row r="435" spans="1:4" ht="15.75" customHeight="1" x14ac:dyDescent="0.3">
      <c r="A435" s="5"/>
      <c r="B435" s="5"/>
      <c r="C435" s="5"/>
      <c r="D435" s="5"/>
    </row>
    <row r="436" spans="1:4" ht="15.75" customHeight="1" x14ac:dyDescent="0.3">
      <c r="A436" s="5"/>
      <c r="B436" s="5"/>
      <c r="C436" s="5"/>
      <c r="D436" s="5"/>
    </row>
    <row r="437" spans="1:4" ht="15.75" customHeight="1" x14ac:dyDescent="0.3">
      <c r="A437" s="5"/>
      <c r="B437" s="5"/>
      <c r="C437" s="5"/>
      <c r="D437" s="5"/>
    </row>
    <row r="438" spans="1:4" ht="15.75" customHeight="1" x14ac:dyDescent="0.3">
      <c r="A438" s="5"/>
      <c r="B438" s="5"/>
      <c r="C438" s="5"/>
      <c r="D438" s="5"/>
    </row>
    <row r="439" spans="1:4" ht="15.75" customHeight="1" x14ac:dyDescent="0.3">
      <c r="A439" s="5"/>
      <c r="B439" s="5"/>
      <c r="C439" s="5"/>
      <c r="D439" s="5"/>
    </row>
    <row r="440" spans="1:4" ht="15.75" customHeight="1" x14ac:dyDescent="0.3">
      <c r="A440" s="5"/>
      <c r="B440" s="5"/>
      <c r="C440" s="5"/>
      <c r="D440" s="5"/>
    </row>
    <row r="441" spans="1:4" ht="15.75" customHeight="1" x14ac:dyDescent="0.3">
      <c r="A441" s="5"/>
      <c r="B441" s="5"/>
      <c r="C441" s="5"/>
      <c r="D441" s="5"/>
    </row>
    <row r="442" spans="1:4" ht="15.75" customHeight="1" x14ac:dyDescent="0.3">
      <c r="A442" s="5"/>
      <c r="B442" s="5"/>
      <c r="C442" s="5"/>
      <c r="D442" s="5"/>
    </row>
    <row r="443" spans="1:4" ht="15.75" customHeight="1" x14ac:dyDescent="0.3">
      <c r="A443" s="5"/>
      <c r="B443" s="5"/>
      <c r="C443" s="5"/>
      <c r="D443" s="5"/>
    </row>
    <row r="444" spans="1:4" ht="15.75" customHeight="1" x14ac:dyDescent="0.3">
      <c r="A444" s="5"/>
      <c r="B444" s="5"/>
      <c r="C444" s="5"/>
      <c r="D444" s="5"/>
    </row>
    <row r="445" spans="1:4" ht="15.75" customHeight="1" x14ac:dyDescent="0.3">
      <c r="A445" s="5"/>
      <c r="B445" s="5"/>
      <c r="C445" s="5"/>
      <c r="D445" s="5"/>
    </row>
    <row r="446" spans="1:4" ht="15.75" customHeight="1" x14ac:dyDescent="0.3">
      <c r="A446" s="5"/>
      <c r="B446" s="5"/>
      <c r="C446" s="5"/>
      <c r="D446" s="5"/>
    </row>
    <row r="447" spans="1:4" ht="15.75" customHeight="1" x14ac:dyDescent="0.3">
      <c r="A447" s="5"/>
      <c r="B447" s="5"/>
      <c r="C447" s="5"/>
      <c r="D447" s="5"/>
    </row>
    <row r="448" spans="1:4" ht="15.75" customHeight="1" x14ac:dyDescent="0.3">
      <c r="A448" s="5"/>
      <c r="B448" s="5"/>
      <c r="C448" s="5"/>
      <c r="D448" s="5"/>
    </row>
    <row r="449" spans="1:4" ht="15.75" customHeight="1" x14ac:dyDescent="0.3">
      <c r="A449" s="5"/>
      <c r="B449" s="5"/>
      <c r="C449" s="5"/>
      <c r="D449" s="5"/>
    </row>
    <row r="450" spans="1:4" ht="15.75" customHeight="1" x14ac:dyDescent="0.3">
      <c r="A450" s="5"/>
      <c r="B450" s="5"/>
      <c r="C450" s="5"/>
      <c r="D450" s="5"/>
    </row>
    <row r="451" spans="1:4" ht="15.75" customHeight="1" x14ac:dyDescent="0.3">
      <c r="A451" s="5"/>
      <c r="B451" s="5"/>
      <c r="C451" s="5"/>
      <c r="D451" s="5"/>
    </row>
    <row r="452" spans="1:4" ht="15.75" customHeight="1" x14ac:dyDescent="0.3">
      <c r="A452" s="5"/>
      <c r="B452" s="5"/>
      <c r="C452" s="5"/>
      <c r="D452" s="5"/>
    </row>
    <row r="453" spans="1:4" ht="15.75" customHeight="1" x14ac:dyDescent="0.3">
      <c r="A453" s="5"/>
      <c r="B453" s="5"/>
      <c r="C453" s="5"/>
      <c r="D453" s="5"/>
    </row>
    <row r="454" spans="1:4" ht="15.75" customHeight="1" x14ac:dyDescent="0.3">
      <c r="A454" s="5"/>
      <c r="B454" s="5"/>
      <c r="C454" s="5"/>
      <c r="D454" s="5"/>
    </row>
    <row r="455" spans="1:4" ht="15.75" customHeight="1" x14ac:dyDescent="0.3">
      <c r="A455" s="5"/>
      <c r="B455" s="5"/>
      <c r="C455" s="5"/>
      <c r="D455" s="5"/>
    </row>
    <row r="456" spans="1:4" ht="15.75" customHeight="1" x14ac:dyDescent="0.3">
      <c r="A456" s="5"/>
      <c r="B456" s="5"/>
      <c r="C456" s="5"/>
      <c r="D456" s="5"/>
    </row>
    <row r="457" spans="1:4" ht="15.75" customHeight="1" x14ac:dyDescent="0.3">
      <c r="A457" s="5"/>
      <c r="B457" s="5"/>
      <c r="C457" s="5"/>
      <c r="D457" s="5"/>
    </row>
    <row r="458" spans="1:4" ht="15.75" customHeight="1" x14ac:dyDescent="0.3">
      <c r="A458" s="5"/>
      <c r="B458" s="5"/>
      <c r="C458" s="5"/>
      <c r="D458" s="5"/>
    </row>
    <row r="459" spans="1:4" ht="15.75" customHeight="1" x14ac:dyDescent="0.3">
      <c r="A459" s="5"/>
      <c r="B459" s="5"/>
      <c r="C459" s="5"/>
      <c r="D459" s="5"/>
    </row>
    <row r="460" spans="1:4" ht="15.75" customHeight="1" x14ac:dyDescent="0.3">
      <c r="A460" s="5"/>
      <c r="B460" s="5"/>
      <c r="C460" s="5"/>
      <c r="D460" s="5"/>
    </row>
    <row r="461" spans="1:4" ht="15.75" customHeight="1" x14ac:dyDescent="0.3">
      <c r="A461" s="5"/>
      <c r="B461" s="5"/>
      <c r="C461" s="5"/>
      <c r="D461" s="5"/>
    </row>
    <row r="462" spans="1:4" ht="15.75" customHeight="1" x14ac:dyDescent="0.3">
      <c r="A462" s="5"/>
      <c r="B462" s="5"/>
      <c r="C462" s="5"/>
      <c r="D462" s="5"/>
    </row>
    <row r="463" spans="1:4" ht="15.75" customHeight="1" x14ac:dyDescent="0.3">
      <c r="A463" s="5"/>
      <c r="B463" s="5"/>
      <c r="C463" s="5"/>
      <c r="D463" s="5"/>
    </row>
    <row r="464" spans="1:4" ht="15.75" customHeight="1" x14ac:dyDescent="0.3">
      <c r="A464" s="5"/>
      <c r="B464" s="5"/>
      <c r="C464" s="5"/>
      <c r="D464" s="5"/>
    </row>
    <row r="465" spans="1:4" ht="15.75" customHeight="1" x14ac:dyDescent="0.3">
      <c r="A465" s="5"/>
      <c r="B465" s="5"/>
      <c r="C465" s="5"/>
      <c r="D465" s="5"/>
    </row>
    <row r="466" spans="1:4" ht="15.75" customHeight="1" x14ac:dyDescent="0.3">
      <c r="A466" s="5"/>
      <c r="B466" s="5"/>
      <c r="C466" s="5"/>
      <c r="D466" s="5"/>
    </row>
    <row r="467" spans="1:4" ht="15.75" customHeight="1" x14ac:dyDescent="0.3">
      <c r="A467" s="5"/>
      <c r="B467" s="5"/>
      <c r="C467" s="5"/>
      <c r="D467" s="5"/>
    </row>
    <row r="468" spans="1:4" ht="15.75" customHeight="1" x14ac:dyDescent="0.3">
      <c r="A468" s="5"/>
      <c r="B468" s="5"/>
      <c r="C468" s="5"/>
      <c r="D468" s="5"/>
    </row>
    <row r="469" spans="1:4" ht="15.75" customHeight="1" x14ac:dyDescent="0.3">
      <c r="A469" s="5"/>
      <c r="B469" s="5"/>
      <c r="C469" s="5"/>
      <c r="D469" s="5"/>
    </row>
    <row r="470" spans="1:4" ht="15.75" customHeight="1" x14ac:dyDescent="0.3">
      <c r="A470" s="5"/>
      <c r="B470" s="5"/>
      <c r="C470" s="5"/>
      <c r="D470" s="5"/>
    </row>
    <row r="471" spans="1:4" ht="15.75" customHeight="1" x14ac:dyDescent="0.3">
      <c r="A471" s="5"/>
      <c r="B471" s="5"/>
      <c r="C471" s="5"/>
      <c r="D471" s="5"/>
    </row>
    <row r="472" spans="1:4" ht="15.75" customHeight="1" x14ac:dyDescent="0.3">
      <c r="A472" s="5"/>
      <c r="B472" s="5"/>
      <c r="C472" s="5"/>
      <c r="D472" s="5"/>
    </row>
    <row r="473" spans="1:4" ht="15.75" customHeight="1" x14ac:dyDescent="0.3">
      <c r="A473" s="5"/>
      <c r="B473" s="5"/>
      <c r="C473" s="5"/>
      <c r="D473" s="5"/>
    </row>
    <row r="474" spans="1:4" ht="15.75" customHeight="1" x14ac:dyDescent="0.3">
      <c r="A474" s="5"/>
      <c r="B474" s="5"/>
      <c r="C474" s="5"/>
      <c r="D474" s="5"/>
    </row>
    <row r="475" spans="1:4" ht="15.75" customHeight="1" x14ac:dyDescent="0.3">
      <c r="A475" s="5"/>
      <c r="B475" s="5"/>
      <c r="C475" s="5"/>
      <c r="D475" s="5"/>
    </row>
    <row r="476" spans="1:4" ht="15.75" customHeight="1" x14ac:dyDescent="0.3">
      <c r="A476" s="5"/>
      <c r="B476" s="5"/>
      <c r="C476" s="5"/>
      <c r="D476" s="5"/>
    </row>
    <row r="477" spans="1:4" ht="15.75" customHeight="1" x14ac:dyDescent="0.3">
      <c r="A477" s="5"/>
      <c r="B477" s="5"/>
      <c r="C477" s="5"/>
      <c r="D477" s="5"/>
    </row>
    <row r="478" spans="1:4" ht="15.75" customHeight="1" x14ac:dyDescent="0.3">
      <c r="A478" s="5"/>
      <c r="B478" s="5"/>
      <c r="C478" s="5"/>
      <c r="D478" s="5"/>
    </row>
    <row r="479" spans="1:4" ht="15.75" customHeight="1" x14ac:dyDescent="0.3">
      <c r="A479" s="5"/>
      <c r="B479" s="5"/>
      <c r="C479" s="5"/>
      <c r="D479" s="5"/>
    </row>
    <row r="480" spans="1:4" ht="15.75" customHeight="1" x14ac:dyDescent="0.3">
      <c r="A480" s="5"/>
      <c r="B480" s="5"/>
      <c r="C480" s="5"/>
      <c r="D480" s="5"/>
    </row>
    <row r="481" spans="1:4" ht="15.75" customHeight="1" x14ac:dyDescent="0.3">
      <c r="A481" s="5"/>
      <c r="B481" s="5"/>
      <c r="C481" s="5"/>
      <c r="D481" s="5"/>
    </row>
    <row r="482" spans="1:4" ht="15.75" customHeight="1" x14ac:dyDescent="0.3">
      <c r="A482" s="5"/>
      <c r="B482" s="5"/>
      <c r="C482" s="5"/>
      <c r="D482" s="5"/>
    </row>
    <row r="483" spans="1:4" ht="15.75" customHeight="1" x14ac:dyDescent="0.3">
      <c r="A483" s="5"/>
      <c r="B483" s="5"/>
      <c r="C483" s="5"/>
      <c r="D483" s="5"/>
    </row>
    <row r="484" spans="1:4" ht="15.75" customHeight="1" x14ac:dyDescent="0.3">
      <c r="A484" s="5"/>
      <c r="B484" s="5"/>
      <c r="C484" s="5"/>
      <c r="D484" s="5"/>
    </row>
    <row r="485" spans="1:4" ht="15.75" customHeight="1" x14ac:dyDescent="0.3">
      <c r="A485" s="5"/>
      <c r="B485" s="5"/>
      <c r="C485" s="5"/>
      <c r="D485" s="5"/>
    </row>
    <row r="486" spans="1:4" ht="15.75" customHeight="1" x14ac:dyDescent="0.3">
      <c r="A486" s="5"/>
      <c r="B486" s="5"/>
      <c r="C486" s="5"/>
      <c r="D486" s="5"/>
    </row>
    <row r="487" spans="1:4" ht="15.75" customHeight="1" x14ac:dyDescent="0.3">
      <c r="A487" s="5"/>
      <c r="B487" s="5"/>
      <c r="C487" s="5"/>
      <c r="D487" s="5"/>
    </row>
    <row r="488" spans="1:4" ht="15.75" customHeight="1" x14ac:dyDescent="0.3">
      <c r="A488" s="5"/>
      <c r="B488" s="5"/>
      <c r="C488" s="5"/>
      <c r="D488" s="5"/>
    </row>
    <row r="489" spans="1:4" ht="15.75" customHeight="1" x14ac:dyDescent="0.3">
      <c r="A489" s="5"/>
      <c r="B489" s="5"/>
      <c r="C489" s="5"/>
      <c r="D489" s="5"/>
    </row>
    <row r="490" spans="1:4" ht="15.75" customHeight="1" x14ac:dyDescent="0.3">
      <c r="A490" s="5"/>
      <c r="B490" s="5"/>
      <c r="C490" s="5"/>
      <c r="D490" s="5"/>
    </row>
    <row r="491" spans="1:4" ht="15.75" customHeight="1" x14ac:dyDescent="0.3">
      <c r="A491" s="5"/>
      <c r="B491" s="5"/>
      <c r="C491" s="5"/>
      <c r="D491" s="5"/>
    </row>
    <row r="492" spans="1:4" ht="15.75" customHeight="1" x14ac:dyDescent="0.3">
      <c r="A492" s="5"/>
      <c r="B492" s="5"/>
      <c r="C492" s="5"/>
      <c r="D492" s="5"/>
    </row>
    <row r="493" spans="1:4" ht="15.75" customHeight="1" x14ac:dyDescent="0.3">
      <c r="A493" s="5"/>
      <c r="B493" s="5"/>
      <c r="C493" s="5"/>
      <c r="D493" s="5"/>
    </row>
    <row r="494" spans="1:4" ht="15.75" customHeight="1" x14ac:dyDescent="0.3">
      <c r="A494" s="5"/>
      <c r="B494" s="5"/>
      <c r="C494" s="5"/>
      <c r="D494" s="5"/>
    </row>
    <row r="495" spans="1:4" ht="15.75" customHeight="1" x14ac:dyDescent="0.3">
      <c r="A495" s="5"/>
      <c r="B495" s="5"/>
      <c r="C495" s="5"/>
      <c r="D495" s="5"/>
    </row>
    <row r="496" spans="1:4" ht="15.75" customHeight="1" x14ac:dyDescent="0.3">
      <c r="A496" s="5"/>
      <c r="B496" s="5"/>
      <c r="C496" s="5"/>
      <c r="D496" s="5"/>
    </row>
    <row r="497" spans="1:4" ht="15.75" customHeight="1" x14ac:dyDescent="0.3">
      <c r="A497" s="5"/>
      <c r="B497" s="5"/>
      <c r="C497" s="5"/>
      <c r="D497" s="5"/>
    </row>
    <row r="498" spans="1:4" ht="15.75" customHeight="1" x14ac:dyDescent="0.3">
      <c r="A498" s="5"/>
      <c r="B498" s="5"/>
      <c r="C498" s="5"/>
      <c r="D498" s="5"/>
    </row>
    <row r="499" spans="1:4" ht="15.75" customHeight="1" x14ac:dyDescent="0.3">
      <c r="A499" s="5"/>
      <c r="B499" s="5"/>
      <c r="C499" s="5"/>
      <c r="D499" s="5"/>
    </row>
    <row r="500" spans="1:4" ht="15.75" customHeight="1" x14ac:dyDescent="0.3">
      <c r="A500" s="5"/>
      <c r="B500" s="5"/>
      <c r="C500" s="5"/>
      <c r="D500" s="5"/>
    </row>
    <row r="501" spans="1:4" ht="15.75" customHeight="1" x14ac:dyDescent="0.3">
      <c r="A501" s="5"/>
      <c r="B501" s="5"/>
      <c r="C501" s="5"/>
      <c r="D501" s="5"/>
    </row>
    <row r="502" spans="1:4" ht="15.75" customHeight="1" x14ac:dyDescent="0.3">
      <c r="A502" s="5"/>
      <c r="B502" s="5"/>
      <c r="C502" s="5"/>
      <c r="D502" s="5"/>
    </row>
    <row r="503" spans="1:4" ht="15.75" customHeight="1" x14ac:dyDescent="0.3">
      <c r="A503" s="5"/>
      <c r="B503" s="5"/>
      <c r="C503" s="5"/>
      <c r="D503" s="5"/>
    </row>
    <row r="504" spans="1:4" ht="15.75" customHeight="1" x14ac:dyDescent="0.3">
      <c r="A504" s="5"/>
      <c r="B504" s="5"/>
      <c r="C504" s="5"/>
      <c r="D504" s="5"/>
    </row>
    <row r="505" spans="1:4" ht="15.75" customHeight="1" x14ac:dyDescent="0.3">
      <c r="A505" s="5"/>
      <c r="B505" s="5"/>
      <c r="C505" s="5"/>
      <c r="D505" s="5"/>
    </row>
    <row r="506" spans="1:4" ht="15.75" customHeight="1" x14ac:dyDescent="0.3">
      <c r="A506" s="5"/>
      <c r="B506" s="5"/>
      <c r="C506" s="5"/>
      <c r="D506" s="5"/>
    </row>
    <row r="507" spans="1:4" ht="15.75" customHeight="1" x14ac:dyDescent="0.3">
      <c r="A507" s="5"/>
      <c r="B507" s="5"/>
      <c r="C507" s="5"/>
      <c r="D507" s="5"/>
    </row>
    <row r="508" spans="1:4" ht="15.75" customHeight="1" x14ac:dyDescent="0.3">
      <c r="A508" s="5"/>
      <c r="B508" s="5"/>
      <c r="C508" s="5"/>
      <c r="D508" s="5"/>
    </row>
    <row r="509" spans="1:4" ht="15.75" customHeight="1" x14ac:dyDescent="0.3">
      <c r="A509" s="5"/>
      <c r="B509" s="5"/>
      <c r="C509" s="5"/>
      <c r="D509" s="5"/>
    </row>
    <row r="510" spans="1:4" ht="15.75" customHeight="1" x14ac:dyDescent="0.3">
      <c r="A510" s="5"/>
      <c r="B510" s="5"/>
      <c r="C510" s="5"/>
      <c r="D510" s="5"/>
    </row>
    <row r="511" spans="1:4" ht="15.75" customHeight="1" x14ac:dyDescent="0.3">
      <c r="A511" s="5"/>
      <c r="B511" s="5"/>
      <c r="C511" s="5"/>
      <c r="D511" s="5"/>
    </row>
    <row r="512" spans="1:4" ht="15.75" customHeight="1" x14ac:dyDescent="0.3">
      <c r="A512" s="5"/>
      <c r="B512" s="5"/>
      <c r="C512" s="5"/>
      <c r="D512" s="5"/>
    </row>
    <row r="513" spans="1:4" ht="15.75" customHeight="1" x14ac:dyDescent="0.3">
      <c r="A513" s="5"/>
      <c r="B513" s="5"/>
      <c r="C513" s="5"/>
      <c r="D513" s="5"/>
    </row>
    <row r="514" spans="1:4" ht="15.75" customHeight="1" x14ac:dyDescent="0.3">
      <c r="A514" s="5"/>
      <c r="B514" s="5"/>
      <c r="C514" s="5"/>
      <c r="D514" s="5"/>
    </row>
    <row r="515" spans="1:4" ht="15.75" customHeight="1" x14ac:dyDescent="0.3">
      <c r="A515" s="5"/>
      <c r="B515" s="5"/>
      <c r="C515" s="5"/>
      <c r="D515" s="5"/>
    </row>
    <row r="516" spans="1:4" ht="15.75" customHeight="1" x14ac:dyDescent="0.3">
      <c r="A516" s="5"/>
      <c r="B516" s="5"/>
      <c r="C516" s="5"/>
      <c r="D516" s="5"/>
    </row>
    <row r="517" spans="1:4" ht="15.75" customHeight="1" x14ac:dyDescent="0.3">
      <c r="A517" s="5"/>
      <c r="B517" s="5"/>
      <c r="C517" s="5"/>
      <c r="D517" s="5"/>
    </row>
    <row r="518" spans="1:4" ht="15.75" customHeight="1" x14ac:dyDescent="0.3">
      <c r="A518" s="5"/>
      <c r="B518" s="5"/>
      <c r="C518" s="5"/>
      <c r="D518" s="5"/>
    </row>
    <row r="519" spans="1:4" ht="15.75" customHeight="1" x14ac:dyDescent="0.3">
      <c r="A519" s="5"/>
      <c r="B519" s="5"/>
      <c r="C519" s="5"/>
      <c r="D519" s="5"/>
    </row>
    <row r="520" spans="1:4" ht="15.75" customHeight="1" x14ac:dyDescent="0.3">
      <c r="A520" s="5"/>
      <c r="B520" s="5"/>
      <c r="C520" s="5"/>
      <c r="D520" s="5"/>
    </row>
    <row r="521" spans="1:4" ht="15.75" customHeight="1" x14ac:dyDescent="0.3">
      <c r="A521" s="5"/>
      <c r="B521" s="5"/>
      <c r="C521" s="5"/>
      <c r="D521" s="5"/>
    </row>
    <row r="522" spans="1:4" ht="15.75" customHeight="1" x14ac:dyDescent="0.3">
      <c r="A522" s="5"/>
      <c r="B522" s="5"/>
      <c r="C522" s="5"/>
      <c r="D522" s="5"/>
    </row>
    <row r="523" spans="1:4" ht="15.75" customHeight="1" x14ac:dyDescent="0.3">
      <c r="A523" s="5"/>
      <c r="B523" s="5"/>
      <c r="C523" s="5"/>
      <c r="D523" s="5"/>
    </row>
    <row r="524" spans="1:4" ht="15.75" customHeight="1" x14ac:dyDescent="0.3">
      <c r="A524" s="5"/>
      <c r="B524" s="5"/>
      <c r="C524" s="5"/>
      <c r="D524" s="5"/>
    </row>
    <row r="525" spans="1:4" ht="15.75" customHeight="1" x14ac:dyDescent="0.3">
      <c r="A525" s="5"/>
      <c r="B525" s="5"/>
      <c r="C525" s="5"/>
      <c r="D525" s="5"/>
    </row>
    <row r="526" spans="1:4" ht="15.75" customHeight="1" x14ac:dyDescent="0.3">
      <c r="A526" s="5"/>
      <c r="B526" s="5"/>
      <c r="C526" s="5"/>
      <c r="D526" s="5"/>
    </row>
    <row r="527" spans="1:4" ht="15.75" customHeight="1" x14ac:dyDescent="0.3">
      <c r="A527" s="5"/>
      <c r="B527" s="5"/>
      <c r="C527" s="5"/>
      <c r="D527" s="5"/>
    </row>
    <row r="528" spans="1:4" ht="15.75" customHeight="1" x14ac:dyDescent="0.3">
      <c r="A528" s="5"/>
      <c r="B528" s="5"/>
      <c r="C528" s="5"/>
      <c r="D528" s="5"/>
    </row>
    <row r="529" spans="1:4" ht="15.75" customHeight="1" x14ac:dyDescent="0.3">
      <c r="A529" s="5"/>
      <c r="B529" s="5"/>
      <c r="C529" s="5"/>
      <c r="D529" s="5"/>
    </row>
    <row r="530" spans="1:4" ht="15.75" customHeight="1" x14ac:dyDescent="0.3">
      <c r="A530" s="5"/>
      <c r="B530" s="5"/>
      <c r="C530" s="5"/>
      <c r="D530" s="5"/>
    </row>
    <row r="531" spans="1:4" ht="15.75" customHeight="1" x14ac:dyDescent="0.3">
      <c r="A531" s="5"/>
      <c r="B531" s="5"/>
      <c r="C531" s="5"/>
      <c r="D531" s="5"/>
    </row>
    <row r="532" spans="1:4" ht="15.75" customHeight="1" x14ac:dyDescent="0.3">
      <c r="A532" s="5"/>
      <c r="B532" s="5"/>
      <c r="C532" s="5"/>
      <c r="D532" s="5"/>
    </row>
    <row r="533" spans="1:4" ht="15.75" customHeight="1" x14ac:dyDescent="0.3">
      <c r="A533" s="5"/>
      <c r="B533" s="5"/>
      <c r="C533" s="5"/>
      <c r="D533" s="5"/>
    </row>
    <row r="534" spans="1:4" ht="15.75" customHeight="1" x14ac:dyDescent="0.3">
      <c r="A534" s="5"/>
      <c r="B534" s="5"/>
      <c r="C534" s="5"/>
      <c r="D534" s="5"/>
    </row>
    <row r="535" spans="1:4" ht="15.75" customHeight="1" x14ac:dyDescent="0.3">
      <c r="A535" s="5"/>
      <c r="B535" s="5"/>
      <c r="C535" s="5"/>
      <c r="D535" s="5"/>
    </row>
    <row r="536" spans="1:4" ht="15.75" customHeight="1" x14ac:dyDescent="0.3">
      <c r="A536" s="5"/>
      <c r="B536" s="5"/>
      <c r="C536" s="5"/>
      <c r="D536" s="5"/>
    </row>
    <row r="537" spans="1:4" ht="15.75" customHeight="1" x14ac:dyDescent="0.3">
      <c r="A537" s="5"/>
      <c r="B537" s="5"/>
      <c r="C537" s="5"/>
      <c r="D537" s="5"/>
    </row>
    <row r="538" spans="1:4" ht="15.75" customHeight="1" x14ac:dyDescent="0.3">
      <c r="A538" s="5"/>
      <c r="B538" s="5"/>
      <c r="C538" s="5"/>
      <c r="D538" s="5"/>
    </row>
    <row r="539" spans="1:4" ht="15.75" customHeight="1" x14ac:dyDescent="0.3">
      <c r="A539" s="5"/>
      <c r="B539" s="5"/>
      <c r="C539" s="5"/>
      <c r="D539" s="5"/>
    </row>
    <row r="540" spans="1:4" ht="15.75" customHeight="1" x14ac:dyDescent="0.3">
      <c r="A540" s="5"/>
      <c r="B540" s="5"/>
      <c r="C540" s="5"/>
      <c r="D540" s="5"/>
    </row>
    <row r="541" spans="1:4" ht="15.75" customHeight="1" x14ac:dyDescent="0.3">
      <c r="A541" s="5"/>
      <c r="B541" s="5"/>
      <c r="C541" s="5"/>
      <c r="D541" s="5"/>
    </row>
    <row r="542" spans="1:4" ht="15.75" customHeight="1" x14ac:dyDescent="0.3">
      <c r="A542" s="5"/>
      <c r="B542" s="5"/>
      <c r="C542" s="5"/>
      <c r="D542" s="5"/>
    </row>
    <row r="543" spans="1:4" ht="15.75" customHeight="1" x14ac:dyDescent="0.3">
      <c r="A543" s="5"/>
      <c r="B543" s="5"/>
      <c r="C543" s="5"/>
      <c r="D543" s="5"/>
    </row>
    <row r="544" spans="1:4" ht="15.75" customHeight="1" x14ac:dyDescent="0.3">
      <c r="A544" s="5"/>
      <c r="B544" s="5"/>
      <c r="C544" s="5"/>
      <c r="D544" s="5"/>
    </row>
    <row r="545" spans="1:4" ht="15.75" customHeight="1" x14ac:dyDescent="0.3">
      <c r="A545" s="5"/>
      <c r="B545" s="5"/>
      <c r="C545" s="5"/>
      <c r="D545" s="5"/>
    </row>
    <row r="546" spans="1:4" ht="15.75" customHeight="1" x14ac:dyDescent="0.3">
      <c r="A546" s="5"/>
      <c r="B546" s="5"/>
      <c r="C546" s="5"/>
      <c r="D546" s="5"/>
    </row>
    <row r="547" spans="1:4" ht="15.75" customHeight="1" x14ac:dyDescent="0.3">
      <c r="A547" s="5"/>
      <c r="B547" s="5"/>
      <c r="C547" s="5"/>
      <c r="D547" s="5"/>
    </row>
    <row r="548" spans="1:4" ht="15.75" customHeight="1" x14ac:dyDescent="0.3">
      <c r="A548" s="5"/>
      <c r="B548" s="5"/>
      <c r="C548" s="5"/>
      <c r="D548" s="5"/>
    </row>
    <row r="549" spans="1:4" ht="15.75" customHeight="1" x14ac:dyDescent="0.3">
      <c r="A549" s="5"/>
      <c r="B549" s="5"/>
      <c r="C549" s="5"/>
      <c r="D549" s="5"/>
    </row>
    <row r="550" spans="1:4" ht="15.75" customHeight="1" x14ac:dyDescent="0.3">
      <c r="A550" s="5"/>
      <c r="B550" s="5"/>
      <c r="C550" s="5"/>
      <c r="D550" s="5"/>
    </row>
    <row r="551" spans="1:4" ht="15.75" customHeight="1" x14ac:dyDescent="0.3">
      <c r="A551" s="5"/>
      <c r="B551" s="5"/>
      <c r="C551" s="5"/>
      <c r="D551" s="5"/>
    </row>
    <row r="552" spans="1:4" ht="15.75" customHeight="1" x14ac:dyDescent="0.3">
      <c r="A552" s="5"/>
      <c r="B552" s="5"/>
      <c r="C552" s="5"/>
      <c r="D552" s="5"/>
    </row>
    <row r="553" spans="1:4" ht="15.75" customHeight="1" x14ac:dyDescent="0.3">
      <c r="A553" s="5"/>
      <c r="B553" s="5"/>
      <c r="C553" s="5"/>
      <c r="D553" s="5"/>
    </row>
    <row r="554" spans="1:4" ht="15.75" customHeight="1" x14ac:dyDescent="0.3">
      <c r="A554" s="5"/>
      <c r="B554" s="5"/>
      <c r="C554" s="5"/>
      <c r="D554" s="5"/>
    </row>
    <row r="555" spans="1:4" ht="15.75" customHeight="1" x14ac:dyDescent="0.3">
      <c r="A555" s="5"/>
      <c r="B555" s="5"/>
      <c r="C555" s="5"/>
      <c r="D555" s="5"/>
    </row>
    <row r="556" spans="1:4" ht="15.75" customHeight="1" x14ac:dyDescent="0.3">
      <c r="A556" s="5"/>
      <c r="B556" s="5"/>
      <c r="C556" s="5"/>
      <c r="D556" s="5"/>
    </row>
    <row r="557" spans="1:4" ht="15.75" customHeight="1" x14ac:dyDescent="0.3">
      <c r="A557" s="5"/>
      <c r="B557" s="5"/>
      <c r="C557" s="5"/>
      <c r="D557" s="5"/>
    </row>
    <row r="558" spans="1:4" ht="15.75" customHeight="1" x14ac:dyDescent="0.3">
      <c r="A558" s="5"/>
      <c r="B558" s="5"/>
      <c r="C558" s="5"/>
      <c r="D558" s="5"/>
    </row>
    <row r="559" spans="1:4" ht="15.75" customHeight="1" x14ac:dyDescent="0.3">
      <c r="A559" s="5"/>
      <c r="B559" s="5"/>
      <c r="C559" s="5"/>
      <c r="D559" s="5"/>
    </row>
    <row r="560" spans="1:4" ht="15.75" customHeight="1" x14ac:dyDescent="0.3">
      <c r="A560" s="5"/>
      <c r="B560" s="5"/>
      <c r="C560" s="5"/>
      <c r="D560" s="5"/>
    </row>
    <row r="561" spans="1:4" ht="15.75" customHeight="1" x14ac:dyDescent="0.3">
      <c r="A561" s="5"/>
      <c r="B561" s="5"/>
      <c r="C561" s="5"/>
      <c r="D561" s="5"/>
    </row>
    <row r="562" spans="1:4" ht="15.75" customHeight="1" x14ac:dyDescent="0.3">
      <c r="A562" s="5"/>
      <c r="B562" s="5"/>
      <c r="C562" s="5"/>
      <c r="D562" s="5"/>
    </row>
    <row r="563" spans="1:4" ht="15.75" customHeight="1" x14ac:dyDescent="0.3">
      <c r="A563" s="5"/>
      <c r="B563" s="5"/>
      <c r="C563" s="5"/>
      <c r="D563" s="5"/>
    </row>
    <row r="564" spans="1:4" ht="15.75" customHeight="1" x14ac:dyDescent="0.3">
      <c r="A564" s="5"/>
      <c r="B564" s="5"/>
      <c r="C564" s="5"/>
      <c r="D564" s="5"/>
    </row>
    <row r="565" spans="1:4" ht="15.75" customHeight="1" x14ac:dyDescent="0.3">
      <c r="A565" s="5"/>
      <c r="B565" s="5"/>
      <c r="C565" s="5"/>
      <c r="D565" s="5"/>
    </row>
    <row r="566" spans="1:4" ht="15.75" customHeight="1" x14ac:dyDescent="0.3">
      <c r="A566" s="5"/>
      <c r="B566" s="5"/>
      <c r="C566" s="5"/>
      <c r="D566" s="5"/>
    </row>
    <row r="567" spans="1:4" ht="15.75" customHeight="1" x14ac:dyDescent="0.3">
      <c r="A567" s="5"/>
      <c r="B567" s="5"/>
      <c r="C567" s="5"/>
      <c r="D567" s="5"/>
    </row>
    <row r="568" spans="1:4" ht="15.75" customHeight="1" x14ac:dyDescent="0.3">
      <c r="A568" s="5"/>
      <c r="B568" s="5"/>
      <c r="C568" s="5"/>
      <c r="D568" s="5"/>
    </row>
    <row r="569" spans="1:4" ht="15.75" customHeight="1" x14ac:dyDescent="0.3">
      <c r="A569" s="5"/>
      <c r="B569" s="5"/>
      <c r="C569" s="5"/>
      <c r="D569" s="5"/>
    </row>
    <row r="570" spans="1:4" ht="15.75" customHeight="1" x14ac:dyDescent="0.3">
      <c r="A570" s="5"/>
      <c r="B570" s="5"/>
      <c r="C570" s="5"/>
      <c r="D570" s="5"/>
    </row>
    <row r="571" spans="1:4" ht="15.75" customHeight="1" x14ac:dyDescent="0.3">
      <c r="A571" s="5"/>
      <c r="B571" s="5"/>
      <c r="C571" s="5"/>
      <c r="D571" s="5"/>
    </row>
    <row r="572" spans="1:4" ht="15.75" customHeight="1" x14ac:dyDescent="0.3">
      <c r="A572" s="5"/>
      <c r="B572" s="5"/>
      <c r="C572" s="5"/>
      <c r="D572" s="5"/>
    </row>
    <row r="573" spans="1:4" ht="15.75" customHeight="1" x14ac:dyDescent="0.3">
      <c r="A573" s="5"/>
      <c r="B573" s="5"/>
      <c r="C573" s="5"/>
      <c r="D573" s="5"/>
    </row>
    <row r="574" spans="1:4" ht="15.75" customHeight="1" x14ac:dyDescent="0.3">
      <c r="A574" s="5"/>
      <c r="B574" s="5"/>
      <c r="C574" s="5"/>
      <c r="D574" s="5"/>
    </row>
    <row r="575" spans="1:4" ht="15.75" customHeight="1" x14ac:dyDescent="0.3">
      <c r="A575" s="5"/>
      <c r="B575" s="5"/>
      <c r="C575" s="5"/>
      <c r="D575" s="5"/>
    </row>
    <row r="576" spans="1:4" ht="15.75" customHeight="1" x14ac:dyDescent="0.3">
      <c r="A576" s="5"/>
      <c r="B576" s="5"/>
      <c r="C576" s="5"/>
      <c r="D576" s="5"/>
    </row>
    <row r="577" spans="1:4" ht="15.75" customHeight="1" x14ac:dyDescent="0.3">
      <c r="A577" s="5"/>
      <c r="B577" s="5"/>
      <c r="C577" s="5"/>
      <c r="D577" s="5"/>
    </row>
    <row r="578" spans="1:4" ht="15.75" customHeight="1" x14ac:dyDescent="0.3">
      <c r="A578" s="5"/>
      <c r="B578" s="5"/>
      <c r="C578" s="5"/>
      <c r="D578" s="5"/>
    </row>
    <row r="579" spans="1:4" ht="15.75" customHeight="1" x14ac:dyDescent="0.3">
      <c r="A579" s="5"/>
      <c r="B579" s="5"/>
      <c r="C579" s="5"/>
      <c r="D579" s="5"/>
    </row>
    <row r="580" spans="1:4" ht="15.75" customHeight="1" x14ac:dyDescent="0.3">
      <c r="A580" s="5"/>
      <c r="B580" s="5"/>
      <c r="C580" s="5"/>
      <c r="D580" s="5"/>
    </row>
    <row r="581" spans="1:4" ht="15.75" customHeight="1" x14ac:dyDescent="0.3">
      <c r="A581" s="5"/>
      <c r="B581" s="5"/>
      <c r="C581" s="5"/>
      <c r="D581" s="5"/>
    </row>
    <row r="582" spans="1:4" ht="15.75" customHeight="1" x14ac:dyDescent="0.3">
      <c r="A582" s="5"/>
      <c r="B582" s="5"/>
      <c r="C582" s="5"/>
      <c r="D582" s="5"/>
    </row>
    <row r="583" spans="1:4" ht="15.75" customHeight="1" x14ac:dyDescent="0.3">
      <c r="A583" s="5"/>
      <c r="B583" s="5"/>
      <c r="C583" s="5"/>
      <c r="D583" s="5"/>
    </row>
    <row r="584" spans="1:4" ht="15.75" customHeight="1" x14ac:dyDescent="0.3">
      <c r="A584" s="5"/>
      <c r="B584" s="5"/>
      <c r="C584" s="5"/>
      <c r="D584" s="5"/>
    </row>
    <row r="585" spans="1:4" ht="15.75" customHeight="1" x14ac:dyDescent="0.3">
      <c r="A585" s="5"/>
      <c r="B585" s="5"/>
      <c r="C585" s="5"/>
      <c r="D585" s="5"/>
    </row>
    <row r="586" spans="1:4" ht="15.75" customHeight="1" x14ac:dyDescent="0.3">
      <c r="A586" s="5"/>
      <c r="B586" s="5"/>
      <c r="C586" s="5"/>
      <c r="D586" s="5"/>
    </row>
    <row r="587" spans="1:4" ht="15.75" customHeight="1" x14ac:dyDescent="0.3">
      <c r="A587" s="5"/>
      <c r="B587" s="5"/>
      <c r="C587" s="5"/>
      <c r="D587" s="5"/>
    </row>
    <row r="588" spans="1:4" ht="15.75" customHeight="1" x14ac:dyDescent="0.3">
      <c r="A588" s="5"/>
      <c r="B588" s="5"/>
      <c r="C588" s="5"/>
      <c r="D588" s="5"/>
    </row>
    <row r="589" spans="1:4" ht="15.75" customHeight="1" x14ac:dyDescent="0.3">
      <c r="A589" s="5"/>
      <c r="B589" s="5"/>
      <c r="C589" s="5"/>
      <c r="D589" s="5"/>
    </row>
    <row r="590" spans="1:4" ht="15.75" customHeight="1" x14ac:dyDescent="0.3">
      <c r="A590" s="5"/>
      <c r="B590" s="5"/>
      <c r="C590" s="5"/>
      <c r="D590" s="5"/>
    </row>
    <row r="591" spans="1:4" ht="15.75" customHeight="1" x14ac:dyDescent="0.3">
      <c r="A591" s="5"/>
      <c r="B591" s="5"/>
      <c r="C591" s="5"/>
      <c r="D591" s="5"/>
    </row>
    <row r="592" spans="1:4" ht="15.75" customHeight="1" x14ac:dyDescent="0.3">
      <c r="A592" s="5"/>
      <c r="B592" s="5"/>
      <c r="C592" s="5"/>
      <c r="D592" s="5"/>
    </row>
    <row r="593" spans="1:4" ht="15.75" customHeight="1" x14ac:dyDescent="0.3">
      <c r="A593" s="5"/>
      <c r="B593" s="5"/>
      <c r="C593" s="5"/>
      <c r="D593" s="5"/>
    </row>
    <row r="594" spans="1:4" ht="15.75" customHeight="1" x14ac:dyDescent="0.3">
      <c r="A594" s="5"/>
      <c r="B594" s="5"/>
      <c r="C594" s="5"/>
      <c r="D594" s="5"/>
    </row>
    <row r="595" spans="1:4" ht="15.75" customHeight="1" x14ac:dyDescent="0.3">
      <c r="A595" s="5"/>
      <c r="B595" s="5"/>
      <c r="C595" s="5"/>
      <c r="D595" s="5"/>
    </row>
    <row r="596" spans="1:4" ht="15.75" customHeight="1" x14ac:dyDescent="0.3">
      <c r="A596" s="5"/>
      <c r="B596" s="5"/>
      <c r="C596" s="5"/>
      <c r="D596" s="5"/>
    </row>
    <row r="597" spans="1:4" ht="15.75" customHeight="1" x14ac:dyDescent="0.3">
      <c r="A597" s="5"/>
      <c r="B597" s="5"/>
      <c r="C597" s="5"/>
      <c r="D597" s="5"/>
    </row>
    <row r="598" spans="1:4" ht="15.75" customHeight="1" x14ac:dyDescent="0.3">
      <c r="A598" s="5"/>
      <c r="B598" s="5"/>
      <c r="C598" s="5"/>
      <c r="D598" s="5"/>
    </row>
    <row r="599" spans="1:4" ht="15.75" customHeight="1" x14ac:dyDescent="0.3">
      <c r="A599" s="5"/>
      <c r="B599" s="5"/>
      <c r="C599" s="5"/>
      <c r="D599" s="5"/>
    </row>
    <row r="600" spans="1:4" ht="15.75" customHeight="1" x14ac:dyDescent="0.3">
      <c r="A600" s="5"/>
      <c r="B600" s="5"/>
      <c r="C600" s="5"/>
      <c r="D600" s="5"/>
    </row>
    <row r="601" spans="1:4" ht="15.75" customHeight="1" x14ac:dyDescent="0.3">
      <c r="A601" s="5"/>
      <c r="B601" s="5"/>
      <c r="C601" s="5"/>
      <c r="D601" s="5"/>
    </row>
    <row r="602" spans="1:4" ht="15.75" customHeight="1" x14ac:dyDescent="0.3">
      <c r="A602" s="5"/>
      <c r="B602" s="5"/>
      <c r="C602" s="5"/>
      <c r="D602" s="5"/>
    </row>
    <row r="603" spans="1:4" ht="15.75" customHeight="1" x14ac:dyDescent="0.3">
      <c r="A603" s="5"/>
      <c r="B603" s="5"/>
      <c r="C603" s="5"/>
      <c r="D603" s="5"/>
    </row>
    <row r="604" spans="1:4" ht="15.75" customHeight="1" x14ac:dyDescent="0.3">
      <c r="A604" s="5"/>
      <c r="B604" s="5"/>
      <c r="C604" s="5"/>
      <c r="D604" s="5"/>
    </row>
    <row r="605" spans="1:4" ht="15.75" customHeight="1" x14ac:dyDescent="0.3">
      <c r="A605" s="5"/>
      <c r="B605" s="5"/>
      <c r="C605" s="5"/>
      <c r="D605" s="5"/>
    </row>
    <row r="606" spans="1:4" ht="15.75" customHeight="1" x14ac:dyDescent="0.3">
      <c r="A606" s="5"/>
      <c r="B606" s="5"/>
      <c r="C606" s="5"/>
      <c r="D606" s="5"/>
    </row>
    <row r="607" spans="1:4" ht="15.75" customHeight="1" x14ac:dyDescent="0.3">
      <c r="A607" s="5"/>
      <c r="B607" s="5"/>
      <c r="C607" s="5"/>
      <c r="D607" s="5"/>
    </row>
    <row r="608" spans="1:4" ht="15.75" customHeight="1" x14ac:dyDescent="0.3">
      <c r="A608" s="5"/>
      <c r="B608" s="5"/>
      <c r="C608" s="5"/>
      <c r="D608" s="5"/>
    </row>
    <row r="609" spans="1:4" ht="15.75" customHeight="1" x14ac:dyDescent="0.3">
      <c r="A609" s="5"/>
      <c r="B609" s="5"/>
      <c r="C609" s="5"/>
      <c r="D609" s="5"/>
    </row>
    <row r="610" spans="1:4" ht="15.75" customHeight="1" x14ac:dyDescent="0.3">
      <c r="A610" s="5"/>
      <c r="B610" s="5"/>
      <c r="C610" s="5"/>
      <c r="D610" s="5"/>
    </row>
    <row r="611" spans="1:4" ht="15.75" customHeight="1" x14ac:dyDescent="0.3">
      <c r="A611" s="5"/>
      <c r="B611" s="5"/>
      <c r="C611" s="5"/>
      <c r="D611" s="5"/>
    </row>
    <row r="612" spans="1:4" ht="15.75" customHeight="1" x14ac:dyDescent="0.3">
      <c r="A612" s="5"/>
      <c r="B612" s="5"/>
      <c r="C612" s="5"/>
      <c r="D612" s="5"/>
    </row>
    <row r="613" spans="1:4" ht="15.75" customHeight="1" x14ac:dyDescent="0.3">
      <c r="A613" s="5"/>
      <c r="B613" s="5"/>
      <c r="C613" s="5"/>
      <c r="D613" s="5"/>
    </row>
    <row r="614" spans="1:4" ht="15.75" customHeight="1" x14ac:dyDescent="0.3">
      <c r="A614" s="5"/>
      <c r="B614" s="5"/>
      <c r="C614" s="5"/>
      <c r="D614" s="5"/>
    </row>
    <row r="615" spans="1:4" ht="15.75" customHeight="1" x14ac:dyDescent="0.3">
      <c r="A615" s="5"/>
      <c r="B615" s="5"/>
      <c r="C615" s="5"/>
      <c r="D615" s="5"/>
    </row>
    <row r="616" spans="1:4" ht="15.75" customHeight="1" x14ac:dyDescent="0.3">
      <c r="A616" s="5"/>
      <c r="B616" s="5"/>
      <c r="C616" s="5"/>
      <c r="D616" s="5"/>
    </row>
    <row r="617" spans="1:4" ht="15.75" customHeight="1" x14ac:dyDescent="0.3">
      <c r="A617" s="5"/>
      <c r="B617" s="5"/>
      <c r="C617" s="5"/>
      <c r="D617" s="5"/>
    </row>
    <row r="618" spans="1:4" ht="15.75" customHeight="1" x14ac:dyDescent="0.3">
      <c r="A618" s="5"/>
      <c r="B618" s="5"/>
      <c r="C618" s="5"/>
      <c r="D618" s="5"/>
    </row>
    <row r="619" spans="1:4" ht="15.75" customHeight="1" x14ac:dyDescent="0.3">
      <c r="A619" s="5"/>
      <c r="B619" s="5"/>
      <c r="C619" s="5"/>
      <c r="D619" s="5"/>
    </row>
    <row r="620" spans="1:4" ht="15.75" customHeight="1" x14ac:dyDescent="0.3">
      <c r="A620" s="5"/>
      <c r="B620" s="5"/>
      <c r="C620" s="5"/>
      <c r="D620" s="5"/>
    </row>
    <row r="621" spans="1:4" ht="15.75" customHeight="1" x14ac:dyDescent="0.3">
      <c r="A621" s="5"/>
      <c r="B621" s="5"/>
      <c r="C621" s="5"/>
      <c r="D621" s="5"/>
    </row>
    <row r="622" spans="1:4" ht="15.75" customHeight="1" x14ac:dyDescent="0.3">
      <c r="A622" s="5"/>
      <c r="B622" s="5"/>
      <c r="C622" s="5"/>
      <c r="D622" s="5"/>
    </row>
    <row r="623" spans="1:4" ht="15.75" customHeight="1" x14ac:dyDescent="0.3">
      <c r="A623" s="5"/>
      <c r="B623" s="5"/>
      <c r="C623" s="5"/>
      <c r="D623" s="5"/>
    </row>
    <row r="624" spans="1:4" ht="15.75" customHeight="1" x14ac:dyDescent="0.3">
      <c r="A624" s="5"/>
      <c r="B624" s="5"/>
      <c r="C624" s="5"/>
      <c r="D624" s="5"/>
    </row>
    <row r="625" spans="1:4" ht="15.75" customHeight="1" x14ac:dyDescent="0.3">
      <c r="A625" s="5"/>
      <c r="B625" s="5"/>
      <c r="C625" s="5"/>
      <c r="D625" s="5"/>
    </row>
    <row r="626" spans="1:4" ht="15.75" customHeight="1" x14ac:dyDescent="0.3">
      <c r="A626" s="5"/>
      <c r="B626" s="5"/>
      <c r="C626" s="5"/>
      <c r="D626" s="5"/>
    </row>
    <row r="627" spans="1:4" ht="15.75" customHeight="1" x14ac:dyDescent="0.3">
      <c r="A627" s="5"/>
      <c r="B627" s="5"/>
      <c r="C627" s="5"/>
      <c r="D627" s="5"/>
    </row>
    <row r="628" spans="1:4" ht="15.75" customHeight="1" x14ac:dyDescent="0.3">
      <c r="A628" s="5"/>
      <c r="B628" s="5"/>
      <c r="C628" s="5"/>
      <c r="D628" s="5"/>
    </row>
    <row r="629" spans="1:4" ht="15.75" customHeight="1" x14ac:dyDescent="0.3">
      <c r="A629" s="5"/>
      <c r="B629" s="5"/>
      <c r="C629" s="5"/>
      <c r="D629" s="5"/>
    </row>
    <row r="630" spans="1:4" ht="15.75" customHeight="1" x14ac:dyDescent="0.3">
      <c r="A630" s="5"/>
      <c r="B630" s="5"/>
      <c r="C630" s="5"/>
      <c r="D630" s="5"/>
    </row>
    <row r="631" spans="1:4" ht="15.75" customHeight="1" x14ac:dyDescent="0.3">
      <c r="A631" s="5"/>
      <c r="B631" s="5"/>
      <c r="C631" s="5"/>
      <c r="D631" s="5"/>
    </row>
    <row r="632" spans="1:4" ht="15.75" customHeight="1" x14ac:dyDescent="0.3">
      <c r="A632" s="5"/>
      <c r="B632" s="5"/>
      <c r="C632" s="5"/>
      <c r="D632" s="5"/>
    </row>
    <row r="633" spans="1:4" ht="15.75" customHeight="1" x14ac:dyDescent="0.3">
      <c r="A633" s="5"/>
      <c r="B633" s="5"/>
      <c r="C633" s="5"/>
      <c r="D633" s="5"/>
    </row>
    <row r="634" spans="1:4" ht="15.75" customHeight="1" x14ac:dyDescent="0.3">
      <c r="A634" s="5"/>
      <c r="B634" s="5"/>
      <c r="C634" s="5"/>
      <c r="D634" s="5"/>
    </row>
    <row r="635" spans="1:4" ht="15.75" customHeight="1" x14ac:dyDescent="0.3">
      <c r="A635" s="5"/>
      <c r="B635" s="5"/>
      <c r="C635" s="5"/>
      <c r="D635" s="5"/>
    </row>
    <row r="636" spans="1:4" ht="15.75" customHeight="1" x14ac:dyDescent="0.3">
      <c r="A636" s="5"/>
      <c r="B636" s="5"/>
      <c r="C636" s="5"/>
      <c r="D636" s="5"/>
    </row>
    <row r="637" spans="1:4" ht="15.75" customHeight="1" x14ac:dyDescent="0.3">
      <c r="A637" s="5"/>
      <c r="B637" s="5"/>
      <c r="C637" s="5"/>
      <c r="D637" s="5"/>
    </row>
    <row r="638" spans="1:4" ht="15.75" customHeight="1" x14ac:dyDescent="0.3">
      <c r="A638" s="5"/>
      <c r="B638" s="5"/>
      <c r="C638" s="5"/>
      <c r="D638" s="5"/>
    </row>
    <row r="639" spans="1:4" ht="15.75" customHeight="1" x14ac:dyDescent="0.3">
      <c r="A639" s="5"/>
      <c r="B639" s="5"/>
      <c r="C639" s="5"/>
      <c r="D639" s="5"/>
    </row>
    <row r="640" spans="1:4" ht="15.75" customHeight="1" x14ac:dyDescent="0.3">
      <c r="A640" s="5"/>
      <c r="B640" s="5"/>
      <c r="C640" s="5"/>
      <c r="D640" s="5"/>
    </row>
    <row r="641" spans="1:4" ht="15.75" customHeight="1" x14ac:dyDescent="0.3">
      <c r="A641" s="5"/>
      <c r="B641" s="5"/>
      <c r="C641" s="5"/>
      <c r="D641" s="5"/>
    </row>
    <row r="642" spans="1:4" ht="15.75" customHeight="1" x14ac:dyDescent="0.3">
      <c r="A642" s="5"/>
      <c r="B642" s="5"/>
      <c r="C642" s="5"/>
      <c r="D642" s="5"/>
    </row>
    <row r="643" spans="1:4" ht="15.75" customHeight="1" x14ac:dyDescent="0.3">
      <c r="A643" s="5"/>
      <c r="B643" s="5"/>
      <c r="C643" s="5"/>
      <c r="D643" s="5"/>
    </row>
    <row r="644" spans="1:4" ht="15.75" customHeight="1" x14ac:dyDescent="0.3">
      <c r="A644" s="5"/>
      <c r="B644" s="5"/>
      <c r="C644" s="5"/>
      <c r="D644" s="5"/>
    </row>
    <row r="645" spans="1:4" ht="15.75" customHeight="1" x14ac:dyDescent="0.3">
      <c r="A645" s="5"/>
      <c r="B645" s="5"/>
      <c r="C645" s="5"/>
      <c r="D645" s="5"/>
    </row>
    <row r="646" spans="1:4" ht="15.75" customHeight="1" x14ac:dyDescent="0.3">
      <c r="A646" s="5"/>
      <c r="B646" s="5"/>
      <c r="C646" s="5"/>
      <c r="D646" s="5"/>
    </row>
    <row r="647" spans="1:4" ht="15.75" customHeight="1" x14ac:dyDescent="0.3">
      <c r="A647" s="5"/>
      <c r="B647" s="5"/>
      <c r="C647" s="5"/>
      <c r="D647" s="5"/>
    </row>
    <row r="648" spans="1:4" ht="15.75" customHeight="1" x14ac:dyDescent="0.3">
      <c r="A648" s="5"/>
      <c r="B648" s="5"/>
      <c r="C648" s="5"/>
      <c r="D648" s="5"/>
    </row>
    <row r="649" spans="1:4" ht="15.75" customHeight="1" x14ac:dyDescent="0.3">
      <c r="A649" s="5"/>
      <c r="B649" s="5"/>
      <c r="C649" s="5"/>
      <c r="D649" s="5"/>
    </row>
    <row r="650" spans="1:4" ht="15.75" customHeight="1" x14ac:dyDescent="0.3">
      <c r="A650" s="5"/>
      <c r="B650" s="5"/>
      <c r="C650" s="5"/>
      <c r="D650" s="5"/>
    </row>
    <row r="651" spans="1:4" ht="15.75" customHeight="1" x14ac:dyDescent="0.3">
      <c r="A651" s="5"/>
      <c r="B651" s="5"/>
      <c r="C651" s="5"/>
      <c r="D651" s="5"/>
    </row>
    <row r="652" spans="1:4" ht="15.75" customHeight="1" x14ac:dyDescent="0.3">
      <c r="A652" s="5"/>
      <c r="B652" s="5"/>
      <c r="C652" s="5"/>
      <c r="D652" s="5"/>
    </row>
    <row r="653" spans="1:4" ht="15.75" customHeight="1" x14ac:dyDescent="0.3">
      <c r="A653" s="5"/>
      <c r="B653" s="5"/>
      <c r="C653" s="5"/>
      <c r="D653" s="5"/>
    </row>
    <row r="654" spans="1:4" ht="15.75" customHeight="1" x14ac:dyDescent="0.3">
      <c r="A654" s="5"/>
      <c r="B654" s="5"/>
      <c r="C654" s="5"/>
      <c r="D654" s="5"/>
    </row>
    <row r="655" spans="1:4" ht="15.75" customHeight="1" x14ac:dyDescent="0.3">
      <c r="A655" s="5"/>
      <c r="B655" s="5"/>
      <c r="C655" s="5"/>
      <c r="D655" s="5"/>
    </row>
    <row r="656" spans="1:4" ht="15.75" customHeight="1" x14ac:dyDescent="0.3">
      <c r="A656" s="5"/>
      <c r="B656" s="5"/>
      <c r="C656" s="5"/>
      <c r="D656" s="5"/>
    </row>
    <row r="657" spans="1:4" ht="15.75" customHeight="1" x14ac:dyDescent="0.3">
      <c r="A657" s="5"/>
      <c r="B657" s="5"/>
      <c r="C657" s="5"/>
      <c r="D657" s="5"/>
    </row>
    <row r="658" spans="1:4" ht="15.75" customHeight="1" x14ac:dyDescent="0.3">
      <c r="A658" s="5"/>
      <c r="B658" s="5"/>
      <c r="C658" s="5"/>
      <c r="D658" s="5"/>
    </row>
    <row r="659" spans="1:4" ht="15.75" customHeight="1" x14ac:dyDescent="0.3">
      <c r="A659" s="5"/>
      <c r="B659" s="5"/>
      <c r="C659" s="5"/>
      <c r="D659" s="5"/>
    </row>
    <row r="660" spans="1:4" ht="15.75" customHeight="1" x14ac:dyDescent="0.3">
      <c r="A660" s="5"/>
      <c r="B660" s="5"/>
      <c r="C660" s="5"/>
      <c r="D660" s="5"/>
    </row>
    <row r="661" spans="1:4" ht="15.75" customHeight="1" x14ac:dyDescent="0.3">
      <c r="A661" s="5"/>
      <c r="B661" s="5"/>
      <c r="C661" s="5"/>
      <c r="D661" s="5"/>
    </row>
    <row r="662" spans="1:4" ht="15.75" customHeight="1" x14ac:dyDescent="0.3">
      <c r="A662" s="5"/>
      <c r="B662" s="5"/>
      <c r="C662" s="5"/>
      <c r="D662" s="5"/>
    </row>
    <row r="663" spans="1:4" ht="15.75" customHeight="1" x14ac:dyDescent="0.3">
      <c r="A663" s="5"/>
      <c r="B663" s="5"/>
      <c r="C663" s="5"/>
      <c r="D663" s="5"/>
    </row>
    <row r="664" spans="1:4" ht="15.75" customHeight="1" x14ac:dyDescent="0.3">
      <c r="A664" s="5"/>
      <c r="B664" s="5"/>
      <c r="C664" s="5"/>
      <c r="D664" s="5"/>
    </row>
    <row r="665" spans="1:4" ht="15.75" customHeight="1" x14ac:dyDescent="0.3">
      <c r="A665" s="5"/>
      <c r="B665" s="5"/>
      <c r="C665" s="5"/>
      <c r="D665" s="5"/>
    </row>
    <row r="666" spans="1:4" ht="15.75" customHeight="1" x14ac:dyDescent="0.3">
      <c r="A666" s="5"/>
      <c r="B666" s="5"/>
      <c r="C666" s="5"/>
      <c r="D666" s="5"/>
    </row>
    <row r="667" spans="1:4" ht="15.75" customHeight="1" x14ac:dyDescent="0.3">
      <c r="A667" s="5"/>
      <c r="B667" s="5"/>
      <c r="C667" s="5"/>
      <c r="D667" s="5"/>
    </row>
    <row r="668" spans="1:4" ht="15.75" customHeight="1" x14ac:dyDescent="0.3">
      <c r="A668" s="5"/>
      <c r="B668" s="5"/>
      <c r="C668" s="5"/>
      <c r="D668" s="5"/>
    </row>
    <row r="669" spans="1:4" ht="15.75" customHeight="1" x14ac:dyDescent="0.3">
      <c r="A669" s="5"/>
      <c r="B669" s="5"/>
      <c r="C669" s="5"/>
      <c r="D669" s="5"/>
    </row>
    <row r="670" spans="1:4" ht="15.75" customHeight="1" x14ac:dyDescent="0.3">
      <c r="A670" s="5"/>
      <c r="B670" s="5"/>
      <c r="C670" s="5"/>
      <c r="D670" s="5"/>
    </row>
    <row r="671" spans="1:4" ht="15.75" customHeight="1" x14ac:dyDescent="0.3">
      <c r="A671" s="5"/>
      <c r="B671" s="5"/>
      <c r="C671" s="5"/>
      <c r="D671" s="5"/>
    </row>
    <row r="672" spans="1:4" ht="15.75" customHeight="1" x14ac:dyDescent="0.3">
      <c r="A672" s="5"/>
      <c r="B672" s="5"/>
      <c r="C672" s="5"/>
      <c r="D672" s="5"/>
    </row>
    <row r="673" spans="1:4" ht="15.75" customHeight="1" x14ac:dyDescent="0.3">
      <c r="A673" s="5"/>
      <c r="B673" s="5"/>
      <c r="C673" s="5"/>
      <c r="D673" s="5"/>
    </row>
    <row r="674" spans="1:4" ht="15.75" customHeight="1" x14ac:dyDescent="0.3">
      <c r="A674" s="5"/>
      <c r="B674" s="5"/>
      <c r="C674" s="5"/>
      <c r="D674" s="5"/>
    </row>
    <row r="675" spans="1:4" ht="15.75" customHeight="1" x14ac:dyDescent="0.3">
      <c r="A675" s="5"/>
      <c r="B675" s="5"/>
      <c r="C675" s="5"/>
      <c r="D675" s="5"/>
    </row>
    <row r="676" spans="1:4" ht="15.75" customHeight="1" x14ac:dyDescent="0.3">
      <c r="A676" s="5"/>
      <c r="B676" s="5"/>
      <c r="C676" s="5"/>
      <c r="D676" s="5"/>
    </row>
    <row r="677" spans="1:4" ht="15.75" customHeight="1" x14ac:dyDescent="0.3">
      <c r="A677" s="5"/>
      <c r="B677" s="5"/>
      <c r="C677" s="5"/>
      <c r="D677" s="5"/>
    </row>
    <row r="678" spans="1:4" ht="15.75" customHeight="1" x14ac:dyDescent="0.3">
      <c r="A678" s="5"/>
      <c r="B678" s="5"/>
      <c r="C678" s="5"/>
      <c r="D678" s="5"/>
    </row>
    <row r="679" spans="1:4" ht="15.75" customHeight="1" x14ac:dyDescent="0.3">
      <c r="A679" s="5"/>
      <c r="B679" s="5"/>
      <c r="C679" s="5"/>
      <c r="D679" s="5"/>
    </row>
    <row r="680" spans="1:4" ht="15.75" customHeight="1" x14ac:dyDescent="0.3">
      <c r="A680" s="5"/>
      <c r="B680" s="5"/>
      <c r="C680" s="5"/>
      <c r="D680" s="5"/>
    </row>
    <row r="681" spans="1:4" ht="15.75" customHeight="1" x14ac:dyDescent="0.3">
      <c r="A681" s="5"/>
      <c r="B681" s="5"/>
      <c r="C681" s="5"/>
      <c r="D681" s="5"/>
    </row>
    <row r="682" spans="1:4" ht="15.75" customHeight="1" x14ac:dyDescent="0.3">
      <c r="A682" s="5"/>
      <c r="B682" s="5"/>
      <c r="C682" s="5"/>
      <c r="D682" s="5"/>
    </row>
    <row r="683" spans="1:4" ht="15.75" customHeight="1" x14ac:dyDescent="0.3">
      <c r="A683" s="5"/>
      <c r="B683" s="5"/>
      <c r="C683" s="5"/>
      <c r="D683" s="5"/>
    </row>
    <row r="684" spans="1:4" ht="15.75" customHeight="1" x14ac:dyDescent="0.3">
      <c r="A684" s="5"/>
      <c r="B684" s="5"/>
      <c r="C684" s="5"/>
      <c r="D684" s="5"/>
    </row>
    <row r="685" spans="1:4" ht="15.75" customHeight="1" x14ac:dyDescent="0.3">
      <c r="A685" s="5"/>
      <c r="B685" s="5"/>
      <c r="C685" s="5"/>
      <c r="D685" s="5"/>
    </row>
    <row r="686" spans="1:4" ht="15.75" customHeight="1" x14ac:dyDescent="0.3">
      <c r="A686" s="5"/>
      <c r="B686" s="5"/>
      <c r="C686" s="5"/>
      <c r="D686" s="5"/>
    </row>
    <row r="687" spans="1:4" ht="15.75" customHeight="1" x14ac:dyDescent="0.3">
      <c r="A687" s="5"/>
      <c r="B687" s="5"/>
      <c r="C687" s="5"/>
      <c r="D687" s="5"/>
    </row>
    <row r="688" spans="1:4" ht="15.75" customHeight="1" x14ac:dyDescent="0.3">
      <c r="A688" s="5"/>
      <c r="B688" s="5"/>
      <c r="C688" s="5"/>
      <c r="D688" s="5"/>
    </row>
    <row r="689" spans="1:4" ht="15.75" customHeight="1" x14ac:dyDescent="0.3">
      <c r="A689" s="5"/>
      <c r="B689" s="5"/>
      <c r="C689" s="5"/>
      <c r="D689" s="5"/>
    </row>
    <row r="690" spans="1:4" ht="15.75" customHeight="1" x14ac:dyDescent="0.3">
      <c r="A690" s="5"/>
      <c r="B690" s="5"/>
      <c r="C690" s="5"/>
      <c r="D690" s="5"/>
    </row>
    <row r="691" spans="1:4" ht="15.75" customHeight="1" x14ac:dyDescent="0.3">
      <c r="A691" s="5"/>
      <c r="B691" s="5"/>
      <c r="C691" s="5"/>
      <c r="D691" s="5"/>
    </row>
    <row r="692" spans="1:4" ht="15.75" customHeight="1" x14ac:dyDescent="0.3">
      <c r="A692" s="5"/>
      <c r="B692" s="5"/>
      <c r="C692" s="5"/>
      <c r="D692" s="5"/>
    </row>
    <row r="693" spans="1:4" ht="15.75" customHeight="1" x14ac:dyDescent="0.3">
      <c r="A693" s="5"/>
      <c r="B693" s="5"/>
      <c r="C693" s="5"/>
      <c r="D693" s="5"/>
    </row>
    <row r="694" spans="1:4" ht="15.75" customHeight="1" x14ac:dyDescent="0.3">
      <c r="A694" s="5"/>
      <c r="B694" s="5"/>
      <c r="C694" s="5"/>
      <c r="D694" s="5"/>
    </row>
    <row r="695" spans="1:4" ht="15.75" customHeight="1" x14ac:dyDescent="0.3">
      <c r="A695" s="5"/>
      <c r="B695" s="5"/>
      <c r="C695" s="5"/>
      <c r="D695" s="5"/>
    </row>
    <row r="696" spans="1:4" ht="15.75" customHeight="1" x14ac:dyDescent="0.3">
      <c r="A696" s="5"/>
      <c r="B696" s="5"/>
      <c r="C696" s="5"/>
      <c r="D696" s="5"/>
    </row>
    <row r="697" spans="1:4" ht="15.75" customHeight="1" x14ac:dyDescent="0.3">
      <c r="A697" s="5"/>
      <c r="B697" s="5"/>
      <c r="C697" s="5"/>
      <c r="D697" s="5"/>
    </row>
    <row r="698" spans="1:4" ht="15.75" customHeight="1" x14ac:dyDescent="0.3">
      <c r="A698" s="5"/>
      <c r="B698" s="5"/>
      <c r="C698" s="5"/>
      <c r="D698" s="5"/>
    </row>
    <row r="699" spans="1:4" ht="15.75" customHeight="1" x14ac:dyDescent="0.3">
      <c r="A699" s="5"/>
      <c r="B699" s="5"/>
      <c r="C699" s="5"/>
      <c r="D699" s="5"/>
    </row>
    <row r="700" spans="1:4" ht="15.75" customHeight="1" x14ac:dyDescent="0.3">
      <c r="A700" s="5"/>
      <c r="B700" s="5"/>
      <c r="C700" s="5"/>
      <c r="D700" s="5"/>
    </row>
    <row r="701" spans="1:4" ht="15.75" customHeight="1" x14ac:dyDescent="0.3">
      <c r="A701" s="5"/>
      <c r="B701" s="5"/>
      <c r="C701" s="5"/>
      <c r="D701" s="5"/>
    </row>
    <row r="702" spans="1:4" ht="15.75" customHeight="1" x14ac:dyDescent="0.3">
      <c r="A702" s="5"/>
      <c r="B702" s="5"/>
      <c r="C702" s="5"/>
      <c r="D702" s="5"/>
    </row>
    <row r="703" spans="1:4" ht="15.75" customHeight="1" x14ac:dyDescent="0.3">
      <c r="A703" s="5"/>
      <c r="B703" s="5"/>
      <c r="C703" s="5"/>
      <c r="D703" s="5"/>
    </row>
    <row r="704" spans="1:4" ht="15.75" customHeight="1" x14ac:dyDescent="0.3">
      <c r="A704" s="5"/>
      <c r="B704" s="5"/>
      <c r="C704" s="5"/>
      <c r="D704" s="5"/>
    </row>
    <row r="705" spans="1:4" ht="15.75" customHeight="1" x14ac:dyDescent="0.3">
      <c r="A705" s="5"/>
      <c r="B705" s="5"/>
      <c r="C705" s="5"/>
      <c r="D705" s="5"/>
    </row>
    <row r="706" spans="1:4" ht="15.75" customHeight="1" x14ac:dyDescent="0.3">
      <c r="A706" s="5"/>
      <c r="B706" s="5"/>
      <c r="C706" s="5"/>
      <c r="D706" s="5"/>
    </row>
    <row r="707" spans="1:4" ht="15.75" customHeight="1" x14ac:dyDescent="0.3">
      <c r="A707" s="5"/>
      <c r="B707" s="5"/>
      <c r="C707" s="5"/>
      <c r="D707" s="5"/>
    </row>
    <row r="708" spans="1:4" ht="15.75" customHeight="1" x14ac:dyDescent="0.3">
      <c r="A708" s="5"/>
      <c r="B708" s="5"/>
      <c r="C708" s="5"/>
      <c r="D708" s="5"/>
    </row>
    <row r="709" spans="1:4" ht="15.75" customHeight="1" x14ac:dyDescent="0.3">
      <c r="A709" s="5"/>
      <c r="B709" s="5"/>
      <c r="C709" s="5"/>
      <c r="D709" s="5"/>
    </row>
    <row r="710" spans="1:4" ht="15.75" customHeight="1" x14ac:dyDescent="0.3">
      <c r="A710" s="5"/>
      <c r="B710" s="5"/>
      <c r="C710" s="5"/>
      <c r="D710" s="5"/>
    </row>
    <row r="711" spans="1:4" ht="15.75" customHeight="1" x14ac:dyDescent="0.3">
      <c r="A711" s="5"/>
      <c r="B711" s="5"/>
      <c r="C711" s="5"/>
      <c r="D711" s="5"/>
    </row>
    <row r="712" spans="1:4" ht="15.75" customHeight="1" x14ac:dyDescent="0.3">
      <c r="A712" s="5"/>
      <c r="B712" s="5"/>
      <c r="C712" s="5"/>
      <c r="D712" s="5"/>
    </row>
    <row r="713" spans="1:4" ht="15.75" customHeight="1" x14ac:dyDescent="0.3">
      <c r="A713" s="5"/>
      <c r="B713" s="5"/>
      <c r="C713" s="5"/>
      <c r="D713" s="5"/>
    </row>
    <row r="714" spans="1:4" ht="15.75" customHeight="1" x14ac:dyDescent="0.3">
      <c r="A714" s="5"/>
      <c r="B714" s="5"/>
      <c r="C714" s="5"/>
      <c r="D714" s="5"/>
    </row>
    <row r="715" spans="1:4" ht="15.75" customHeight="1" x14ac:dyDescent="0.3">
      <c r="A715" s="5"/>
      <c r="B715" s="5"/>
      <c r="C715" s="5"/>
      <c r="D715" s="5"/>
    </row>
    <row r="716" spans="1:4" ht="15.75" customHeight="1" x14ac:dyDescent="0.3">
      <c r="A716" s="5"/>
      <c r="B716" s="5"/>
      <c r="C716" s="5"/>
      <c r="D716" s="5"/>
    </row>
    <row r="717" spans="1:4" ht="15.75" customHeight="1" x14ac:dyDescent="0.3">
      <c r="A717" s="5"/>
      <c r="B717" s="5"/>
      <c r="C717" s="5"/>
      <c r="D717" s="5"/>
    </row>
    <row r="718" spans="1:4" ht="15.75" customHeight="1" x14ac:dyDescent="0.3">
      <c r="A718" s="5"/>
      <c r="B718" s="5"/>
      <c r="C718" s="5"/>
      <c r="D718" s="5"/>
    </row>
    <row r="719" spans="1:4" ht="15.75" customHeight="1" x14ac:dyDescent="0.3">
      <c r="A719" s="5"/>
      <c r="B719" s="5"/>
      <c r="C719" s="5"/>
      <c r="D719" s="5"/>
    </row>
    <row r="720" spans="1:4" ht="15.75" customHeight="1" x14ac:dyDescent="0.3">
      <c r="A720" s="5"/>
      <c r="B720" s="5"/>
      <c r="C720" s="5"/>
      <c r="D720" s="5"/>
    </row>
    <row r="721" spans="1:4" ht="15.75" customHeight="1" x14ac:dyDescent="0.3">
      <c r="A721" s="5"/>
      <c r="B721" s="5"/>
      <c r="C721" s="5"/>
      <c r="D721" s="5"/>
    </row>
    <row r="722" spans="1:4" ht="15.75" customHeight="1" x14ac:dyDescent="0.3">
      <c r="A722" s="5"/>
      <c r="B722" s="5"/>
      <c r="C722" s="5"/>
      <c r="D722" s="5"/>
    </row>
    <row r="723" spans="1:4" ht="15.75" customHeight="1" x14ac:dyDescent="0.3">
      <c r="A723" s="5"/>
      <c r="B723" s="5"/>
      <c r="C723" s="5"/>
      <c r="D723" s="5"/>
    </row>
    <row r="724" spans="1:4" ht="15.75" customHeight="1" x14ac:dyDescent="0.3">
      <c r="A724" s="5"/>
      <c r="B724" s="5"/>
      <c r="C724" s="5"/>
      <c r="D724" s="5"/>
    </row>
    <row r="725" spans="1:4" ht="15.75" customHeight="1" x14ac:dyDescent="0.3">
      <c r="A725" s="5"/>
      <c r="B725" s="5"/>
      <c r="C725" s="5"/>
      <c r="D725" s="5"/>
    </row>
    <row r="726" spans="1:4" ht="15.75" customHeight="1" x14ac:dyDescent="0.3">
      <c r="A726" s="5"/>
      <c r="B726" s="5"/>
      <c r="C726" s="5"/>
      <c r="D726" s="5"/>
    </row>
    <row r="727" spans="1:4" ht="15.75" customHeight="1" x14ac:dyDescent="0.3">
      <c r="A727" s="5"/>
      <c r="B727" s="5"/>
      <c r="C727" s="5"/>
      <c r="D727" s="5"/>
    </row>
    <row r="728" spans="1:4" ht="15.75" customHeight="1" x14ac:dyDescent="0.3">
      <c r="A728" s="5"/>
      <c r="B728" s="5"/>
      <c r="C728" s="5"/>
      <c r="D728" s="5"/>
    </row>
    <row r="729" spans="1:4" ht="15.75" customHeight="1" x14ac:dyDescent="0.3">
      <c r="A729" s="5"/>
      <c r="B729" s="5"/>
      <c r="C729" s="5"/>
      <c r="D729" s="5"/>
    </row>
    <row r="730" spans="1:4" ht="15.75" customHeight="1" x14ac:dyDescent="0.3">
      <c r="A730" s="5"/>
      <c r="B730" s="5"/>
      <c r="C730" s="5"/>
      <c r="D730" s="5"/>
    </row>
    <row r="731" spans="1:4" ht="15.75" customHeight="1" x14ac:dyDescent="0.3">
      <c r="A731" s="5"/>
      <c r="B731" s="5"/>
      <c r="C731" s="5"/>
      <c r="D731" s="5"/>
    </row>
    <row r="732" spans="1:4" ht="15.75" customHeight="1" x14ac:dyDescent="0.3">
      <c r="A732" s="5"/>
      <c r="B732" s="5"/>
      <c r="C732" s="5"/>
      <c r="D732" s="5"/>
    </row>
    <row r="733" spans="1:4" ht="15.75" customHeight="1" x14ac:dyDescent="0.3">
      <c r="A733" s="5"/>
      <c r="B733" s="5"/>
      <c r="C733" s="5"/>
      <c r="D733" s="5"/>
    </row>
    <row r="734" spans="1:4" ht="15.75" customHeight="1" x14ac:dyDescent="0.3">
      <c r="A734" s="5"/>
      <c r="B734" s="5"/>
      <c r="C734" s="5"/>
      <c r="D734" s="5"/>
    </row>
    <row r="735" spans="1:4" ht="15.75" customHeight="1" x14ac:dyDescent="0.3">
      <c r="A735" s="5"/>
      <c r="B735" s="5"/>
      <c r="C735" s="5"/>
      <c r="D735" s="5"/>
    </row>
    <row r="736" spans="1:4" ht="15.75" customHeight="1" x14ac:dyDescent="0.3">
      <c r="A736" s="5"/>
      <c r="B736" s="5"/>
      <c r="C736" s="5"/>
      <c r="D736" s="5"/>
    </row>
    <row r="737" spans="1:4" ht="15.75" customHeight="1" x14ac:dyDescent="0.3">
      <c r="A737" s="5"/>
      <c r="B737" s="5"/>
      <c r="C737" s="5"/>
      <c r="D737" s="5"/>
    </row>
    <row r="738" spans="1:4" ht="15.75" customHeight="1" x14ac:dyDescent="0.3">
      <c r="A738" s="5"/>
      <c r="B738" s="5"/>
      <c r="C738" s="5"/>
      <c r="D738" s="5"/>
    </row>
    <row r="739" spans="1:4" ht="15.75" customHeight="1" x14ac:dyDescent="0.3">
      <c r="A739" s="5"/>
      <c r="B739" s="5"/>
      <c r="C739" s="5"/>
      <c r="D739" s="5"/>
    </row>
    <row r="740" spans="1:4" ht="15.75" customHeight="1" x14ac:dyDescent="0.3">
      <c r="A740" s="5"/>
      <c r="B740" s="5"/>
      <c r="C740" s="5"/>
      <c r="D740" s="5"/>
    </row>
    <row r="741" spans="1:4" ht="15.75" customHeight="1" x14ac:dyDescent="0.3">
      <c r="A741" s="5"/>
      <c r="B741" s="5"/>
      <c r="C741" s="5"/>
      <c r="D741" s="5"/>
    </row>
    <row r="742" spans="1:4" ht="15.75" customHeight="1" x14ac:dyDescent="0.3">
      <c r="A742" s="5"/>
      <c r="B742" s="5"/>
      <c r="C742" s="5"/>
      <c r="D742" s="5"/>
    </row>
    <row r="743" spans="1:4" ht="15.75" customHeight="1" x14ac:dyDescent="0.3">
      <c r="A743" s="5"/>
      <c r="B743" s="5"/>
      <c r="C743" s="5"/>
      <c r="D743" s="5"/>
    </row>
    <row r="744" spans="1:4" ht="15.75" customHeight="1" x14ac:dyDescent="0.3">
      <c r="A744" s="5"/>
      <c r="B744" s="5"/>
      <c r="C744" s="5"/>
      <c r="D744" s="5"/>
    </row>
    <row r="745" spans="1:4" ht="15.75" customHeight="1" x14ac:dyDescent="0.3">
      <c r="A745" s="5"/>
      <c r="B745" s="5"/>
      <c r="C745" s="5"/>
      <c r="D745" s="5"/>
    </row>
    <row r="746" spans="1:4" ht="15.75" customHeight="1" x14ac:dyDescent="0.3">
      <c r="A746" s="5"/>
      <c r="B746" s="5"/>
      <c r="C746" s="5"/>
      <c r="D746" s="5"/>
    </row>
    <row r="747" spans="1:4" ht="15.75" customHeight="1" x14ac:dyDescent="0.3">
      <c r="A747" s="5"/>
      <c r="B747" s="5"/>
      <c r="C747" s="5"/>
      <c r="D747" s="5"/>
    </row>
    <row r="748" spans="1:4" ht="15.75" customHeight="1" x14ac:dyDescent="0.3">
      <c r="A748" s="5"/>
      <c r="B748" s="5"/>
      <c r="C748" s="5"/>
      <c r="D748" s="5"/>
    </row>
    <row r="749" spans="1:4" ht="15.75" customHeight="1" x14ac:dyDescent="0.3">
      <c r="A749" s="5"/>
      <c r="B749" s="5"/>
      <c r="C749" s="5"/>
      <c r="D749" s="5"/>
    </row>
    <row r="750" spans="1:4" ht="15.75" customHeight="1" x14ac:dyDescent="0.3">
      <c r="A750" s="5"/>
      <c r="B750" s="5"/>
      <c r="C750" s="5"/>
      <c r="D750" s="5"/>
    </row>
    <row r="751" spans="1:4" ht="15.75" customHeight="1" x14ac:dyDescent="0.3">
      <c r="A751" s="5"/>
      <c r="B751" s="5"/>
      <c r="C751" s="5"/>
      <c r="D751" s="5"/>
    </row>
    <row r="752" spans="1:4" ht="15.75" customHeight="1" x14ac:dyDescent="0.3">
      <c r="A752" s="5"/>
      <c r="B752" s="5"/>
      <c r="C752" s="5"/>
      <c r="D752" s="5"/>
    </row>
    <row r="753" spans="1:4" ht="15.75" customHeight="1" x14ac:dyDescent="0.3">
      <c r="A753" s="5"/>
      <c r="B753" s="5"/>
      <c r="C753" s="5"/>
      <c r="D753" s="5"/>
    </row>
    <row r="754" spans="1:4" ht="15.75" customHeight="1" x14ac:dyDescent="0.3">
      <c r="A754" s="5"/>
      <c r="B754" s="5"/>
      <c r="C754" s="5"/>
      <c r="D754" s="5"/>
    </row>
    <row r="755" spans="1:4" ht="15.75" customHeight="1" x14ac:dyDescent="0.3">
      <c r="A755" s="5"/>
      <c r="B755" s="5"/>
      <c r="C755" s="5"/>
      <c r="D755" s="5"/>
    </row>
    <row r="756" spans="1:4" ht="15.75" customHeight="1" x14ac:dyDescent="0.3">
      <c r="A756" s="5"/>
      <c r="B756" s="5"/>
      <c r="C756" s="5"/>
      <c r="D756" s="5"/>
    </row>
    <row r="757" spans="1:4" ht="15.75" customHeight="1" x14ac:dyDescent="0.3">
      <c r="A757" s="5"/>
      <c r="B757" s="5"/>
      <c r="C757" s="5"/>
      <c r="D757" s="5"/>
    </row>
    <row r="758" spans="1:4" ht="15.75" customHeight="1" x14ac:dyDescent="0.3">
      <c r="A758" s="5"/>
      <c r="B758" s="5"/>
      <c r="C758" s="5"/>
      <c r="D758" s="5"/>
    </row>
    <row r="759" spans="1:4" ht="15.75" customHeight="1" x14ac:dyDescent="0.3">
      <c r="A759" s="5"/>
      <c r="B759" s="5"/>
      <c r="C759" s="5"/>
      <c r="D759" s="5"/>
    </row>
    <row r="760" spans="1:4" ht="15.75" customHeight="1" x14ac:dyDescent="0.3">
      <c r="A760" s="5"/>
      <c r="B760" s="5"/>
      <c r="C760" s="5"/>
      <c r="D760" s="5"/>
    </row>
    <row r="761" spans="1:4" ht="15.75" customHeight="1" x14ac:dyDescent="0.3">
      <c r="A761" s="5"/>
      <c r="B761" s="5"/>
      <c r="C761" s="5"/>
      <c r="D761" s="5"/>
    </row>
    <row r="762" spans="1:4" ht="15.75" customHeight="1" x14ac:dyDescent="0.3">
      <c r="A762" s="5"/>
      <c r="B762" s="5"/>
      <c r="C762" s="5"/>
      <c r="D762" s="5"/>
    </row>
    <row r="763" spans="1:4" ht="15.75" customHeight="1" x14ac:dyDescent="0.3">
      <c r="A763" s="5"/>
      <c r="B763" s="5"/>
      <c r="C763" s="5"/>
      <c r="D763" s="5"/>
    </row>
    <row r="764" spans="1:4" ht="15.75" customHeight="1" x14ac:dyDescent="0.3">
      <c r="A764" s="5"/>
      <c r="B764" s="5"/>
      <c r="C764" s="5"/>
      <c r="D764" s="5"/>
    </row>
    <row r="765" spans="1:4" ht="15.75" customHeight="1" x14ac:dyDescent="0.3">
      <c r="A765" s="5"/>
      <c r="B765" s="5"/>
      <c r="C765" s="5"/>
      <c r="D765" s="5"/>
    </row>
    <row r="766" spans="1:4" ht="15.75" customHeight="1" x14ac:dyDescent="0.3">
      <c r="A766" s="5"/>
      <c r="B766" s="5"/>
      <c r="C766" s="5"/>
      <c r="D766" s="5"/>
    </row>
    <row r="767" spans="1:4" ht="15.75" customHeight="1" x14ac:dyDescent="0.3">
      <c r="A767" s="5"/>
      <c r="B767" s="5"/>
      <c r="C767" s="5"/>
      <c r="D767" s="5"/>
    </row>
    <row r="768" spans="1:4" ht="15.75" customHeight="1" x14ac:dyDescent="0.3">
      <c r="A768" s="5"/>
      <c r="B768" s="5"/>
      <c r="C768" s="5"/>
      <c r="D768" s="5"/>
    </row>
    <row r="769" spans="1:4" ht="15.75" customHeight="1" x14ac:dyDescent="0.3">
      <c r="A769" s="5"/>
      <c r="B769" s="5"/>
      <c r="C769" s="5"/>
      <c r="D769" s="5"/>
    </row>
    <row r="770" spans="1:4" ht="15.75" customHeight="1" x14ac:dyDescent="0.3">
      <c r="A770" s="5"/>
      <c r="B770" s="5"/>
      <c r="C770" s="5"/>
      <c r="D770" s="5"/>
    </row>
    <row r="771" spans="1:4" ht="15.75" customHeight="1" x14ac:dyDescent="0.3">
      <c r="A771" s="5"/>
      <c r="B771" s="5"/>
      <c r="C771" s="5"/>
      <c r="D771" s="5"/>
    </row>
    <row r="772" spans="1:4" ht="15.75" customHeight="1" x14ac:dyDescent="0.3">
      <c r="A772" s="5"/>
      <c r="B772" s="5"/>
      <c r="C772" s="5"/>
      <c r="D772" s="5"/>
    </row>
    <row r="773" spans="1:4" ht="15.75" customHeight="1" x14ac:dyDescent="0.3">
      <c r="A773" s="5"/>
      <c r="B773" s="5"/>
      <c r="C773" s="5"/>
      <c r="D773" s="5"/>
    </row>
    <row r="774" spans="1:4" ht="15.75" customHeight="1" x14ac:dyDescent="0.3">
      <c r="A774" s="5"/>
      <c r="B774" s="5"/>
      <c r="C774" s="5"/>
      <c r="D774" s="5"/>
    </row>
    <row r="775" spans="1:4" ht="15.75" customHeight="1" x14ac:dyDescent="0.3">
      <c r="A775" s="5"/>
      <c r="B775" s="5"/>
      <c r="C775" s="5"/>
      <c r="D775" s="5"/>
    </row>
    <row r="776" spans="1:4" ht="15.75" customHeight="1" x14ac:dyDescent="0.3">
      <c r="A776" s="5"/>
      <c r="B776" s="5"/>
      <c r="C776" s="5"/>
      <c r="D776" s="5"/>
    </row>
    <row r="777" spans="1:4" ht="15.75" customHeight="1" x14ac:dyDescent="0.3">
      <c r="A777" s="5"/>
      <c r="B777" s="5"/>
      <c r="C777" s="5"/>
      <c r="D777" s="5"/>
    </row>
    <row r="778" spans="1:4" ht="15.75" customHeight="1" x14ac:dyDescent="0.3">
      <c r="A778" s="5"/>
      <c r="B778" s="5"/>
      <c r="C778" s="5"/>
      <c r="D778" s="5"/>
    </row>
    <row r="779" spans="1:4" ht="15.75" customHeight="1" x14ac:dyDescent="0.3">
      <c r="A779" s="5"/>
      <c r="B779" s="5"/>
      <c r="C779" s="5"/>
      <c r="D779" s="5"/>
    </row>
    <row r="780" spans="1:4" ht="15.75" customHeight="1" x14ac:dyDescent="0.3">
      <c r="A780" s="5"/>
      <c r="B780" s="5"/>
      <c r="C780" s="5"/>
      <c r="D780" s="5"/>
    </row>
    <row r="781" spans="1:4" ht="15.75" customHeight="1" x14ac:dyDescent="0.3">
      <c r="A781" s="5"/>
      <c r="B781" s="5"/>
      <c r="C781" s="5"/>
      <c r="D781" s="5"/>
    </row>
    <row r="782" spans="1:4" ht="15.75" customHeight="1" x14ac:dyDescent="0.3">
      <c r="A782" s="5"/>
      <c r="B782" s="5"/>
      <c r="C782" s="5"/>
      <c r="D782" s="5"/>
    </row>
    <row r="783" spans="1:4" ht="15.75" customHeight="1" x14ac:dyDescent="0.3">
      <c r="A783" s="5"/>
      <c r="B783" s="5"/>
      <c r="C783" s="5"/>
      <c r="D783" s="5"/>
    </row>
    <row r="784" spans="1:4" ht="15.75" customHeight="1" x14ac:dyDescent="0.3">
      <c r="A784" s="5"/>
      <c r="B784" s="5"/>
      <c r="C784" s="5"/>
      <c r="D784" s="5"/>
    </row>
    <row r="785" spans="1:4" ht="15.75" customHeight="1" x14ac:dyDescent="0.3">
      <c r="A785" s="5"/>
      <c r="B785" s="5"/>
      <c r="C785" s="5"/>
      <c r="D785" s="5"/>
    </row>
    <row r="786" spans="1:4" ht="15.75" customHeight="1" x14ac:dyDescent="0.3">
      <c r="A786" s="5"/>
      <c r="B786" s="5"/>
      <c r="C786" s="5"/>
      <c r="D786" s="5"/>
    </row>
    <row r="787" spans="1:4" ht="15.75" customHeight="1" x14ac:dyDescent="0.3">
      <c r="A787" s="5"/>
      <c r="B787" s="5"/>
      <c r="C787" s="5"/>
      <c r="D787" s="5"/>
    </row>
    <row r="788" spans="1:4" ht="15.75" customHeight="1" x14ac:dyDescent="0.3">
      <c r="A788" s="5"/>
      <c r="B788" s="5"/>
      <c r="C788" s="5"/>
      <c r="D788" s="5"/>
    </row>
    <row r="789" spans="1:4" ht="15.75" customHeight="1" x14ac:dyDescent="0.3">
      <c r="A789" s="5"/>
      <c r="B789" s="5"/>
      <c r="C789" s="5"/>
      <c r="D789" s="5"/>
    </row>
    <row r="790" spans="1:4" ht="15.75" customHeight="1" x14ac:dyDescent="0.3">
      <c r="A790" s="5"/>
      <c r="B790" s="5"/>
      <c r="C790" s="5"/>
      <c r="D790" s="5"/>
    </row>
    <row r="791" spans="1:4" ht="15.75" customHeight="1" x14ac:dyDescent="0.3">
      <c r="A791" s="5"/>
      <c r="B791" s="5"/>
      <c r="C791" s="5"/>
      <c r="D791" s="5"/>
    </row>
    <row r="792" spans="1:4" ht="15.75" customHeight="1" x14ac:dyDescent="0.3">
      <c r="A792" s="5"/>
      <c r="B792" s="5"/>
      <c r="C792" s="5"/>
      <c r="D792" s="5"/>
    </row>
    <row r="793" spans="1:4" ht="15.75" customHeight="1" x14ac:dyDescent="0.3">
      <c r="A793" s="5"/>
      <c r="B793" s="5"/>
      <c r="C793" s="5"/>
      <c r="D793" s="5"/>
    </row>
    <row r="794" spans="1:4" ht="15.75" customHeight="1" x14ac:dyDescent="0.3">
      <c r="A794" s="5"/>
      <c r="B794" s="5"/>
      <c r="C794" s="5"/>
      <c r="D794" s="5"/>
    </row>
    <row r="795" spans="1:4" ht="15.75" customHeight="1" x14ac:dyDescent="0.3">
      <c r="A795" s="5"/>
      <c r="B795" s="5"/>
      <c r="C795" s="5"/>
      <c r="D795" s="5"/>
    </row>
    <row r="796" spans="1:4" ht="15.75" customHeight="1" x14ac:dyDescent="0.3">
      <c r="A796" s="5"/>
      <c r="B796" s="5"/>
      <c r="C796" s="5"/>
      <c r="D796" s="5"/>
    </row>
    <row r="797" spans="1:4" ht="15.75" customHeight="1" x14ac:dyDescent="0.3">
      <c r="A797" s="5"/>
      <c r="B797" s="5"/>
      <c r="C797" s="5"/>
      <c r="D797" s="5"/>
    </row>
    <row r="798" spans="1:4" ht="15.75" customHeight="1" x14ac:dyDescent="0.3">
      <c r="A798" s="5"/>
      <c r="B798" s="5"/>
      <c r="C798" s="5"/>
      <c r="D798" s="5"/>
    </row>
    <row r="799" spans="1:4" ht="15.75" customHeight="1" x14ac:dyDescent="0.3">
      <c r="A799" s="5"/>
      <c r="B799" s="5"/>
      <c r="C799" s="5"/>
      <c r="D799" s="5"/>
    </row>
    <row r="800" spans="1:4" ht="15.75" customHeight="1" x14ac:dyDescent="0.3">
      <c r="A800" s="5"/>
      <c r="B800" s="5"/>
      <c r="C800" s="5"/>
      <c r="D800" s="5"/>
    </row>
    <row r="801" spans="1:4" ht="15.75" customHeight="1" x14ac:dyDescent="0.3">
      <c r="A801" s="5"/>
      <c r="B801" s="5"/>
      <c r="C801" s="5"/>
      <c r="D801" s="5"/>
    </row>
    <row r="802" spans="1:4" ht="15.75" customHeight="1" x14ac:dyDescent="0.3">
      <c r="A802" s="5"/>
      <c r="B802" s="5"/>
      <c r="C802" s="5"/>
      <c r="D802" s="5"/>
    </row>
    <row r="803" spans="1:4" ht="15.75" customHeight="1" x14ac:dyDescent="0.3">
      <c r="A803" s="5"/>
      <c r="B803" s="5"/>
      <c r="C803" s="5"/>
      <c r="D803" s="5"/>
    </row>
    <row r="804" spans="1:4" ht="15.75" customHeight="1" x14ac:dyDescent="0.3">
      <c r="A804" s="5"/>
      <c r="B804" s="5"/>
      <c r="C804" s="5"/>
      <c r="D804" s="5"/>
    </row>
    <row r="805" spans="1:4" ht="15.75" customHeight="1" x14ac:dyDescent="0.3">
      <c r="A805" s="5"/>
      <c r="B805" s="5"/>
      <c r="C805" s="5"/>
      <c r="D805" s="5"/>
    </row>
    <row r="806" spans="1:4" ht="15.75" customHeight="1" x14ac:dyDescent="0.3">
      <c r="A806" s="5"/>
      <c r="B806" s="5"/>
      <c r="C806" s="5"/>
      <c r="D806" s="5"/>
    </row>
    <row r="807" spans="1:4" ht="15.75" customHeight="1" x14ac:dyDescent="0.3">
      <c r="A807" s="5"/>
      <c r="B807" s="5"/>
      <c r="C807" s="5"/>
      <c r="D807" s="5"/>
    </row>
    <row r="808" spans="1:4" ht="15.75" customHeight="1" x14ac:dyDescent="0.3">
      <c r="A808" s="5"/>
      <c r="B808" s="5"/>
      <c r="C808" s="5"/>
      <c r="D808" s="5"/>
    </row>
    <row r="809" spans="1:4" ht="15.75" customHeight="1" x14ac:dyDescent="0.3">
      <c r="A809" s="5"/>
      <c r="B809" s="5"/>
      <c r="C809" s="5"/>
      <c r="D809" s="5"/>
    </row>
    <row r="810" spans="1:4" ht="15.75" customHeight="1" x14ac:dyDescent="0.3">
      <c r="A810" s="5"/>
      <c r="B810" s="5"/>
      <c r="C810" s="5"/>
      <c r="D810" s="5"/>
    </row>
    <row r="811" spans="1:4" ht="15.75" customHeight="1" x14ac:dyDescent="0.3">
      <c r="A811" s="5"/>
      <c r="B811" s="5"/>
      <c r="C811" s="5"/>
      <c r="D811" s="5"/>
    </row>
    <row r="812" spans="1:4" ht="15.75" customHeight="1" x14ac:dyDescent="0.3">
      <c r="A812" s="5"/>
      <c r="B812" s="5"/>
      <c r="C812" s="5"/>
      <c r="D812" s="5"/>
    </row>
    <row r="813" spans="1:4" ht="15.75" customHeight="1" x14ac:dyDescent="0.3">
      <c r="A813" s="5"/>
      <c r="B813" s="5"/>
      <c r="C813" s="5"/>
      <c r="D813" s="5"/>
    </row>
    <row r="814" spans="1:4" ht="15.75" customHeight="1" x14ac:dyDescent="0.3">
      <c r="A814" s="5"/>
      <c r="B814" s="5"/>
      <c r="C814" s="5"/>
      <c r="D814" s="5"/>
    </row>
    <row r="815" spans="1:4" ht="15.75" customHeight="1" x14ac:dyDescent="0.3">
      <c r="A815" s="5"/>
      <c r="B815" s="5"/>
      <c r="C815" s="5"/>
      <c r="D815" s="5"/>
    </row>
    <row r="816" spans="1:4" ht="15.75" customHeight="1" x14ac:dyDescent="0.3">
      <c r="A816" s="5"/>
      <c r="B816" s="5"/>
      <c r="C816" s="5"/>
      <c r="D816" s="5"/>
    </row>
    <row r="817" spans="1:4" ht="15.75" customHeight="1" x14ac:dyDescent="0.3">
      <c r="A817" s="5"/>
      <c r="B817" s="5"/>
      <c r="C817" s="5"/>
      <c r="D817" s="5"/>
    </row>
    <row r="818" spans="1:4" ht="15.75" customHeight="1" x14ac:dyDescent="0.3">
      <c r="A818" s="5"/>
      <c r="B818" s="5"/>
      <c r="C818" s="5"/>
      <c r="D818" s="5"/>
    </row>
    <row r="819" spans="1:4" ht="15.75" customHeight="1" x14ac:dyDescent="0.3">
      <c r="A819" s="5"/>
      <c r="B819" s="5"/>
      <c r="C819" s="5"/>
      <c r="D819" s="5"/>
    </row>
    <row r="820" spans="1:4" ht="15.75" customHeight="1" x14ac:dyDescent="0.3">
      <c r="A820" s="5"/>
      <c r="B820" s="5"/>
      <c r="C820" s="5"/>
      <c r="D820" s="5"/>
    </row>
    <row r="821" spans="1:4" ht="15.75" customHeight="1" x14ac:dyDescent="0.3">
      <c r="A821" s="5"/>
      <c r="B821" s="5"/>
      <c r="C821" s="5"/>
      <c r="D821" s="5"/>
    </row>
    <row r="822" spans="1:4" ht="15.75" customHeight="1" x14ac:dyDescent="0.3">
      <c r="A822" s="5"/>
      <c r="B822" s="5"/>
      <c r="C822" s="5"/>
      <c r="D822" s="5"/>
    </row>
    <row r="823" spans="1:4" ht="15.75" customHeight="1" x14ac:dyDescent="0.3">
      <c r="A823" s="5"/>
      <c r="B823" s="5"/>
      <c r="C823" s="5"/>
      <c r="D823" s="5"/>
    </row>
    <row r="824" spans="1:4" ht="15.75" customHeight="1" x14ac:dyDescent="0.3">
      <c r="A824" s="5"/>
      <c r="B824" s="5"/>
      <c r="C824" s="5"/>
      <c r="D824" s="5"/>
    </row>
    <row r="825" spans="1:4" ht="15.75" customHeight="1" x14ac:dyDescent="0.3">
      <c r="A825" s="5"/>
      <c r="B825" s="5"/>
      <c r="C825" s="5"/>
      <c r="D825" s="5"/>
    </row>
    <row r="826" spans="1:4" ht="15.75" customHeight="1" x14ac:dyDescent="0.3">
      <c r="A826" s="5"/>
      <c r="B826" s="5"/>
      <c r="C826" s="5"/>
      <c r="D826" s="5"/>
    </row>
    <row r="827" spans="1:4" ht="15.75" customHeight="1" x14ac:dyDescent="0.3">
      <c r="A827" s="5"/>
      <c r="B827" s="5"/>
      <c r="C827" s="5"/>
      <c r="D827" s="5"/>
    </row>
    <row r="828" spans="1:4" ht="15.75" customHeight="1" x14ac:dyDescent="0.3">
      <c r="A828" s="5"/>
      <c r="B828" s="5"/>
      <c r="C828" s="5"/>
      <c r="D828" s="5"/>
    </row>
    <row r="829" spans="1:4" ht="15.75" customHeight="1" x14ac:dyDescent="0.3">
      <c r="A829" s="5"/>
      <c r="B829" s="5"/>
      <c r="C829" s="5"/>
      <c r="D829" s="5"/>
    </row>
    <row r="830" spans="1:4" ht="15.75" customHeight="1" x14ac:dyDescent="0.3">
      <c r="A830" s="5"/>
      <c r="B830" s="5"/>
      <c r="C830" s="5"/>
      <c r="D830" s="5"/>
    </row>
    <row r="831" spans="1:4" ht="15.75" customHeight="1" x14ac:dyDescent="0.3">
      <c r="A831" s="5"/>
      <c r="B831" s="5"/>
      <c r="C831" s="5"/>
      <c r="D831" s="5"/>
    </row>
    <row r="832" spans="1:4" ht="15.75" customHeight="1" x14ac:dyDescent="0.3">
      <c r="A832" s="5"/>
      <c r="B832" s="5"/>
      <c r="C832" s="5"/>
      <c r="D832" s="5"/>
    </row>
    <row r="833" spans="1:4" ht="15.75" customHeight="1" x14ac:dyDescent="0.3">
      <c r="A833" s="5"/>
      <c r="B833" s="5"/>
      <c r="C833" s="5"/>
      <c r="D833" s="5"/>
    </row>
    <row r="834" spans="1:4" ht="15.75" customHeight="1" x14ac:dyDescent="0.3">
      <c r="A834" s="5"/>
      <c r="B834" s="5"/>
      <c r="C834" s="5"/>
      <c r="D834" s="5"/>
    </row>
    <row r="835" spans="1:4" ht="15.75" customHeight="1" x14ac:dyDescent="0.3">
      <c r="A835" s="5"/>
      <c r="B835" s="5"/>
      <c r="C835" s="5"/>
      <c r="D835" s="5"/>
    </row>
    <row r="836" spans="1:4" ht="15.75" customHeight="1" x14ac:dyDescent="0.3">
      <c r="A836" s="5"/>
      <c r="B836" s="5"/>
      <c r="C836" s="5"/>
      <c r="D836" s="5"/>
    </row>
    <row r="837" spans="1:4" ht="15.75" customHeight="1" x14ac:dyDescent="0.3">
      <c r="A837" s="5"/>
      <c r="B837" s="5"/>
      <c r="C837" s="5"/>
      <c r="D837" s="5"/>
    </row>
    <row r="838" spans="1:4" ht="15.75" customHeight="1" x14ac:dyDescent="0.3">
      <c r="A838" s="5"/>
      <c r="B838" s="5"/>
      <c r="C838" s="5"/>
      <c r="D838" s="5"/>
    </row>
    <row r="839" spans="1:4" ht="15.75" customHeight="1" x14ac:dyDescent="0.3">
      <c r="A839" s="5"/>
      <c r="B839" s="5"/>
      <c r="C839" s="5"/>
      <c r="D839" s="5"/>
    </row>
    <row r="840" spans="1:4" ht="15.75" customHeight="1" x14ac:dyDescent="0.3">
      <c r="A840" s="5"/>
      <c r="B840" s="5"/>
      <c r="C840" s="5"/>
      <c r="D840" s="5"/>
    </row>
    <row r="841" spans="1:4" ht="15.75" customHeight="1" x14ac:dyDescent="0.3">
      <c r="A841" s="5"/>
      <c r="B841" s="5"/>
      <c r="C841" s="5"/>
      <c r="D841" s="5"/>
    </row>
    <row r="842" spans="1:4" ht="15.75" customHeight="1" x14ac:dyDescent="0.3">
      <c r="A842" s="5"/>
      <c r="B842" s="5"/>
      <c r="C842" s="5"/>
      <c r="D842" s="5"/>
    </row>
    <row r="843" spans="1:4" ht="15.75" customHeight="1" x14ac:dyDescent="0.3">
      <c r="A843" s="5"/>
      <c r="B843" s="5"/>
      <c r="C843" s="5"/>
      <c r="D843" s="5"/>
    </row>
    <row r="844" spans="1:4" ht="15.75" customHeight="1" x14ac:dyDescent="0.3">
      <c r="A844" s="5"/>
      <c r="B844" s="5"/>
      <c r="C844" s="5"/>
      <c r="D844" s="5"/>
    </row>
    <row r="845" spans="1:4" ht="15.75" customHeight="1" x14ac:dyDescent="0.3">
      <c r="A845" s="5"/>
      <c r="B845" s="5"/>
      <c r="C845" s="5"/>
      <c r="D845" s="5"/>
    </row>
    <row r="846" spans="1:4" ht="15.75" customHeight="1" x14ac:dyDescent="0.3">
      <c r="A846" s="5"/>
      <c r="B846" s="5"/>
      <c r="C846" s="5"/>
      <c r="D846" s="5"/>
    </row>
    <row r="847" spans="1:4" ht="15.75" customHeight="1" x14ac:dyDescent="0.3">
      <c r="A847" s="5"/>
      <c r="B847" s="5"/>
      <c r="C847" s="5"/>
      <c r="D847" s="5"/>
    </row>
    <row r="848" spans="1:4" ht="15.75" customHeight="1" x14ac:dyDescent="0.3">
      <c r="A848" s="5"/>
      <c r="B848" s="5"/>
      <c r="C848" s="5"/>
      <c r="D848" s="5"/>
    </row>
    <row r="849" spans="1:4" ht="15.75" customHeight="1" x14ac:dyDescent="0.3">
      <c r="A849" s="5"/>
      <c r="B849" s="5"/>
      <c r="C849" s="5"/>
      <c r="D849" s="5"/>
    </row>
    <row r="850" spans="1:4" ht="15.75" customHeight="1" x14ac:dyDescent="0.3">
      <c r="A850" s="5"/>
      <c r="B850" s="5"/>
      <c r="C850" s="5"/>
      <c r="D850" s="5"/>
    </row>
    <row r="851" spans="1:4" ht="15.75" customHeight="1" x14ac:dyDescent="0.3">
      <c r="A851" s="5"/>
      <c r="B851" s="5"/>
      <c r="C851" s="5"/>
      <c r="D851" s="5"/>
    </row>
    <row r="852" spans="1:4" ht="15.75" customHeight="1" x14ac:dyDescent="0.3">
      <c r="A852" s="5"/>
      <c r="B852" s="5"/>
      <c r="C852" s="5"/>
      <c r="D852" s="5"/>
    </row>
    <row r="853" spans="1:4" ht="15.75" customHeight="1" x14ac:dyDescent="0.3">
      <c r="A853" s="5"/>
      <c r="B853" s="5"/>
      <c r="C853" s="5"/>
      <c r="D853" s="5"/>
    </row>
    <row r="854" spans="1:4" ht="15.75" customHeight="1" x14ac:dyDescent="0.3">
      <c r="A854" s="5"/>
      <c r="B854" s="5"/>
      <c r="C854" s="5"/>
      <c r="D854" s="5"/>
    </row>
    <row r="855" spans="1:4" ht="15.75" customHeight="1" x14ac:dyDescent="0.3">
      <c r="A855" s="5"/>
      <c r="B855" s="5"/>
      <c r="C855" s="5"/>
      <c r="D855" s="5"/>
    </row>
    <row r="856" spans="1:4" ht="15.75" customHeight="1" x14ac:dyDescent="0.3">
      <c r="A856" s="5"/>
      <c r="B856" s="5"/>
      <c r="C856" s="5"/>
      <c r="D856" s="5"/>
    </row>
    <row r="857" spans="1:4" ht="15.75" customHeight="1" x14ac:dyDescent="0.3">
      <c r="A857" s="5"/>
      <c r="B857" s="5"/>
      <c r="C857" s="5"/>
      <c r="D857" s="5"/>
    </row>
    <row r="858" spans="1:4" ht="15.75" customHeight="1" x14ac:dyDescent="0.3">
      <c r="A858" s="5"/>
      <c r="B858" s="5"/>
      <c r="C858" s="5"/>
      <c r="D858" s="5"/>
    </row>
    <row r="859" spans="1:4" ht="15.75" customHeight="1" x14ac:dyDescent="0.3">
      <c r="A859" s="5"/>
      <c r="B859" s="5"/>
      <c r="C859" s="5"/>
      <c r="D859" s="5"/>
    </row>
    <row r="860" spans="1:4" ht="15.75" customHeight="1" x14ac:dyDescent="0.3">
      <c r="A860" s="5"/>
      <c r="B860" s="5"/>
      <c r="C860" s="5"/>
      <c r="D860" s="5"/>
    </row>
    <row r="861" spans="1:4" ht="15.75" customHeight="1" x14ac:dyDescent="0.3">
      <c r="A861" s="5"/>
      <c r="B861" s="5"/>
      <c r="C861" s="5"/>
      <c r="D861" s="5"/>
    </row>
    <row r="862" spans="1:4" ht="15.75" customHeight="1" x14ac:dyDescent="0.3">
      <c r="A862" s="5"/>
      <c r="B862" s="5"/>
      <c r="C862" s="5"/>
      <c r="D862" s="5"/>
    </row>
    <row r="863" spans="1:4" ht="15.75" customHeight="1" x14ac:dyDescent="0.3">
      <c r="A863" s="5"/>
      <c r="B863" s="5"/>
      <c r="C863" s="5"/>
      <c r="D863" s="5"/>
    </row>
    <row r="864" spans="1:4" ht="15.75" customHeight="1" x14ac:dyDescent="0.3">
      <c r="A864" s="5"/>
      <c r="B864" s="5"/>
      <c r="C864" s="5"/>
      <c r="D864" s="5"/>
    </row>
    <row r="865" spans="1:4" ht="15.75" customHeight="1" x14ac:dyDescent="0.3">
      <c r="A865" s="5"/>
      <c r="B865" s="5"/>
      <c r="C865" s="5"/>
      <c r="D865" s="5"/>
    </row>
    <row r="866" spans="1:4" ht="15.75" customHeight="1" x14ac:dyDescent="0.3">
      <c r="A866" s="5"/>
      <c r="B866" s="5"/>
      <c r="C866" s="5"/>
      <c r="D866" s="5"/>
    </row>
    <row r="867" spans="1:4" ht="15.75" customHeight="1" x14ac:dyDescent="0.3">
      <c r="A867" s="5"/>
      <c r="B867" s="5"/>
      <c r="C867" s="5"/>
      <c r="D867" s="5"/>
    </row>
    <row r="868" spans="1:4" ht="15.75" customHeight="1" x14ac:dyDescent="0.3">
      <c r="A868" s="5"/>
      <c r="B868" s="5"/>
      <c r="C868" s="5"/>
      <c r="D868" s="5"/>
    </row>
    <row r="869" spans="1:4" ht="15.75" customHeight="1" x14ac:dyDescent="0.3">
      <c r="A869" s="5"/>
      <c r="B869" s="5"/>
      <c r="C869" s="5"/>
      <c r="D869" s="5"/>
    </row>
    <row r="870" spans="1:4" ht="15.75" customHeight="1" x14ac:dyDescent="0.3">
      <c r="A870" s="5"/>
      <c r="B870" s="5"/>
      <c r="C870" s="5"/>
      <c r="D870" s="5"/>
    </row>
    <row r="871" spans="1:4" ht="15.75" customHeight="1" x14ac:dyDescent="0.3">
      <c r="A871" s="5"/>
      <c r="B871" s="5"/>
      <c r="C871" s="5"/>
      <c r="D871" s="5"/>
    </row>
    <row r="872" spans="1:4" ht="15.75" customHeight="1" x14ac:dyDescent="0.3">
      <c r="A872" s="5"/>
      <c r="B872" s="5"/>
      <c r="C872" s="5"/>
      <c r="D872" s="5"/>
    </row>
    <row r="873" spans="1:4" ht="15.75" customHeight="1" x14ac:dyDescent="0.3">
      <c r="A873" s="5"/>
      <c r="B873" s="5"/>
      <c r="C873" s="5"/>
      <c r="D873" s="5"/>
    </row>
    <row r="874" spans="1:4" ht="15.75" customHeight="1" x14ac:dyDescent="0.3">
      <c r="A874" s="5"/>
      <c r="B874" s="5"/>
      <c r="C874" s="5"/>
      <c r="D874" s="5"/>
    </row>
    <row r="875" spans="1:4" ht="15.75" customHeight="1" x14ac:dyDescent="0.3">
      <c r="A875" s="5"/>
      <c r="B875" s="5"/>
      <c r="C875" s="5"/>
      <c r="D875" s="5"/>
    </row>
    <row r="876" spans="1:4" ht="15.75" customHeight="1" x14ac:dyDescent="0.3">
      <c r="A876" s="5"/>
      <c r="B876" s="5"/>
      <c r="C876" s="5"/>
      <c r="D876" s="5"/>
    </row>
    <row r="877" spans="1:4" ht="15.75" customHeight="1" x14ac:dyDescent="0.3">
      <c r="A877" s="5"/>
      <c r="B877" s="5"/>
      <c r="C877" s="5"/>
      <c r="D877" s="5"/>
    </row>
    <row r="878" spans="1:4" ht="15.75" customHeight="1" x14ac:dyDescent="0.3">
      <c r="A878" s="5"/>
      <c r="B878" s="5"/>
      <c r="C878" s="5"/>
      <c r="D878" s="5"/>
    </row>
    <row r="879" spans="1:4" ht="15.75" customHeight="1" x14ac:dyDescent="0.3">
      <c r="A879" s="5"/>
      <c r="B879" s="5"/>
      <c r="C879" s="5"/>
      <c r="D879" s="5"/>
    </row>
    <row r="880" spans="1:4" ht="15.75" customHeight="1" x14ac:dyDescent="0.3">
      <c r="A880" s="5"/>
      <c r="B880" s="5"/>
      <c r="C880" s="5"/>
      <c r="D880" s="5"/>
    </row>
    <row r="881" spans="1:4" ht="15.75" customHeight="1" x14ac:dyDescent="0.3">
      <c r="A881" s="5"/>
      <c r="B881" s="5"/>
      <c r="C881" s="5"/>
      <c r="D881" s="5"/>
    </row>
    <row r="882" spans="1:4" ht="15.75" customHeight="1" x14ac:dyDescent="0.3">
      <c r="A882" s="5"/>
      <c r="B882" s="5"/>
      <c r="C882" s="5"/>
      <c r="D882" s="5"/>
    </row>
    <row r="883" spans="1:4" ht="15.75" customHeight="1" x14ac:dyDescent="0.3">
      <c r="A883" s="5"/>
      <c r="B883" s="5"/>
      <c r="C883" s="5"/>
      <c r="D883" s="5"/>
    </row>
    <row r="884" spans="1:4" ht="15.75" customHeight="1" x14ac:dyDescent="0.3">
      <c r="A884" s="5"/>
      <c r="B884" s="5"/>
      <c r="C884" s="5"/>
      <c r="D884" s="5"/>
    </row>
    <row r="885" spans="1:4" ht="15.75" customHeight="1" x14ac:dyDescent="0.3">
      <c r="A885" s="5"/>
      <c r="B885" s="5"/>
      <c r="C885" s="5"/>
      <c r="D885" s="5"/>
    </row>
    <row r="886" spans="1:4" ht="15.75" customHeight="1" x14ac:dyDescent="0.3">
      <c r="A886" s="5"/>
      <c r="B886" s="5"/>
      <c r="C886" s="5"/>
      <c r="D886" s="5"/>
    </row>
    <row r="887" spans="1:4" ht="15.75" customHeight="1" x14ac:dyDescent="0.3">
      <c r="A887" s="5"/>
      <c r="B887" s="5"/>
      <c r="C887" s="5"/>
      <c r="D887" s="5"/>
    </row>
    <row r="888" spans="1:4" ht="15.75" customHeight="1" x14ac:dyDescent="0.3">
      <c r="A888" s="5"/>
      <c r="B888" s="5"/>
      <c r="C888" s="5"/>
      <c r="D888" s="5"/>
    </row>
    <row r="889" spans="1:4" ht="15.75" customHeight="1" x14ac:dyDescent="0.3">
      <c r="A889" s="5"/>
      <c r="B889" s="5"/>
      <c r="C889" s="5"/>
      <c r="D889" s="5"/>
    </row>
    <row r="890" spans="1:4" ht="15.75" customHeight="1" x14ac:dyDescent="0.3">
      <c r="A890" s="5"/>
      <c r="B890" s="5"/>
      <c r="C890" s="5"/>
      <c r="D890" s="5"/>
    </row>
    <row r="891" spans="1:4" ht="15.75" customHeight="1" x14ac:dyDescent="0.3">
      <c r="A891" s="5"/>
      <c r="B891" s="5"/>
      <c r="C891" s="5"/>
      <c r="D891" s="5"/>
    </row>
    <row r="892" spans="1:4" ht="15.75" customHeight="1" x14ac:dyDescent="0.3">
      <c r="A892" s="5"/>
      <c r="B892" s="5"/>
      <c r="C892" s="5"/>
      <c r="D892" s="5"/>
    </row>
    <row r="893" spans="1:4" ht="15.75" customHeight="1" x14ac:dyDescent="0.3">
      <c r="A893" s="5"/>
      <c r="B893" s="5"/>
      <c r="C893" s="5"/>
      <c r="D893" s="5"/>
    </row>
    <row r="894" spans="1:4" ht="15.75" customHeight="1" x14ac:dyDescent="0.3">
      <c r="A894" s="5"/>
      <c r="B894" s="5"/>
      <c r="C894" s="5"/>
      <c r="D894" s="5"/>
    </row>
    <row r="895" spans="1:4" ht="15.75" customHeight="1" x14ac:dyDescent="0.3">
      <c r="A895" s="5"/>
      <c r="B895" s="5"/>
      <c r="C895" s="5"/>
      <c r="D895" s="5"/>
    </row>
    <row r="896" spans="1:4" ht="15.75" customHeight="1" x14ac:dyDescent="0.3">
      <c r="A896" s="5"/>
      <c r="B896" s="5"/>
      <c r="C896" s="5"/>
      <c r="D896" s="5"/>
    </row>
    <row r="897" spans="1:4" ht="15.75" customHeight="1" x14ac:dyDescent="0.3">
      <c r="A897" s="5"/>
      <c r="B897" s="5"/>
      <c r="C897" s="5"/>
      <c r="D897" s="5"/>
    </row>
    <row r="898" spans="1:4" ht="15.75" customHeight="1" x14ac:dyDescent="0.3">
      <c r="A898" s="5"/>
      <c r="B898" s="5"/>
      <c r="C898" s="5"/>
      <c r="D898" s="5"/>
    </row>
    <row r="899" spans="1:4" ht="15.75" customHeight="1" x14ac:dyDescent="0.3">
      <c r="A899" s="5"/>
      <c r="B899" s="5"/>
      <c r="C899" s="5"/>
      <c r="D899" s="5"/>
    </row>
    <row r="900" spans="1:4" ht="15.75" customHeight="1" x14ac:dyDescent="0.3">
      <c r="A900" s="5"/>
      <c r="B900" s="5"/>
      <c r="C900" s="5"/>
      <c r="D900" s="5"/>
    </row>
    <row r="901" spans="1:4" ht="15.75" customHeight="1" x14ac:dyDescent="0.3">
      <c r="A901" s="5"/>
      <c r="B901" s="5"/>
      <c r="C901" s="5"/>
      <c r="D901" s="5"/>
    </row>
    <row r="902" spans="1:4" ht="15.75" customHeight="1" x14ac:dyDescent="0.3">
      <c r="A902" s="5"/>
      <c r="B902" s="5"/>
      <c r="C902" s="5"/>
      <c r="D902" s="5"/>
    </row>
    <row r="903" spans="1:4" ht="15.75" customHeight="1" x14ac:dyDescent="0.3">
      <c r="A903" s="5"/>
      <c r="B903" s="5"/>
      <c r="C903" s="5"/>
      <c r="D903" s="5"/>
    </row>
    <row r="904" spans="1:4" ht="15.75" customHeight="1" x14ac:dyDescent="0.3">
      <c r="A904" s="5"/>
      <c r="B904" s="5"/>
      <c r="C904" s="5"/>
      <c r="D904" s="5"/>
    </row>
    <row r="905" spans="1:4" ht="15.75" customHeight="1" x14ac:dyDescent="0.3">
      <c r="A905" s="5"/>
      <c r="B905" s="5"/>
      <c r="C905" s="5"/>
      <c r="D905" s="5"/>
    </row>
    <row r="906" spans="1:4" ht="15.75" customHeight="1" x14ac:dyDescent="0.3">
      <c r="A906" s="5"/>
      <c r="B906" s="5"/>
      <c r="C906" s="5"/>
      <c r="D906" s="5"/>
    </row>
    <row r="907" spans="1:4" ht="15.75" customHeight="1" x14ac:dyDescent="0.3">
      <c r="A907" s="5"/>
      <c r="B907" s="5"/>
      <c r="C907" s="5"/>
      <c r="D907" s="5"/>
    </row>
    <row r="908" spans="1:4" ht="15.75" customHeight="1" x14ac:dyDescent="0.3">
      <c r="A908" s="5"/>
      <c r="B908" s="5"/>
      <c r="C908" s="5"/>
      <c r="D908" s="5"/>
    </row>
    <row r="909" spans="1:4" ht="15.75" customHeight="1" x14ac:dyDescent="0.3">
      <c r="A909" s="5"/>
      <c r="B909" s="5"/>
      <c r="C909" s="5"/>
      <c r="D909" s="5"/>
    </row>
    <row r="910" spans="1:4" ht="15.75" customHeight="1" x14ac:dyDescent="0.3">
      <c r="A910" s="5"/>
      <c r="B910" s="5"/>
      <c r="C910" s="5"/>
      <c r="D910" s="5"/>
    </row>
    <row r="911" spans="1:4" ht="15.75" customHeight="1" x14ac:dyDescent="0.3">
      <c r="A911" s="5"/>
      <c r="B911" s="5"/>
      <c r="C911" s="5"/>
      <c r="D911" s="5"/>
    </row>
    <row r="912" spans="1:4" ht="15.75" customHeight="1" x14ac:dyDescent="0.3">
      <c r="A912" s="5"/>
      <c r="B912" s="5"/>
      <c r="C912" s="5"/>
      <c r="D912" s="5"/>
    </row>
    <row r="913" spans="1:4" ht="15.75" customHeight="1" x14ac:dyDescent="0.3">
      <c r="A913" s="5"/>
      <c r="B913" s="5"/>
      <c r="C913" s="5"/>
      <c r="D913" s="5"/>
    </row>
    <row r="914" spans="1:4" ht="15.75" customHeight="1" x14ac:dyDescent="0.3">
      <c r="A914" s="5"/>
      <c r="B914" s="5"/>
      <c r="C914" s="5"/>
      <c r="D914" s="5"/>
    </row>
    <row r="915" spans="1:4" ht="15.75" customHeight="1" x14ac:dyDescent="0.3">
      <c r="A915" s="5"/>
      <c r="B915" s="5"/>
      <c r="C915" s="5"/>
      <c r="D915" s="5"/>
    </row>
    <row r="916" spans="1:4" ht="15.75" customHeight="1" x14ac:dyDescent="0.3">
      <c r="A916" s="5"/>
      <c r="B916" s="5"/>
      <c r="C916" s="5"/>
      <c r="D916" s="5"/>
    </row>
    <row r="917" spans="1:4" ht="15.75" customHeight="1" x14ac:dyDescent="0.3">
      <c r="A917" s="5"/>
      <c r="B917" s="5"/>
      <c r="C917" s="5"/>
      <c r="D917" s="5"/>
    </row>
    <row r="918" spans="1:4" ht="15.75" customHeight="1" x14ac:dyDescent="0.3">
      <c r="A918" s="5"/>
      <c r="B918" s="5"/>
      <c r="C918" s="5"/>
      <c r="D918" s="5"/>
    </row>
    <row r="919" spans="1:4" ht="15.75" customHeight="1" x14ac:dyDescent="0.3">
      <c r="A919" s="5"/>
      <c r="B919" s="5"/>
      <c r="C919" s="5"/>
      <c r="D919" s="5"/>
    </row>
    <row r="920" spans="1:4" ht="15.75" customHeight="1" x14ac:dyDescent="0.3">
      <c r="A920" s="5"/>
      <c r="B920" s="5"/>
      <c r="C920" s="5"/>
      <c r="D920" s="5"/>
    </row>
    <row r="921" spans="1:4" ht="15.75" customHeight="1" x14ac:dyDescent="0.3">
      <c r="A921" s="5"/>
      <c r="B921" s="5"/>
      <c r="C921" s="5"/>
      <c r="D921" s="5"/>
    </row>
    <row r="922" spans="1:4" ht="15.75" customHeight="1" x14ac:dyDescent="0.3">
      <c r="A922" s="5"/>
      <c r="B922" s="5"/>
      <c r="C922" s="5"/>
      <c r="D922" s="5"/>
    </row>
    <row r="923" spans="1:4" ht="15.75" customHeight="1" x14ac:dyDescent="0.3">
      <c r="A923" s="5"/>
      <c r="B923" s="5"/>
      <c r="C923" s="5"/>
      <c r="D923" s="5"/>
    </row>
    <row r="924" spans="1:4" ht="15.75" customHeight="1" x14ac:dyDescent="0.3">
      <c r="A924" s="5"/>
      <c r="B924" s="5"/>
      <c r="C924" s="5"/>
      <c r="D924" s="5"/>
    </row>
    <row r="925" spans="1:4" ht="15.75" customHeight="1" x14ac:dyDescent="0.3">
      <c r="A925" s="5"/>
      <c r="B925" s="5"/>
      <c r="C925" s="5"/>
      <c r="D925" s="5"/>
    </row>
    <row r="926" spans="1:4" ht="15.75" customHeight="1" x14ac:dyDescent="0.3">
      <c r="A926" s="5"/>
      <c r="B926" s="5"/>
      <c r="C926" s="5"/>
      <c r="D926" s="5"/>
    </row>
    <row r="927" spans="1:4" ht="15.75" customHeight="1" x14ac:dyDescent="0.3">
      <c r="A927" s="5"/>
      <c r="B927" s="5"/>
      <c r="C927" s="5"/>
      <c r="D927" s="5"/>
    </row>
    <row r="928" spans="1:4" ht="15.75" customHeight="1" x14ac:dyDescent="0.3">
      <c r="A928" s="5"/>
      <c r="B928" s="5"/>
      <c r="C928" s="5"/>
      <c r="D928" s="5"/>
    </row>
    <row r="929" spans="1:4" ht="15.75" customHeight="1" x14ac:dyDescent="0.3">
      <c r="A929" s="5"/>
      <c r="B929" s="5"/>
      <c r="C929" s="5"/>
      <c r="D929" s="5"/>
    </row>
    <row r="930" spans="1:4" ht="15.75" customHeight="1" x14ac:dyDescent="0.3">
      <c r="A930" s="5"/>
      <c r="B930" s="5"/>
      <c r="C930" s="5"/>
      <c r="D930" s="5"/>
    </row>
    <row r="931" spans="1:4" ht="15.75" customHeight="1" x14ac:dyDescent="0.3">
      <c r="A931" s="5"/>
      <c r="B931" s="5"/>
      <c r="C931" s="5"/>
      <c r="D931" s="5"/>
    </row>
    <row r="932" spans="1:4" ht="15.75" customHeight="1" x14ac:dyDescent="0.3">
      <c r="A932" s="5"/>
      <c r="B932" s="5"/>
      <c r="C932" s="5"/>
      <c r="D932" s="5"/>
    </row>
    <row r="933" spans="1:4" ht="15.75" customHeight="1" x14ac:dyDescent="0.3">
      <c r="A933" s="5"/>
      <c r="B933" s="5"/>
      <c r="C933" s="5"/>
      <c r="D933" s="5"/>
    </row>
    <row r="934" spans="1:4" ht="15.75" customHeight="1" x14ac:dyDescent="0.3">
      <c r="A934" s="5"/>
      <c r="B934" s="5"/>
      <c r="C934" s="5"/>
      <c r="D934" s="5"/>
    </row>
    <row r="935" spans="1:4" ht="15.75" customHeight="1" x14ac:dyDescent="0.3">
      <c r="A935" s="5"/>
      <c r="B935" s="5"/>
      <c r="C935" s="5"/>
      <c r="D935" s="5"/>
    </row>
    <row r="936" spans="1:4" ht="15.75" customHeight="1" x14ac:dyDescent="0.3">
      <c r="A936" s="5"/>
      <c r="B936" s="5"/>
      <c r="C936" s="5"/>
      <c r="D936" s="5"/>
    </row>
    <row r="937" spans="1:4" ht="15.75" customHeight="1" x14ac:dyDescent="0.3">
      <c r="A937" s="5"/>
      <c r="B937" s="5"/>
      <c r="C937" s="5"/>
      <c r="D937" s="5"/>
    </row>
    <row r="938" spans="1:4" ht="15.75" customHeight="1" x14ac:dyDescent="0.3">
      <c r="A938" s="5"/>
      <c r="B938" s="5"/>
      <c r="C938" s="5"/>
      <c r="D938" s="5"/>
    </row>
    <row r="939" spans="1:4" ht="15.75" customHeight="1" x14ac:dyDescent="0.3">
      <c r="A939" s="5"/>
      <c r="B939" s="5"/>
      <c r="C939" s="5"/>
      <c r="D939" s="5"/>
    </row>
    <row r="940" spans="1:4" ht="15.75" customHeight="1" x14ac:dyDescent="0.3">
      <c r="A940" s="5"/>
      <c r="B940" s="5"/>
      <c r="C940" s="5"/>
      <c r="D940" s="5"/>
    </row>
    <row r="941" spans="1:4" ht="15.75" customHeight="1" x14ac:dyDescent="0.3">
      <c r="A941" s="5"/>
      <c r="B941" s="5"/>
      <c r="C941" s="5"/>
      <c r="D941" s="5"/>
    </row>
    <row r="942" spans="1:4" ht="15.75" customHeight="1" x14ac:dyDescent="0.3">
      <c r="A942" s="5"/>
      <c r="B942" s="5"/>
      <c r="C942" s="5"/>
      <c r="D942" s="5"/>
    </row>
    <row r="943" spans="1:4" ht="15.75" customHeight="1" x14ac:dyDescent="0.3">
      <c r="A943" s="5"/>
      <c r="B943" s="5"/>
      <c r="C943" s="5"/>
      <c r="D943" s="5"/>
    </row>
    <row r="944" spans="1:4" ht="15.75" customHeight="1" x14ac:dyDescent="0.3">
      <c r="A944" s="5"/>
      <c r="B944" s="5"/>
      <c r="C944" s="5"/>
      <c r="D944" s="5"/>
    </row>
    <row r="945" spans="1:4" ht="15.75" customHeight="1" x14ac:dyDescent="0.3">
      <c r="A945" s="5"/>
      <c r="B945" s="5"/>
      <c r="C945" s="5"/>
      <c r="D945" s="5"/>
    </row>
    <row r="946" spans="1:4" ht="15.75" customHeight="1" x14ac:dyDescent="0.3">
      <c r="A946" s="5"/>
      <c r="B946" s="5"/>
      <c r="C946" s="5"/>
      <c r="D946" s="5"/>
    </row>
    <row r="947" spans="1:4" ht="15.75" customHeight="1" x14ac:dyDescent="0.3">
      <c r="A947" s="5"/>
      <c r="B947" s="5"/>
      <c r="C947" s="5"/>
      <c r="D947" s="5"/>
    </row>
    <row r="948" spans="1:4" ht="15.75" customHeight="1" x14ac:dyDescent="0.3">
      <c r="A948" s="5"/>
      <c r="B948" s="5"/>
      <c r="C948" s="5"/>
      <c r="D948" s="5"/>
    </row>
    <row r="949" spans="1:4" ht="15.75" customHeight="1" x14ac:dyDescent="0.3">
      <c r="A949" s="5"/>
      <c r="B949" s="5"/>
      <c r="C949" s="5"/>
      <c r="D949" s="5"/>
    </row>
    <row r="950" spans="1:4" ht="15.75" customHeight="1" x14ac:dyDescent="0.3">
      <c r="A950" s="5"/>
      <c r="B950" s="5"/>
      <c r="C950" s="5"/>
      <c r="D950" s="5"/>
    </row>
    <row r="951" spans="1:4" ht="15.75" customHeight="1" x14ac:dyDescent="0.3">
      <c r="A951" s="5"/>
      <c r="B951" s="5"/>
      <c r="C951" s="5"/>
      <c r="D951" s="5"/>
    </row>
    <row r="952" spans="1:4" ht="15.75" customHeight="1" x14ac:dyDescent="0.3">
      <c r="A952" s="5"/>
      <c r="B952" s="5"/>
      <c r="C952" s="5"/>
      <c r="D952" s="5"/>
    </row>
    <row r="953" spans="1:4" ht="15.75" customHeight="1" x14ac:dyDescent="0.3">
      <c r="A953" s="5"/>
      <c r="B953" s="5"/>
      <c r="C953" s="5"/>
      <c r="D953" s="5"/>
    </row>
    <row r="954" spans="1:4" ht="15.75" customHeight="1" x14ac:dyDescent="0.3">
      <c r="A954" s="5"/>
      <c r="B954" s="5"/>
      <c r="C954" s="5"/>
      <c r="D954" s="5"/>
    </row>
    <row r="955" spans="1:4" ht="15.75" customHeight="1" x14ac:dyDescent="0.3">
      <c r="A955" s="5"/>
      <c r="B955" s="5"/>
      <c r="C955" s="5"/>
      <c r="D955" s="5"/>
    </row>
    <row r="956" spans="1:4" ht="15.75" customHeight="1" x14ac:dyDescent="0.3">
      <c r="A956" s="5"/>
      <c r="B956" s="5"/>
      <c r="C956" s="5"/>
      <c r="D956" s="5"/>
    </row>
    <row r="957" spans="1:4" ht="15.75" customHeight="1" x14ac:dyDescent="0.3">
      <c r="A957" s="5"/>
      <c r="B957" s="5"/>
      <c r="C957" s="5"/>
      <c r="D957" s="5"/>
    </row>
    <row r="958" spans="1:4" ht="15.75" customHeight="1" x14ac:dyDescent="0.3">
      <c r="A958" s="5"/>
      <c r="B958" s="5"/>
      <c r="C958" s="5"/>
      <c r="D958" s="5"/>
    </row>
    <row r="959" spans="1:4" ht="15.75" customHeight="1" x14ac:dyDescent="0.3">
      <c r="A959" s="5"/>
      <c r="B959" s="5"/>
      <c r="C959" s="5"/>
      <c r="D959" s="5"/>
    </row>
    <row r="960" spans="1:4" ht="15.75" customHeight="1" x14ac:dyDescent="0.3">
      <c r="A960" s="5"/>
      <c r="B960" s="5"/>
      <c r="C960" s="5"/>
      <c r="D960" s="5"/>
    </row>
    <row r="961" spans="1:4" ht="15.75" customHeight="1" x14ac:dyDescent="0.3">
      <c r="A961" s="5"/>
      <c r="B961" s="5"/>
      <c r="C961" s="5"/>
      <c r="D961" s="5"/>
    </row>
    <row r="962" spans="1:4" ht="15.75" customHeight="1" x14ac:dyDescent="0.3">
      <c r="A962" s="5"/>
      <c r="B962" s="5"/>
      <c r="C962" s="5"/>
      <c r="D962" s="5"/>
    </row>
    <row r="963" spans="1:4" ht="15.75" customHeight="1" x14ac:dyDescent="0.3">
      <c r="A963" s="5"/>
      <c r="B963" s="5"/>
      <c r="C963" s="5"/>
      <c r="D963" s="5"/>
    </row>
    <row r="964" spans="1:4" ht="15.75" customHeight="1" x14ac:dyDescent="0.3">
      <c r="A964" s="5"/>
      <c r="B964" s="5"/>
      <c r="C964" s="5"/>
      <c r="D964" s="5"/>
    </row>
    <row r="965" spans="1:4" ht="15.75" customHeight="1" x14ac:dyDescent="0.3">
      <c r="A965" s="5"/>
      <c r="B965" s="5"/>
      <c r="C965" s="5"/>
      <c r="D965" s="5"/>
    </row>
    <row r="966" spans="1:4" ht="15.75" customHeight="1" x14ac:dyDescent="0.3">
      <c r="A966" s="5"/>
      <c r="B966" s="5"/>
      <c r="C966" s="5"/>
      <c r="D966" s="5"/>
    </row>
    <row r="967" spans="1:4" ht="15.75" customHeight="1" x14ac:dyDescent="0.3">
      <c r="A967" s="5"/>
      <c r="B967" s="5"/>
      <c r="C967" s="5"/>
      <c r="D967" s="5"/>
    </row>
    <row r="968" spans="1:4" ht="15.75" customHeight="1" x14ac:dyDescent="0.3">
      <c r="A968" s="5"/>
      <c r="B968" s="5"/>
      <c r="C968" s="5"/>
      <c r="D968" s="5"/>
    </row>
    <row r="969" spans="1:4" ht="15.75" customHeight="1" x14ac:dyDescent="0.3">
      <c r="A969" s="5"/>
      <c r="B969" s="5"/>
      <c r="C969" s="5"/>
      <c r="D969" s="5"/>
    </row>
    <row r="970" spans="1:4" ht="15.75" customHeight="1" x14ac:dyDescent="0.3">
      <c r="A970" s="5"/>
      <c r="B970" s="5"/>
      <c r="C970" s="5"/>
      <c r="D970" s="5"/>
    </row>
    <row r="971" spans="1:4" ht="15.75" customHeight="1" x14ac:dyDescent="0.3">
      <c r="A971" s="5"/>
      <c r="B971" s="5"/>
      <c r="C971" s="5"/>
      <c r="D971" s="5"/>
    </row>
    <row r="972" spans="1:4" ht="15.75" customHeight="1" x14ac:dyDescent="0.3">
      <c r="A972" s="5"/>
      <c r="B972" s="5"/>
      <c r="C972" s="5"/>
      <c r="D972" s="5"/>
    </row>
    <row r="973" spans="1:4" ht="15.75" customHeight="1" x14ac:dyDescent="0.3">
      <c r="A973" s="5"/>
      <c r="B973" s="5"/>
      <c r="C973" s="5"/>
      <c r="D973" s="5"/>
    </row>
    <row r="974" spans="1:4" ht="15.75" customHeight="1" x14ac:dyDescent="0.3">
      <c r="A974" s="5"/>
      <c r="B974" s="5"/>
      <c r="C974" s="5"/>
      <c r="D974" s="5"/>
    </row>
    <row r="975" spans="1:4" ht="15.75" customHeight="1" x14ac:dyDescent="0.3">
      <c r="A975" s="5"/>
      <c r="B975" s="5"/>
      <c r="C975" s="5"/>
      <c r="D975" s="5"/>
    </row>
    <row r="976" spans="1:4" ht="15.75" customHeight="1" x14ac:dyDescent="0.3">
      <c r="A976" s="5"/>
      <c r="B976" s="5"/>
      <c r="C976" s="5"/>
      <c r="D976" s="5"/>
    </row>
    <row r="977" spans="1:4" ht="15.75" customHeight="1" x14ac:dyDescent="0.3">
      <c r="A977" s="5"/>
      <c r="B977" s="5"/>
      <c r="C977" s="5"/>
      <c r="D977" s="5"/>
    </row>
    <row r="978" spans="1:4" ht="15.75" customHeight="1" x14ac:dyDescent="0.3">
      <c r="A978" s="5"/>
      <c r="B978" s="5"/>
      <c r="C978" s="5"/>
      <c r="D978" s="5"/>
    </row>
    <row r="979" spans="1:4" ht="15.75" customHeight="1" x14ac:dyDescent="0.3">
      <c r="A979" s="5"/>
      <c r="B979" s="5"/>
      <c r="C979" s="5"/>
      <c r="D979" s="5"/>
    </row>
    <row r="980" spans="1:4" ht="15.75" customHeight="1" x14ac:dyDescent="0.3">
      <c r="A980" s="5"/>
      <c r="B980" s="5"/>
      <c r="C980" s="5"/>
      <c r="D980" s="5"/>
    </row>
    <row r="981" spans="1:4" ht="15.75" customHeight="1" x14ac:dyDescent="0.3">
      <c r="A981" s="5"/>
      <c r="B981" s="5"/>
      <c r="C981" s="5"/>
      <c r="D981" s="5"/>
    </row>
    <row r="982" spans="1:4" ht="15.75" customHeight="1" x14ac:dyDescent="0.3">
      <c r="A982" s="5"/>
      <c r="B982" s="5"/>
      <c r="C982" s="5"/>
      <c r="D982" s="5"/>
    </row>
    <row r="983" spans="1:4" ht="15.75" customHeight="1" x14ac:dyDescent="0.3">
      <c r="A983" s="5"/>
      <c r="B983" s="5"/>
      <c r="C983" s="5"/>
      <c r="D983" s="5"/>
    </row>
    <row r="984" spans="1:4" ht="15.75" customHeight="1" x14ac:dyDescent="0.3">
      <c r="A984" s="5"/>
      <c r="B984" s="5"/>
      <c r="C984" s="5"/>
      <c r="D984" s="5"/>
    </row>
    <row r="985" spans="1:4" ht="15.75" customHeight="1" x14ac:dyDescent="0.3">
      <c r="A985" s="5"/>
      <c r="B985" s="5"/>
      <c r="C985" s="5"/>
      <c r="D985" s="5"/>
    </row>
    <row r="986" spans="1:4" ht="15.75" customHeight="1" x14ac:dyDescent="0.3">
      <c r="A986" s="5"/>
      <c r="B986" s="5"/>
      <c r="C986" s="5"/>
      <c r="D986" s="5"/>
    </row>
    <row r="987" spans="1:4" ht="15.75" customHeight="1" x14ac:dyDescent="0.3">
      <c r="A987" s="5"/>
      <c r="B987" s="5"/>
      <c r="C987" s="5"/>
      <c r="D987" s="5"/>
    </row>
    <row r="988" spans="1:4" ht="15.75" customHeight="1" x14ac:dyDescent="0.3">
      <c r="A988" s="5"/>
      <c r="B988" s="5"/>
      <c r="C988" s="5"/>
      <c r="D988" s="5"/>
    </row>
    <row r="989" spans="1:4" ht="15.75" customHeight="1" x14ac:dyDescent="0.3">
      <c r="A989" s="5"/>
      <c r="B989" s="5"/>
      <c r="C989" s="5"/>
      <c r="D989" s="5"/>
    </row>
    <row r="990" spans="1:4" ht="15.75" customHeight="1" x14ac:dyDescent="0.3">
      <c r="A990" s="5"/>
      <c r="B990" s="5"/>
      <c r="C990" s="5"/>
      <c r="D990" s="5"/>
    </row>
    <row r="991" spans="1:4" ht="15.75" customHeight="1" x14ac:dyDescent="0.3">
      <c r="A991" s="5"/>
      <c r="B991" s="5"/>
      <c r="C991" s="5"/>
      <c r="D991" s="5"/>
    </row>
    <row r="992" spans="1:4" ht="15.75" customHeight="1" x14ac:dyDescent="0.3">
      <c r="A992" s="5"/>
      <c r="B992" s="5"/>
      <c r="C992" s="5"/>
      <c r="D992" s="5"/>
    </row>
    <row r="993" spans="1:4" ht="15.75" customHeight="1" x14ac:dyDescent="0.3">
      <c r="A993" s="5"/>
      <c r="B993" s="5"/>
      <c r="C993" s="5"/>
      <c r="D993" s="5"/>
    </row>
    <row r="994" spans="1:4" ht="15.75" customHeight="1" x14ac:dyDescent="0.3">
      <c r="A994" s="5"/>
      <c r="B994" s="5"/>
      <c r="C994" s="5"/>
      <c r="D994" s="5"/>
    </row>
    <row r="995" spans="1:4" ht="15.75" customHeight="1" x14ac:dyDescent="0.3">
      <c r="A995" s="5"/>
      <c r="B995" s="5"/>
      <c r="C995" s="5"/>
      <c r="D995" s="5"/>
    </row>
    <row r="996" spans="1:4" ht="15.75" customHeight="1" x14ac:dyDescent="0.3">
      <c r="A996" s="5"/>
      <c r="B996" s="5"/>
      <c r="C996" s="5"/>
      <c r="D996" s="5"/>
    </row>
    <row r="997" spans="1:4" ht="15.75" customHeight="1" x14ac:dyDescent="0.3">
      <c r="A997" s="5"/>
      <c r="B997" s="5"/>
      <c r="C997" s="5"/>
      <c r="D997" s="5"/>
    </row>
    <row r="998" spans="1:4" ht="15.75" customHeight="1" x14ac:dyDescent="0.3">
      <c r="A998" s="5"/>
      <c r="B998" s="5"/>
      <c r="C998" s="5"/>
      <c r="D998" s="5"/>
    </row>
    <row r="999" spans="1:4" ht="15.75" customHeight="1" x14ac:dyDescent="0.3">
      <c r="A999" s="5"/>
      <c r="B999" s="5"/>
      <c r="C999" s="5"/>
      <c r="D999" s="5"/>
    </row>
    <row r="1000" spans="1:4" ht="15.75" customHeight="1" x14ac:dyDescent="0.3">
      <c r="A1000" s="5"/>
      <c r="B1000" s="5"/>
      <c r="C1000" s="5"/>
      <c r="D1000" s="5"/>
    </row>
  </sheetData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9"/>
  <sheetViews>
    <sheetView workbookViewId="0"/>
  </sheetViews>
  <sheetFormatPr defaultRowHeight="14.4" x14ac:dyDescent="0.3"/>
  <sheetData>
    <row r="1" spans="1:2" x14ac:dyDescent="0.3">
      <c r="A1" s="24" t="s">
        <v>265</v>
      </c>
      <c r="B1" s="24" t="s">
        <v>92</v>
      </c>
    </row>
    <row r="2" spans="1:2" x14ac:dyDescent="0.3">
      <c r="A2" s="25" t="s">
        <v>266</v>
      </c>
      <c r="B2" s="25">
        <f ca="1">COUNTIFS('Master Leads'!E:E,"&gt;="&amp;DATE(YEAR(TODAY()),1,1),'Master Leads'!E:E,"&lt;="&amp;EOMONTH(DATE(YEAR(TODAY()),1,1),0))</f>
        <v>0</v>
      </c>
    </row>
    <row r="3" spans="1:2" x14ac:dyDescent="0.3">
      <c r="A3" s="25" t="s">
        <v>267</v>
      </c>
      <c r="B3" s="25">
        <f ca="1">COUNTIFS('Master Leads'!E:E,"&gt;="&amp;DATE(YEAR(TODAY()),2,1),'Master Leads'!E:E,"&lt;="&amp;EOMONTH(DATE(YEAR(TODAY()),2,1),0))</f>
        <v>0</v>
      </c>
    </row>
    <row r="4" spans="1:2" x14ac:dyDescent="0.3">
      <c r="A4" s="25" t="s">
        <v>268</v>
      </c>
      <c r="B4" s="25">
        <f ca="1">COUNTIFS('Master Leads'!E:E,"&gt;="&amp;DATE(YEAR(TODAY()),3,1),'Master Leads'!E:E,"&lt;="&amp;EOMONTH(DATE(YEAR(TODAY()),3,1),0))</f>
        <v>0</v>
      </c>
    </row>
    <row r="5" spans="1:2" x14ac:dyDescent="0.3">
      <c r="A5" s="25" t="s">
        <v>269</v>
      </c>
      <c r="B5" s="25">
        <f ca="1">COUNTIFS('Master Leads'!E:E,"&gt;="&amp;DATE(YEAR(TODAY()),4,1),'Master Leads'!E:E,"&lt;="&amp;EOMONTH(DATE(YEAR(TODAY()),4,1),0))</f>
        <v>0</v>
      </c>
    </row>
    <row r="6" spans="1:2" x14ac:dyDescent="0.3">
      <c r="A6" s="25" t="s">
        <v>270</v>
      </c>
      <c r="B6" s="25">
        <f ca="1">COUNTIFS('Master Leads'!E:E,"&gt;="&amp;DATE(YEAR(TODAY()),5,1),'Master Leads'!E:E,"&lt;="&amp;EOMONTH(DATE(YEAR(TODAY()),5,1),0))</f>
        <v>0</v>
      </c>
    </row>
    <row r="7" spans="1:2" x14ac:dyDescent="0.3">
      <c r="A7" s="25" t="s">
        <v>271</v>
      </c>
      <c r="B7" s="25">
        <f ca="1">COUNTIFS('Master Leads'!E:E,"&gt;="&amp;DATE(YEAR(TODAY()),6,1),'Master Leads'!E:E,"&lt;="&amp;EOMONTH(DATE(YEAR(TODAY()),6,1),0))</f>
        <v>0</v>
      </c>
    </row>
    <row r="8" spans="1:2" x14ac:dyDescent="0.3">
      <c r="A8" s="25" t="s">
        <v>272</v>
      </c>
      <c r="B8" s="25">
        <f ca="1">COUNTIFS('Master Leads'!E:E,"&gt;="&amp;DATE(YEAR(TODAY()),7,1),'Master Leads'!E:E,"&lt;="&amp;EOMONTH(DATE(YEAR(TODAY()),7,1),0))</f>
        <v>7</v>
      </c>
    </row>
    <row r="9" spans="1:2" x14ac:dyDescent="0.3">
      <c r="A9" s="25" t="s">
        <v>273</v>
      </c>
      <c r="B9" s="25">
        <f ca="1">COUNTIFS('Master Leads'!E:E,"&gt;="&amp;DATE(YEAR(TODAY()),8,1),'Master Leads'!E:E,"&lt;="&amp;EOMONTH(DATE(YEAR(TODAY()),8,1),0))</f>
        <v>0</v>
      </c>
    </row>
    <row r="10" spans="1:2" x14ac:dyDescent="0.3">
      <c r="A10" s="25" t="s">
        <v>274</v>
      </c>
      <c r="B10" s="25">
        <f ca="1">COUNTIFS('Master Leads'!E:E,"&gt;="&amp;DATE(YEAR(TODAY()),9,1),'Master Leads'!E:E,"&lt;="&amp;EOMONTH(DATE(YEAR(TODAY()),9,1),0))</f>
        <v>0</v>
      </c>
    </row>
    <row r="11" spans="1:2" x14ac:dyDescent="0.3">
      <c r="A11" s="25" t="s">
        <v>275</v>
      </c>
      <c r="B11" s="25">
        <f ca="1">COUNTIFS('Master Leads'!E:E,"&gt;="&amp;DATE(YEAR(TODAY()),10,1),'Master Leads'!E:E,"&lt;="&amp;EOMONTH(DATE(YEAR(TODAY()),10,1),0))</f>
        <v>0</v>
      </c>
    </row>
    <row r="12" spans="1:2" x14ac:dyDescent="0.3">
      <c r="A12" s="25" t="s">
        <v>276</v>
      </c>
      <c r="B12" s="25">
        <f ca="1">COUNTIFS('Master Leads'!E:E,"&gt;="&amp;DATE(YEAR(TODAY()),11,1),'Master Leads'!E:E,"&lt;="&amp;EOMONTH(DATE(YEAR(TODAY()),11,1),0))</f>
        <v>0</v>
      </c>
    </row>
    <row r="13" spans="1:2" x14ac:dyDescent="0.3">
      <c r="A13" s="25" t="s">
        <v>277</v>
      </c>
      <c r="B13" s="25">
        <f ca="1">COUNTIFS('Master Leads'!E:E,"&gt;="&amp;DATE(YEAR(TODAY()),12,1),'Master Leads'!E:E,"&lt;="&amp;EOMONTH(DATE(YEAR(TODAY()),12,1),0))</f>
        <v>0</v>
      </c>
    </row>
    <row r="15" spans="1:2" x14ac:dyDescent="0.3">
      <c r="A15" s="24" t="s">
        <v>228</v>
      </c>
      <c r="B15" s="24" t="s">
        <v>136</v>
      </c>
    </row>
    <row r="16" spans="1:2" x14ac:dyDescent="0.3">
      <c r="A16" s="25" t="s">
        <v>137</v>
      </c>
      <c r="B16">
        <f>COUNTIF('Master Leads'!F:F,"New")</f>
        <v>1</v>
      </c>
    </row>
    <row r="17" spans="1:3" x14ac:dyDescent="0.3">
      <c r="A17" s="25" t="s">
        <v>138</v>
      </c>
      <c r="B17">
        <f>COUNTIF('Master Leads'!F:F,"Contacted")</f>
        <v>4</v>
      </c>
    </row>
    <row r="18" spans="1:3" x14ac:dyDescent="0.3">
      <c r="A18" s="25" t="s">
        <v>71</v>
      </c>
      <c r="B18">
        <f>COUNTIF('Master Leads'!F:F,"Converted")</f>
        <v>2</v>
      </c>
    </row>
    <row r="19" spans="1:3" x14ac:dyDescent="0.3">
      <c r="A19" s="25" t="s">
        <v>140</v>
      </c>
      <c r="B19">
        <f>COUNTIF('Master Leads'!F:F,"Not Interested")</f>
        <v>1</v>
      </c>
    </row>
    <row r="20" spans="1:3" x14ac:dyDescent="0.3">
      <c r="A20" s="25" t="s">
        <v>72</v>
      </c>
      <c r="B20">
        <f>COUNTIF('Master Leads'!F:F,"No Answer")</f>
        <v>1</v>
      </c>
    </row>
    <row r="21" spans="1:3" x14ac:dyDescent="0.3">
      <c r="A21" s="25" t="s">
        <v>139</v>
      </c>
      <c r="B21">
        <f>COUNTIF('Master Leads'!F:F,"Interested")</f>
        <v>0</v>
      </c>
    </row>
    <row r="22" spans="1:3" x14ac:dyDescent="0.3">
      <c r="A22" s="25" t="s">
        <v>141</v>
      </c>
      <c r="B22">
        <f>COUNTIF('Master Leads'!F:F,"Follow-up")</f>
        <v>0</v>
      </c>
    </row>
    <row r="23" spans="1:3" x14ac:dyDescent="0.3">
      <c r="A23" s="25" t="s">
        <v>230</v>
      </c>
      <c r="B23">
        <f>COUNTIF('Master Leads'!F:F,"Second Call Done")</f>
        <v>0</v>
      </c>
    </row>
    <row r="24" spans="1:3" x14ac:dyDescent="0.3">
      <c r="A24" s="25" t="s">
        <v>278</v>
      </c>
      <c r="B24">
        <f>COUNTIF('Master Leads'!F:F,"Not Picked Up")</f>
        <v>0</v>
      </c>
    </row>
    <row r="26" spans="1:3" x14ac:dyDescent="0.3">
      <c r="A26" s="24" t="s">
        <v>279</v>
      </c>
      <c r="B26" s="24" t="s">
        <v>136</v>
      </c>
    </row>
    <row r="27" spans="1:3" x14ac:dyDescent="0.3">
      <c r="A27" s="25" t="s">
        <v>63</v>
      </c>
      <c r="B27">
        <f>COUNTIF('Master Leads'!O:O,"Yes")</f>
        <v>2</v>
      </c>
    </row>
    <row r="28" spans="1:3" x14ac:dyDescent="0.3">
      <c r="A28" s="25" t="s">
        <v>280</v>
      </c>
      <c r="B28">
        <f>MAX(0,COUNTA('Master Leads'!B:B)-1-COUNTIF('Master Leads'!O:O,"Yes"))</f>
        <v>8</v>
      </c>
    </row>
    <row r="30" spans="1:3" x14ac:dyDescent="0.3">
      <c r="A30" s="24" t="s">
        <v>91</v>
      </c>
      <c r="B30" s="24" t="s">
        <v>92</v>
      </c>
      <c r="C30" s="24" t="s">
        <v>63</v>
      </c>
    </row>
    <row r="31" spans="1:3" x14ac:dyDescent="0.3">
      <c r="A31" s="25" t="s">
        <v>93</v>
      </c>
      <c r="B31">
        <f>COUNTIF('Master Leads'!L:L,"B1")</f>
        <v>4</v>
      </c>
      <c r="C31">
        <f>COUNTIFS('Master Leads'!L:L,"B1",'Master Leads'!O:O,"Yes")</f>
        <v>0</v>
      </c>
    </row>
    <row r="32" spans="1:3" x14ac:dyDescent="0.3">
      <c r="A32" s="25" t="s">
        <v>94</v>
      </c>
      <c r="B32">
        <f>COUNTIF('Master Leads'!L:L,"B2")</f>
        <v>1</v>
      </c>
      <c r="C32">
        <f>COUNTIFS('Master Leads'!L:L,"B2",'Master Leads'!O:O,"Yes")</f>
        <v>0</v>
      </c>
    </row>
    <row r="33" spans="1:3" x14ac:dyDescent="0.3">
      <c r="A33" s="25" t="s">
        <v>95</v>
      </c>
      <c r="B33">
        <f>COUNTIF('Master Leads'!L:L,"B3")</f>
        <v>0</v>
      </c>
      <c r="C33">
        <f>COUNTIFS('Master Leads'!L:L,"B3",'Master Leads'!O:O,"Yes")</f>
        <v>0</v>
      </c>
    </row>
    <row r="34" spans="1:3" x14ac:dyDescent="0.3">
      <c r="A34" s="25" t="s">
        <v>96</v>
      </c>
      <c r="B34">
        <f>COUNTIF('Master Leads'!L:L,"B4")</f>
        <v>0</v>
      </c>
      <c r="C34">
        <f>COUNTIFS('Master Leads'!L:L,"B4",'Master Leads'!O:O,"Yes")</f>
        <v>0</v>
      </c>
    </row>
    <row r="35" spans="1:3" x14ac:dyDescent="0.3">
      <c r="A35" s="25" t="s">
        <v>97</v>
      </c>
      <c r="B35">
        <f>COUNTIF('Master Leads'!L:L,"B5")</f>
        <v>0</v>
      </c>
      <c r="C35">
        <f>COUNTIFS('Master Leads'!L:L,"B5",'Master Leads'!O:O,"Yes")</f>
        <v>0</v>
      </c>
    </row>
    <row r="36" spans="1:3" x14ac:dyDescent="0.3">
      <c r="A36" s="25" t="s">
        <v>98</v>
      </c>
      <c r="B36">
        <f>COUNTIF('Master Leads'!L:L,"B6")</f>
        <v>0</v>
      </c>
      <c r="C36">
        <f>COUNTIFS('Master Leads'!L:L,"B6",'Master Leads'!O:O,"Yes")</f>
        <v>0</v>
      </c>
    </row>
    <row r="37" spans="1:3" x14ac:dyDescent="0.3">
      <c r="A37" s="25" t="s">
        <v>99</v>
      </c>
      <c r="B37">
        <f>COUNTIF('Master Leads'!L:L,"B7")</f>
        <v>0</v>
      </c>
      <c r="C37">
        <f>COUNTIFS('Master Leads'!L:L,"B7",'Master Leads'!O:O,"Yes")</f>
        <v>0</v>
      </c>
    </row>
    <row r="38" spans="1:3" x14ac:dyDescent="0.3">
      <c r="A38" s="25" t="s">
        <v>100</v>
      </c>
      <c r="B38">
        <f>COUNTIF('Master Leads'!L:L,"B8")</f>
        <v>0</v>
      </c>
      <c r="C38">
        <f>COUNTIFS('Master Leads'!L:L,"B8",'Master Leads'!O:O,"Yes")</f>
        <v>0</v>
      </c>
    </row>
    <row r="39" spans="1:3" x14ac:dyDescent="0.3">
      <c r="A39" s="25" t="s">
        <v>101</v>
      </c>
      <c r="B39">
        <f>COUNTIF('Master Leads'!L:L,"B9")</f>
        <v>0</v>
      </c>
      <c r="C39">
        <f>COUNTIFS('Master Leads'!L:L,"B9",'Master Leads'!O:O,"Yes")</f>
        <v>0</v>
      </c>
    </row>
    <row r="40" spans="1:3" x14ac:dyDescent="0.3">
      <c r="A40" s="25" t="s">
        <v>102</v>
      </c>
      <c r="B40">
        <f>COUNTIF('Master Leads'!L:L,"B10")</f>
        <v>0</v>
      </c>
      <c r="C40">
        <f>COUNTIFS('Master Leads'!L:L,"B10",'Master Leads'!O:O,"Yes")</f>
        <v>0</v>
      </c>
    </row>
    <row r="42" spans="1:3" x14ac:dyDescent="0.3">
      <c r="A42" s="24" t="s">
        <v>281</v>
      </c>
      <c r="B42" s="24" t="s">
        <v>92</v>
      </c>
    </row>
    <row r="43" spans="1:3" x14ac:dyDescent="0.3">
      <c r="A43" s="26">
        <f ca="1">TODAY()-6</f>
        <v>46217</v>
      </c>
      <c r="B43">
        <f ca="1">COUNTIF('Master Leads'!E:E,TODAY()-6)</f>
        <v>0</v>
      </c>
    </row>
    <row r="44" spans="1:3" x14ac:dyDescent="0.3">
      <c r="A44" s="26">
        <f ca="1">TODAY()-5</f>
        <v>46218</v>
      </c>
      <c r="B44">
        <f ca="1">COUNTIF('Master Leads'!E:E,TODAY()-5)</f>
        <v>0</v>
      </c>
    </row>
    <row r="45" spans="1:3" x14ac:dyDescent="0.3">
      <c r="A45" s="26">
        <f ca="1">TODAY()-4</f>
        <v>46219</v>
      </c>
      <c r="B45">
        <f ca="1">COUNTIF('Master Leads'!E:E,TODAY()-4)</f>
        <v>0</v>
      </c>
    </row>
    <row r="46" spans="1:3" x14ac:dyDescent="0.3">
      <c r="A46" s="26">
        <f ca="1">TODAY()-3</f>
        <v>46220</v>
      </c>
      <c r="B46">
        <f ca="1">COUNTIF('Master Leads'!E:E,TODAY()-3)</f>
        <v>0</v>
      </c>
    </row>
    <row r="47" spans="1:3" x14ac:dyDescent="0.3">
      <c r="A47" s="26">
        <f ca="1">TODAY()-2</f>
        <v>46221</v>
      </c>
      <c r="B47">
        <f ca="1">COUNTIF('Master Leads'!E:E,TODAY()-2)</f>
        <v>0</v>
      </c>
    </row>
    <row r="48" spans="1:3" x14ac:dyDescent="0.3">
      <c r="A48" s="26">
        <f ca="1">TODAY()-1</f>
        <v>46222</v>
      </c>
      <c r="B48">
        <f ca="1">COUNTIF('Master Leads'!E:E,TODAY()-1)</f>
        <v>0</v>
      </c>
    </row>
    <row r="49" spans="1:2" x14ac:dyDescent="0.3">
      <c r="A49" s="26">
        <f ca="1">TODAY()-0</f>
        <v>46223</v>
      </c>
      <c r="B49">
        <f ca="1">COUNTIF('Master Leads'!E:E,TODAY()-0)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2"/>
  <sheetViews>
    <sheetView workbookViewId="0"/>
  </sheetViews>
  <sheetFormatPr defaultRowHeight="14.4" x14ac:dyDescent="0.3"/>
  <sheetData>
    <row r="1" spans="1:7" x14ac:dyDescent="0.3">
      <c r="A1" s="32" t="s">
        <v>27</v>
      </c>
      <c r="B1" s="32" t="s">
        <v>92</v>
      </c>
      <c r="C1" s="32" t="s">
        <v>63</v>
      </c>
    </row>
    <row r="2" spans="1:7" x14ac:dyDescent="0.3">
      <c r="A2" t="s">
        <v>33</v>
      </c>
      <c r="B2">
        <f>COUNTIF('Master Leads'!G:G,6)</f>
        <v>1</v>
      </c>
      <c r="C2">
        <f>COUNTIFS('Master Leads'!G:G,6,'Master Leads'!O:O,"Yes")</f>
        <v>0</v>
      </c>
    </row>
    <row r="3" spans="1:7" x14ac:dyDescent="0.3">
      <c r="A3" t="s">
        <v>34</v>
      </c>
      <c r="B3">
        <f>COUNTIF('Master Leads'!G:G,7)</f>
        <v>1</v>
      </c>
      <c r="C3">
        <f>COUNTIFS('Master Leads'!G:G,7,'Master Leads'!O:O,"Yes")</f>
        <v>1</v>
      </c>
    </row>
    <row r="4" spans="1:7" x14ac:dyDescent="0.3">
      <c r="A4" t="s">
        <v>35</v>
      </c>
      <c r="B4">
        <f>COUNTIF('Master Leads'!G:G,8)</f>
        <v>1</v>
      </c>
      <c r="C4">
        <f>COUNTIFS('Master Leads'!G:G,8,'Master Leads'!O:O,"Yes")</f>
        <v>0</v>
      </c>
    </row>
    <row r="5" spans="1:7" x14ac:dyDescent="0.3">
      <c r="A5" t="s">
        <v>36</v>
      </c>
      <c r="B5">
        <f>COUNTIF('Master Leads'!G:G,9)</f>
        <v>1</v>
      </c>
      <c r="C5">
        <f>COUNTIFS('Master Leads'!G:G,9,'Master Leads'!O:O,"Yes")</f>
        <v>0</v>
      </c>
    </row>
    <row r="6" spans="1:7" x14ac:dyDescent="0.3">
      <c r="A6" t="s">
        <v>37</v>
      </c>
      <c r="B6">
        <f>COUNTIF('Master Leads'!G:G,10)</f>
        <v>1</v>
      </c>
      <c r="C6">
        <f>COUNTIFS('Master Leads'!G:G,10,'Master Leads'!O:O,"Yes")</f>
        <v>0</v>
      </c>
    </row>
    <row r="7" spans="1:7" x14ac:dyDescent="0.3">
      <c r="A7" t="s">
        <v>38</v>
      </c>
      <c r="B7">
        <f>COUNTIF('Master Leads'!G:G,11)</f>
        <v>1</v>
      </c>
      <c r="C7">
        <f>COUNTIFS('Master Leads'!G:G,11,'Master Leads'!O:O,"Yes")</f>
        <v>1</v>
      </c>
    </row>
    <row r="10" spans="1:7" x14ac:dyDescent="0.3">
      <c r="A10" t="s">
        <v>265</v>
      </c>
      <c r="B10" s="32" t="s">
        <v>33</v>
      </c>
      <c r="C10" s="32" t="s">
        <v>34</v>
      </c>
      <c r="D10" s="32" t="s">
        <v>35</v>
      </c>
      <c r="E10" s="32" t="s">
        <v>36</v>
      </c>
      <c r="F10" s="32" t="s">
        <v>37</v>
      </c>
      <c r="G10" s="32" t="s">
        <v>38</v>
      </c>
    </row>
    <row r="11" spans="1:7" x14ac:dyDescent="0.3">
      <c r="A11" t="s">
        <v>266</v>
      </c>
      <c r="B11">
        <f ca="1">COUNTIFS('Master Leads'!G:G,6,'Master Leads'!E:E,"&gt;="&amp;DATE(YEAR(TODAY()),1,1),'Master Leads'!E:E,"&lt;="&amp;EOMONTH(DATE(YEAR(TODAY()),1,1),0))</f>
        <v>0</v>
      </c>
      <c r="C11">
        <f ca="1">COUNTIFS('Master Leads'!G:G,7,'Master Leads'!E:E,"&gt;="&amp;DATE(YEAR(TODAY()),1,1),'Master Leads'!E:E,"&lt;="&amp;EOMONTH(DATE(YEAR(TODAY()),1,1),0))</f>
        <v>0</v>
      </c>
      <c r="D11">
        <f ca="1">COUNTIFS('Master Leads'!G:G,8,'Master Leads'!E:E,"&gt;="&amp;DATE(YEAR(TODAY()),1,1),'Master Leads'!E:E,"&lt;="&amp;EOMONTH(DATE(YEAR(TODAY()),1,1),0))</f>
        <v>0</v>
      </c>
      <c r="E11">
        <f ca="1">COUNTIFS('Master Leads'!G:G,9,'Master Leads'!E:E,"&gt;="&amp;DATE(YEAR(TODAY()),1,1),'Master Leads'!E:E,"&lt;="&amp;EOMONTH(DATE(YEAR(TODAY()),1,1),0))</f>
        <v>0</v>
      </c>
      <c r="F11">
        <f ca="1">COUNTIFS('Master Leads'!G:G,10,'Master Leads'!E:E,"&gt;="&amp;DATE(YEAR(TODAY()),1,1),'Master Leads'!E:E,"&lt;="&amp;EOMONTH(DATE(YEAR(TODAY()),1,1),0))</f>
        <v>0</v>
      </c>
      <c r="G11">
        <f ca="1">COUNTIFS('Master Leads'!G:G,11,'Master Leads'!E:E,"&gt;="&amp;DATE(YEAR(TODAY()),1,1),'Master Leads'!E:E,"&lt;="&amp;EOMONTH(DATE(YEAR(TODAY()),1,1),0))</f>
        <v>0</v>
      </c>
    </row>
    <row r="12" spans="1:7" x14ac:dyDescent="0.3">
      <c r="A12" t="s">
        <v>267</v>
      </c>
      <c r="B12">
        <f ca="1">COUNTIFS('Master Leads'!G:G,6,'Master Leads'!E:E,"&gt;="&amp;DATE(YEAR(TODAY()),2,1),'Master Leads'!E:E,"&lt;="&amp;EOMONTH(DATE(YEAR(TODAY()),2,1),0))</f>
        <v>0</v>
      </c>
      <c r="C12">
        <f ca="1">COUNTIFS('Master Leads'!G:G,7,'Master Leads'!E:E,"&gt;="&amp;DATE(YEAR(TODAY()),2,1),'Master Leads'!E:E,"&lt;="&amp;EOMONTH(DATE(YEAR(TODAY()),2,1),0))</f>
        <v>0</v>
      </c>
      <c r="D12">
        <f ca="1">COUNTIFS('Master Leads'!G:G,8,'Master Leads'!E:E,"&gt;="&amp;DATE(YEAR(TODAY()),2,1),'Master Leads'!E:E,"&lt;="&amp;EOMONTH(DATE(YEAR(TODAY()),2,1),0))</f>
        <v>0</v>
      </c>
      <c r="E12">
        <f ca="1">COUNTIFS('Master Leads'!G:G,9,'Master Leads'!E:E,"&gt;="&amp;DATE(YEAR(TODAY()),2,1),'Master Leads'!E:E,"&lt;="&amp;EOMONTH(DATE(YEAR(TODAY()),2,1),0))</f>
        <v>0</v>
      </c>
      <c r="F12">
        <f ca="1">COUNTIFS('Master Leads'!G:G,10,'Master Leads'!E:E,"&gt;="&amp;DATE(YEAR(TODAY()),2,1),'Master Leads'!E:E,"&lt;="&amp;EOMONTH(DATE(YEAR(TODAY()),2,1),0))</f>
        <v>0</v>
      </c>
      <c r="G12">
        <f ca="1">COUNTIFS('Master Leads'!G:G,11,'Master Leads'!E:E,"&gt;="&amp;DATE(YEAR(TODAY()),2,1),'Master Leads'!E:E,"&lt;="&amp;EOMONTH(DATE(YEAR(TODAY()),2,1),0))</f>
        <v>0</v>
      </c>
    </row>
    <row r="13" spans="1:7" x14ac:dyDescent="0.3">
      <c r="A13" t="s">
        <v>268</v>
      </c>
      <c r="B13">
        <f ca="1">COUNTIFS('Master Leads'!G:G,6,'Master Leads'!E:E,"&gt;="&amp;DATE(YEAR(TODAY()),3,1),'Master Leads'!E:E,"&lt;="&amp;EOMONTH(DATE(YEAR(TODAY()),3,1),0))</f>
        <v>0</v>
      </c>
      <c r="C13">
        <f ca="1">COUNTIFS('Master Leads'!G:G,7,'Master Leads'!E:E,"&gt;="&amp;DATE(YEAR(TODAY()),3,1),'Master Leads'!E:E,"&lt;="&amp;EOMONTH(DATE(YEAR(TODAY()),3,1),0))</f>
        <v>0</v>
      </c>
      <c r="D13">
        <f ca="1">COUNTIFS('Master Leads'!G:G,8,'Master Leads'!E:E,"&gt;="&amp;DATE(YEAR(TODAY()),3,1),'Master Leads'!E:E,"&lt;="&amp;EOMONTH(DATE(YEAR(TODAY()),3,1),0))</f>
        <v>0</v>
      </c>
      <c r="E13">
        <f ca="1">COUNTIFS('Master Leads'!G:G,9,'Master Leads'!E:E,"&gt;="&amp;DATE(YEAR(TODAY()),3,1),'Master Leads'!E:E,"&lt;="&amp;EOMONTH(DATE(YEAR(TODAY()),3,1),0))</f>
        <v>0</v>
      </c>
      <c r="F13">
        <f ca="1">COUNTIFS('Master Leads'!G:G,10,'Master Leads'!E:E,"&gt;="&amp;DATE(YEAR(TODAY()),3,1),'Master Leads'!E:E,"&lt;="&amp;EOMONTH(DATE(YEAR(TODAY()),3,1),0))</f>
        <v>0</v>
      </c>
      <c r="G13">
        <f ca="1">COUNTIFS('Master Leads'!G:G,11,'Master Leads'!E:E,"&gt;="&amp;DATE(YEAR(TODAY()),3,1),'Master Leads'!E:E,"&lt;="&amp;EOMONTH(DATE(YEAR(TODAY()),3,1),0))</f>
        <v>0</v>
      </c>
    </row>
    <row r="14" spans="1:7" x14ac:dyDescent="0.3">
      <c r="A14" t="s">
        <v>269</v>
      </c>
      <c r="B14">
        <f ca="1">COUNTIFS('Master Leads'!G:G,6,'Master Leads'!E:E,"&gt;="&amp;DATE(YEAR(TODAY()),4,1),'Master Leads'!E:E,"&lt;="&amp;EOMONTH(DATE(YEAR(TODAY()),4,1),0))</f>
        <v>0</v>
      </c>
      <c r="C14">
        <f ca="1">COUNTIFS('Master Leads'!G:G,7,'Master Leads'!E:E,"&gt;="&amp;DATE(YEAR(TODAY()),4,1),'Master Leads'!E:E,"&lt;="&amp;EOMONTH(DATE(YEAR(TODAY()),4,1),0))</f>
        <v>0</v>
      </c>
      <c r="D14">
        <f ca="1">COUNTIFS('Master Leads'!G:G,8,'Master Leads'!E:E,"&gt;="&amp;DATE(YEAR(TODAY()),4,1),'Master Leads'!E:E,"&lt;="&amp;EOMONTH(DATE(YEAR(TODAY()),4,1),0))</f>
        <v>0</v>
      </c>
      <c r="E14">
        <f ca="1">COUNTIFS('Master Leads'!G:G,9,'Master Leads'!E:E,"&gt;="&amp;DATE(YEAR(TODAY()),4,1),'Master Leads'!E:E,"&lt;="&amp;EOMONTH(DATE(YEAR(TODAY()),4,1),0))</f>
        <v>0</v>
      </c>
      <c r="F14">
        <f ca="1">COUNTIFS('Master Leads'!G:G,10,'Master Leads'!E:E,"&gt;="&amp;DATE(YEAR(TODAY()),4,1),'Master Leads'!E:E,"&lt;="&amp;EOMONTH(DATE(YEAR(TODAY()),4,1),0))</f>
        <v>0</v>
      </c>
      <c r="G14">
        <f ca="1">COUNTIFS('Master Leads'!G:G,11,'Master Leads'!E:E,"&gt;="&amp;DATE(YEAR(TODAY()),4,1),'Master Leads'!E:E,"&lt;="&amp;EOMONTH(DATE(YEAR(TODAY()),4,1),0))</f>
        <v>0</v>
      </c>
    </row>
    <row r="15" spans="1:7" x14ac:dyDescent="0.3">
      <c r="A15" t="s">
        <v>270</v>
      </c>
      <c r="B15">
        <f ca="1">COUNTIFS('Master Leads'!G:G,6,'Master Leads'!E:E,"&gt;="&amp;DATE(YEAR(TODAY()),5,1),'Master Leads'!E:E,"&lt;="&amp;EOMONTH(DATE(YEAR(TODAY()),5,1),0))</f>
        <v>0</v>
      </c>
      <c r="C15">
        <f ca="1">COUNTIFS('Master Leads'!G:G,7,'Master Leads'!E:E,"&gt;="&amp;DATE(YEAR(TODAY()),5,1),'Master Leads'!E:E,"&lt;="&amp;EOMONTH(DATE(YEAR(TODAY()),5,1),0))</f>
        <v>0</v>
      </c>
      <c r="D15">
        <f ca="1">COUNTIFS('Master Leads'!G:G,8,'Master Leads'!E:E,"&gt;="&amp;DATE(YEAR(TODAY()),5,1),'Master Leads'!E:E,"&lt;="&amp;EOMONTH(DATE(YEAR(TODAY()),5,1),0))</f>
        <v>0</v>
      </c>
      <c r="E15">
        <f ca="1">COUNTIFS('Master Leads'!G:G,9,'Master Leads'!E:E,"&gt;="&amp;DATE(YEAR(TODAY()),5,1),'Master Leads'!E:E,"&lt;="&amp;EOMONTH(DATE(YEAR(TODAY()),5,1),0))</f>
        <v>0</v>
      </c>
      <c r="F15">
        <f ca="1">COUNTIFS('Master Leads'!G:G,10,'Master Leads'!E:E,"&gt;="&amp;DATE(YEAR(TODAY()),5,1),'Master Leads'!E:E,"&lt;="&amp;EOMONTH(DATE(YEAR(TODAY()),5,1),0))</f>
        <v>0</v>
      </c>
      <c r="G15">
        <f ca="1">COUNTIFS('Master Leads'!G:G,11,'Master Leads'!E:E,"&gt;="&amp;DATE(YEAR(TODAY()),5,1),'Master Leads'!E:E,"&lt;="&amp;EOMONTH(DATE(YEAR(TODAY()),5,1),0))</f>
        <v>0</v>
      </c>
    </row>
    <row r="16" spans="1:7" x14ac:dyDescent="0.3">
      <c r="A16" t="s">
        <v>271</v>
      </c>
      <c r="B16">
        <f ca="1">COUNTIFS('Master Leads'!G:G,6,'Master Leads'!E:E,"&gt;="&amp;DATE(YEAR(TODAY()),6,1),'Master Leads'!E:E,"&lt;="&amp;EOMONTH(DATE(YEAR(TODAY()),6,1),0))</f>
        <v>0</v>
      </c>
      <c r="C16">
        <f ca="1">COUNTIFS('Master Leads'!G:G,7,'Master Leads'!E:E,"&gt;="&amp;DATE(YEAR(TODAY()),6,1),'Master Leads'!E:E,"&lt;="&amp;EOMONTH(DATE(YEAR(TODAY()),6,1),0))</f>
        <v>0</v>
      </c>
      <c r="D16">
        <f ca="1">COUNTIFS('Master Leads'!G:G,8,'Master Leads'!E:E,"&gt;="&amp;DATE(YEAR(TODAY()),6,1),'Master Leads'!E:E,"&lt;="&amp;EOMONTH(DATE(YEAR(TODAY()),6,1),0))</f>
        <v>0</v>
      </c>
      <c r="E16">
        <f ca="1">COUNTIFS('Master Leads'!G:G,9,'Master Leads'!E:E,"&gt;="&amp;DATE(YEAR(TODAY()),6,1),'Master Leads'!E:E,"&lt;="&amp;EOMONTH(DATE(YEAR(TODAY()),6,1),0))</f>
        <v>0</v>
      </c>
      <c r="F16">
        <f ca="1">COUNTIFS('Master Leads'!G:G,10,'Master Leads'!E:E,"&gt;="&amp;DATE(YEAR(TODAY()),6,1),'Master Leads'!E:E,"&lt;="&amp;EOMONTH(DATE(YEAR(TODAY()),6,1),0))</f>
        <v>0</v>
      </c>
      <c r="G16">
        <f ca="1">COUNTIFS('Master Leads'!G:G,11,'Master Leads'!E:E,"&gt;="&amp;DATE(YEAR(TODAY()),6,1),'Master Leads'!E:E,"&lt;="&amp;EOMONTH(DATE(YEAR(TODAY()),6,1),0))</f>
        <v>0</v>
      </c>
    </row>
    <row r="17" spans="1:7" x14ac:dyDescent="0.3">
      <c r="A17" t="s">
        <v>272</v>
      </c>
      <c r="B17">
        <f ca="1">COUNTIFS('Master Leads'!G:G,6,'Master Leads'!E:E,"&gt;="&amp;DATE(YEAR(TODAY()),7,1),'Master Leads'!E:E,"&lt;="&amp;EOMONTH(DATE(YEAR(TODAY()),7,1),0))</f>
        <v>0</v>
      </c>
      <c r="C17">
        <f ca="1">COUNTIFS('Master Leads'!G:G,7,'Master Leads'!E:E,"&gt;="&amp;DATE(YEAR(TODAY()),7,1),'Master Leads'!E:E,"&lt;="&amp;EOMONTH(DATE(YEAR(TODAY()),7,1),0))</f>
        <v>1</v>
      </c>
      <c r="D17">
        <f ca="1">COUNTIFS('Master Leads'!G:G,8,'Master Leads'!E:E,"&gt;="&amp;DATE(YEAR(TODAY()),7,1),'Master Leads'!E:E,"&lt;="&amp;EOMONTH(DATE(YEAR(TODAY()),7,1),0))</f>
        <v>1</v>
      </c>
      <c r="E17">
        <f ca="1">COUNTIFS('Master Leads'!G:G,9,'Master Leads'!E:E,"&gt;="&amp;DATE(YEAR(TODAY()),7,1),'Master Leads'!E:E,"&lt;="&amp;EOMONTH(DATE(YEAR(TODAY()),7,1),0))</f>
        <v>1</v>
      </c>
      <c r="F17">
        <f ca="1">COUNTIFS('Master Leads'!G:G,10,'Master Leads'!E:E,"&gt;="&amp;DATE(YEAR(TODAY()),7,1),'Master Leads'!E:E,"&lt;="&amp;EOMONTH(DATE(YEAR(TODAY()),7,1),0))</f>
        <v>1</v>
      </c>
      <c r="G17">
        <f ca="1">COUNTIFS('Master Leads'!G:G,11,'Master Leads'!E:E,"&gt;="&amp;DATE(YEAR(TODAY()),7,1),'Master Leads'!E:E,"&lt;="&amp;EOMONTH(DATE(YEAR(TODAY()),7,1),0))</f>
        <v>0</v>
      </c>
    </row>
    <row r="18" spans="1:7" x14ac:dyDescent="0.3">
      <c r="A18" t="s">
        <v>273</v>
      </c>
      <c r="B18">
        <f ca="1">COUNTIFS('Master Leads'!G:G,6,'Master Leads'!E:E,"&gt;="&amp;DATE(YEAR(TODAY()),8,1),'Master Leads'!E:E,"&lt;="&amp;EOMONTH(DATE(YEAR(TODAY()),8,1),0))</f>
        <v>0</v>
      </c>
      <c r="C18">
        <f ca="1">COUNTIFS('Master Leads'!G:G,7,'Master Leads'!E:E,"&gt;="&amp;DATE(YEAR(TODAY()),8,1),'Master Leads'!E:E,"&lt;="&amp;EOMONTH(DATE(YEAR(TODAY()),8,1),0))</f>
        <v>0</v>
      </c>
      <c r="D18">
        <f ca="1">COUNTIFS('Master Leads'!G:G,8,'Master Leads'!E:E,"&gt;="&amp;DATE(YEAR(TODAY()),8,1),'Master Leads'!E:E,"&lt;="&amp;EOMONTH(DATE(YEAR(TODAY()),8,1),0))</f>
        <v>0</v>
      </c>
      <c r="E18">
        <f ca="1">COUNTIFS('Master Leads'!G:G,9,'Master Leads'!E:E,"&gt;="&amp;DATE(YEAR(TODAY()),8,1),'Master Leads'!E:E,"&lt;="&amp;EOMONTH(DATE(YEAR(TODAY()),8,1),0))</f>
        <v>0</v>
      </c>
      <c r="F18">
        <f ca="1">COUNTIFS('Master Leads'!G:G,10,'Master Leads'!E:E,"&gt;="&amp;DATE(YEAR(TODAY()),8,1),'Master Leads'!E:E,"&lt;="&amp;EOMONTH(DATE(YEAR(TODAY()),8,1),0))</f>
        <v>0</v>
      </c>
      <c r="G18">
        <f ca="1">COUNTIFS('Master Leads'!G:G,11,'Master Leads'!E:E,"&gt;="&amp;DATE(YEAR(TODAY()),8,1),'Master Leads'!E:E,"&lt;="&amp;EOMONTH(DATE(YEAR(TODAY()),8,1),0))</f>
        <v>0</v>
      </c>
    </row>
    <row r="19" spans="1:7" x14ac:dyDescent="0.3">
      <c r="A19" t="s">
        <v>274</v>
      </c>
      <c r="B19">
        <f ca="1">COUNTIFS('Master Leads'!G:G,6,'Master Leads'!E:E,"&gt;="&amp;DATE(YEAR(TODAY()),9,1),'Master Leads'!E:E,"&lt;="&amp;EOMONTH(DATE(YEAR(TODAY()),9,1),0))</f>
        <v>0</v>
      </c>
      <c r="C19">
        <f ca="1">COUNTIFS('Master Leads'!G:G,7,'Master Leads'!E:E,"&gt;="&amp;DATE(YEAR(TODAY()),9,1),'Master Leads'!E:E,"&lt;="&amp;EOMONTH(DATE(YEAR(TODAY()),9,1),0))</f>
        <v>0</v>
      </c>
      <c r="D19">
        <f ca="1">COUNTIFS('Master Leads'!G:G,8,'Master Leads'!E:E,"&gt;="&amp;DATE(YEAR(TODAY()),9,1),'Master Leads'!E:E,"&lt;="&amp;EOMONTH(DATE(YEAR(TODAY()),9,1),0))</f>
        <v>0</v>
      </c>
      <c r="E19">
        <f ca="1">COUNTIFS('Master Leads'!G:G,9,'Master Leads'!E:E,"&gt;="&amp;DATE(YEAR(TODAY()),9,1),'Master Leads'!E:E,"&lt;="&amp;EOMONTH(DATE(YEAR(TODAY()),9,1),0))</f>
        <v>0</v>
      </c>
      <c r="F19">
        <f ca="1">COUNTIFS('Master Leads'!G:G,10,'Master Leads'!E:E,"&gt;="&amp;DATE(YEAR(TODAY()),9,1),'Master Leads'!E:E,"&lt;="&amp;EOMONTH(DATE(YEAR(TODAY()),9,1),0))</f>
        <v>0</v>
      </c>
      <c r="G19">
        <f ca="1">COUNTIFS('Master Leads'!G:G,11,'Master Leads'!E:E,"&gt;="&amp;DATE(YEAR(TODAY()),9,1),'Master Leads'!E:E,"&lt;="&amp;EOMONTH(DATE(YEAR(TODAY()),9,1),0))</f>
        <v>0</v>
      </c>
    </row>
    <row r="20" spans="1:7" x14ac:dyDescent="0.3">
      <c r="A20" t="s">
        <v>275</v>
      </c>
      <c r="B20">
        <f ca="1">COUNTIFS('Master Leads'!G:G,6,'Master Leads'!E:E,"&gt;="&amp;DATE(YEAR(TODAY()),10,1),'Master Leads'!E:E,"&lt;="&amp;EOMONTH(DATE(YEAR(TODAY()),10,1),0))</f>
        <v>0</v>
      </c>
      <c r="C20">
        <f ca="1">COUNTIFS('Master Leads'!G:G,7,'Master Leads'!E:E,"&gt;="&amp;DATE(YEAR(TODAY()),10,1),'Master Leads'!E:E,"&lt;="&amp;EOMONTH(DATE(YEAR(TODAY()),10,1),0))</f>
        <v>0</v>
      </c>
      <c r="D20">
        <f ca="1">COUNTIFS('Master Leads'!G:G,8,'Master Leads'!E:E,"&gt;="&amp;DATE(YEAR(TODAY()),10,1),'Master Leads'!E:E,"&lt;="&amp;EOMONTH(DATE(YEAR(TODAY()),10,1),0))</f>
        <v>0</v>
      </c>
      <c r="E20">
        <f ca="1">COUNTIFS('Master Leads'!G:G,9,'Master Leads'!E:E,"&gt;="&amp;DATE(YEAR(TODAY()),10,1),'Master Leads'!E:E,"&lt;="&amp;EOMONTH(DATE(YEAR(TODAY()),10,1),0))</f>
        <v>0</v>
      </c>
      <c r="F20">
        <f ca="1">COUNTIFS('Master Leads'!G:G,10,'Master Leads'!E:E,"&gt;="&amp;DATE(YEAR(TODAY()),10,1),'Master Leads'!E:E,"&lt;="&amp;EOMONTH(DATE(YEAR(TODAY()),10,1),0))</f>
        <v>0</v>
      </c>
      <c r="G20">
        <f ca="1">COUNTIFS('Master Leads'!G:G,11,'Master Leads'!E:E,"&gt;="&amp;DATE(YEAR(TODAY()),10,1),'Master Leads'!E:E,"&lt;="&amp;EOMONTH(DATE(YEAR(TODAY()),10,1),0))</f>
        <v>0</v>
      </c>
    </row>
    <row r="21" spans="1:7" x14ac:dyDescent="0.3">
      <c r="A21" t="s">
        <v>276</v>
      </c>
      <c r="B21">
        <f ca="1">COUNTIFS('Master Leads'!G:G,6,'Master Leads'!E:E,"&gt;="&amp;DATE(YEAR(TODAY()),11,1),'Master Leads'!E:E,"&lt;="&amp;EOMONTH(DATE(YEAR(TODAY()),11,1),0))</f>
        <v>0</v>
      </c>
      <c r="C21">
        <f ca="1">COUNTIFS('Master Leads'!G:G,7,'Master Leads'!E:E,"&gt;="&amp;DATE(YEAR(TODAY()),11,1),'Master Leads'!E:E,"&lt;="&amp;EOMONTH(DATE(YEAR(TODAY()),11,1),0))</f>
        <v>0</v>
      </c>
      <c r="D21">
        <f ca="1">COUNTIFS('Master Leads'!G:G,8,'Master Leads'!E:E,"&gt;="&amp;DATE(YEAR(TODAY()),11,1),'Master Leads'!E:E,"&lt;="&amp;EOMONTH(DATE(YEAR(TODAY()),11,1),0))</f>
        <v>0</v>
      </c>
      <c r="E21">
        <f ca="1">COUNTIFS('Master Leads'!G:G,9,'Master Leads'!E:E,"&gt;="&amp;DATE(YEAR(TODAY()),11,1),'Master Leads'!E:E,"&lt;="&amp;EOMONTH(DATE(YEAR(TODAY()),11,1),0))</f>
        <v>0</v>
      </c>
      <c r="F21">
        <f ca="1">COUNTIFS('Master Leads'!G:G,10,'Master Leads'!E:E,"&gt;="&amp;DATE(YEAR(TODAY()),11,1),'Master Leads'!E:E,"&lt;="&amp;EOMONTH(DATE(YEAR(TODAY()),11,1),0))</f>
        <v>0</v>
      </c>
      <c r="G21">
        <f ca="1">COUNTIFS('Master Leads'!G:G,11,'Master Leads'!E:E,"&gt;="&amp;DATE(YEAR(TODAY()),11,1),'Master Leads'!E:E,"&lt;="&amp;EOMONTH(DATE(YEAR(TODAY()),11,1),0))</f>
        <v>0</v>
      </c>
    </row>
    <row r="22" spans="1:7" x14ac:dyDescent="0.3">
      <c r="A22" t="s">
        <v>277</v>
      </c>
      <c r="B22">
        <f ca="1">COUNTIFS('Master Leads'!G:G,6,'Master Leads'!E:E,"&gt;="&amp;DATE(YEAR(TODAY()),12,1),'Master Leads'!E:E,"&lt;="&amp;EOMONTH(DATE(YEAR(TODAY()),12,1),0))</f>
        <v>0</v>
      </c>
      <c r="C22">
        <f ca="1">COUNTIFS('Master Leads'!G:G,7,'Master Leads'!E:E,"&gt;="&amp;DATE(YEAR(TODAY()),12,1),'Master Leads'!E:E,"&lt;="&amp;EOMONTH(DATE(YEAR(TODAY()),12,1),0))</f>
        <v>0</v>
      </c>
      <c r="D22">
        <f ca="1">COUNTIFS('Master Leads'!G:G,8,'Master Leads'!E:E,"&gt;="&amp;DATE(YEAR(TODAY()),12,1),'Master Leads'!E:E,"&lt;="&amp;EOMONTH(DATE(YEAR(TODAY()),12,1),0))</f>
        <v>0</v>
      </c>
      <c r="E22">
        <f ca="1">COUNTIFS('Master Leads'!G:G,9,'Master Leads'!E:E,"&gt;="&amp;DATE(YEAR(TODAY()),12,1),'Master Leads'!E:E,"&lt;="&amp;EOMONTH(DATE(YEAR(TODAY()),12,1),0))</f>
        <v>0</v>
      </c>
      <c r="F22">
        <f ca="1">COUNTIFS('Master Leads'!G:G,10,'Master Leads'!E:E,"&gt;="&amp;DATE(YEAR(TODAY()),12,1),'Master Leads'!E:E,"&lt;="&amp;EOMONTH(DATE(YEAR(TODAY()),12,1),0))</f>
        <v>0</v>
      </c>
      <c r="G22">
        <f ca="1">COUNTIFS('Master Leads'!G:G,11,'Master Leads'!E:E,"&gt;="&amp;DATE(YEAR(TODAY()),12,1),'Master Leads'!E:E,"&lt;="&amp;EOMONTH(DATE(YEAR(TODAY()),12,1),0))</f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workbookViewId="0"/>
  </sheetViews>
  <sheetFormatPr defaultRowHeight="14.4" x14ac:dyDescent="0.3"/>
  <sheetData>
    <row r="1" spans="1:4" x14ac:dyDescent="0.3">
      <c r="A1" t="s">
        <v>27</v>
      </c>
      <c r="B1" t="s">
        <v>92</v>
      </c>
      <c r="C1" t="s">
        <v>63</v>
      </c>
      <c r="D1" t="s">
        <v>64</v>
      </c>
    </row>
    <row r="2" spans="1:4" x14ac:dyDescent="0.3">
      <c r="A2" t="s">
        <v>33</v>
      </c>
      <c r="B2">
        <f>COUNTIF('Master Leads'!G:G,6)</f>
        <v>1</v>
      </c>
      <c r="C2">
        <f>COUNTIFS('Master Leads'!G:G,6,'Master Leads'!O:O,"Yes")</f>
        <v>0</v>
      </c>
      <c r="D2">
        <f>COUNTIF('Master Leads'!G:G,6)-COUNTIFS('Master Leads'!G:G,6,'Master Leads'!O:O,"Yes")</f>
        <v>1</v>
      </c>
    </row>
    <row r="3" spans="1:4" x14ac:dyDescent="0.3">
      <c r="A3" t="s">
        <v>34</v>
      </c>
      <c r="B3">
        <f>COUNTIF('Master Leads'!G:G,7)</f>
        <v>1</v>
      </c>
      <c r="C3">
        <f>COUNTIFS('Master Leads'!G:G,7,'Master Leads'!O:O,"Yes")</f>
        <v>1</v>
      </c>
      <c r="D3">
        <f>COUNTIF('Master Leads'!G:G,7)-COUNTIFS('Master Leads'!G:G,7,'Master Leads'!O:O,"Yes")</f>
        <v>0</v>
      </c>
    </row>
    <row r="4" spans="1:4" x14ac:dyDescent="0.3">
      <c r="A4" t="s">
        <v>35</v>
      </c>
      <c r="B4">
        <f>COUNTIF('Master Leads'!G:G,8)</f>
        <v>1</v>
      </c>
      <c r="C4">
        <f>COUNTIFS('Master Leads'!G:G,8,'Master Leads'!O:O,"Yes")</f>
        <v>0</v>
      </c>
      <c r="D4">
        <f>COUNTIF('Master Leads'!G:G,8)-COUNTIFS('Master Leads'!G:G,8,'Master Leads'!O:O,"Yes")</f>
        <v>1</v>
      </c>
    </row>
    <row r="5" spans="1:4" x14ac:dyDescent="0.3">
      <c r="A5" t="s">
        <v>36</v>
      </c>
      <c r="B5">
        <f>COUNTIF('Master Leads'!G:G,9)</f>
        <v>1</v>
      </c>
      <c r="C5">
        <f>COUNTIFS('Master Leads'!G:G,9,'Master Leads'!O:O,"Yes")</f>
        <v>0</v>
      </c>
      <c r="D5">
        <f>COUNTIF('Master Leads'!G:G,9)-COUNTIFS('Master Leads'!G:G,9,'Master Leads'!O:O,"Yes")</f>
        <v>1</v>
      </c>
    </row>
    <row r="6" spans="1:4" x14ac:dyDescent="0.3">
      <c r="A6" t="s">
        <v>37</v>
      </c>
      <c r="B6">
        <f>COUNTIF('Master Leads'!G:G,10)</f>
        <v>1</v>
      </c>
      <c r="C6">
        <f>COUNTIFS('Master Leads'!G:G,10,'Master Leads'!O:O,"Yes")</f>
        <v>0</v>
      </c>
      <c r="D6">
        <f>COUNTIF('Master Leads'!G:G,10)-COUNTIFS('Master Leads'!G:G,10,'Master Leads'!O:O,"Yes")</f>
        <v>1</v>
      </c>
    </row>
    <row r="7" spans="1:4" x14ac:dyDescent="0.3">
      <c r="A7" t="s">
        <v>38</v>
      </c>
      <c r="B7">
        <f>COUNTIF('Master Leads'!G:G,11)</f>
        <v>1</v>
      </c>
      <c r="C7">
        <f>COUNTIFS('Master Leads'!G:G,11,'Master Leads'!O:O,"Yes")</f>
        <v>1</v>
      </c>
      <c r="D7">
        <f>COUNTIF('Master Leads'!G:G,11)-COUNTIFS('Master Leads'!G:G,11,'Master Leads'!O:O,"Yes")</f>
        <v>0</v>
      </c>
    </row>
    <row r="9" spans="1:4" x14ac:dyDescent="0.3">
      <c r="B9" t="s">
        <v>136</v>
      </c>
    </row>
    <row r="10" spans="1:4" x14ac:dyDescent="0.3">
      <c r="A10" t="s">
        <v>63</v>
      </c>
      <c r="B10">
        <f>COUNTIF('Master Leads'!O:O,"Yes")</f>
        <v>2</v>
      </c>
    </row>
    <row r="11" spans="1:4" x14ac:dyDescent="0.3">
      <c r="A11" t="s">
        <v>280</v>
      </c>
      <c r="B11">
        <f>MAX(0,COUNTA('Master Leads'!B:B)-1-COUNTIF('Master Leads'!O:O,"Yes"))</f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"/>
  <sheetViews>
    <sheetView workbookViewId="0"/>
  </sheetViews>
  <sheetFormatPr defaultRowHeight="14.4" x14ac:dyDescent="0.3"/>
  <sheetData>
    <row r="1" spans="1:4" x14ac:dyDescent="0.3">
      <c r="A1" t="s">
        <v>70</v>
      </c>
      <c r="B1" t="s">
        <v>28</v>
      </c>
      <c r="C1" t="s">
        <v>63</v>
      </c>
      <c r="D1" t="s">
        <v>71</v>
      </c>
    </row>
    <row r="2" spans="1:4" x14ac:dyDescent="0.3">
      <c r="A2" t="s">
        <v>75</v>
      </c>
      <c r="B2">
        <f>COUNTIF('Master Leads'!D:D,"maheesha")</f>
        <v>1</v>
      </c>
      <c r="C2">
        <f>COUNTIFS('Master Leads'!D:D,"maheesha",'Master Leads'!O:O,"Yes")</f>
        <v>0</v>
      </c>
      <c r="D2">
        <f>COUNTIFS('Master Leads'!D:D,"maheesha",'Master Leads'!F:F,"Converted")</f>
        <v>1</v>
      </c>
    </row>
    <row r="3" spans="1:4" x14ac:dyDescent="0.3">
      <c r="A3" t="s">
        <v>76</v>
      </c>
      <c r="B3">
        <f>COUNTIF('Master Leads'!D:D,"menik")</f>
        <v>0</v>
      </c>
      <c r="C3">
        <f>COUNTIFS('Master Leads'!D:D,"menik",'Master Leads'!O:O,"Yes")</f>
        <v>0</v>
      </c>
      <c r="D3">
        <f>COUNTIFS('Master Leads'!D:D,"menik",'Master Leads'!F:F,"Converted")</f>
        <v>0</v>
      </c>
    </row>
    <row r="4" spans="1:4" x14ac:dyDescent="0.3">
      <c r="A4" t="s">
        <v>77</v>
      </c>
      <c r="B4">
        <f>COUNTIF('Master Leads'!D:D,"kavinda")</f>
        <v>2</v>
      </c>
      <c r="C4">
        <f>COUNTIFS('Master Leads'!D:D,"kavinda",'Master Leads'!O:O,"Yes")</f>
        <v>1</v>
      </c>
      <c r="D4">
        <f>COUNTIFS('Master Leads'!D:D,"kavinda",'Master Leads'!F:F,"Converted")</f>
        <v>0</v>
      </c>
    </row>
    <row r="5" spans="1:4" x14ac:dyDescent="0.3">
      <c r="A5" t="s">
        <v>78</v>
      </c>
      <c r="B5">
        <f>COUNTIF('Master Leads'!D:D,"umesh")</f>
        <v>4</v>
      </c>
      <c r="C5">
        <f>COUNTIFS('Master Leads'!D:D,"umesh",'Master Leads'!O:O,"Yes")</f>
        <v>0</v>
      </c>
      <c r="D5">
        <f>COUNTIFS('Master Leads'!D:D,"umesh",'Master Leads'!F:F,"Converted")</f>
        <v>1</v>
      </c>
    </row>
    <row r="6" spans="1:4" x14ac:dyDescent="0.3">
      <c r="A6" t="s">
        <v>79</v>
      </c>
      <c r="B6">
        <f>COUNTIF('Master Leads'!D:D,"Avishka")</f>
        <v>0</v>
      </c>
      <c r="C6">
        <f>COUNTIFS('Master Leads'!D:D,"Avishka",'Master Leads'!O:O,"Yes")</f>
        <v>0</v>
      </c>
      <c r="D6">
        <f>COUNTIFS('Master Leads'!D:D,"Avishka",'Master Leads'!F:F,"Converted")</f>
        <v>0</v>
      </c>
    </row>
    <row r="7" spans="1:4" x14ac:dyDescent="0.3">
      <c r="A7" t="s">
        <v>80</v>
      </c>
      <c r="B7">
        <f>COUNTIF('Master Leads'!D:D,"Wihanga")</f>
        <v>0</v>
      </c>
      <c r="C7">
        <f>COUNTIFS('Master Leads'!D:D,"Wihanga",'Master Leads'!O:O,"Yes")</f>
        <v>0</v>
      </c>
      <c r="D7">
        <f>COUNTIFS('Master Leads'!D:D,"Wihanga",'Master Leads'!F:F,"Converted")</f>
        <v>0</v>
      </c>
    </row>
    <row r="8" spans="1:4" x14ac:dyDescent="0.3">
      <c r="A8" t="s">
        <v>81</v>
      </c>
      <c r="B8">
        <f>COUNTIF('Master Leads'!D:D,"muthumali")</f>
        <v>1</v>
      </c>
      <c r="C8">
        <f>COUNTIFS('Master Leads'!D:D,"muthumali",'Master Leads'!O:O,"Yes")</f>
        <v>0</v>
      </c>
      <c r="D8">
        <f>COUNTIFS('Master Leads'!D:D,"muthumali",'Master Leads'!F:F,"Converted")</f>
        <v>0</v>
      </c>
    </row>
    <row r="9" spans="1:4" x14ac:dyDescent="0.3">
      <c r="A9" t="s">
        <v>82</v>
      </c>
      <c r="B9">
        <f>COUNTIF('Master Leads'!D:D,"shamali")</f>
        <v>0</v>
      </c>
      <c r="C9">
        <f>COUNTIFS('Master Leads'!D:D,"shamali",'Master Leads'!O:O,"Yes")</f>
        <v>0</v>
      </c>
      <c r="D9">
        <f>COUNTIFS('Master Leads'!D:D,"shamali",'Master Leads'!F:F,"Converted")</f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"/>
  <sheetViews>
    <sheetView workbookViewId="0"/>
  </sheetViews>
  <sheetFormatPr defaultRowHeight="14.4" x14ac:dyDescent="0.3"/>
  <sheetData>
    <row r="1" spans="1:8" x14ac:dyDescent="0.3">
      <c r="A1" t="s">
        <v>70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t="s">
        <v>89</v>
      </c>
    </row>
    <row r="2" spans="1:8" x14ac:dyDescent="0.3">
      <c r="A2" t="s">
        <v>75</v>
      </c>
      <c r="B2">
        <f>COUNTIFS('Master Leads'!D:D,"maheesha",'Master Leads'!G:G,6,'Master Leads'!O:O,"Yes")</f>
        <v>0</v>
      </c>
      <c r="C2">
        <f>COUNTIFS('Master Leads'!D:D,"maheesha",'Master Leads'!G:G,7,'Master Leads'!O:O,"Yes")</f>
        <v>0</v>
      </c>
      <c r="D2">
        <f>COUNTIFS('Master Leads'!D:D,"maheesha",'Master Leads'!G:G,8,'Master Leads'!O:O,"Yes")</f>
        <v>0</v>
      </c>
      <c r="E2">
        <f>COUNTIFS('Master Leads'!D:D,"maheesha",'Master Leads'!G:G,9,'Master Leads'!O:O,"Yes")</f>
        <v>0</v>
      </c>
      <c r="F2">
        <f>COUNTIFS('Master Leads'!D:D,"maheesha",'Master Leads'!G:G,10,'Master Leads'!O:O,"Yes")</f>
        <v>0</v>
      </c>
      <c r="G2">
        <f>COUNTIFS('Master Leads'!D:D,"maheesha",'Master Leads'!G:G,11,'Master Leads'!O:O,"Yes")</f>
        <v>0</v>
      </c>
      <c r="H2">
        <f>COUNTIFS('Master Leads'!D:D,"maheesha",'Master Leads'!O:O,"Yes")</f>
        <v>0</v>
      </c>
    </row>
    <row r="3" spans="1:8" x14ac:dyDescent="0.3">
      <c r="A3" t="s">
        <v>76</v>
      </c>
      <c r="B3">
        <f>COUNTIFS('Master Leads'!D:D,"menik",'Master Leads'!G:G,6,'Master Leads'!O:O,"Yes")</f>
        <v>0</v>
      </c>
      <c r="C3">
        <f>COUNTIFS('Master Leads'!D:D,"menik",'Master Leads'!G:G,7,'Master Leads'!O:O,"Yes")</f>
        <v>0</v>
      </c>
      <c r="D3">
        <f>COUNTIFS('Master Leads'!D:D,"menik",'Master Leads'!G:G,8,'Master Leads'!O:O,"Yes")</f>
        <v>0</v>
      </c>
      <c r="E3">
        <f>COUNTIFS('Master Leads'!D:D,"menik",'Master Leads'!G:G,9,'Master Leads'!O:O,"Yes")</f>
        <v>0</v>
      </c>
      <c r="F3">
        <f>COUNTIFS('Master Leads'!D:D,"menik",'Master Leads'!G:G,10,'Master Leads'!O:O,"Yes")</f>
        <v>0</v>
      </c>
      <c r="G3">
        <f>COUNTIFS('Master Leads'!D:D,"menik",'Master Leads'!G:G,11,'Master Leads'!O:O,"Yes")</f>
        <v>0</v>
      </c>
      <c r="H3">
        <f>COUNTIFS('Master Leads'!D:D,"menik",'Master Leads'!O:O,"Yes")</f>
        <v>0</v>
      </c>
    </row>
    <row r="4" spans="1:8" x14ac:dyDescent="0.3">
      <c r="A4" t="s">
        <v>77</v>
      </c>
      <c r="B4">
        <f>COUNTIFS('Master Leads'!D:D,"kavinda",'Master Leads'!G:G,6,'Master Leads'!O:O,"Yes")</f>
        <v>0</v>
      </c>
      <c r="C4">
        <f>COUNTIFS('Master Leads'!D:D,"kavinda",'Master Leads'!G:G,7,'Master Leads'!O:O,"Yes")</f>
        <v>0</v>
      </c>
      <c r="D4">
        <f>COUNTIFS('Master Leads'!D:D,"kavinda",'Master Leads'!G:G,8,'Master Leads'!O:O,"Yes")</f>
        <v>0</v>
      </c>
      <c r="E4">
        <f>COUNTIFS('Master Leads'!D:D,"kavinda",'Master Leads'!G:G,9,'Master Leads'!O:O,"Yes")</f>
        <v>0</v>
      </c>
      <c r="F4">
        <f>COUNTIFS('Master Leads'!D:D,"kavinda",'Master Leads'!G:G,10,'Master Leads'!O:O,"Yes")</f>
        <v>0</v>
      </c>
      <c r="G4">
        <f>COUNTIFS('Master Leads'!D:D,"kavinda",'Master Leads'!G:G,11,'Master Leads'!O:O,"Yes")</f>
        <v>1</v>
      </c>
      <c r="H4">
        <f>COUNTIFS('Master Leads'!D:D,"kavinda",'Master Leads'!O:O,"Yes")</f>
        <v>1</v>
      </c>
    </row>
    <row r="5" spans="1:8" x14ac:dyDescent="0.3">
      <c r="A5" t="s">
        <v>78</v>
      </c>
      <c r="B5">
        <f>COUNTIFS('Master Leads'!D:D,"umesh",'Master Leads'!G:G,6,'Master Leads'!O:O,"Yes")</f>
        <v>0</v>
      </c>
      <c r="C5">
        <f>COUNTIFS('Master Leads'!D:D,"umesh",'Master Leads'!G:G,7,'Master Leads'!O:O,"Yes")</f>
        <v>0</v>
      </c>
      <c r="D5">
        <f>COUNTIFS('Master Leads'!D:D,"umesh",'Master Leads'!G:G,8,'Master Leads'!O:O,"Yes")</f>
        <v>0</v>
      </c>
      <c r="E5">
        <f>COUNTIFS('Master Leads'!D:D,"umesh",'Master Leads'!G:G,9,'Master Leads'!O:O,"Yes")</f>
        <v>0</v>
      </c>
      <c r="F5">
        <f>COUNTIFS('Master Leads'!D:D,"umesh",'Master Leads'!G:G,10,'Master Leads'!O:O,"Yes")</f>
        <v>0</v>
      </c>
      <c r="G5">
        <f>COUNTIFS('Master Leads'!D:D,"umesh",'Master Leads'!G:G,11,'Master Leads'!O:O,"Yes")</f>
        <v>0</v>
      </c>
      <c r="H5">
        <f>COUNTIFS('Master Leads'!D:D,"umesh",'Master Leads'!O:O,"Yes")</f>
        <v>0</v>
      </c>
    </row>
    <row r="6" spans="1:8" x14ac:dyDescent="0.3">
      <c r="A6" t="s">
        <v>79</v>
      </c>
      <c r="B6">
        <f>COUNTIFS('Master Leads'!D:D,"Avishka",'Master Leads'!G:G,6,'Master Leads'!O:O,"Yes")</f>
        <v>0</v>
      </c>
      <c r="C6">
        <f>COUNTIFS('Master Leads'!D:D,"Avishka",'Master Leads'!G:G,7,'Master Leads'!O:O,"Yes")</f>
        <v>0</v>
      </c>
      <c r="D6">
        <f>COUNTIFS('Master Leads'!D:D,"Avishka",'Master Leads'!G:G,8,'Master Leads'!O:O,"Yes")</f>
        <v>0</v>
      </c>
      <c r="E6">
        <f>COUNTIFS('Master Leads'!D:D,"Avishka",'Master Leads'!G:G,9,'Master Leads'!O:O,"Yes")</f>
        <v>0</v>
      </c>
      <c r="F6">
        <f>COUNTIFS('Master Leads'!D:D,"Avishka",'Master Leads'!G:G,10,'Master Leads'!O:O,"Yes")</f>
        <v>0</v>
      </c>
      <c r="G6">
        <f>COUNTIFS('Master Leads'!D:D,"Avishka",'Master Leads'!G:G,11,'Master Leads'!O:O,"Yes")</f>
        <v>0</v>
      </c>
      <c r="H6">
        <f>COUNTIFS('Master Leads'!D:D,"Avishka",'Master Leads'!O:O,"Yes")</f>
        <v>0</v>
      </c>
    </row>
    <row r="7" spans="1:8" x14ac:dyDescent="0.3">
      <c r="A7" t="s">
        <v>80</v>
      </c>
      <c r="B7">
        <f>COUNTIFS('Master Leads'!D:D,"Wihanga",'Master Leads'!G:G,6,'Master Leads'!O:O,"Yes")</f>
        <v>0</v>
      </c>
      <c r="C7">
        <f>COUNTIFS('Master Leads'!D:D,"Wihanga",'Master Leads'!G:G,7,'Master Leads'!O:O,"Yes")</f>
        <v>0</v>
      </c>
      <c r="D7">
        <f>COUNTIFS('Master Leads'!D:D,"Wihanga",'Master Leads'!G:G,8,'Master Leads'!O:O,"Yes")</f>
        <v>0</v>
      </c>
      <c r="E7">
        <f>COUNTIFS('Master Leads'!D:D,"Wihanga",'Master Leads'!G:G,9,'Master Leads'!O:O,"Yes")</f>
        <v>0</v>
      </c>
      <c r="F7">
        <f>COUNTIFS('Master Leads'!D:D,"Wihanga",'Master Leads'!G:G,10,'Master Leads'!O:O,"Yes")</f>
        <v>0</v>
      </c>
      <c r="G7">
        <f>COUNTIFS('Master Leads'!D:D,"Wihanga",'Master Leads'!G:G,11,'Master Leads'!O:O,"Yes")</f>
        <v>0</v>
      </c>
      <c r="H7">
        <f>COUNTIFS('Master Leads'!D:D,"Wihanga",'Master Leads'!O:O,"Yes")</f>
        <v>0</v>
      </c>
    </row>
    <row r="8" spans="1:8" x14ac:dyDescent="0.3">
      <c r="A8" t="s">
        <v>81</v>
      </c>
      <c r="B8">
        <f>COUNTIFS('Master Leads'!D:D,"muthumali",'Master Leads'!G:G,6,'Master Leads'!O:O,"Yes")</f>
        <v>0</v>
      </c>
      <c r="C8">
        <f>COUNTIFS('Master Leads'!D:D,"muthumali",'Master Leads'!G:G,7,'Master Leads'!O:O,"Yes")</f>
        <v>0</v>
      </c>
      <c r="D8">
        <f>COUNTIFS('Master Leads'!D:D,"muthumali",'Master Leads'!G:G,8,'Master Leads'!O:O,"Yes")</f>
        <v>0</v>
      </c>
      <c r="E8">
        <f>COUNTIFS('Master Leads'!D:D,"muthumali",'Master Leads'!G:G,9,'Master Leads'!O:O,"Yes")</f>
        <v>0</v>
      </c>
      <c r="F8">
        <f>COUNTIFS('Master Leads'!D:D,"muthumali",'Master Leads'!G:G,10,'Master Leads'!O:O,"Yes")</f>
        <v>0</v>
      </c>
      <c r="G8">
        <f>COUNTIFS('Master Leads'!D:D,"muthumali",'Master Leads'!G:G,11,'Master Leads'!O:O,"Yes")</f>
        <v>0</v>
      </c>
      <c r="H8">
        <f>COUNTIFS('Master Leads'!D:D,"muthumali",'Master Leads'!O:O,"Yes")</f>
        <v>0</v>
      </c>
    </row>
    <row r="9" spans="1:8" x14ac:dyDescent="0.3">
      <c r="A9" t="s">
        <v>82</v>
      </c>
      <c r="B9">
        <f>COUNTIFS('Master Leads'!D:D,"shamali",'Master Leads'!G:G,6,'Master Leads'!O:O,"Yes")</f>
        <v>0</v>
      </c>
      <c r="C9">
        <f>COUNTIFS('Master Leads'!D:D,"shamali",'Master Leads'!G:G,7,'Master Leads'!O:O,"Yes")</f>
        <v>0</v>
      </c>
      <c r="D9">
        <f>COUNTIFS('Master Leads'!D:D,"shamali",'Master Leads'!G:G,8,'Master Leads'!O:O,"Yes")</f>
        <v>0</v>
      </c>
      <c r="E9">
        <f>COUNTIFS('Master Leads'!D:D,"shamali",'Master Leads'!G:G,9,'Master Leads'!O:O,"Yes")</f>
        <v>0</v>
      </c>
      <c r="F9">
        <f>COUNTIFS('Master Leads'!D:D,"shamali",'Master Leads'!G:G,10,'Master Leads'!O:O,"Yes")</f>
        <v>0</v>
      </c>
      <c r="G9">
        <f>COUNTIFS('Master Leads'!D:D,"shamali",'Master Leads'!G:G,11,'Master Leads'!O:O,"Yes")</f>
        <v>0</v>
      </c>
      <c r="H9">
        <f>COUNTIFS('Master Leads'!D:D,"shamali",'Master Leads'!O:O,"Yes")</f>
        <v>0</v>
      </c>
    </row>
    <row r="10" spans="1:8" x14ac:dyDescent="0.3">
      <c r="A10" t="s">
        <v>84</v>
      </c>
      <c r="B10">
        <f>COUNTIFS('Master Leads'!G:G,6,'Master Leads'!O:O,"Yes")</f>
        <v>0</v>
      </c>
      <c r="C10">
        <f>COUNTIFS('Master Leads'!G:G,7,'Master Leads'!O:O,"Yes")</f>
        <v>1</v>
      </c>
      <c r="D10">
        <f>COUNTIFS('Master Leads'!G:G,8,'Master Leads'!O:O,"Yes")</f>
        <v>0</v>
      </c>
      <c r="E10">
        <f>COUNTIFS('Master Leads'!G:G,9,'Master Leads'!O:O,"Yes")</f>
        <v>0</v>
      </c>
      <c r="F10">
        <f>COUNTIFS('Master Leads'!G:G,10,'Master Leads'!O:O,"Yes")</f>
        <v>0</v>
      </c>
      <c r="G10">
        <f>COUNTIFS('Master Leads'!G:G,11,'Master Leads'!O:O,"Yes")</f>
        <v>1</v>
      </c>
      <c r="H10">
        <f>COUNTIF('Master Leads'!O:O,"Yes")</f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1"/>
  <sheetViews>
    <sheetView workbookViewId="0"/>
  </sheetViews>
  <sheetFormatPr defaultRowHeight="14.4" x14ac:dyDescent="0.3"/>
  <sheetData>
    <row r="1" spans="1:5" x14ac:dyDescent="0.3">
      <c r="A1" t="s">
        <v>91</v>
      </c>
      <c r="B1" t="s">
        <v>92</v>
      </c>
      <c r="C1" t="s">
        <v>63</v>
      </c>
      <c r="D1" t="s">
        <v>71</v>
      </c>
      <c r="E1" t="s">
        <v>282</v>
      </c>
    </row>
    <row r="2" spans="1:5" x14ac:dyDescent="0.3">
      <c r="A2" t="s">
        <v>93</v>
      </c>
      <c r="B2">
        <f>COUNTIF('Master Leads'!L:L,"B1")</f>
        <v>4</v>
      </c>
      <c r="C2">
        <f>COUNTIFS('Master Leads'!L:L,"B1",'Master Leads'!O:O,"Yes")</f>
        <v>0</v>
      </c>
      <c r="D2">
        <f>COUNTIFS('Master Leads'!L:L,"B1",'Master Leads'!F:F,"Converted")</f>
        <v>1</v>
      </c>
      <c r="E2" s="39">
        <f>IFERROR(COUNTIFS('Master Leads'!L:L,"B1",'Master Leads'!F:F,"Converted")/COUNTIF('Master Leads'!L:L,"B1"),0)</f>
        <v>0.25</v>
      </c>
    </row>
    <row r="3" spans="1:5" x14ac:dyDescent="0.3">
      <c r="A3" t="s">
        <v>94</v>
      </c>
      <c r="B3">
        <f>COUNTIF('Master Leads'!L:L,"B2")</f>
        <v>1</v>
      </c>
      <c r="C3">
        <f>COUNTIFS('Master Leads'!L:L,"B2",'Master Leads'!O:O,"Yes")</f>
        <v>0</v>
      </c>
      <c r="D3">
        <f>COUNTIFS('Master Leads'!L:L,"B2",'Master Leads'!F:F,"Converted")</f>
        <v>0</v>
      </c>
      <c r="E3" s="39">
        <f>IFERROR(COUNTIFS('Master Leads'!L:L,"B2",'Master Leads'!F:F,"Converted")/COUNTIF('Master Leads'!L:L,"B2"),0)</f>
        <v>0</v>
      </c>
    </row>
    <row r="4" spans="1:5" x14ac:dyDescent="0.3">
      <c r="A4" t="s">
        <v>95</v>
      </c>
      <c r="B4">
        <f>COUNTIF('Master Leads'!L:L,"B3")</f>
        <v>0</v>
      </c>
      <c r="C4">
        <f>COUNTIFS('Master Leads'!L:L,"B3",'Master Leads'!O:O,"Yes")</f>
        <v>0</v>
      </c>
      <c r="D4">
        <f>COUNTIFS('Master Leads'!L:L,"B3",'Master Leads'!F:F,"Converted")</f>
        <v>0</v>
      </c>
      <c r="E4" s="39">
        <f>IFERROR(COUNTIFS('Master Leads'!L:L,"B3",'Master Leads'!F:F,"Converted")/COUNTIF('Master Leads'!L:L,"B3"),0)</f>
        <v>0</v>
      </c>
    </row>
    <row r="5" spans="1:5" x14ac:dyDescent="0.3">
      <c r="A5" t="s">
        <v>96</v>
      </c>
      <c r="B5">
        <f>COUNTIF('Master Leads'!L:L,"B4")</f>
        <v>0</v>
      </c>
      <c r="C5">
        <f>COUNTIFS('Master Leads'!L:L,"B4",'Master Leads'!O:O,"Yes")</f>
        <v>0</v>
      </c>
      <c r="D5">
        <f>COUNTIFS('Master Leads'!L:L,"B4",'Master Leads'!F:F,"Converted")</f>
        <v>0</v>
      </c>
      <c r="E5" s="39">
        <f>IFERROR(COUNTIFS('Master Leads'!L:L,"B4",'Master Leads'!F:F,"Converted")/COUNTIF('Master Leads'!L:L,"B4"),0)</f>
        <v>0</v>
      </c>
    </row>
    <row r="6" spans="1:5" x14ac:dyDescent="0.3">
      <c r="A6" t="s">
        <v>97</v>
      </c>
      <c r="B6">
        <f>COUNTIF('Master Leads'!L:L,"B5")</f>
        <v>0</v>
      </c>
      <c r="C6">
        <f>COUNTIFS('Master Leads'!L:L,"B5",'Master Leads'!O:O,"Yes")</f>
        <v>0</v>
      </c>
      <c r="D6">
        <f>COUNTIFS('Master Leads'!L:L,"B5",'Master Leads'!F:F,"Converted")</f>
        <v>0</v>
      </c>
      <c r="E6" s="39">
        <f>IFERROR(COUNTIFS('Master Leads'!L:L,"B5",'Master Leads'!F:F,"Converted")/COUNTIF('Master Leads'!L:L,"B5"),0)</f>
        <v>0</v>
      </c>
    </row>
    <row r="7" spans="1:5" x14ac:dyDescent="0.3">
      <c r="A7" t="s">
        <v>98</v>
      </c>
      <c r="B7">
        <f>COUNTIF('Master Leads'!L:L,"B6")</f>
        <v>0</v>
      </c>
      <c r="C7">
        <f>COUNTIFS('Master Leads'!L:L,"B6",'Master Leads'!O:O,"Yes")</f>
        <v>0</v>
      </c>
      <c r="D7">
        <f>COUNTIFS('Master Leads'!L:L,"B6",'Master Leads'!F:F,"Converted")</f>
        <v>0</v>
      </c>
      <c r="E7" s="39">
        <f>IFERROR(COUNTIFS('Master Leads'!L:L,"B6",'Master Leads'!F:F,"Converted")/COUNTIF('Master Leads'!L:L,"B6"),0)</f>
        <v>0</v>
      </c>
    </row>
    <row r="8" spans="1:5" x14ac:dyDescent="0.3">
      <c r="A8" t="s">
        <v>99</v>
      </c>
      <c r="B8">
        <f>COUNTIF('Master Leads'!L:L,"B7")</f>
        <v>0</v>
      </c>
      <c r="C8">
        <f>COUNTIFS('Master Leads'!L:L,"B7",'Master Leads'!O:O,"Yes")</f>
        <v>0</v>
      </c>
      <c r="D8">
        <f>COUNTIFS('Master Leads'!L:L,"B7",'Master Leads'!F:F,"Converted")</f>
        <v>0</v>
      </c>
      <c r="E8" s="39">
        <f>IFERROR(COUNTIFS('Master Leads'!L:L,"B7",'Master Leads'!F:F,"Converted")/COUNTIF('Master Leads'!L:L,"B7"),0)</f>
        <v>0</v>
      </c>
    </row>
    <row r="9" spans="1:5" x14ac:dyDescent="0.3">
      <c r="A9" t="s">
        <v>100</v>
      </c>
      <c r="B9">
        <f>COUNTIF('Master Leads'!L:L,"B8")</f>
        <v>0</v>
      </c>
      <c r="C9">
        <f>COUNTIFS('Master Leads'!L:L,"B8",'Master Leads'!O:O,"Yes")</f>
        <v>0</v>
      </c>
      <c r="D9">
        <f>COUNTIFS('Master Leads'!L:L,"B8",'Master Leads'!F:F,"Converted")</f>
        <v>0</v>
      </c>
      <c r="E9" s="39">
        <f>IFERROR(COUNTIFS('Master Leads'!L:L,"B8",'Master Leads'!F:F,"Converted")/COUNTIF('Master Leads'!L:L,"B8"),0)</f>
        <v>0</v>
      </c>
    </row>
    <row r="10" spans="1:5" x14ac:dyDescent="0.3">
      <c r="A10" t="s">
        <v>101</v>
      </c>
      <c r="B10">
        <f>COUNTIF('Master Leads'!L:L,"B9")</f>
        <v>0</v>
      </c>
      <c r="C10">
        <f>COUNTIFS('Master Leads'!L:L,"B9",'Master Leads'!O:O,"Yes")</f>
        <v>0</v>
      </c>
      <c r="D10">
        <f>COUNTIFS('Master Leads'!L:L,"B9",'Master Leads'!F:F,"Converted")</f>
        <v>0</v>
      </c>
      <c r="E10" s="39">
        <f>IFERROR(COUNTIFS('Master Leads'!L:L,"B9",'Master Leads'!F:F,"Converted")/COUNTIF('Master Leads'!L:L,"B9"),0)</f>
        <v>0</v>
      </c>
    </row>
    <row r="11" spans="1:5" x14ac:dyDescent="0.3">
      <c r="A11" t="s">
        <v>102</v>
      </c>
      <c r="B11">
        <f>COUNTIF('Master Leads'!L:L,"B10")</f>
        <v>0</v>
      </c>
      <c r="C11">
        <f>COUNTIFS('Master Leads'!L:L,"B10",'Master Leads'!O:O,"Yes")</f>
        <v>0</v>
      </c>
      <c r="D11">
        <f>COUNTIFS('Master Leads'!L:L,"B10",'Master Leads'!F:F,"Converted")</f>
        <v>0</v>
      </c>
      <c r="E11" s="39">
        <f>IFERROR(COUNTIFS('Master Leads'!L:L,"B10",'Master Leads'!F:F,"Converted")/COUNTIF('Master Leads'!L:L,"B10"),0)</f>
        <v>0</v>
      </c>
    </row>
    <row r="12" spans="1:5" x14ac:dyDescent="0.3">
      <c r="A12" t="s">
        <v>103</v>
      </c>
      <c r="B12">
        <f>COUNTIF('Master Leads'!L:L,"B11")</f>
        <v>0</v>
      </c>
      <c r="C12">
        <f>COUNTIFS('Master Leads'!L:L,"B11",'Master Leads'!O:O,"Yes")</f>
        <v>0</v>
      </c>
      <c r="D12">
        <f>COUNTIFS('Master Leads'!L:L,"B11",'Master Leads'!F:F,"Converted")</f>
        <v>0</v>
      </c>
      <c r="E12" s="39">
        <f>IFERROR(COUNTIFS('Master Leads'!L:L,"B11",'Master Leads'!F:F,"Converted")/COUNTIF('Master Leads'!L:L,"B11"),0)</f>
        <v>0</v>
      </c>
    </row>
    <row r="13" spans="1:5" x14ac:dyDescent="0.3">
      <c r="A13" t="s">
        <v>104</v>
      </c>
      <c r="B13">
        <f>COUNTIF('Master Leads'!L:L,"B12")</f>
        <v>0</v>
      </c>
      <c r="C13">
        <f>COUNTIFS('Master Leads'!L:L,"B12",'Master Leads'!O:O,"Yes")</f>
        <v>0</v>
      </c>
      <c r="D13">
        <f>COUNTIFS('Master Leads'!L:L,"B12",'Master Leads'!F:F,"Converted")</f>
        <v>0</v>
      </c>
      <c r="E13" s="39">
        <f>IFERROR(COUNTIFS('Master Leads'!L:L,"B12",'Master Leads'!F:F,"Converted")/COUNTIF('Master Leads'!L:L,"B12"),0)</f>
        <v>0</v>
      </c>
    </row>
    <row r="14" spans="1:5" x14ac:dyDescent="0.3">
      <c r="A14" t="s">
        <v>105</v>
      </c>
      <c r="B14">
        <f>COUNTIF('Master Leads'!L:L,"B13")</f>
        <v>0</v>
      </c>
      <c r="C14">
        <f>COUNTIFS('Master Leads'!L:L,"B13",'Master Leads'!O:O,"Yes")</f>
        <v>0</v>
      </c>
      <c r="D14">
        <f>COUNTIFS('Master Leads'!L:L,"B13",'Master Leads'!F:F,"Converted")</f>
        <v>0</v>
      </c>
      <c r="E14" s="39">
        <f>IFERROR(COUNTIFS('Master Leads'!L:L,"B13",'Master Leads'!F:F,"Converted")/COUNTIF('Master Leads'!L:L,"B13"),0)</f>
        <v>0</v>
      </c>
    </row>
    <row r="15" spans="1:5" x14ac:dyDescent="0.3">
      <c r="A15" t="s">
        <v>106</v>
      </c>
      <c r="B15">
        <f>COUNTIF('Master Leads'!L:L,"B14")</f>
        <v>0</v>
      </c>
      <c r="C15">
        <f>COUNTIFS('Master Leads'!L:L,"B14",'Master Leads'!O:O,"Yes")</f>
        <v>0</v>
      </c>
      <c r="D15">
        <f>COUNTIFS('Master Leads'!L:L,"B14",'Master Leads'!F:F,"Converted")</f>
        <v>0</v>
      </c>
      <c r="E15" s="39">
        <f>IFERROR(COUNTIFS('Master Leads'!L:L,"B14",'Master Leads'!F:F,"Converted")/COUNTIF('Master Leads'!L:L,"B14"),0)</f>
        <v>0</v>
      </c>
    </row>
    <row r="16" spans="1:5" x14ac:dyDescent="0.3">
      <c r="A16" t="s">
        <v>107</v>
      </c>
      <c r="B16">
        <f>COUNTIF('Master Leads'!L:L,"B15")</f>
        <v>0</v>
      </c>
      <c r="C16">
        <f>COUNTIFS('Master Leads'!L:L,"B15",'Master Leads'!O:O,"Yes")</f>
        <v>0</v>
      </c>
      <c r="D16">
        <f>COUNTIFS('Master Leads'!L:L,"B15",'Master Leads'!F:F,"Converted")</f>
        <v>0</v>
      </c>
      <c r="E16" s="39">
        <f>IFERROR(COUNTIFS('Master Leads'!L:L,"B15",'Master Leads'!F:F,"Converted")/COUNTIF('Master Leads'!L:L,"B15"),0)</f>
        <v>0</v>
      </c>
    </row>
    <row r="17" spans="1:5" x14ac:dyDescent="0.3">
      <c r="A17" t="s">
        <v>108</v>
      </c>
      <c r="B17">
        <f>COUNTIF('Master Leads'!L:L,"B16")</f>
        <v>0</v>
      </c>
      <c r="C17">
        <f>COUNTIFS('Master Leads'!L:L,"B16",'Master Leads'!O:O,"Yes")</f>
        <v>0</v>
      </c>
      <c r="D17">
        <f>COUNTIFS('Master Leads'!L:L,"B16",'Master Leads'!F:F,"Converted")</f>
        <v>0</v>
      </c>
      <c r="E17" s="39">
        <f>IFERROR(COUNTIFS('Master Leads'!L:L,"B16",'Master Leads'!F:F,"Converted")/COUNTIF('Master Leads'!L:L,"B16"),0)</f>
        <v>0</v>
      </c>
    </row>
    <row r="18" spans="1:5" x14ac:dyDescent="0.3">
      <c r="A18" t="s">
        <v>109</v>
      </c>
      <c r="B18">
        <f>COUNTIF('Master Leads'!L:L,"B17")</f>
        <v>0</v>
      </c>
      <c r="C18">
        <f>COUNTIFS('Master Leads'!L:L,"B17",'Master Leads'!O:O,"Yes")</f>
        <v>0</v>
      </c>
      <c r="D18">
        <f>COUNTIFS('Master Leads'!L:L,"B17",'Master Leads'!F:F,"Converted")</f>
        <v>0</v>
      </c>
      <c r="E18" s="39">
        <f>IFERROR(COUNTIFS('Master Leads'!L:L,"B17",'Master Leads'!F:F,"Converted")/COUNTIF('Master Leads'!L:L,"B17"),0)</f>
        <v>0</v>
      </c>
    </row>
    <row r="19" spans="1:5" x14ac:dyDescent="0.3">
      <c r="A19" t="s">
        <v>110</v>
      </c>
      <c r="B19">
        <f>COUNTIF('Master Leads'!L:L,"B18")</f>
        <v>0</v>
      </c>
      <c r="C19">
        <f>COUNTIFS('Master Leads'!L:L,"B18",'Master Leads'!O:O,"Yes")</f>
        <v>0</v>
      </c>
      <c r="D19">
        <f>COUNTIFS('Master Leads'!L:L,"B18",'Master Leads'!F:F,"Converted")</f>
        <v>0</v>
      </c>
      <c r="E19" s="39">
        <f>IFERROR(COUNTIFS('Master Leads'!L:L,"B18",'Master Leads'!F:F,"Converted")/COUNTIF('Master Leads'!L:L,"B18"),0)</f>
        <v>0</v>
      </c>
    </row>
    <row r="20" spans="1:5" x14ac:dyDescent="0.3">
      <c r="A20" t="s">
        <v>111</v>
      </c>
      <c r="B20">
        <f>COUNTIF('Master Leads'!L:L,"B19")</f>
        <v>0</v>
      </c>
      <c r="C20">
        <f>COUNTIFS('Master Leads'!L:L,"B19",'Master Leads'!O:O,"Yes")</f>
        <v>0</v>
      </c>
      <c r="D20">
        <f>COUNTIFS('Master Leads'!L:L,"B19",'Master Leads'!F:F,"Converted")</f>
        <v>0</v>
      </c>
      <c r="E20" s="39">
        <f>IFERROR(COUNTIFS('Master Leads'!L:L,"B19",'Master Leads'!F:F,"Converted")/COUNTIF('Master Leads'!L:L,"B19"),0)</f>
        <v>0</v>
      </c>
    </row>
    <row r="21" spans="1:5" x14ac:dyDescent="0.3">
      <c r="A21" t="s">
        <v>112</v>
      </c>
      <c r="B21">
        <f>COUNTIF('Master Leads'!L:L,"B20")</f>
        <v>0</v>
      </c>
      <c r="C21">
        <f>COUNTIFS('Master Leads'!L:L,"B20",'Master Leads'!O:O,"Yes")</f>
        <v>0</v>
      </c>
      <c r="D21">
        <f>COUNTIFS('Master Leads'!L:L,"B20",'Master Leads'!F:F,"Converted")</f>
        <v>0</v>
      </c>
      <c r="E21" s="39">
        <f>IFERROR(COUNTIFS('Master Leads'!L:L,"B20",'Master Leads'!F:F,"Converted")/COUNTIF('Master Leads'!L:L,"B20"),0)</f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5"/>
  <sheetViews>
    <sheetView workbookViewId="0"/>
  </sheetViews>
  <sheetFormatPr defaultRowHeight="14.4" x14ac:dyDescent="0.3"/>
  <sheetData>
    <row r="1" spans="1:2" x14ac:dyDescent="0.3">
      <c r="A1" t="s">
        <v>281</v>
      </c>
      <c r="B1" t="s">
        <v>92</v>
      </c>
    </row>
    <row r="2" spans="1:2" x14ac:dyDescent="0.3">
      <c r="A2" s="26">
        <f ca="1">TODAY()-13</f>
        <v>46210</v>
      </c>
      <c r="B2">
        <f ca="1">COUNTIF('Master Leads'!E:E,TODAY()-13)</f>
        <v>0</v>
      </c>
    </row>
    <row r="3" spans="1:2" x14ac:dyDescent="0.3">
      <c r="A3" s="26">
        <f ca="1">TODAY()-12</f>
        <v>46211</v>
      </c>
      <c r="B3">
        <f ca="1">COUNTIF('Master Leads'!E:E,TODAY()-12)</f>
        <v>0</v>
      </c>
    </row>
    <row r="4" spans="1:2" x14ac:dyDescent="0.3">
      <c r="A4" s="26">
        <f ca="1">TODAY()-11</f>
        <v>46212</v>
      </c>
      <c r="B4">
        <f ca="1">COUNTIF('Master Leads'!E:E,TODAY()-11)</f>
        <v>0</v>
      </c>
    </row>
    <row r="5" spans="1:2" x14ac:dyDescent="0.3">
      <c r="A5" s="26">
        <f ca="1">TODAY()-10</f>
        <v>46213</v>
      </c>
      <c r="B5">
        <f ca="1">COUNTIF('Master Leads'!E:E,TODAY()-10)</f>
        <v>0</v>
      </c>
    </row>
    <row r="6" spans="1:2" x14ac:dyDescent="0.3">
      <c r="A6" s="26">
        <f ca="1">TODAY()-9</f>
        <v>46214</v>
      </c>
      <c r="B6">
        <f ca="1">COUNTIF('Master Leads'!E:E,TODAY()-9)</f>
        <v>0</v>
      </c>
    </row>
    <row r="7" spans="1:2" x14ac:dyDescent="0.3">
      <c r="A7" s="26">
        <f ca="1">TODAY()-8</f>
        <v>46215</v>
      </c>
      <c r="B7">
        <f ca="1">COUNTIF('Master Leads'!E:E,TODAY()-8)</f>
        <v>0</v>
      </c>
    </row>
    <row r="8" spans="1:2" x14ac:dyDescent="0.3">
      <c r="A8" s="26">
        <f ca="1">TODAY()-7</f>
        <v>46216</v>
      </c>
      <c r="B8">
        <f ca="1">COUNTIF('Master Leads'!E:E,TODAY()-7)</f>
        <v>0</v>
      </c>
    </row>
    <row r="9" spans="1:2" x14ac:dyDescent="0.3">
      <c r="A9" s="26">
        <f ca="1">TODAY()-6</f>
        <v>46217</v>
      </c>
      <c r="B9">
        <f ca="1">COUNTIF('Master Leads'!E:E,TODAY()-6)</f>
        <v>0</v>
      </c>
    </row>
    <row r="10" spans="1:2" x14ac:dyDescent="0.3">
      <c r="A10" s="26">
        <f ca="1">TODAY()-5</f>
        <v>46218</v>
      </c>
      <c r="B10">
        <f ca="1">COUNTIF('Master Leads'!E:E,TODAY()-5)</f>
        <v>0</v>
      </c>
    </row>
    <row r="11" spans="1:2" x14ac:dyDescent="0.3">
      <c r="A11" s="26">
        <f ca="1">TODAY()-4</f>
        <v>46219</v>
      </c>
      <c r="B11">
        <f ca="1">COUNTIF('Master Leads'!E:E,TODAY()-4)</f>
        <v>0</v>
      </c>
    </row>
    <row r="12" spans="1:2" x14ac:dyDescent="0.3">
      <c r="A12" s="26">
        <f ca="1">TODAY()-3</f>
        <v>46220</v>
      </c>
      <c r="B12">
        <f ca="1">COUNTIF('Master Leads'!E:E,TODAY()-3)</f>
        <v>0</v>
      </c>
    </row>
    <row r="13" spans="1:2" x14ac:dyDescent="0.3">
      <c r="A13" s="26">
        <f ca="1">TODAY()-2</f>
        <v>46221</v>
      </c>
      <c r="B13">
        <f ca="1">COUNTIF('Master Leads'!E:E,TODAY()-2)</f>
        <v>0</v>
      </c>
    </row>
    <row r="14" spans="1:2" x14ac:dyDescent="0.3">
      <c r="A14" s="26">
        <f ca="1">TODAY()-1</f>
        <v>46222</v>
      </c>
      <c r="B14">
        <f ca="1">COUNTIF('Master Leads'!E:E,TODAY()-1)</f>
        <v>0</v>
      </c>
    </row>
    <row r="15" spans="1:2" x14ac:dyDescent="0.3">
      <c r="A15" s="26">
        <f ca="1">TODAY()-0</f>
        <v>46223</v>
      </c>
      <c r="B15">
        <f ca="1">COUNTIF('Master Leads'!E:E,TODAY()-0)</f>
        <v>0</v>
      </c>
    </row>
    <row r="17" spans="1:2" x14ac:dyDescent="0.3">
      <c r="A17" t="s">
        <v>283</v>
      </c>
      <c r="B17" t="s">
        <v>92</v>
      </c>
    </row>
    <row r="18" spans="1:2" x14ac:dyDescent="0.3">
      <c r="A18" s="26">
        <f ca="1">TODAY()-42</f>
        <v>46181</v>
      </c>
      <c r="B18">
        <f ca="1">COUNTIFS('Master Leads'!E:E,"&gt;="&amp;TODAY()-48,'Master Leads'!E:E,"&lt;="&amp;TODAY()-42)</f>
        <v>0</v>
      </c>
    </row>
    <row r="19" spans="1:2" x14ac:dyDescent="0.3">
      <c r="A19" s="26">
        <f ca="1">TODAY()-35</f>
        <v>46188</v>
      </c>
      <c r="B19">
        <f ca="1">COUNTIFS('Master Leads'!E:E,"&gt;="&amp;TODAY()-41,'Master Leads'!E:E,"&lt;="&amp;TODAY()-35)</f>
        <v>0</v>
      </c>
    </row>
    <row r="20" spans="1:2" x14ac:dyDescent="0.3">
      <c r="A20" s="26">
        <f ca="1">TODAY()-28</f>
        <v>46195</v>
      </c>
      <c r="B20">
        <f ca="1">COUNTIFS('Master Leads'!E:E,"&gt;="&amp;TODAY()-34,'Master Leads'!E:E,"&lt;="&amp;TODAY()-28)</f>
        <v>0</v>
      </c>
    </row>
    <row r="21" spans="1:2" x14ac:dyDescent="0.3">
      <c r="A21" s="26">
        <f ca="1">TODAY()-21</f>
        <v>46202</v>
      </c>
      <c r="B21">
        <f ca="1">COUNTIFS('Master Leads'!E:E,"&gt;="&amp;TODAY()-27,'Master Leads'!E:E,"&lt;="&amp;TODAY()-21)</f>
        <v>0</v>
      </c>
    </row>
    <row r="22" spans="1:2" x14ac:dyDescent="0.3">
      <c r="A22" s="26">
        <f ca="1">TODAY()-14</f>
        <v>46209</v>
      </c>
      <c r="B22">
        <f ca="1">COUNTIFS('Master Leads'!E:E,"&gt;="&amp;TODAY()-20,'Master Leads'!E:E,"&lt;="&amp;TODAY()-14)</f>
        <v>0</v>
      </c>
    </row>
    <row r="23" spans="1:2" x14ac:dyDescent="0.3">
      <c r="A23" s="26">
        <f ca="1">TODAY()-7</f>
        <v>46216</v>
      </c>
      <c r="B23">
        <f ca="1">COUNTIFS('Master Leads'!E:E,"&gt;="&amp;TODAY()-13,'Master Leads'!E:E,"&lt;="&amp;TODAY()-7)</f>
        <v>0</v>
      </c>
    </row>
    <row r="24" spans="1:2" x14ac:dyDescent="0.3">
      <c r="A24" s="26">
        <f ca="1">TODAY()-0</f>
        <v>46223</v>
      </c>
      <c r="B24">
        <f ca="1">COUNTIFS('Master Leads'!E:E,"&gt;="&amp;TODAY()-6,'Master Leads'!E:E,"&lt;="&amp;TODAY()-0)</f>
        <v>0</v>
      </c>
    </row>
    <row r="25" spans="1:2" x14ac:dyDescent="0.3">
      <c r="A25" s="26">
        <f ca="1">TODAY()--7</f>
        <v>46230</v>
      </c>
      <c r="B25">
        <f ca="1">COUNTIFS('Master Leads'!E:E,"&gt;="&amp;TODAY()--1,'Master Leads'!E:E,"&lt;="&amp;TODAY()--7)</f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4"/>
  <sheetViews>
    <sheetView workbookViewId="0"/>
  </sheetViews>
  <sheetFormatPr defaultRowHeight="14.4" x14ac:dyDescent="0.3"/>
  <sheetData>
    <row r="1" spans="1:2" x14ac:dyDescent="0.3">
      <c r="A1" t="s">
        <v>228</v>
      </c>
      <c r="B1" t="s">
        <v>136</v>
      </c>
    </row>
    <row r="2" spans="1:2" x14ac:dyDescent="0.3">
      <c r="A2" t="s">
        <v>137</v>
      </c>
      <c r="B2">
        <f>COUNTIF('Master Leads'!F:F,"New")</f>
        <v>1</v>
      </c>
    </row>
    <row r="3" spans="1:2" x14ac:dyDescent="0.3">
      <c r="A3" t="s">
        <v>138</v>
      </c>
      <c r="B3">
        <f>COUNTIF('Master Leads'!F:F,"Contacted")</f>
        <v>4</v>
      </c>
    </row>
    <row r="4" spans="1:2" x14ac:dyDescent="0.3">
      <c r="A4" t="s">
        <v>139</v>
      </c>
      <c r="B4">
        <f>COUNTIF('Master Leads'!F:F,"Interested")</f>
        <v>0</v>
      </c>
    </row>
    <row r="5" spans="1:2" x14ac:dyDescent="0.3">
      <c r="A5" t="s">
        <v>71</v>
      </c>
      <c r="B5">
        <f>COUNTIF('Master Leads'!F:F,"Converted")</f>
        <v>2</v>
      </c>
    </row>
    <row r="6" spans="1:2" x14ac:dyDescent="0.3">
      <c r="A6" t="s">
        <v>72</v>
      </c>
      <c r="B6">
        <f>COUNTIF('Master Leads'!F:F,"No Answer")</f>
        <v>1</v>
      </c>
    </row>
    <row r="7" spans="1:2" x14ac:dyDescent="0.3">
      <c r="A7" t="s">
        <v>140</v>
      </c>
      <c r="B7">
        <f>COUNTIF('Master Leads'!F:F,"Not Interested")</f>
        <v>1</v>
      </c>
    </row>
    <row r="8" spans="1:2" x14ac:dyDescent="0.3">
      <c r="A8" t="s">
        <v>141</v>
      </c>
      <c r="B8">
        <f>COUNTIF('Master Leads'!F:F,"Follow-up")</f>
        <v>0</v>
      </c>
    </row>
    <row r="9" spans="1:2" x14ac:dyDescent="0.3">
      <c r="A9" t="s">
        <v>142</v>
      </c>
      <c r="B9">
        <f>COUNTIF('Master Leads'!F:F,"Second Call Pending")</f>
        <v>0</v>
      </c>
    </row>
    <row r="10" spans="1:2" x14ac:dyDescent="0.3">
      <c r="A10" t="s">
        <v>143</v>
      </c>
      <c r="B10">
        <f>COUNTIF('Master Leads'!F:F,"Second Call Completed")</f>
        <v>0</v>
      </c>
    </row>
    <row r="12" spans="1:2" x14ac:dyDescent="0.3">
      <c r="A12" t="s">
        <v>230</v>
      </c>
      <c r="B12">
        <f>COUNTIF('Master Leads'!I:I,"Yes")</f>
        <v>1</v>
      </c>
    </row>
    <row r="13" spans="1:2" x14ac:dyDescent="0.3">
      <c r="A13" t="s">
        <v>142</v>
      </c>
      <c r="B13">
        <f>COUNTIF('Master Leads'!I:I,"No")</f>
        <v>3</v>
      </c>
    </row>
    <row r="14" spans="1:2" x14ac:dyDescent="0.3">
      <c r="A14" t="s">
        <v>284</v>
      </c>
      <c r="B14">
        <f>COUNTBLANK('Master Leads'!I2:I10000)</f>
        <v>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 Dashboard</vt:lpstr>
      <vt:lpstr>Grade Interest</vt:lpstr>
      <vt:lpstr>Paid Dashboard</vt:lpstr>
      <vt:lpstr>Member Performance</vt:lpstr>
      <vt:lpstr>Member Paid</vt:lpstr>
      <vt:lpstr>Daily Dashboard</vt:lpstr>
      <vt:lpstr>Repeat Students</vt:lpstr>
      <vt:lpstr>Follow-up Dashboard</vt:lpstr>
      <vt:lpstr>Instructions - READ FIRST</vt:lpstr>
      <vt:lpstr>Members</vt:lpstr>
      <vt:lpstr>Master Leads</vt:lpstr>
      <vt:lpstr>Leads Summary</vt:lpstr>
      <vt:lpstr>_DB1_Data</vt:lpstr>
      <vt:lpstr>_DB2_Data</vt:lpstr>
      <vt:lpstr>_DB3_Data</vt:lpstr>
      <vt:lpstr>_DB4_Data</vt:lpstr>
      <vt:lpstr>_DB5_Data</vt:lpstr>
      <vt:lpstr>_DB6_Data</vt:lpstr>
      <vt:lpstr>_DB7_Data</vt:lpstr>
      <vt:lpstr>_DB8_Data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ACHI_ BRO</cp:lastModifiedBy>
  <dcterms:created xsi:type="dcterms:W3CDTF">2026-07-20T16:18:22Z</dcterms:created>
  <dcterms:modified xsi:type="dcterms:W3CDTF">2026-07-20T17:22:45Z</dcterms:modified>
</cp:coreProperties>
</file>