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eads" sheetId="1" r:id="rId5"/>
    <sheet state="visible" name="Leads Summary" sheetId="2" r:id="rId6"/>
    <sheet state="visible" name="Members" sheetId="3" r:id="rId7"/>
    <sheet state="hidden" name="Instructions" sheetId="4" r:id="rId8"/>
  </sheets>
  <definedNames>
    <definedName hidden="1" localSheetId="0" name="_xlnm._FilterDatabase">'Master Leads'!$A$1:$Z$981</definedName>
    <definedName hidden="1" localSheetId="2" name="_xlnm._FilterDatabase">Members!$A$1:$I$1</definedName>
  </definedNames>
  <calcPr/>
</workbook>
</file>

<file path=xl/sharedStrings.xml><?xml version="1.0" encoding="utf-8"?>
<sst xmlns="http://schemas.openxmlformats.org/spreadsheetml/2006/main" count="14004" uniqueCount="3340">
  <si>
    <t>Phone (Normalized)</t>
  </si>
  <si>
    <t>Raw Phone (as entered)</t>
  </si>
  <si>
    <t>F-Code</t>
  </si>
  <si>
    <t>Assigned Member</t>
  </si>
  <si>
    <t>Date Added</t>
  </si>
  <si>
    <t>Status</t>
  </si>
  <si>
    <t>Grade</t>
  </si>
  <si>
    <t>Comments</t>
  </si>
  <si>
    <t>Campaign / Boost Name</t>
  </si>
  <si>
    <t>Repeat Student?</t>
  </si>
  <si>
    <t>Duplicate Check</t>
  </si>
  <si>
    <t>Previous F-Code (if repeat)</t>
  </si>
  <si>
    <t>Second Call Done</t>
  </si>
  <si>
    <t>Second Call Notes</t>
  </si>
  <si>
    <t>Paid</t>
  </si>
  <si>
    <t>Grade (Final / Interested)</t>
  </si>
  <si>
    <t xml:space="preserve">  CRM LEADS &amp; PERFORMANCE ANALYTICS</t>
  </si>
  <si>
    <t>F70000</t>
  </si>
  <si>
    <t xml:space="preserve">  Real-time team analytics, grade distribution, conversion metrics, unresolved pipelines, and campaign effectiveness.</t>
  </si>
  <si>
    <t>Member Name</t>
  </si>
  <si>
    <t>umesh</t>
  </si>
  <si>
    <t>No Answer</t>
  </si>
  <si>
    <t>S26</t>
  </si>
  <si>
    <t>No</t>
  </si>
  <si>
    <t>Total Leads (auto)</t>
  </si>
  <si>
    <t xml:space="preserve">  Filter Start Date:</t>
  </si>
  <si>
    <t>Converted Leads (auto)</t>
  </si>
  <si>
    <t>LEAD MANAGEMENT SYSTEM v9  —  Google Sheets Edition</t>
  </si>
  <si>
    <t>Paid (auto)</t>
  </si>
  <si>
    <t>No Answer (auto)</t>
  </si>
  <si>
    <t>End Date:</t>
  </si>
  <si>
    <t>HOW TO USE THIS SYSTEM</t>
  </si>
  <si>
    <t>F70001</t>
  </si>
  <si>
    <t>Leave dates blank to view All-Time data. Format: YYYY-MM-DD (e.g. 2026-07-01)</t>
  </si>
  <si>
    <t>kavinda</t>
  </si>
  <si>
    <t>Contacted</t>
  </si>
  <si>
    <t>Conversion Rate (auto)</t>
  </si>
  <si>
    <t>1.  Upload this file to Google Sheets (File &gt; Import, or drag and drop onto drive.google.com)</t>
  </si>
  <si>
    <t>Paid Rate (auto)</t>
  </si>
  <si>
    <t>2.  Go to Extensions &gt; Apps Script and paste the new v9 Apps Script code</t>
  </si>
  <si>
    <t>Date Joined</t>
  </si>
  <si>
    <t>3.  Save the script (Ctrl+S), then reload the sheet</t>
  </si>
  <si>
    <t>Notes / Role</t>
  </si>
  <si>
    <t>4.  A 'Lead Tools' menu will appear at the top</t>
  </si>
  <si>
    <t>maheesha</t>
  </si>
  <si>
    <t>TABLE 1: ALL LEADS BY MEMBER &amp; GRADE</t>
  </si>
  <si>
    <t>LEAD TOOLS MENU OPTIONS</t>
  </si>
  <si>
    <t xml:space="preserve">  Add New Lead         — Enter phone + campaign + member. Auto: F-Code, Date, Duplicate check, Repeat tag</t>
  </si>
  <si>
    <t xml:space="preserve">  Look Up a Number     — See full history of any phone number across all campaigns</t>
  </si>
  <si>
    <t>F70002</t>
  </si>
  <si>
    <t>muthumali</t>
  </si>
  <si>
    <t xml:space="preserve">  Add New Member       — Add a new team member to the Members sheet (auto-updates all dropdowns)</t>
  </si>
  <si>
    <t xml:space="preserve">  Remove Member        — Soft-remove: blanks the name but keeps all their lead history</t>
  </si>
  <si>
    <t>COLUMNS IN MASTER LEADS</t>
  </si>
  <si>
    <t>Grade 6</t>
  </si>
  <si>
    <t xml:space="preserve">  A  Phone (Normalized)      — Auto-formula. Do NOT edit manually.</t>
  </si>
  <si>
    <t>F70003</t>
  </si>
  <si>
    <t>Grade 7</t>
  </si>
  <si>
    <t xml:space="preserve">  B  Raw Phone               — Enter exactly as dialled (+94 / 07xx / 9 digits)</t>
  </si>
  <si>
    <t>Grade 8</t>
  </si>
  <si>
    <t xml:space="preserve">  C  F-Code                  — Auto-assigned. Same number always gets same F-Code.</t>
  </si>
  <si>
    <t>Grade 9</t>
  </si>
  <si>
    <t xml:space="preserve">  D  Assigned Member         — Pick from dropdown (Members sheet auto-feeds this list)</t>
  </si>
  <si>
    <t>Grade 10</t>
  </si>
  <si>
    <t xml:space="preserve">  E  Date Added              — Auto-filled when phone is entered</t>
  </si>
  <si>
    <t>Grade 11</t>
  </si>
  <si>
    <t xml:space="preserve">  F  Status                  — Dropdown: New / Contacted / Interested / Converted / No Answer / etc.</t>
  </si>
  <si>
    <t>F70004</t>
  </si>
  <si>
    <t>Total Leads</t>
  </si>
  <si>
    <t>shamali</t>
  </si>
  <si>
    <t xml:space="preserve">  G  Grade                   — Dropdown: 6, 7, 8, 9, 10, 11</t>
  </si>
  <si>
    <t>Share %</t>
  </si>
  <si>
    <t xml:space="preserve">  H  Comments                — Free text notes</t>
  </si>
  <si>
    <t xml:space="preserve">  I  Second Call Done        — Dropdown: Yes / No</t>
  </si>
  <si>
    <t xml:space="preserve">  J  Second Call Notes       — Notes after second call</t>
  </si>
  <si>
    <t xml:space="preserve">  K  Duplicate Check         — Auto-formula. RED = same phone + same campaign already exists</t>
  </si>
  <si>
    <t xml:space="preserve">  L  Campaign / Boost Name   — e.g. B1, B2, Facebook July etc.</t>
  </si>
  <si>
    <t>F70005</t>
  </si>
  <si>
    <t xml:space="preserve">  M  Repeat Student?         — Auto-formula. Detects if phone was seen in an earlier row.</t>
  </si>
  <si>
    <t xml:space="preserve">  N  Previous F-Code         — Auto-formula. Shows the original F-Code for repeat students.</t>
  </si>
  <si>
    <t xml:space="preserve">  O  Paid                    — Dropdown: Yes / No. Fill after fee is confirmed.</t>
  </si>
  <si>
    <t xml:space="preserve">  P  Grade (Final)           — Final enrolled grade (may differ from initial enquiry)</t>
  </si>
  <si>
    <t>ADDING A NEW MEMBER</t>
  </si>
  <si>
    <t xml:space="preserve">  Option 1 (Recommended): Lead Tools &gt; Add New Member &gt; type their name &gt; Done!</t>
  </si>
  <si>
    <t xml:space="preserve">  Option 2 (Manual):      Go to Members sheet &gt; type name in column A below last entry</t>
  </si>
  <si>
    <t xml:space="preserve">  Both methods: The member dropdown in Master Leads col D will auto-show them immediately.</t>
  </si>
  <si>
    <t>COLOUR CODING IN MASTER LEADS</t>
  </si>
  <si>
    <t xml:space="preserve">  RED row    — Duplicate (same phone + same campaign already logged)</t>
  </si>
  <si>
    <t xml:space="preserve">  ORANGE     — Phone entered but F-Code or Member not yet filled</t>
  </si>
  <si>
    <t xml:space="preserve">  GREEN      — Status = Converted</t>
  </si>
  <si>
    <t xml:space="preserve">  BLUE       — Status = New</t>
  </si>
  <si>
    <t>F70006</t>
  </si>
  <si>
    <t xml:space="preserve">  GREY       — Status = Contacted</t>
  </si>
  <si>
    <t xml:space="preserve">  LIGHT BLUE — Repeat Student row</t>
  </si>
  <si>
    <t>F70007</t>
  </si>
  <si>
    <t>menik</t>
  </si>
  <si>
    <t>F70008</t>
  </si>
  <si>
    <t>kushalya</t>
  </si>
  <si>
    <t>F70009</t>
  </si>
  <si>
    <t>F70010</t>
  </si>
  <si>
    <t>F70011</t>
  </si>
  <si>
    <t xml:space="preserve">  </t>
  </si>
  <si>
    <t>F70012</t>
  </si>
  <si>
    <t>F70013</t>
  </si>
  <si>
    <t>F70014</t>
  </si>
  <si>
    <t>Avishka</t>
  </si>
  <si>
    <t>F70015</t>
  </si>
  <si>
    <t>F70016</t>
  </si>
  <si>
    <t>F70017</t>
  </si>
  <si>
    <t>Wihanga</t>
  </si>
  <si>
    <t>F70018</t>
  </si>
  <si>
    <t>F70019</t>
  </si>
  <si>
    <t>F70020</t>
  </si>
  <si>
    <t>Not Interested</t>
  </si>
  <si>
    <t>F70021</t>
  </si>
  <si>
    <t>F70024</t>
  </si>
  <si>
    <t>F70022</t>
  </si>
  <si>
    <t>F70023</t>
  </si>
  <si>
    <t>F70026</t>
  </si>
  <si>
    <t>F70025</t>
  </si>
  <si>
    <t>Ama</t>
  </si>
  <si>
    <t>F70027</t>
  </si>
  <si>
    <t>F70028</t>
  </si>
  <si>
    <t>TOTAL</t>
  </si>
  <si>
    <t>F70029</t>
  </si>
  <si>
    <t>11,10</t>
  </si>
  <si>
    <t>F70030</t>
  </si>
  <si>
    <t>F70031</t>
  </si>
  <si>
    <t>F70032</t>
  </si>
  <si>
    <t>F70033</t>
  </si>
  <si>
    <t>F70038</t>
  </si>
  <si>
    <t>F70034</t>
  </si>
  <si>
    <t>F70035</t>
  </si>
  <si>
    <t>F70036</t>
  </si>
  <si>
    <t>F70037</t>
  </si>
  <si>
    <t>F70039</t>
  </si>
  <si>
    <t>F70042</t>
  </si>
  <si>
    <t>F70044</t>
  </si>
  <si>
    <t>F70041</t>
  </si>
  <si>
    <t>F70045</t>
  </si>
  <si>
    <t>F70040</t>
  </si>
  <si>
    <t>F70043</t>
  </si>
  <si>
    <t>F70046</t>
  </si>
  <si>
    <t>F70047</t>
  </si>
  <si>
    <t>F70048</t>
  </si>
  <si>
    <t>Second Call Pending</t>
  </si>
  <si>
    <t>F70049</t>
  </si>
  <si>
    <t>F70050</t>
  </si>
  <si>
    <t>En m</t>
  </si>
  <si>
    <t>F70051</t>
  </si>
  <si>
    <t>F70052</t>
  </si>
  <si>
    <t>F70053</t>
  </si>
  <si>
    <t>F70054</t>
  </si>
  <si>
    <t>F70055</t>
  </si>
  <si>
    <t>F70057</t>
  </si>
  <si>
    <t>F70056</t>
  </si>
  <si>
    <t>F70058</t>
  </si>
  <si>
    <t>F70059</t>
  </si>
  <si>
    <t>F70060</t>
  </si>
  <si>
    <t>F70061</t>
  </si>
  <si>
    <t>F70062</t>
  </si>
  <si>
    <t>F70064</t>
  </si>
  <si>
    <t>10,11</t>
  </si>
  <si>
    <t>F70063</t>
  </si>
  <si>
    <t>F70071</t>
  </si>
  <si>
    <t>F70065</t>
  </si>
  <si>
    <t>F70074</t>
  </si>
  <si>
    <t>F70066</t>
  </si>
  <si>
    <t>F70069</t>
  </si>
  <si>
    <t>F70073</t>
  </si>
  <si>
    <t>F70067</t>
  </si>
  <si>
    <t>Invalid</t>
  </si>
  <si>
    <t>F70068</t>
  </si>
  <si>
    <t>Converted</t>
  </si>
  <si>
    <t>F70070</t>
  </si>
  <si>
    <t>F70072</t>
  </si>
  <si>
    <t>F70075</t>
  </si>
  <si>
    <t>F70076</t>
  </si>
  <si>
    <t>F70080</t>
  </si>
  <si>
    <t>8,11</t>
  </si>
  <si>
    <t>F70077</t>
  </si>
  <si>
    <t>F70078</t>
  </si>
  <si>
    <t>F70079</t>
  </si>
  <si>
    <t>F70082</t>
  </si>
  <si>
    <t>F70081</t>
  </si>
  <si>
    <t>F70083</t>
  </si>
  <si>
    <t>F70085</t>
  </si>
  <si>
    <t>F70084</t>
  </si>
  <si>
    <t>ENG M</t>
  </si>
  <si>
    <t>F70086</t>
  </si>
  <si>
    <t>F70087</t>
  </si>
  <si>
    <t>F70088</t>
  </si>
  <si>
    <t>F70089</t>
  </si>
  <si>
    <t>F70090</t>
  </si>
  <si>
    <t>F70091</t>
  </si>
  <si>
    <t>Eng M</t>
  </si>
  <si>
    <t>F70092</t>
  </si>
  <si>
    <t>F70093</t>
  </si>
  <si>
    <t>Off</t>
  </si>
  <si>
    <t>F70112</t>
  </si>
  <si>
    <t>F70094</t>
  </si>
  <si>
    <t>F70095</t>
  </si>
  <si>
    <t>F70097</t>
  </si>
  <si>
    <t>F70096</t>
  </si>
  <si>
    <t>F70098</t>
  </si>
  <si>
    <t>F70100</t>
  </si>
  <si>
    <t>F70103</t>
  </si>
  <si>
    <t>F70106</t>
  </si>
  <si>
    <t>F70099</t>
  </si>
  <si>
    <t>F70101</t>
  </si>
  <si>
    <t>F70102</t>
  </si>
  <si>
    <t>F70104</t>
  </si>
  <si>
    <t>F70105</t>
  </si>
  <si>
    <t>F70107</t>
  </si>
  <si>
    <t>F70108</t>
  </si>
  <si>
    <t>F70109</t>
  </si>
  <si>
    <t>F70110</t>
  </si>
  <si>
    <t>F70111</t>
  </si>
  <si>
    <t>F70113</t>
  </si>
  <si>
    <t>F70114</t>
  </si>
  <si>
    <t>F70115</t>
  </si>
  <si>
    <t>PAPER</t>
  </si>
  <si>
    <t>F70116</t>
  </si>
  <si>
    <t>F70117</t>
  </si>
  <si>
    <t>F70118</t>
  </si>
  <si>
    <t>F70119</t>
  </si>
  <si>
    <t>F70120</t>
  </si>
  <si>
    <t>F70126</t>
  </si>
  <si>
    <t>F70121</t>
  </si>
  <si>
    <t>F70122</t>
  </si>
  <si>
    <t>F70123</t>
  </si>
  <si>
    <t>F70124</t>
  </si>
  <si>
    <t>tiime ba</t>
  </si>
  <si>
    <t>F70125</t>
  </si>
  <si>
    <t>F70128</t>
  </si>
  <si>
    <t>F70127</t>
  </si>
  <si>
    <t>F70134</t>
  </si>
  <si>
    <t>F70129</t>
  </si>
  <si>
    <t>cut</t>
  </si>
  <si>
    <t>F70130</t>
  </si>
  <si>
    <t>F70131</t>
  </si>
  <si>
    <t>F70135</t>
  </si>
  <si>
    <t>nikam baluwe</t>
  </si>
  <si>
    <t>F70132</t>
  </si>
  <si>
    <t>F70133</t>
  </si>
  <si>
    <t>F70136</t>
  </si>
  <si>
    <t>F70139</t>
  </si>
  <si>
    <t>F70137</t>
  </si>
  <si>
    <t>F70138</t>
  </si>
  <si>
    <t>F70140</t>
  </si>
  <si>
    <t>F70141</t>
  </si>
  <si>
    <t>F70142</t>
  </si>
  <si>
    <t>F70143</t>
  </si>
  <si>
    <t>F70144</t>
  </si>
  <si>
    <t>F70145</t>
  </si>
  <si>
    <t>F70146</t>
  </si>
  <si>
    <t>F70147</t>
  </si>
  <si>
    <t>F70148</t>
  </si>
  <si>
    <t>F70149</t>
  </si>
  <si>
    <t>F70151</t>
  </si>
  <si>
    <t>F70150</t>
  </si>
  <si>
    <t>F70152</t>
  </si>
  <si>
    <t>F70153</t>
  </si>
  <si>
    <t>F70154</t>
  </si>
  <si>
    <t>F70156</t>
  </si>
  <si>
    <t>F70155</t>
  </si>
  <si>
    <t>F70157</t>
  </si>
  <si>
    <t>F70158</t>
  </si>
  <si>
    <t>F70161</t>
  </si>
  <si>
    <t>F70159</t>
  </si>
  <si>
    <t>F70160</t>
  </si>
  <si>
    <t>F70162</t>
  </si>
  <si>
    <t>F70163</t>
  </si>
  <si>
    <t>F70164</t>
  </si>
  <si>
    <t>F70167</t>
  </si>
  <si>
    <t>F70165</t>
  </si>
  <si>
    <t>F70166</t>
  </si>
  <si>
    <t>F70169</t>
  </si>
  <si>
    <t>F70168</t>
  </si>
  <si>
    <t>F70170</t>
  </si>
  <si>
    <t>F70171</t>
  </si>
  <si>
    <t>F70172</t>
  </si>
  <si>
    <t>F70173</t>
  </si>
  <si>
    <t>F70174</t>
  </si>
  <si>
    <t>F70175</t>
  </si>
  <si>
    <t>F70177</t>
  </si>
  <si>
    <t>F70176</t>
  </si>
  <si>
    <t>F70178</t>
  </si>
  <si>
    <t>F70179</t>
  </si>
  <si>
    <t>F70180</t>
  </si>
  <si>
    <t>F70181</t>
  </si>
  <si>
    <t>F70182</t>
  </si>
  <si>
    <t>F70183</t>
  </si>
  <si>
    <t>F70184</t>
  </si>
  <si>
    <t>F70185</t>
  </si>
  <si>
    <t>F70186</t>
  </si>
  <si>
    <t>F70187</t>
  </si>
  <si>
    <t>F70188</t>
  </si>
  <si>
    <t>F70189</t>
  </si>
  <si>
    <t>F70193</t>
  </si>
  <si>
    <t>F70190</t>
  </si>
  <si>
    <t>F70191</t>
  </si>
  <si>
    <t>F70192</t>
  </si>
  <si>
    <t>recording</t>
  </si>
  <si>
    <t>F70194</t>
  </si>
  <si>
    <t>F70195</t>
  </si>
  <si>
    <t>F70196</t>
  </si>
  <si>
    <t>F70197</t>
  </si>
  <si>
    <t>F70198</t>
  </si>
  <si>
    <t>F70200</t>
  </si>
  <si>
    <t>F70199</t>
  </si>
  <si>
    <t>F70203</t>
  </si>
  <si>
    <t>F70201</t>
  </si>
  <si>
    <t>TABLE 2: PAID LEADS BY MEMBER &amp; GRADE</t>
  </si>
  <si>
    <t>F70202</t>
  </si>
  <si>
    <t>cut kra</t>
  </si>
  <si>
    <t>F70204</t>
  </si>
  <si>
    <t>Total Paid</t>
  </si>
  <si>
    <t>Paid Share %</t>
  </si>
  <si>
    <t>Conversion %</t>
  </si>
  <si>
    <t>F70205</t>
  </si>
  <si>
    <t>F70206</t>
  </si>
  <si>
    <t>F70207</t>
  </si>
  <si>
    <t>F70208</t>
  </si>
  <si>
    <t>F70210</t>
  </si>
  <si>
    <t>F70209</t>
  </si>
  <si>
    <t>F70211</t>
  </si>
  <si>
    <t>F70212</t>
  </si>
  <si>
    <t>F70213</t>
  </si>
  <si>
    <t>F70214</t>
  </si>
  <si>
    <t>F70215</t>
  </si>
  <si>
    <t>F70218</t>
  </si>
  <si>
    <t>F70216</t>
  </si>
  <si>
    <t>F70217</t>
  </si>
  <si>
    <t>F70219</t>
  </si>
  <si>
    <t>F70220</t>
  </si>
  <si>
    <t>F70221</t>
  </si>
  <si>
    <t>F70222</t>
  </si>
  <si>
    <t>F70223</t>
  </si>
  <si>
    <t>F70226</t>
  </si>
  <si>
    <t>F70224</t>
  </si>
  <si>
    <t>F70225</t>
  </si>
  <si>
    <t>Wada na</t>
  </si>
  <si>
    <t>F70227</t>
  </si>
  <si>
    <t>F70228</t>
  </si>
  <si>
    <t>F70229</t>
  </si>
  <si>
    <t>F70230</t>
  </si>
  <si>
    <t>F70231</t>
  </si>
  <si>
    <t>F70233</t>
  </si>
  <si>
    <t>F70232</t>
  </si>
  <si>
    <t>F70234</t>
  </si>
  <si>
    <t>F70235</t>
  </si>
  <si>
    <t>F70236</t>
  </si>
  <si>
    <t>F70237</t>
  </si>
  <si>
    <t>F70238</t>
  </si>
  <si>
    <t>F70243</t>
  </si>
  <si>
    <t>F70239</t>
  </si>
  <si>
    <t>F70240</t>
  </si>
  <si>
    <t>F70241</t>
  </si>
  <si>
    <t>F70242</t>
  </si>
  <si>
    <t>F70244</t>
  </si>
  <si>
    <t>F70250</t>
  </si>
  <si>
    <t>F70246</t>
  </si>
  <si>
    <t>F46630</t>
  </si>
  <si>
    <t>F70247</t>
  </si>
  <si>
    <t>F70248</t>
  </si>
  <si>
    <t>F70249</t>
  </si>
  <si>
    <t>F70251</t>
  </si>
  <si>
    <t>F70252</t>
  </si>
  <si>
    <t>F70253</t>
  </si>
  <si>
    <t>F70254</t>
  </si>
  <si>
    <t>F70255</t>
  </si>
  <si>
    <t>F70256</t>
  </si>
  <si>
    <t>F70258</t>
  </si>
  <si>
    <t>F70257</t>
  </si>
  <si>
    <t>F70259</t>
  </si>
  <si>
    <t>F45957</t>
  </si>
  <si>
    <t>F70260</t>
  </si>
  <si>
    <t>F70261</t>
  </si>
  <si>
    <t>F70263</t>
  </si>
  <si>
    <t>F70262</t>
  </si>
  <si>
    <t>F70264</t>
  </si>
  <si>
    <t>F70265</t>
  </si>
  <si>
    <t>F70266</t>
  </si>
  <si>
    <t>F70267</t>
  </si>
  <si>
    <t>F70268</t>
  </si>
  <si>
    <t>F70269</t>
  </si>
  <si>
    <t>F70270</t>
  </si>
  <si>
    <t>F70271</t>
  </si>
  <si>
    <t>F70272</t>
  </si>
  <si>
    <t>F70273</t>
  </si>
  <si>
    <t>F70274</t>
  </si>
  <si>
    <t>F70275</t>
  </si>
  <si>
    <t>F70276</t>
  </si>
  <si>
    <t>F70277</t>
  </si>
  <si>
    <t>F70278</t>
  </si>
  <si>
    <t>F70279</t>
  </si>
  <si>
    <t>F70282</t>
  </si>
  <si>
    <t>F70280</t>
  </si>
  <si>
    <t>F70281</t>
  </si>
  <si>
    <t>F70283</t>
  </si>
  <si>
    <t>F70284</t>
  </si>
  <si>
    <t>F70285</t>
  </si>
  <si>
    <t>F48342</t>
  </si>
  <si>
    <t>F70286</t>
  </si>
  <si>
    <t>F70287</t>
  </si>
  <si>
    <t>F70288</t>
  </si>
  <si>
    <t>F70289</t>
  </si>
  <si>
    <t>F70290</t>
  </si>
  <si>
    <t>F56261</t>
  </si>
  <si>
    <t>F70295</t>
  </si>
  <si>
    <t>payment ok</t>
  </si>
  <si>
    <t>F70292</t>
  </si>
  <si>
    <t>Tamil</t>
  </si>
  <si>
    <t>F70293</t>
  </si>
  <si>
    <t>F70294</t>
  </si>
  <si>
    <t>F70296</t>
  </si>
  <si>
    <t>F49746</t>
  </si>
  <si>
    <t>English</t>
  </si>
  <si>
    <t>F70297</t>
  </si>
  <si>
    <t>F70299</t>
  </si>
  <si>
    <t>F70300</t>
  </si>
  <si>
    <t>F70298</t>
  </si>
  <si>
    <t>9,10</t>
  </si>
  <si>
    <t>F70301</t>
  </si>
  <si>
    <t>F70302</t>
  </si>
  <si>
    <t>F70303</t>
  </si>
  <si>
    <t>F70305</t>
  </si>
  <si>
    <t>F70304</t>
  </si>
  <si>
    <t>F70306</t>
  </si>
  <si>
    <t>F70307</t>
  </si>
  <si>
    <t>ahuwe nalu</t>
  </si>
  <si>
    <t>F70308</t>
  </si>
  <si>
    <t>F70309</t>
  </si>
  <si>
    <t>F70310</t>
  </si>
  <si>
    <t>F70311</t>
  </si>
  <si>
    <t>F70313</t>
  </si>
  <si>
    <t>F70312</t>
  </si>
  <si>
    <t>F70314</t>
  </si>
  <si>
    <t>F70315</t>
  </si>
  <si>
    <t>F70316</t>
  </si>
  <si>
    <t>F43188</t>
  </si>
  <si>
    <t>F70317</t>
  </si>
  <si>
    <t>F70322</t>
  </si>
  <si>
    <t>F70318</t>
  </si>
  <si>
    <t>F70319</t>
  </si>
  <si>
    <t>F70320</t>
  </si>
  <si>
    <t>F70321</t>
  </si>
  <si>
    <t>F70323</t>
  </si>
  <si>
    <t>F70324</t>
  </si>
  <si>
    <t>F70327</t>
  </si>
  <si>
    <t>F70328</t>
  </si>
  <si>
    <t>time</t>
  </si>
  <si>
    <t>F70325</t>
  </si>
  <si>
    <t>F70326</t>
  </si>
  <si>
    <t>F70329</t>
  </si>
  <si>
    <t>F70330</t>
  </si>
  <si>
    <t>F70331</t>
  </si>
  <si>
    <t>F70332</t>
  </si>
  <si>
    <t>F70333</t>
  </si>
  <si>
    <t>F70334</t>
  </si>
  <si>
    <t>F70335</t>
  </si>
  <si>
    <t>F70336</t>
  </si>
  <si>
    <t>F70337</t>
  </si>
  <si>
    <t>F70338</t>
  </si>
  <si>
    <t>F70339</t>
  </si>
  <si>
    <t>visthara lebila</t>
  </si>
  <si>
    <t>F70340</t>
  </si>
  <si>
    <t>F70341</t>
  </si>
  <si>
    <t>F70342</t>
  </si>
  <si>
    <t>F70343</t>
  </si>
  <si>
    <t>F70345</t>
  </si>
  <si>
    <t>F70344</t>
  </si>
  <si>
    <t>F70346</t>
  </si>
  <si>
    <t>F70347</t>
  </si>
  <si>
    <t>F70348</t>
  </si>
  <si>
    <t>F70350</t>
  </si>
  <si>
    <t>F70352</t>
  </si>
  <si>
    <t>F70349</t>
  </si>
  <si>
    <t>F70351</t>
  </si>
  <si>
    <t>F55913</t>
  </si>
  <si>
    <t>F70354</t>
  </si>
  <si>
    <t>F70356</t>
  </si>
  <si>
    <t>F70355</t>
  </si>
  <si>
    <t>F70357</t>
  </si>
  <si>
    <t>F70359</t>
  </si>
  <si>
    <t>F70358</t>
  </si>
  <si>
    <t>F70362</t>
  </si>
  <si>
    <t>F70360</t>
  </si>
  <si>
    <t>F70361</t>
  </si>
  <si>
    <t>F70364</t>
  </si>
  <si>
    <t>F70363</t>
  </si>
  <si>
    <t>F70365</t>
  </si>
  <si>
    <t>F12046</t>
  </si>
  <si>
    <t>Free</t>
  </si>
  <si>
    <t>F70367</t>
  </si>
  <si>
    <t>F70366</t>
  </si>
  <si>
    <t>F70368</t>
  </si>
  <si>
    <t>F70369</t>
  </si>
  <si>
    <t>F57200</t>
  </si>
  <si>
    <t>F70370</t>
  </si>
  <si>
    <t>F70371</t>
  </si>
  <si>
    <t>F70372</t>
  </si>
  <si>
    <t>F70373</t>
  </si>
  <si>
    <t>F70374</t>
  </si>
  <si>
    <t>F70375</t>
  </si>
  <si>
    <t>F70376</t>
  </si>
  <si>
    <t>F70379</t>
  </si>
  <si>
    <t>F70378</t>
  </si>
  <si>
    <t>F70380</t>
  </si>
  <si>
    <t>F70381</t>
  </si>
  <si>
    <t>F70382</t>
  </si>
  <si>
    <t>F70383</t>
  </si>
  <si>
    <t>F70384</t>
  </si>
  <si>
    <t>F70385</t>
  </si>
  <si>
    <t>F70386</t>
  </si>
  <si>
    <t>F70388</t>
  </si>
  <si>
    <t>F70387</t>
  </si>
  <si>
    <t>F70389</t>
  </si>
  <si>
    <t>F70390</t>
  </si>
  <si>
    <t>F70391</t>
  </si>
  <si>
    <t>F70392</t>
  </si>
  <si>
    <t>F70393</t>
  </si>
  <si>
    <t>TOTAL PAID</t>
  </si>
  <si>
    <t>F70394</t>
  </si>
  <si>
    <t>F70395</t>
  </si>
  <si>
    <t>F70397</t>
  </si>
  <si>
    <t>F70396</t>
  </si>
  <si>
    <t>F70398</t>
  </si>
  <si>
    <t>F70399</t>
  </si>
  <si>
    <t>F70400</t>
  </si>
  <si>
    <t>F70401</t>
  </si>
  <si>
    <t>ENE NA</t>
  </si>
  <si>
    <t>F70403</t>
  </si>
  <si>
    <t>F70402</t>
  </si>
  <si>
    <t>Waraidila</t>
  </si>
  <si>
    <t>F70404</t>
  </si>
  <si>
    <t>F70405</t>
  </si>
  <si>
    <t>TABLE 3: UNRESOLVED LEADS PIPELINE BY MEMBER</t>
  </si>
  <si>
    <t>F70407</t>
  </si>
  <si>
    <t>waradila lu</t>
  </si>
  <si>
    <t>New Leads</t>
  </si>
  <si>
    <t>Interested</t>
  </si>
  <si>
    <t>F70406</t>
  </si>
  <si>
    <t>Other Pending</t>
  </si>
  <si>
    <t>Total Unresolved</t>
  </si>
  <si>
    <t>Unresolved %</t>
  </si>
  <si>
    <t>kalin ims eke</t>
  </si>
  <si>
    <t>Actionable Rate</t>
  </si>
  <si>
    <t>F70408</t>
  </si>
  <si>
    <t>F70409</t>
  </si>
  <si>
    <t>New</t>
  </si>
  <si>
    <t>F70410</t>
  </si>
  <si>
    <t>F70411</t>
  </si>
  <si>
    <t>F70415</t>
  </si>
  <si>
    <t>F70412</t>
  </si>
  <si>
    <t>F70413</t>
  </si>
  <si>
    <t>F70414</t>
  </si>
  <si>
    <t>F70416</t>
  </si>
  <si>
    <t>F70417</t>
  </si>
  <si>
    <t>F70418</t>
  </si>
  <si>
    <t>F70419</t>
  </si>
  <si>
    <t>F70420</t>
  </si>
  <si>
    <t>F184</t>
  </si>
  <si>
    <t>F70421</t>
  </si>
  <si>
    <t>F70423</t>
  </si>
  <si>
    <t>F70424</t>
  </si>
  <si>
    <t>taime ba</t>
  </si>
  <si>
    <t>F70425</t>
  </si>
  <si>
    <t>F31027</t>
  </si>
  <si>
    <t>F70426</t>
  </si>
  <si>
    <t>F70428</t>
  </si>
  <si>
    <t>Follow-up</t>
  </si>
  <si>
    <t>ene na</t>
  </si>
  <si>
    <t>F70429</t>
  </si>
  <si>
    <t>F70430</t>
  </si>
  <si>
    <t>F70431</t>
  </si>
  <si>
    <t>F70432</t>
  </si>
  <si>
    <t>F70440</t>
  </si>
  <si>
    <t>F70433</t>
  </si>
  <si>
    <t>F70435</t>
  </si>
  <si>
    <t>F70434</t>
  </si>
  <si>
    <t>F70436</t>
  </si>
  <si>
    <t>F70439</t>
  </si>
  <si>
    <t>F70437</t>
  </si>
  <si>
    <t>F70438</t>
  </si>
  <si>
    <t>F70442</t>
  </si>
  <si>
    <t>F70441</t>
  </si>
  <si>
    <t>F70444</t>
  </si>
  <si>
    <t>F70443</t>
  </si>
  <si>
    <t>F70445</t>
  </si>
  <si>
    <t>F70446</t>
  </si>
  <si>
    <t>time pss</t>
  </si>
  <si>
    <t>F70447</t>
  </si>
  <si>
    <t>time pass</t>
  </si>
  <si>
    <t>F70448</t>
  </si>
  <si>
    <t>F70449</t>
  </si>
  <si>
    <t>F70452</t>
  </si>
  <si>
    <t>F70450</t>
  </si>
  <si>
    <t>F70451</t>
  </si>
  <si>
    <t>m1 dnnm kiw</t>
  </si>
  <si>
    <t>F70453</t>
  </si>
  <si>
    <t>F70454</t>
  </si>
  <si>
    <t>F70455</t>
  </si>
  <si>
    <t>Busy</t>
  </si>
  <si>
    <t>F70456</t>
  </si>
  <si>
    <t>t pass</t>
  </si>
  <si>
    <t>F70457</t>
  </si>
  <si>
    <t>F70458</t>
  </si>
  <si>
    <t>F70459</t>
  </si>
  <si>
    <t>F70460</t>
  </si>
  <si>
    <t>m 1 dnnm k</t>
  </si>
  <si>
    <t>F70463</t>
  </si>
  <si>
    <t>F70461</t>
  </si>
  <si>
    <t>F70462</t>
  </si>
  <si>
    <t>clz ekata joine vela</t>
  </si>
  <si>
    <t>F70464</t>
  </si>
  <si>
    <t>F70466</t>
  </si>
  <si>
    <t>F70468</t>
  </si>
  <si>
    <t>F70465</t>
  </si>
  <si>
    <t>F70467</t>
  </si>
  <si>
    <t>F70469</t>
  </si>
  <si>
    <t>time passd</t>
  </si>
  <si>
    <t>F70470</t>
  </si>
  <si>
    <t>F70474</t>
  </si>
  <si>
    <t>F70471</t>
  </si>
  <si>
    <t>F70472</t>
  </si>
  <si>
    <t>F70473</t>
  </si>
  <si>
    <t>F70477</t>
  </si>
  <si>
    <t>F70475</t>
  </si>
  <si>
    <t>F70476</t>
  </si>
  <si>
    <t>F70478</t>
  </si>
  <si>
    <t>m1 dnnm k</t>
  </si>
  <si>
    <t>F70479</t>
  </si>
  <si>
    <t>F70480</t>
  </si>
  <si>
    <t>F70481</t>
  </si>
  <si>
    <t>F70482</t>
  </si>
  <si>
    <t>F70483</t>
  </si>
  <si>
    <t>F70485</t>
  </si>
  <si>
    <t>F70484</t>
  </si>
  <si>
    <t>F70489</t>
  </si>
  <si>
    <t>F70488</t>
  </si>
  <si>
    <t>F70486</t>
  </si>
  <si>
    <t>F70487</t>
  </si>
  <si>
    <t>F70490</t>
  </si>
  <si>
    <t>F70492</t>
  </si>
  <si>
    <t>F70491</t>
  </si>
  <si>
    <t>F70494</t>
  </si>
  <si>
    <t>Wrong number</t>
  </si>
  <si>
    <t>F70493</t>
  </si>
  <si>
    <t>time passed</t>
  </si>
  <si>
    <t>F70496</t>
  </si>
  <si>
    <t>F70499</t>
  </si>
  <si>
    <t>F70495</t>
  </si>
  <si>
    <t>F70497</t>
  </si>
  <si>
    <t>F70498</t>
  </si>
  <si>
    <t>F70502</t>
  </si>
  <si>
    <t>F70500</t>
  </si>
  <si>
    <t>F70501</t>
  </si>
  <si>
    <t>F70503</t>
  </si>
  <si>
    <t>F70504</t>
  </si>
  <si>
    <t>F70507</t>
  </si>
  <si>
    <t>F70505</t>
  </si>
  <si>
    <t>F70508</t>
  </si>
  <si>
    <t>time ba</t>
  </si>
  <si>
    <t>F70506</t>
  </si>
  <si>
    <t>F70509</t>
  </si>
  <si>
    <t>F70510</t>
  </si>
  <si>
    <t>F70511</t>
  </si>
  <si>
    <t xml:space="preserve">m 1dnnm k </t>
  </si>
  <si>
    <t>F70512</t>
  </si>
  <si>
    <t>F70513</t>
  </si>
  <si>
    <t>F70514</t>
  </si>
  <si>
    <t>F70515</t>
  </si>
  <si>
    <t>F70516</t>
  </si>
  <si>
    <t>F70517</t>
  </si>
  <si>
    <t>F70520</t>
  </si>
  <si>
    <t>F70518</t>
  </si>
  <si>
    <t>F70519</t>
  </si>
  <si>
    <t>F70521</t>
  </si>
  <si>
    <t>F70522</t>
  </si>
  <si>
    <t>F70555</t>
  </si>
  <si>
    <t>SEMINA</t>
  </si>
  <si>
    <t>F70523</t>
  </si>
  <si>
    <t>F70524</t>
  </si>
  <si>
    <t>F70525</t>
  </si>
  <si>
    <t>F70527</t>
  </si>
  <si>
    <t>F70526</t>
  </si>
  <si>
    <t>F70528</t>
  </si>
  <si>
    <t>F70530</t>
  </si>
  <si>
    <t>F70529</t>
  </si>
  <si>
    <t>F70531</t>
  </si>
  <si>
    <t>F70532</t>
  </si>
  <si>
    <t>F70533</t>
  </si>
  <si>
    <t>F70534</t>
  </si>
  <si>
    <t>F70535</t>
  </si>
  <si>
    <t>F70536</t>
  </si>
  <si>
    <t>F70537</t>
  </si>
  <si>
    <t>F70538</t>
  </si>
  <si>
    <t>F70539</t>
  </si>
  <si>
    <t>time paassd</t>
  </si>
  <si>
    <t>F70540</t>
  </si>
  <si>
    <t>F70541</t>
  </si>
  <si>
    <t>F70542</t>
  </si>
  <si>
    <t>F70543</t>
  </si>
  <si>
    <t>F70544</t>
  </si>
  <si>
    <t>F70545</t>
  </si>
  <si>
    <t>F70546</t>
  </si>
  <si>
    <t>m 1 dnnm</t>
  </si>
  <si>
    <t>F70548</t>
  </si>
  <si>
    <t>F70547</t>
  </si>
  <si>
    <t>F70549</t>
  </si>
  <si>
    <t>F70550</t>
  </si>
  <si>
    <t>F70552</t>
  </si>
  <si>
    <t>F70551</t>
  </si>
  <si>
    <t>F70553</t>
  </si>
  <si>
    <t>m 1 dnnm kiw</t>
  </si>
  <si>
    <t>F70556</t>
  </si>
  <si>
    <t>F70554</t>
  </si>
  <si>
    <t>F70557</t>
  </si>
  <si>
    <t>F70559</t>
  </si>
  <si>
    <t>F70558</t>
  </si>
  <si>
    <t>F70560</t>
  </si>
  <si>
    <t>F70561</t>
  </si>
  <si>
    <t>F70562</t>
  </si>
  <si>
    <t>F70563</t>
  </si>
  <si>
    <t>m1 dnnm</t>
  </si>
  <si>
    <t>F70567</t>
  </si>
  <si>
    <t>F70564</t>
  </si>
  <si>
    <t>F70565</t>
  </si>
  <si>
    <t>F70566</t>
  </si>
  <si>
    <t>F70568</t>
  </si>
  <si>
    <t>F70569</t>
  </si>
  <si>
    <t>F70570</t>
  </si>
  <si>
    <t>F70571</t>
  </si>
  <si>
    <t>F70573</t>
  </si>
  <si>
    <t>F70574</t>
  </si>
  <si>
    <t>t psd</t>
  </si>
  <si>
    <t>F70572</t>
  </si>
  <si>
    <t>F70575</t>
  </si>
  <si>
    <t>F70576</t>
  </si>
  <si>
    <t>F70577</t>
  </si>
  <si>
    <t>F70578</t>
  </si>
  <si>
    <t>F70579</t>
  </si>
  <si>
    <t>F70580</t>
  </si>
  <si>
    <t>F70581</t>
  </si>
  <si>
    <t>F70584</t>
  </si>
  <si>
    <t>F70582</t>
  </si>
  <si>
    <t>F70583</t>
  </si>
  <si>
    <t>F70585</t>
  </si>
  <si>
    <t>F70589</t>
  </si>
  <si>
    <t>F70587</t>
  </si>
  <si>
    <t>F70588</t>
  </si>
  <si>
    <t>F70594</t>
  </si>
  <si>
    <t>F70590</t>
  </si>
  <si>
    <t>Call Another Number</t>
  </si>
  <si>
    <t>F70591</t>
  </si>
  <si>
    <t>F70592</t>
  </si>
  <si>
    <t>F70593</t>
  </si>
  <si>
    <t>F70597</t>
  </si>
  <si>
    <t>eng m</t>
  </si>
  <si>
    <t>F70595</t>
  </si>
  <si>
    <t>F70596</t>
  </si>
  <si>
    <t>F70598</t>
  </si>
  <si>
    <t>F70599</t>
  </si>
  <si>
    <t>F70604</t>
  </si>
  <si>
    <t>F70600</t>
  </si>
  <si>
    <t>F70601</t>
  </si>
  <si>
    <t>F70602</t>
  </si>
  <si>
    <t>F70603</t>
  </si>
  <si>
    <t>F70607</t>
  </si>
  <si>
    <t>F70605</t>
  </si>
  <si>
    <t>F70606</t>
  </si>
  <si>
    <t>F70608</t>
  </si>
  <si>
    <t>F70610</t>
  </si>
  <si>
    <t>F70609</t>
  </si>
  <si>
    <t>m 1dnnm kiw</t>
  </si>
  <si>
    <t>F70613</t>
  </si>
  <si>
    <t>F70611</t>
  </si>
  <si>
    <t>F70612</t>
  </si>
  <si>
    <t>F70614</t>
  </si>
  <si>
    <t>F70615</t>
  </si>
  <si>
    <t>F70616</t>
  </si>
  <si>
    <t>F70617</t>
  </si>
  <si>
    <t>F70618</t>
  </si>
  <si>
    <t>F70619</t>
  </si>
  <si>
    <t>TOTAL UNRESOLVED</t>
  </si>
  <si>
    <t>F70621</t>
  </si>
  <si>
    <t>F70620</t>
  </si>
  <si>
    <t>F70622</t>
  </si>
  <si>
    <t>F70623</t>
  </si>
  <si>
    <t>F70624</t>
  </si>
  <si>
    <t>F70625</t>
  </si>
  <si>
    <t>F70626</t>
  </si>
  <si>
    <t>F70627</t>
  </si>
  <si>
    <t>F70628</t>
  </si>
  <si>
    <t>F70629</t>
  </si>
  <si>
    <t>F70630</t>
  </si>
  <si>
    <t>F70631</t>
  </si>
  <si>
    <t>F70632</t>
  </si>
  <si>
    <t>F70633</t>
  </si>
  <si>
    <t>F70635</t>
  </si>
  <si>
    <t>TABLE 4: CAMPAIGN ROI &amp; PERFORMANCE MATRIX</t>
  </si>
  <si>
    <t>F70634</t>
  </si>
  <si>
    <t>Campaign / Boost</t>
  </si>
  <si>
    <t>Paid Students</t>
  </si>
  <si>
    <t>F70636</t>
  </si>
  <si>
    <t>Active Pipeline</t>
  </si>
  <si>
    <t>F70637</t>
  </si>
  <si>
    <t>F70638</t>
  </si>
  <si>
    <t>F70639</t>
  </si>
  <si>
    <t>F70640</t>
  </si>
  <si>
    <t>F70641</t>
  </si>
  <si>
    <t>F70642</t>
  </si>
  <si>
    <t>F70643</t>
  </si>
  <si>
    <t>F70644</t>
  </si>
  <si>
    <t>S27</t>
  </si>
  <si>
    <t>F70646</t>
  </si>
  <si>
    <t>F70645</t>
  </si>
  <si>
    <t>F70647</t>
  </si>
  <si>
    <t>F70648</t>
  </si>
  <si>
    <t>F70649</t>
  </si>
  <si>
    <t>F70650</t>
  </si>
  <si>
    <t>F70651</t>
  </si>
  <si>
    <t>TOTAL CAMPAIGN</t>
  </si>
  <si>
    <t>F70652</t>
  </si>
  <si>
    <t>F70653</t>
  </si>
  <si>
    <t>F70654</t>
  </si>
  <si>
    <t>F70656</t>
  </si>
  <si>
    <t>F70655</t>
  </si>
  <si>
    <t>F70657</t>
  </si>
  <si>
    <t>F70658</t>
  </si>
  <si>
    <t>F70659</t>
  </si>
  <si>
    <t>F70660</t>
  </si>
  <si>
    <t>F70661</t>
  </si>
  <si>
    <t>F70662</t>
  </si>
  <si>
    <t>F70663</t>
  </si>
  <si>
    <t>F70664</t>
  </si>
  <si>
    <t>F70668</t>
  </si>
  <si>
    <t>F70665</t>
  </si>
  <si>
    <t>F70666</t>
  </si>
  <si>
    <t>F70667</t>
  </si>
  <si>
    <t>F70681</t>
  </si>
  <si>
    <t>F70669</t>
  </si>
  <si>
    <t>F70670</t>
  </si>
  <si>
    <t>F70671</t>
  </si>
  <si>
    <t>F70672</t>
  </si>
  <si>
    <t>F70673</t>
  </si>
  <si>
    <t>F70674</t>
  </si>
  <si>
    <t>F70675</t>
  </si>
  <si>
    <t>F70676</t>
  </si>
  <si>
    <t>F70677</t>
  </si>
  <si>
    <t>F70679</t>
  </si>
  <si>
    <t>F70678</t>
  </si>
  <si>
    <t>F70680</t>
  </si>
  <si>
    <t>F70682</t>
  </si>
  <si>
    <t>F70683</t>
  </si>
  <si>
    <t>F70684</t>
  </si>
  <si>
    <t>F70685</t>
  </si>
  <si>
    <t>F70686</t>
  </si>
  <si>
    <t>F70687</t>
  </si>
  <si>
    <t>F70688</t>
  </si>
  <si>
    <t>F70689</t>
  </si>
  <si>
    <t>F70690</t>
  </si>
  <si>
    <t>F70698</t>
  </si>
  <si>
    <t>F70691</t>
  </si>
  <si>
    <t>F70692</t>
  </si>
  <si>
    <t>F70693</t>
  </si>
  <si>
    <t>F70694</t>
  </si>
  <si>
    <t>F70695</t>
  </si>
  <si>
    <t>F70696</t>
  </si>
  <si>
    <t>F70697</t>
  </si>
  <si>
    <t>F70699</t>
  </si>
  <si>
    <t>F70700</t>
  </si>
  <si>
    <t>F70701</t>
  </si>
  <si>
    <t>F70702</t>
  </si>
  <si>
    <t>m1dnnm kiw</t>
  </si>
  <si>
    <t>F70703</t>
  </si>
  <si>
    <t>F70704</t>
  </si>
  <si>
    <t>F70705</t>
  </si>
  <si>
    <t>F70706</t>
  </si>
  <si>
    <t>F70707</t>
  </si>
  <si>
    <t>F70708</t>
  </si>
  <si>
    <t>F70709</t>
  </si>
  <si>
    <t>F70710</t>
  </si>
  <si>
    <t>F70712</t>
  </si>
  <si>
    <t>F70711</t>
  </si>
  <si>
    <t>F70713</t>
  </si>
  <si>
    <t>F70714</t>
  </si>
  <si>
    <t>F70715</t>
  </si>
  <si>
    <t>F70718</t>
  </si>
  <si>
    <t>F70716</t>
  </si>
  <si>
    <t>F70722</t>
  </si>
  <si>
    <t>F70717</t>
  </si>
  <si>
    <t>F70719</t>
  </si>
  <si>
    <t>F70720</t>
  </si>
  <si>
    <t>F70721</t>
  </si>
  <si>
    <t>F70728</t>
  </si>
  <si>
    <t>F70725</t>
  </si>
  <si>
    <t>F70723</t>
  </si>
  <si>
    <t>F70724</t>
  </si>
  <si>
    <t>F70726</t>
  </si>
  <si>
    <t>F70727</t>
  </si>
  <si>
    <t>F70729</t>
  </si>
  <si>
    <t>F70730</t>
  </si>
  <si>
    <t>F70731</t>
  </si>
  <si>
    <t>F70732</t>
  </si>
  <si>
    <t>F70733</t>
  </si>
  <si>
    <t>F70734</t>
  </si>
  <si>
    <t>F70735</t>
  </si>
  <si>
    <t>F70736</t>
  </si>
  <si>
    <t>F70737</t>
  </si>
  <si>
    <t>F70739</t>
  </si>
  <si>
    <t>F70738</t>
  </si>
  <si>
    <t>F70740</t>
  </si>
  <si>
    <t>F70741</t>
  </si>
  <si>
    <t>F70742</t>
  </si>
  <si>
    <t>F70743</t>
  </si>
  <si>
    <t>F70744</t>
  </si>
  <si>
    <t>F70745</t>
  </si>
  <si>
    <t>F70746</t>
  </si>
  <si>
    <t>F70747</t>
  </si>
  <si>
    <t>F70748</t>
  </si>
  <si>
    <t>F70749</t>
  </si>
  <si>
    <t>F70750</t>
  </si>
  <si>
    <t>F70751</t>
  </si>
  <si>
    <t>F70752</t>
  </si>
  <si>
    <t>F70753</t>
  </si>
  <si>
    <t>F70755</t>
  </si>
  <si>
    <t>F70754</t>
  </si>
  <si>
    <t>F70756</t>
  </si>
  <si>
    <t>F70757</t>
  </si>
  <si>
    <t>F70758</t>
  </si>
  <si>
    <t>F70759</t>
  </si>
  <si>
    <t>F70760</t>
  </si>
  <si>
    <t>F70761</t>
  </si>
  <si>
    <t>F70762</t>
  </si>
  <si>
    <t>F70763</t>
  </si>
  <si>
    <t>F70764</t>
  </si>
  <si>
    <t>F70765</t>
  </si>
  <si>
    <t>F70766</t>
  </si>
  <si>
    <t>F70767</t>
  </si>
  <si>
    <t>F70768</t>
  </si>
  <si>
    <t>F70769</t>
  </si>
  <si>
    <t>F70770</t>
  </si>
  <si>
    <t>F70771</t>
  </si>
  <si>
    <t>F70772</t>
  </si>
  <si>
    <t>F70773</t>
  </si>
  <si>
    <t>F70774</t>
  </si>
  <si>
    <t>F70775</t>
  </si>
  <si>
    <t>F70776</t>
  </si>
  <si>
    <t>F70777</t>
  </si>
  <si>
    <t>F70778</t>
  </si>
  <si>
    <t>F70779</t>
  </si>
  <si>
    <t>F70780</t>
  </si>
  <si>
    <t>F70781</t>
  </si>
  <si>
    <t>F70782</t>
  </si>
  <si>
    <t>F70783</t>
  </si>
  <si>
    <t>F70784</t>
  </si>
  <si>
    <t>F70785</t>
  </si>
  <si>
    <t>F70786</t>
  </si>
  <si>
    <t>F70787</t>
  </si>
  <si>
    <t>ahuwenalu</t>
  </si>
  <si>
    <t>F70788</t>
  </si>
  <si>
    <t>F70789</t>
  </si>
  <si>
    <t>F70790</t>
  </si>
  <si>
    <t>F70796</t>
  </si>
  <si>
    <t>F70791</t>
  </si>
  <si>
    <t>F70793</t>
  </si>
  <si>
    <t>F70795</t>
  </si>
  <si>
    <t>F70794</t>
  </si>
  <si>
    <t>F70797</t>
  </si>
  <si>
    <t>F70798</t>
  </si>
  <si>
    <t>F70800</t>
  </si>
  <si>
    <t xml:space="preserve">taime </t>
  </si>
  <si>
    <t>F70799</t>
  </si>
  <si>
    <t>F70802</t>
  </si>
  <si>
    <t>F70804</t>
  </si>
  <si>
    <t>F70801</t>
  </si>
  <si>
    <t>F70803</t>
  </si>
  <si>
    <t>F70805</t>
  </si>
  <si>
    <t>F70819</t>
  </si>
  <si>
    <t>ene nsa</t>
  </si>
  <si>
    <t>F70806</t>
  </si>
  <si>
    <t>F70807</t>
  </si>
  <si>
    <t>F70808</t>
  </si>
  <si>
    <t>F70809</t>
  </si>
  <si>
    <t>F70810</t>
  </si>
  <si>
    <t>F70811</t>
  </si>
  <si>
    <t>F70812</t>
  </si>
  <si>
    <t>F70813</t>
  </si>
  <si>
    <t>F70814</t>
  </si>
  <si>
    <t>F70815</t>
  </si>
  <si>
    <t>F70816</t>
  </si>
  <si>
    <t>F70817</t>
  </si>
  <si>
    <t>F70818</t>
  </si>
  <si>
    <t>F70820</t>
  </si>
  <si>
    <t>ahuvenelu</t>
  </si>
  <si>
    <t>F70821</t>
  </si>
  <si>
    <t>F70823</t>
  </si>
  <si>
    <t>F70822</t>
  </si>
  <si>
    <t>F70824</t>
  </si>
  <si>
    <t>F70825</t>
  </si>
  <si>
    <t>F70826</t>
  </si>
  <si>
    <t>F70827</t>
  </si>
  <si>
    <t>aula</t>
  </si>
  <si>
    <t>F70829</t>
  </si>
  <si>
    <t>F70828</t>
  </si>
  <si>
    <t>F70830</t>
  </si>
  <si>
    <t>F70832</t>
  </si>
  <si>
    <t>F70831</t>
  </si>
  <si>
    <t>F70834</t>
  </si>
  <si>
    <t>F70833</t>
  </si>
  <si>
    <t>F70835</t>
  </si>
  <si>
    <t>F70836</t>
  </si>
  <si>
    <t>F70837</t>
  </si>
  <si>
    <t>F70838</t>
  </si>
  <si>
    <t>F70840</t>
  </si>
  <si>
    <t>F70839</t>
  </si>
  <si>
    <t>F70842</t>
  </si>
  <si>
    <t>F70841</t>
  </si>
  <si>
    <t>F70843</t>
  </si>
  <si>
    <t>F70844</t>
  </si>
  <si>
    <t>6,10</t>
  </si>
  <si>
    <t>F70845</t>
  </si>
  <si>
    <t>F70846</t>
  </si>
  <si>
    <t>7,10</t>
  </si>
  <si>
    <t>F70847</t>
  </si>
  <si>
    <t>F70848</t>
  </si>
  <si>
    <t>F70849</t>
  </si>
  <si>
    <t>F70850</t>
  </si>
  <si>
    <t>F70851</t>
  </si>
  <si>
    <t>F70852</t>
  </si>
  <si>
    <t>F70853</t>
  </si>
  <si>
    <t>F70854</t>
  </si>
  <si>
    <t>F70855</t>
  </si>
  <si>
    <t>F70856</t>
  </si>
  <si>
    <t>F70857</t>
  </si>
  <si>
    <t>F70858</t>
  </si>
  <si>
    <t>F70863</t>
  </si>
  <si>
    <t>F70859</t>
  </si>
  <si>
    <t>F70860</t>
  </si>
  <si>
    <t>F70861</t>
  </si>
  <si>
    <t>F70862</t>
  </si>
  <si>
    <t>F70864</t>
  </si>
  <si>
    <t>F70865</t>
  </si>
  <si>
    <t>F70866</t>
  </si>
  <si>
    <t>F70868</t>
  </si>
  <si>
    <t>F70867</t>
  </si>
  <si>
    <t>F70871</t>
  </si>
  <si>
    <t>F70869</t>
  </si>
  <si>
    <t>F70870</t>
  </si>
  <si>
    <t>F70872</t>
  </si>
  <si>
    <t>F70873</t>
  </si>
  <si>
    <t>F70874</t>
  </si>
  <si>
    <t>F70875</t>
  </si>
  <si>
    <t>F70876</t>
  </si>
  <si>
    <t>F70877</t>
  </si>
  <si>
    <t>F70878</t>
  </si>
  <si>
    <t>F70879</t>
  </si>
  <si>
    <t>F70880</t>
  </si>
  <si>
    <t>F70881</t>
  </si>
  <si>
    <t>F70882</t>
  </si>
  <si>
    <t>F70883</t>
  </si>
  <si>
    <t>F70884</t>
  </si>
  <si>
    <t>F70885</t>
  </si>
  <si>
    <t>F70886</t>
  </si>
  <si>
    <t>F70887</t>
  </si>
  <si>
    <t>F70888</t>
  </si>
  <si>
    <t>F70889</t>
  </si>
  <si>
    <t>F70890</t>
  </si>
  <si>
    <t>F70891</t>
  </si>
  <si>
    <t>F70892</t>
  </si>
  <si>
    <t>F70893</t>
  </si>
  <si>
    <t>F70894</t>
  </si>
  <si>
    <t>F70895</t>
  </si>
  <si>
    <t>F70896</t>
  </si>
  <si>
    <t>F70897</t>
  </si>
  <si>
    <t>F70898</t>
  </si>
  <si>
    <t>F70899</t>
  </si>
  <si>
    <t>munta pissu</t>
  </si>
  <si>
    <t>F70900</t>
  </si>
  <si>
    <t>F70901</t>
  </si>
  <si>
    <t>F70902</t>
  </si>
  <si>
    <t>F70903</t>
  </si>
  <si>
    <t>F70904</t>
  </si>
  <si>
    <t>F70906</t>
  </si>
  <si>
    <t>F70905</t>
  </si>
  <si>
    <t>F70908</t>
  </si>
  <si>
    <t>F70910</t>
  </si>
  <si>
    <t>F70907</t>
  </si>
  <si>
    <t>F70909</t>
  </si>
  <si>
    <t>F70911</t>
  </si>
  <si>
    <t>F70912</t>
  </si>
  <si>
    <t>F70913</t>
  </si>
  <si>
    <t>F70914</t>
  </si>
  <si>
    <t>F70917</t>
  </si>
  <si>
    <t>F70915</t>
  </si>
  <si>
    <t>F70916</t>
  </si>
  <si>
    <t>waradila</t>
  </si>
  <si>
    <t>F70918</t>
  </si>
  <si>
    <t>F70919</t>
  </si>
  <si>
    <t>F70920</t>
  </si>
  <si>
    <t>F70921</t>
  </si>
  <si>
    <t>F70923</t>
  </si>
  <si>
    <t>F70922</t>
  </si>
  <si>
    <t>F70924</t>
  </si>
  <si>
    <t>F70925</t>
  </si>
  <si>
    <t>F70926</t>
  </si>
  <si>
    <t>F70928</t>
  </si>
  <si>
    <t>F70927</t>
  </si>
  <si>
    <t>F70929</t>
  </si>
  <si>
    <t>F70930</t>
  </si>
  <si>
    <t>F70931</t>
  </si>
  <si>
    <t>F70951</t>
  </si>
  <si>
    <t>F70932</t>
  </si>
  <si>
    <t>F70933</t>
  </si>
  <si>
    <t>F70934</t>
  </si>
  <si>
    <t>F70935</t>
  </si>
  <si>
    <t>ahen na</t>
  </si>
  <si>
    <t>F70936</t>
  </si>
  <si>
    <t>F70942</t>
  </si>
  <si>
    <t>F70937</t>
  </si>
  <si>
    <t>F70938</t>
  </si>
  <si>
    <t>F70939</t>
  </si>
  <si>
    <t>F70940</t>
  </si>
  <si>
    <t>F70941</t>
  </si>
  <si>
    <t>F70943</t>
  </si>
  <si>
    <t>F70944</t>
  </si>
  <si>
    <t>F70945</t>
  </si>
  <si>
    <t>F70946</t>
  </si>
  <si>
    <t>F70947</t>
  </si>
  <si>
    <t>F70948</t>
  </si>
  <si>
    <t>F70949</t>
  </si>
  <si>
    <t>F70950</t>
  </si>
  <si>
    <t>F70952</t>
  </si>
  <si>
    <t>F70954</t>
  </si>
  <si>
    <t>F70953</t>
  </si>
  <si>
    <t>F70956</t>
  </si>
  <si>
    <t>F70958</t>
  </si>
  <si>
    <t>F70955</t>
  </si>
  <si>
    <t>waradila awe</t>
  </si>
  <si>
    <t>F70957</t>
  </si>
  <si>
    <t>F70959</t>
  </si>
  <si>
    <t>ene nalu</t>
  </si>
  <si>
    <t>F70960</t>
  </si>
  <si>
    <t>F70961</t>
  </si>
  <si>
    <t>F70962</t>
  </si>
  <si>
    <t>F70963</t>
  </si>
  <si>
    <t>F70964</t>
  </si>
  <si>
    <t>F70965</t>
  </si>
  <si>
    <t>F70966</t>
  </si>
  <si>
    <t>F70967</t>
  </si>
  <si>
    <t>F70968</t>
  </si>
  <si>
    <t>F70969</t>
  </si>
  <si>
    <t>F70970</t>
  </si>
  <si>
    <t>F70971</t>
  </si>
  <si>
    <t>katha na</t>
  </si>
  <si>
    <t>F70972</t>
  </si>
  <si>
    <t>F70973</t>
  </si>
  <si>
    <t>F70974</t>
  </si>
  <si>
    <t>F70975</t>
  </si>
  <si>
    <t>F70976</t>
  </si>
  <si>
    <t>F70978</t>
  </si>
  <si>
    <t>F70977</t>
  </si>
  <si>
    <t>F70979</t>
  </si>
  <si>
    <t>F70981</t>
  </si>
  <si>
    <t>F70980</t>
  </si>
  <si>
    <t>F70982</t>
  </si>
  <si>
    <t>F70983</t>
  </si>
  <si>
    <t>F70984</t>
  </si>
  <si>
    <t>F70985</t>
  </si>
  <si>
    <t>F70986</t>
  </si>
  <si>
    <t>F70987</t>
  </si>
  <si>
    <t>F70988</t>
  </si>
  <si>
    <t>F70989</t>
  </si>
  <si>
    <t>F70990</t>
  </si>
  <si>
    <t>F70991</t>
  </si>
  <si>
    <t>F70992</t>
  </si>
  <si>
    <t>F70993</t>
  </si>
  <si>
    <t>free clz krn sir kenek</t>
  </si>
  <si>
    <t>F70994</t>
  </si>
  <si>
    <t>F71001</t>
  </si>
  <si>
    <t>F70995</t>
  </si>
  <si>
    <t>F70996</t>
  </si>
  <si>
    <t>F70997</t>
  </si>
  <si>
    <t>F70998</t>
  </si>
  <si>
    <t>F70999</t>
  </si>
  <si>
    <t>F71000</t>
  </si>
  <si>
    <t>F71002</t>
  </si>
  <si>
    <t>F70792</t>
  </si>
  <si>
    <t>F71003</t>
  </si>
  <si>
    <t>F71005</t>
  </si>
  <si>
    <t>F71004</t>
  </si>
  <si>
    <t>F71006</t>
  </si>
  <si>
    <t>F71007</t>
  </si>
  <si>
    <t>F71008</t>
  </si>
  <si>
    <t>F71009</t>
  </si>
  <si>
    <t>F71010</t>
  </si>
  <si>
    <t>F71011</t>
  </si>
  <si>
    <t>F71012</t>
  </si>
  <si>
    <t>F71013</t>
  </si>
  <si>
    <t>F71014</t>
  </si>
  <si>
    <t>F71016</t>
  </si>
  <si>
    <t>A/l ene na</t>
  </si>
  <si>
    <t>F71015</t>
  </si>
  <si>
    <t>F71017</t>
  </si>
  <si>
    <t>F71018</t>
  </si>
  <si>
    <t>F71019</t>
  </si>
  <si>
    <t>F71020</t>
  </si>
  <si>
    <t>F71021</t>
  </si>
  <si>
    <t>F71022</t>
  </si>
  <si>
    <t>F71023</t>
  </si>
  <si>
    <t>F71024</t>
  </si>
  <si>
    <t>F71025</t>
  </si>
  <si>
    <t>F71026</t>
  </si>
  <si>
    <t>F71027</t>
  </si>
  <si>
    <t>F71028</t>
  </si>
  <si>
    <t>F71030</t>
  </si>
  <si>
    <t>F71029</t>
  </si>
  <si>
    <t>F71031</t>
  </si>
  <si>
    <t>F71032</t>
  </si>
  <si>
    <t>F71033</t>
  </si>
  <si>
    <t>F71034</t>
  </si>
  <si>
    <t>F71035</t>
  </si>
  <si>
    <t>F71036</t>
  </si>
  <si>
    <t>F71037</t>
  </si>
  <si>
    <t>F71039</t>
  </si>
  <si>
    <t>F71038</t>
  </si>
  <si>
    <t>F71040</t>
  </si>
  <si>
    <t>semina</t>
  </si>
  <si>
    <t>F71041</t>
  </si>
  <si>
    <t>F71042</t>
  </si>
  <si>
    <t>shuwar na</t>
  </si>
  <si>
    <t>F71043</t>
  </si>
  <si>
    <t>F71044</t>
  </si>
  <si>
    <t>F71046</t>
  </si>
  <si>
    <t>F71045</t>
  </si>
  <si>
    <t>F71047</t>
  </si>
  <si>
    <t>F71048</t>
  </si>
  <si>
    <t>F71049</t>
  </si>
  <si>
    <t>F71050</t>
  </si>
  <si>
    <t>F71051</t>
  </si>
  <si>
    <t>F71052</t>
  </si>
  <si>
    <t>F71053</t>
  </si>
  <si>
    <t>F71055</t>
  </si>
  <si>
    <t>F71054</t>
  </si>
  <si>
    <t>F71056</t>
  </si>
  <si>
    <t>F71057</t>
  </si>
  <si>
    <t>F71061</t>
  </si>
  <si>
    <t>F71058</t>
  </si>
  <si>
    <t>F71059</t>
  </si>
  <si>
    <t>F71060</t>
  </si>
  <si>
    <t>F71066</t>
  </si>
  <si>
    <t>F71062</t>
  </si>
  <si>
    <t>F71063</t>
  </si>
  <si>
    <t>F71064</t>
  </si>
  <si>
    <t>F71065</t>
  </si>
  <si>
    <t>F71067</t>
  </si>
  <si>
    <t>F71068</t>
  </si>
  <si>
    <t>F71069</t>
  </si>
  <si>
    <t>F71070</t>
  </si>
  <si>
    <t>F71071</t>
  </si>
  <si>
    <t>F71072</t>
  </si>
  <si>
    <t>F71073</t>
  </si>
  <si>
    <t>F71074</t>
  </si>
  <si>
    <t>F71075</t>
  </si>
  <si>
    <t>jamithiya seminsa</t>
  </si>
  <si>
    <t>F71076</t>
  </si>
  <si>
    <t>F71077</t>
  </si>
  <si>
    <t>F71078</t>
  </si>
  <si>
    <t>F71079</t>
  </si>
  <si>
    <t>F71080</t>
  </si>
  <si>
    <t>F71081</t>
  </si>
  <si>
    <t xml:space="preserve">duwa </t>
  </si>
  <si>
    <t>F71082</t>
  </si>
  <si>
    <t>F71083</t>
  </si>
  <si>
    <t>F71084</t>
  </si>
  <si>
    <t>ims</t>
  </si>
  <si>
    <t>F71085</t>
  </si>
  <si>
    <t>F71086</t>
  </si>
  <si>
    <t>F71087</t>
  </si>
  <si>
    <t>ahuwe na;lu</t>
  </si>
  <si>
    <t>F71088</t>
  </si>
  <si>
    <t>F71089</t>
  </si>
  <si>
    <t>F71090</t>
  </si>
  <si>
    <t>F71091</t>
  </si>
  <si>
    <t>F71092</t>
  </si>
  <si>
    <t>F71093</t>
  </si>
  <si>
    <t>F71094</t>
  </si>
  <si>
    <t>F71095</t>
  </si>
  <si>
    <t>english</t>
  </si>
  <si>
    <t>F71096</t>
  </si>
  <si>
    <t>F71098</t>
  </si>
  <si>
    <t>F71097</t>
  </si>
  <si>
    <t>F71099</t>
  </si>
  <si>
    <t>F71103</t>
  </si>
  <si>
    <t>F71101</t>
  </si>
  <si>
    <t>F71102</t>
  </si>
  <si>
    <t>F71104</t>
  </si>
  <si>
    <t>F71106</t>
  </si>
  <si>
    <t>F71105</t>
  </si>
  <si>
    <t>F71108</t>
  </si>
  <si>
    <t>F71107</t>
  </si>
  <si>
    <t>F71110</t>
  </si>
  <si>
    <t>F71109</t>
  </si>
  <si>
    <t>F71117</t>
  </si>
  <si>
    <t>F71111</t>
  </si>
  <si>
    <t>F71112</t>
  </si>
  <si>
    <t>F71113</t>
  </si>
  <si>
    <t>F71114</t>
  </si>
  <si>
    <t>F71115</t>
  </si>
  <si>
    <t>F71116</t>
  </si>
  <si>
    <t>F71118</t>
  </si>
  <si>
    <t>F71119</t>
  </si>
  <si>
    <t>F71120</t>
  </si>
  <si>
    <t>F71121</t>
  </si>
  <si>
    <t>F71122</t>
  </si>
  <si>
    <t>F71123</t>
  </si>
  <si>
    <t>F71124</t>
  </si>
  <si>
    <t>F71125</t>
  </si>
  <si>
    <t>F71128</t>
  </si>
  <si>
    <t>F71126</t>
  </si>
  <si>
    <t>F71127</t>
  </si>
  <si>
    <t>F71130</t>
  </si>
  <si>
    <t>F71129</t>
  </si>
  <si>
    <t>F71131</t>
  </si>
  <si>
    <t>F71132</t>
  </si>
  <si>
    <t>F71133</t>
  </si>
  <si>
    <t>F71135</t>
  </si>
  <si>
    <t>F71136</t>
  </si>
  <si>
    <t>F71137</t>
  </si>
  <si>
    <t>F71138</t>
  </si>
  <si>
    <t>F71139</t>
  </si>
  <si>
    <t>F71142</t>
  </si>
  <si>
    <t>F71140</t>
  </si>
  <si>
    <t>F71143</t>
  </si>
  <si>
    <t>a/l</t>
  </si>
  <si>
    <t>F71141</t>
  </si>
  <si>
    <t>F71144</t>
  </si>
  <si>
    <t>F71145</t>
  </si>
  <si>
    <t>F71146</t>
  </si>
  <si>
    <t>F71147</t>
  </si>
  <si>
    <t>F71148</t>
  </si>
  <si>
    <t>F71149</t>
  </si>
  <si>
    <t>F71150</t>
  </si>
  <si>
    <t>F71152</t>
  </si>
  <si>
    <t>F71151</t>
  </si>
  <si>
    <t>6,10,11</t>
  </si>
  <si>
    <t>F71153</t>
  </si>
  <si>
    <t>trck paulak</t>
  </si>
  <si>
    <t>F71154</t>
  </si>
  <si>
    <t>F71155</t>
  </si>
  <si>
    <t>F71158</t>
  </si>
  <si>
    <t>F71157</t>
  </si>
  <si>
    <t>F71156</t>
  </si>
  <si>
    <t>F71159</t>
  </si>
  <si>
    <t>F71160</t>
  </si>
  <si>
    <t>F71161</t>
  </si>
  <si>
    <t>F71162</t>
  </si>
  <si>
    <t>F71163</t>
  </si>
  <si>
    <t>F71164</t>
  </si>
  <si>
    <t>F71166</t>
  </si>
  <si>
    <t>F71165</t>
  </si>
  <si>
    <t>F71167</t>
  </si>
  <si>
    <t>F71168</t>
  </si>
  <si>
    <t>F71169</t>
  </si>
  <si>
    <t>F71170</t>
  </si>
  <si>
    <t>F71171</t>
  </si>
  <si>
    <t>ahuwe na</t>
  </si>
  <si>
    <t>F71172</t>
  </si>
  <si>
    <t>F71173</t>
  </si>
  <si>
    <t>F71174</t>
  </si>
  <si>
    <t>F71175</t>
  </si>
  <si>
    <t>F71176</t>
  </si>
  <si>
    <t>F71177</t>
  </si>
  <si>
    <t>F71179</t>
  </si>
  <si>
    <t>F71178</t>
  </si>
  <si>
    <t>F71180</t>
  </si>
  <si>
    <t>F71181</t>
  </si>
  <si>
    <t>F71184</t>
  </si>
  <si>
    <t>F71182</t>
  </si>
  <si>
    <t>F71183</t>
  </si>
  <si>
    <t>F71185</t>
  </si>
  <si>
    <t>semima</t>
  </si>
  <si>
    <t>F71187</t>
  </si>
  <si>
    <t>F71188</t>
  </si>
  <si>
    <t>F71189</t>
  </si>
  <si>
    <t>F71190</t>
  </si>
  <si>
    <t>F71192</t>
  </si>
  <si>
    <t>F71191</t>
  </si>
  <si>
    <t>F71193</t>
  </si>
  <si>
    <t>F71194</t>
  </si>
  <si>
    <t>F71195</t>
  </si>
  <si>
    <t>F71196</t>
  </si>
  <si>
    <t>F71197</t>
  </si>
  <si>
    <t>F71201</t>
  </si>
  <si>
    <t>F71199</t>
  </si>
  <si>
    <t>F71198</t>
  </si>
  <si>
    <t>F71200</t>
  </si>
  <si>
    <t>F71202</t>
  </si>
  <si>
    <t>F71205</t>
  </si>
  <si>
    <t>F71203</t>
  </si>
  <si>
    <t>F71204</t>
  </si>
  <si>
    <t>F71206</t>
  </si>
  <si>
    <t>F71207</t>
  </si>
  <si>
    <t>F71208</t>
  </si>
  <si>
    <t>F71209</t>
  </si>
  <si>
    <t>F71210</t>
  </si>
  <si>
    <t>F71211</t>
  </si>
  <si>
    <t>F71212</t>
  </si>
  <si>
    <t>F71213</t>
  </si>
  <si>
    <t>F71214</t>
  </si>
  <si>
    <t>F71215</t>
  </si>
  <si>
    <t>F71216</t>
  </si>
  <si>
    <t>F71218</t>
  </si>
  <si>
    <t>F71220</t>
  </si>
  <si>
    <t>F71219</t>
  </si>
  <si>
    <t>F71221</t>
  </si>
  <si>
    <t>F71222</t>
  </si>
  <si>
    <t>F71223</t>
  </si>
  <si>
    <t>F71224</t>
  </si>
  <si>
    <t>37 wayasa</t>
  </si>
  <si>
    <t>F71225</t>
  </si>
  <si>
    <t>F71227</t>
  </si>
  <si>
    <t>F71226</t>
  </si>
  <si>
    <t>F71228</t>
  </si>
  <si>
    <t>F71229</t>
  </si>
  <si>
    <t>F71230</t>
  </si>
  <si>
    <t>F71231</t>
  </si>
  <si>
    <t>F71232</t>
  </si>
  <si>
    <t>F71233</t>
  </si>
  <si>
    <t>F71234</t>
  </si>
  <si>
    <t>F71235</t>
  </si>
  <si>
    <t>time p</t>
  </si>
  <si>
    <t>F71236</t>
  </si>
  <si>
    <t>F71237</t>
  </si>
  <si>
    <t>F71238</t>
  </si>
  <si>
    <t>F71239</t>
  </si>
  <si>
    <t>time ps</t>
  </si>
  <si>
    <t>F71240</t>
  </si>
  <si>
    <t>F71241</t>
  </si>
  <si>
    <t>F71242</t>
  </si>
  <si>
    <t>F71243</t>
  </si>
  <si>
    <t>F71244</t>
  </si>
  <si>
    <t>F71245</t>
  </si>
  <si>
    <t>F71246</t>
  </si>
  <si>
    <t>F71247</t>
  </si>
  <si>
    <t>t p</t>
  </si>
  <si>
    <t>F71248</t>
  </si>
  <si>
    <t>F71249</t>
  </si>
  <si>
    <t>F71254</t>
  </si>
  <si>
    <t>F71250</t>
  </si>
  <si>
    <t>F71251</t>
  </si>
  <si>
    <t>F71253</t>
  </si>
  <si>
    <t>F71252</t>
  </si>
  <si>
    <t>F71255</t>
  </si>
  <si>
    <t>F71256</t>
  </si>
  <si>
    <t>F71257</t>
  </si>
  <si>
    <t>F71258</t>
  </si>
  <si>
    <t>duwa dsla</t>
  </si>
  <si>
    <t>F71259</t>
  </si>
  <si>
    <t>F71260</t>
  </si>
  <si>
    <t>F71261</t>
  </si>
  <si>
    <t>F71263</t>
  </si>
  <si>
    <t>F71262</t>
  </si>
  <si>
    <t>F71264</t>
  </si>
  <si>
    <t>F71265</t>
  </si>
  <si>
    <t>F71266</t>
  </si>
  <si>
    <t>ෆිසිකල්</t>
  </si>
  <si>
    <t>F71267</t>
  </si>
  <si>
    <t>F71268</t>
  </si>
  <si>
    <t>F71269</t>
  </si>
  <si>
    <t>F71270</t>
  </si>
  <si>
    <t>F71271</t>
  </si>
  <si>
    <t>F71272</t>
  </si>
  <si>
    <t>F71273</t>
  </si>
  <si>
    <t>F71274</t>
  </si>
  <si>
    <t>F71275</t>
  </si>
  <si>
    <t>F71276</t>
  </si>
  <si>
    <t>F71277</t>
  </si>
  <si>
    <t>F71278</t>
  </si>
  <si>
    <t>F71279</t>
  </si>
  <si>
    <t>F71280</t>
  </si>
  <si>
    <t>F71281</t>
  </si>
  <si>
    <t>F71282</t>
  </si>
  <si>
    <t>F71283</t>
  </si>
  <si>
    <t>F71284</t>
  </si>
  <si>
    <t>F71285</t>
  </si>
  <si>
    <t xml:space="preserve"> t psd</t>
  </si>
  <si>
    <t>F71286</t>
  </si>
  <si>
    <t>F71287</t>
  </si>
  <si>
    <t>F71288</t>
  </si>
  <si>
    <t>F71289</t>
  </si>
  <si>
    <t>F71290</t>
  </si>
  <si>
    <t>F71291</t>
  </si>
  <si>
    <t>F71292</t>
  </si>
  <si>
    <t>F71293</t>
  </si>
  <si>
    <t>F71294</t>
  </si>
  <si>
    <t>F71295</t>
  </si>
  <si>
    <t>F71296</t>
  </si>
  <si>
    <t>F71297</t>
  </si>
  <si>
    <t>F71298</t>
  </si>
  <si>
    <t>F71299</t>
  </si>
  <si>
    <t>F71300</t>
  </si>
  <si>
    <t>F71301</t>
  </si>
  <si>
    <t>F71302</t>
  </si>
  <si>
    <t>F71303</t>
  </si>
  <si>
    <t>F71304</t>
  </si>
  <si>
    <t>F71305</t>
  </si>
  <si>
    <t>F71306</t>
  </si>
  <si>
    <t>F71307</t>
  </si>
  <si>
    <t>F71308</t>
  </si>
  <si>
    <t>F71309</t>
  </si>
  <si>
    <t>F71310</t>
  </si>
  <si>
    <t>F71311</t>
  </si>
  <si>
    <t>F71312</t>
  </si>
  <si>
    <t>tamil me</t>
  </si>
  <si>
    <t>F71313</t>
  </si>
  <si>
    <t>F71314</t>
  </si>
  <si>
    <t>F71315</t>
  </si>
  <si>
    <t>F71316</t>
  </si>
  <si>
    <t>F71317</t>
  </si>
  <si>
    <t>F71318</t>
  </si>
  <si>
    <t>F71319</t>
  </si>
  <si>
    <t>F71320</t>
  </si>
  <si>
    <t>F71321</t>
  </si>
  <si>
    <t>F71322</t>
  </si>
  <si>
    <t>F71323</t>
  </si>
  <si>
    <t>F71324</t>
  </si>
  <si>
    <t>F71325</t>
  </si>
  <si>
    <t>F71326</t>
  </si>
  <si>
    <t>71 250 9471</t>
  </si>
  <si>
    <t>F71327</t>
  </si>
  <si>
    <t>F71328</t>
  </si>
  <si>
    <t>F71329</t>
  </si>
  <si>
    <t>F71330</t>
  </si>
  <si>
    <t>F71331</t>
  </si>
  <si>
    <t>F71332</t>
  </si>
  <si>
    <t>F71333</t>
  </si>
  <si>
    <t>F71336</t>
  </si>
  <si>
    <t>F71334</t>
  </si>
  <si>
    <t>F71335</t>
  </si>
  <si>
    <t>F71337</t>
  </si>
  <si>
    <t>F71339</t>
  </si>
  <si>
    <t>F71338</t>
  </si>
  <si>
    <t>F71340</t>
  </si>
  <si>
    <t>F71365</t>
  </si>
  <si>
    <t>F71341</t>
  </si>
  <si>
    <t>F71342</t>
  </si>
  <si>
    <t>F71343</t>
  </si>
  <si>
    <t>F71344</t>
  </si>
  <si>
    <t>F71345</t>
  </si>
  <si>
    <t>F71346</t>
  </si>
  <si>
    <t>F71347</t>
  </si>
  <si>
    <t>F71348</t>
  </si>
  <si>
    <t>F71349</t>
  </si>
  <si>
    <t>F71350</t>
  </si>
  <si>
    <t>F71351</t>
  </si>
  <si>
    <t>F71352</t>
  </si>
  <si>
    <t>F71353</t>
  </si>
  <si>
    <t>F71354</t>
  </si>
  <si>
    <t>F71355</t>
  </si>
  <si>
    <t>F71356</t>
  </si>
  <si>
    <t>F71357</t>
  </si>
  <si>
    <t>F71361</t>
  </si>
  <si>
    <t>F71358</t>
  </si>
  <si>
    <t>F71359</t>
  </si>
  <si>
    <t>F71363</t>
  </si>
  <si>
    <t>F71360</t>
  </si>
  <si>
    <t>en me</t>
  </si>
  <si>
    <t>F71362</t>
  </si>
  <si>
    <t>F71364</t>
  </si>
  <si>
    <t>F71366</t>
  </si>
  <si>
    <t>F71367</t>
  </si>
  <si>
    <t>F71368</t>
  </si>
  <si>
    <t>F71369</t>
  </si>
  <si>
    <t>F71370</t>
  </si>
  <si>
    <t>F71371</t>
  </si>
  <si>
    <t>F71372</t>
  </si>
  <si>
    <t>F71373</t>
  </si>
  <si>
    <t>F71374</t>
  </si>
  <si>
    <t>F71376</t>
  </si>
  <si>
    <t>F71375</t>
  </si>
  <si>
    <t>F71377</t>
  </si>
  <si>
    <t>F71378</t>
  </si>
  <si>
    <t>F71379</t>
  </si>
  <si>
    <t>F71380</t>
  </si>
  <si>
    <t>F71381</t>
  </si>
  <si>
    <t>F71382</t>
  </si>
  <si>
    <t>F71383</t>
  </si>
  <si>
    <t>F71384</t>
  </si>
  <si>
    <t>F71385</t>
  </si>
  <si>
    <t>daruwa</t>
  </si>
  <si>
    <t>F71389</t>
  </si>
  <si>
    <t>F71386</t>
  </si>
  <si>
    <t>F71391</t>
  </si>
  <si>
    <t>F71387</t>
  </si>
  <si>
    <t>F71388</t>
  </si>
  <si>
    <t>F71390</t>
  </si>
  <si>
    <t>F71392</t>
  </si>
  <si>
    <t>F71393</t>
  </si>
  <si>
    <t>not join</t>
  </si>
  <si>
    <t>F71394</t>
  </si>
  <si>
    <t>F71395</t>
  </si>
  <si>
    <t>F71396</t>
  </si>
  <si>
    <t>F71397</t>
  </si>
  <si>
    <t>F71398</t>
  </si>
  <si>
    <t>F71399</t>
  </si>
  <si>
    <t>F71400</t>
  </si>
  <si>
    <t>F71401</t>
  </si>
  <si>
    <t>F71402</t>
  </si>
  <si>
    <t>F71403</t>
  </si>
  <si>
    <t>F71404</t>
  </si>
  <si>
    <t>F71405</t>
  </si>
  <si>
    <t>F71406</t>
  </si>
  <si>
    <t>F71408</t>
  </si>
  <si>
    <t>F71407</t>
  </si>
  <si>
    <t>F71409</t>
  </si>
  <si>
    <t>F71411</t>
  </si>
  <si>
    <t>F71410</t>
  </si>
  <si>
    <t>F71412</t>
  </si>
  <si>
    <t>F71413</t>
  </si>
  <si>
    <t>F71414</t>
  </si>
  <si>
    <t>F71416</t>
  </si>
  <si>
    <t>F71415</t>
  </si>
  <si>
    <t>F71417</t>
  </si>
  <si>
    <t>F71418</t>
  </si>
  <si>
    <t>F71419</t>
  </si>
  <si>
    <t>ena balu</t>
  </si>
  <si>
    <t>F71420</t>
  </si>
  <si>
    <t>F71424</t>
  </si>
  <si>
    <t>F71421</t>
  </si>
  <si>
    <t>F71425</t>
  </si>
  <si>
    <t>F71422</t>
  </si>
  <si>
    <t>F71423</t>
  </si>
  <si>
    <t>F71426</t>
  </si>
  <si>
    <t>F71436</t>
  </si>
  <si>
    <t>F71427</t>
  </si>
  <si>
    <t>F71428</t>
  </si>
  <si>
    <t>AHUWE na</t>
  </si>
  <si>
    <t>F71429</t>
  </si>
  <si>
    <t>F71430</t>
  </si>
  <si>
    <t>F71431</t>
  </si>
  <si>
    <t>katha krnne na</t>
  </si>
  <si>
    <t>F71432</t>
  </si>
  <si>
    <t>F71433</t>
  </si>
  <si>
    <t>F71434</t>
  </si>
  <si>
    <t>F71435</t>
  </si>
  <si>
    <t>F71437</t>
  </si>
  <si>
    <t>F71438</t>
  </si>
  <si>
    <t>F71439</t>
  </si>
  <si>
    <t>F71440</t>
  </si>
  <si>
    <t>F71441</t>
  </si>
  <si>
    <t>F71442</t>
  </si>
  <si>
    <t>F71443</t>
  </si>
  <si>
    <t>F71444</t>
  </si>
  <si>
    <t>F71445</t>
  </si>
  <si>
    <t>F71449</t>
  </si>
  <si>
    <t>F71446</t>
  </si>
  <si>
    <t>F71447</t>
  </si>
  <si>
    <t>F71448</t>
  </si>
  <si>
    <t>F71450</t>
  </si>
  <si>
    <t>F71451</t>
  </si>
  <si>
    <t>F71452</t>
  </si>
  <si>
    <t>F71453</t>
  </si>
  <si>
    <t>F71454</t>
  </si>
  <si>
    <t>F71455</t>
  </si>
  <si>
    <t>F71456</t>
  </si>
  <si>
    <t>F71459</t>
  </si>
  <si>
    <t>F71457</t>
  </si>
  <si>
    <t>F71458</t>
  </si>
  <si>
    <t>F71460</t>
  </si>
  <si>
    <t>F71461</t>
  </si>
  <si>
    <t>F71462</t>
  </si>
  <si>
    <t>F71463</t>
  </si>
  <si>
    <t>F71464</t>
  </si>
  <si>
    <t>F71465</t>
  </si>
  <si>
    <t>F71466</t>
  </si>
  <si>
    <t>F71467</t>
  </si>
  <si>
    <t>F71468</t>
  </si>
  <si>
    <t>F71469</t>
  </si>
  <si>
    <t>F71470</t>
  </si>
  <si>
    <t>F71471</t>
  </si>
  <si>
    <t>F71473</t>
  </si>
  <si>
    <t>F71472</t>
  </si>
  <si>
    <t>F71474</t>
  </si>
  <si>
    <t>F71475</t>
  </si>
  <si>
    <t>F71476</t>
  </si>
  <si>
    <t>F71477</t>
  </si>
  <si>
    <t>F71478</t>
  </si>
  <si>
    <t>F71479</t>
  </si>
  <si>
    <t>F71480</t>
  </si>
  <si>
    <t>English Medium</t>
  </si>
  <si>
    <t>F71481</t>
  </si>
  <si>
    <t>F71482</t>
  </si>
  <si>
    <t>F71486</t>
  </si>
  <si>
    <t>F71483</t>
  </si>
  <si>
    <t>F71484</t>
  </si>
  <si>
    <t>F71485</t>
  </si>
  <si>
    <t>F71487</t>
  </si>
  <si>
    <t>F71488</t>
  </si>
  <si>
    <t>F71489</t>
  </si>
  <si>
    <t>F71490</t>
  </si>
  <si>
    <t>F71492</t>
  </si>
  <si>
    <t>F71491</t>
  </si>
  <si>
    <t>F71493</t>
  </si>
  <si>
    <t>F71494</t>
  </si>
  <si>
    <t>F71495</t>
  </si>
  <si>
    <t>F71497</t>
  </si>
  <si>
    <t>F71496</t>
  </si>
  <si>
    <t>F71498</t>
  </si>
  <si>
    <t>F71499</t>
  </si>
  <si>
    <t>F71500</t>
  </si>
  <si>
    <t>F71501</t>
  </si>
  <si>
    <t>F71502</t>
  </si>
  <si>
    <t>F71503</t>
  </si>
  <si>
    <t>F71504</t>
  </si>
  <si>
    <t>F71505</t>
  </si>
  <si>
    <t>F71506</t>
  </si>
  <si>
    <t>F71507</t>
  </si>
  <si>
    <t>F71508</t>
  </si>
  <si>
    <t>F71511</t>
  </si>
  <si>
    <t>F71509</t>
  </si>
  <si>
    <t>F71510</t>
  </si>
  <si>
    <t>F71513</t>
  </si>
  <si>
    <t>F71512</t>
  </si>
  <si>
    <t>F71514</t>
  </si>
  <si>
    <t>F71515</t>
  </si>
  <si>
    <t>F71516</t>
  </si>
  <si>
    <t>F71517</t>
  </si>
  <si>
    <t>F71518</t>
  </si>
  <si>
    <t>F71519</t>
  </si>
  <si>
    <t>F71520</t>
  </si>
  <si>
    <t>F71521</t>
  </si>
  <si>
    <t>F71522</t>
  </si>
  <si>
    <t>F71524</t>
  </si>
  <si>
    <t>F71523</t>
  </si>
  <si>
    <t>F71525</t>
  </si>
  <si>
    <t>F71526</t>
  </si>
  <si>
    <t>F71527</t>
  </si>
  <si>
    <t>F71528</t>
  </si>
  <si>
    <t>F71529</t>
  </si>
  <si>
    <t>F71530</t>
  </si>
  <si>
    <t>F71531</t>
  </si>
  <si>
    <t>F71534</t>
  </si>
  <si>
    <t>F71532</t>
  </si>
  <si>
    <t>F71533</t>
  </si>
  <si>
    <t>F71535</t>
  </si>
  <si>
    <t>9,11</t>
  </si>
  <si>
    <t>F71536</t>
  </si>
  <si>
    <t>F71537</t>
  </si>
  <si>
    <t>F71538</t>
  </si>
  <si>
    <t>F71539</t>
  </si>
  <si>
    <t>F71540</t>
  </si>
  <si>
    <t>F71542</t>
  </si>
  <si>
    <t>F71541</t>
  </si>
  <si>
    <t>F71543</t>
  </si>
  <si>
    <t>F71545</t>
  </si>
  <si>
    <t>set na</t>
  </si>
  <si>
    <t>F71544</t>
  </si>
  <si>
    <t>F71546</t>
  </si>
  <si>
    <t>F71547</t>
  </si>
  <si>
    <t>F71548</t>
  </si>
  <si>
    <t>taime</t>
  </si>
  <si>
    <t>F71549</t>
  </si>
  <si>
    <t>F71550</t>
  </si>
  <si>
    <t>F71551</t>
  </si>
  <si>
    <t>F71552</t>
  </si>
  <si>
    <t>F71553</t>
  </si>
  <si>
    <t>F71555</t>
  </si>
  <si>
    <t>F71554</t>
  </si>
  <si>
    <t>F71556</t>
  </si>
  <si>
    <t>F71557</t>
  </si>
  <si>
    <t>F71558</t>
  </si>
  <si>
    <t>F71559</t>
  </si>
  <si>
    <t>F71560</t>
  </si>
  <si>
    <t>F71561</t>
  </si>
  <si>
    <t>F71562</t>
  </si>
  <si>
    <t>F71563</t>
  </si>
  <si>
    <t>F71564</t>
  </si>
  <si>
    <t>F71565</t>
  </si>
  <si>
    <t>F71566</t>
  </si>
  <si>
    <t>F71567</t>
  </si>
  <si>
    <t>F71568</t>
  </si>
  <si>
    <t>F71569</t>
  </si>
  <si>
    <t>F71570</t>
  </si>
  <si>
    <t>F71571</t>
  </si>
  <si>
    <t>F71572</t>
  </si>
  <si>
    <t>F71575</t>
  </si>
  <si>
    <t>F71573</t>
  </si>
  <si>
    <t>F71574</t>
  </si>
  <si>
    <t>F71576</t>
  </si>
  <si>
    <t>F71577</t>
  </si>
  <si>
    <t>F71578</t>
  </si>
  <si>
    <t>F71579</t>
  </si>
  <si>
    <t>F71580</t>
  </si>
  <si>
    <t>F71581</t>
  </si>
  <si>
    <t>F71582</t>
  </si>
  <si>
    <t>F71583</t>
  </si>
  <si>
    <t>F71584</t>
  </si>
  <si>
    <t>F71585</t>
  </si>
  <si>
    <t>F71586</t>
  </si>
  <si>
    <t>F71587</t>
  </si>
  <si>
    <t>F71588</t>
  </si>
  <si>
    <t>F71589</t>
  </si>
  <si>
    <t>F71590</t>
  </si>
  <si>
    <t>F71591</t>
  </si>
  <si>
    <t>F71592</t>
  </si>
  <si>
    <t>F71593</t>
  </si>
  <si>
    <t>F71594</t>
  </si>
  <si>
    <t>F71595</t>
  </si>
  <si>
    <t>F71596</t>
  </si>
  <si>
    <t>F71597</t>
  </si>
  <si>
    <t>F71598</t>
  </si>
  <si>
    <t>F71601</t>
  </si>
  <si>
    <t>F71599</t>
  </si>
  <si>
    <t>F71600</t>
  </si>
  <si>
    <t>F71602</t>
  </si>
  <si>
    <t>F71603</t>
  </si>
  <si>
    <t>F71604</t>
  </si>
  <si>
    <t>F71605</t>
  </si>
  <si>
    <t>F71607</t>
  </si>
  <si>
    <t>F71606</t>
  </si>
  <si>
    <t>F71608</t>
  </si>
  <si>
    <t>F71609</t>
  </si>
  <si>
    <t>F71610</t>
  </si>
  <si>
    <t>F71611</t>
  </si>
  <si>
    <t>F71612</t>
  </si>
  <si>
    <t>F71613</t>
  </si>
  <si>
    <t>F71614</t>
  </si>
  <si>
    <t>F71615</t>
  </si>
  <si>
    <t>F71616</t>
  </si>
  <si>
    <t>F71617</t>
  </si>
  <si>
    <t>F71618</t>
  </si>
  <si>
    <t>F71619</t>
  </si>
  <si>
    <t>F71620</t>
  </si>
  <si>
    <t>F71621</t>
  </si>
  <si>
    <t>F71622</t>
  </si>
  <si>
    <t>F71623</t>
  </si>
  <si>
    <t>F71624</t>
  </si>
  <si>
    <t>F71625</t>
  </si>
  <si>
    <t>F71626</t>
  </si>
  <si>
    <t>F71633</t>
  </si>
  <si>
    <t>F71627</t>
  </si>
  <si>
    <t>F71628</t>
  </si>
  <si>
    <t>F71629</t>
  </si>
  <si>
    <t>F71630</t>
  </si>
  <si>
    <t>F71631</t>
  </si>
  <si>
    <t>F71632</t>
  </si>
  <si>
    <t>F71634</t>
  </si>
  <si>
    <t>F71635</t>
  </si>
  <si>
    <t>F71636</t>
  </si>
  <si>
    <t>F71637</t>
  </si>
  <si>
    <t>F71640</t>
  </si>
  <si>
    <t>F71638</t>
  </si>
  <si>
    <t>F71639</t>
  </si>
  <si>
    <t>F71641</t>
  </si>
  <si>
    <t>F71642</t>
  </si>
  <si>
    <t>F71643</t>
  </si>
  <si>
    <t>F71644</t>
  </si>
  <si>
    <t>F71645</t>
  </si>
  <si>
    <t>F71646</t>
  </si>
  <si>
    <t>F71647</t>
  </si>
  <si>
    <t>F71648</t>
  </si>
  <si>
    <t>F71649</t>
  </si>
  <si>
    <t>F71650</t>
  </si>
  <si>
    <t>F71652</t>
  </si>
  <si>
    <t>F71651</t>
  </si>
  <si>
    <t>F71653</t>
  </si>
  <si>
    <t>F71654</t>
  </si>
  <si>
    <t>F71655</t>
  </si>
  <si>
    <t>F71656</t>
  </si>
  <si>
    <t>F71658</t>
  </si>
  <si>
    <t>F71657</t>
  </si>
  <si>
    <t>F71660</t>
  </si>
  <si>
    <t>F71659</t>
  </si>
  <si>
    <t>F71661</t>
  </si>
  <si>
    <t>F71664</t>
  </si>
  <si>
    <t>F71663</t>
  </si>
  <si>
    <t>F71662</t>
  </si>
  <si>
    <t>F71665</t>
  </si>
  <si>
    <t>F71666</t>
  </si>
  <si>
    <t>F71667</t>
  </si>
  <si>
    <t>F71668</t>
  </si>
  <si>
    <t>F71669</t>
  </si>
  <si>
    <t>F71670</t>
  </si>
  <si>
    <t>F71671</t>
  </si>
  <si>
    <t>not</t>
  </si>
  <si>
    <t>F71675</t>
  </si>
  <si>
    <t>F71672</t>
  </si>
  <si>
    <t>F71673</t>
  </si>
  <si>
    <t>F71674</t>
  </si>
  <si>
    <t>F71676</t>
  </si>
  <si>
    <t>F71677</t>
  </si>
  <si>
    <t>F71678</t>
  </si>
  <si>
    <t>F71679</t>
  </si>
  <si>
    <t>F71680</t>
  </si>
  <si>
    <t>F71681</t>
  </si>
  <si>
    <t>F71682</t>
  </si>
  <si>
    <t>F71685</t>
  </si>
  <si>
    <t>F71683</t>
  </si>
  <si>
    <t>F71684</t>
  </si>
  <si>
    <t>F71686</t>
  </si>
  <si>
    <t>F71688</t>
  </si>
  <si>
    <t>F71687</t>
  </si>
  <si>
    <t>F71689</t>
  </si>
  <si>
    <t>F71690</t>
  </si>
  <si>
    <t>F71691</t>
  </si>
  <si>
    <t>F71692</t>
  </si>
  <si>
    <t>F71693</t>
  </si>
  <si>
    <t>F71694</t>
  </si>
  <si>
    <t>F71695</t>
  </si>
  <si>
    <t>F71696</t>
  </si>
  <si>
    <t>F71698</t>
  </si>
  <si>
    <t>F71697</t>
  </si>
  <si>
    <t>zoom ek gnn ba</t>
  </si>
  <si>
    <t>F71699</t>
  </si>
  <si>
    <t>F71700</t>
  </si>
  <si>
    <t>F71701</t>
  </si>
  <si>
    <t>F71703</t>
  </si>
  <si>
    <t>F71702</t>
  </si>
  <si>
    <t>F71706</t>
  </si>
  <si>
    <t>F71704</t>
  </si>
  <si>
    <t>F71705</t>
  </si>
  <si>
    <t>F71707</t>
  </si>
  <si>
    <t>F71708</t>
  </si>
  <si>
    <t>F71709</t>
  </si>
  <si>
    <t>F71710</t>
  </si>
  <si>
    <t>F71712</t>
  </si>
  <si>
    <t>F71711</t>
  </si>
  <si>
    <t>F71713</t>
  </si>
  <si>
    <t>F71714</t>
  </si>
  <si>
    <t>7,9</t>
  </si>
  <si>
    <t>F71715</t>
  </si>
  <si>
    <t>F71716</t>
  </si>
  <si>
    <t>F71717</t>
  </si>
  <si>
    <t>F71720</t>
  </si>
  <si>
    <t>F71718</t>
  </si>
  <si>
    <t>F71719</t>
  </si>
  <si>
    <t>F71721</t>
  </si>
  <si>
    <t>F71722</t>
  </si>
  <si>
    <t>F71730</t>
  </si>
  <si>
    <t>F71723</t>
  </si>
  <si>
    <t>F71724</t>
  </si>
  <si>
    <t>F71725</t>
  </si>
  <si>
    <t>F71726</t>
  </si>
  <si>
    <t>F71727</t>
  </si>
  <si>
    <t>F71728</t>
  </si>
  <si>
    <t>F71731</t>
  </si>
  <si>
    <t>F71732</t>
  </si>
  <si>
    <t>F71733</t>
  </si>
  <si>
    <t>F71734</t>
  </si>
  <si>
    <t>F71735</t>
  </si>
  <si>
    <t>F71736</t>
  </si>
  <si>
    <t>F71737</t>
  </si>
  <si>
    <t>F71738</t>
  </si>
  <si>
    <t>F71739</t>
  </si>
  <si>
    <t>F71740</t>
  </si>
  <si>
    <t>F71741</t>
  </si>
  <si>
    <t>F71742</t>
  </si>
  <si>
    <t>clz eka gena ahyve nelu</t>
  </si>
  <si>
    <t>F71743</t>
  </si>
  <si>
    <t>F71744</t>
  </si>
  <si>
    <t>F71745</t>
  </si>
  <si>
    <t>F71746</t>
  </si>
  <si>
    <t>F71747</t>
  </si>
  <si>
    <t>F71749</t>
  </si>
  <si>
    <t>F71751</t>
  </si>
  <si>
    <t>F71748</t>
  </si>
  <si>
    <t>6,11</t>
  </si>
  <si>
    <t>F71750</t>
  </si>
  <si>
    <t>F71752</t>
  </si>
  <si>
    <t>F71753</t>
  </si>
  <si>
    <t>F71754</t>
  </si>
  <si>
    <t>F71755</t>
  </si>
  <si>
    <t>F71757</t>
  </si>
  <si>
    <t>F71756</t>
  </si>
  <si>
    <t>F71758</t>
  </si>
  <si>
    <t>F71782</t>
  </si>
  <si>
    <t>F71759</t>
  </si>
  <si>
    <t>F71760</t>
  </si>
  <si>
    <t>F71761</t>
  </si>
  <si>
    <t>F71764</t>
  </si>
  <si>
    <t>F71762</t>
  </si>
  <si>
    <t>F71763</t>
  </si>
  <si>
    <t>F71765</t>
  </si>
  <si>
    <t>F71766</t>
  </si>
  <si>
    <t>F71767</t>
  </si>
  <si>
    <t>F71768</t>
  </si>
  <si>
    <t>F71769</t>
  </si>
  <si>
    <t>F71770</t>
  </si>
  <si>
    <t>F71771</t>
  </si>
  <si>
    <t>F71772</t>
  </si>
  <si>
    <t>F71773</t>
  </si>
  <si>
    <t>F71774</t>
  </si>
  <si>
    <t>F71775</t>
  </si>
  <si>
    <t>F71776</t>
  </si>
  <si>
    <t>F71777</t>
  </si>
  <si>
    <t>F71778</t>
  </si>
  <si>
    <t>F71779</t>
  </si>
  <si>
    <t>F71780</t>
  </si>
  <si>
    <t>F71781</t>
  </si>
  <si>
    <t>F71783</t>
  </si>
  <si>
    <t>F71784</t>
  </si>
  <si>
    <t>F71785</t>
  </si>
  <si>
    <t>F71786</t>
  </si>
  <si>
    <t>F71787</t>
  </si>
  <si>
    <t>F71788</t>
  </si>
  <si>
    <t>F71789</t>
  </si>
  <si>
    <t>F71790</t>
  </si>
  <si>
    <t>F71791</t>
  </si>
  <si>
    <t>F71792</t>
  </si>
  <si>
    <t>F71793</t>
  </si>
  <si>
    <t>F71794</t>
  </si>
  <si>
    <t>F71795</t>
  </si>
  <si>
    <t>F71796</t>
  </si>
  <si>
    <t>F71797</t>
  </si>
  <si>
    <t>F71806</t>
  </si>
  <si>
    <t>F71798</t>
  </si>
  <si>
    <t>F71799</t>
  </si>
  <si>
    <t>F71801</t>
  </si>
  <si>
    <t>F71800</t>
  </si>
  <si>
    <t>F71802</t>
  </si>
  <si>
    <t>F71803</t>
  </si>
  <si>
    <t>F71804</t>
  </si>
  <si>
    <t>F71805</t>
  </si>
  <si>
    <t>6,9</t>
  </si>
  <si>
    <t>F71807</t>
  </si>
  <si>
    <t>F71809</t>
  </si>
  <si>
    <t>F71808</t>
  </si>
  <si>
    <t>F71810</t>
  </si>
  <si>
    <t>F71811</t>
  </si>
  <si>
    <t>F71812</t>
  </si>
  <si>
    <t>F71813</t>
  </si>
  <si>
    <t>F71814</t>
  </si>
  <si>
    <t>F71815</t>
  </si>
  <si>
    <t>ahenne</t>
  </si>
  <si>
    <t>F71816</t>
  </si>
  <si>
    <t>F71817</t>
  </si>
  <si>
    <t>F71818</t>
  </si>
  <si>
    <t>F71819</t>
  </si>
  <si>
    <t>F71820</t>
  </si>
  <si>
    <t>F71821</t>
  </si>
  <si>
    <t>F71822</t>
  </si>
  <si>
    <t>F71823</t>
  </si>
  <si>
    <t>F71824</t>
  </si>
  <si>
    <t>F71825</t>
  </si>
  <si>
    <t>F71826</t>
  </si>
  <si>
    <t>F71827</t>
  </si>
  <si>
    <t>F71828</t>
  </si>
  <si>
    <t>F71829</t>
  </si>
  <si>
    <t>F71830</t>
  </si>
  <si>
    <t>F71831</t>
  </si>
  <si>
    <t>F71832</t>
  </si>
  <si>
    <t>F71833</t>
  </si>
  <si>
    <t>F71834</t>
  </si>
  <si>
    <t>F71835</t>
  </si>
  <si>
    <t>F71836</t>
  </si>
  <si>
    <t>F71837</t>
  </si>
  <si>
    <t>F71838</t>
  </si>
  <si>
    <t>F71839</t>
  </si>
  <si>
    <t>F71840</t>
  </si>
  <si>
    <t>F71841</t>
  </si>
  <si>
    <t>F71842</t>
  </si>
  <si>
    <t>F71843</t>
  </si>
  <si>
    <t>F71844</t>
  </si>
  <si>
    <t>F71845</t>
  </si>
  <si>
    <t>F71846</t>
  </si>
  <si>
    <t>F71847</t>
  </si>
  <si>
    <t>F71852</t>
  </si>
  <si>
    <t>F71848</t>
  </si>
  <si>
    <t>F71849</t>
  </si>
  <si>
    <t>F71850</t>
  </si>
  <si>
    <t>F71851</t>
  </si>
  <si>
    <t>F71853</t>
  </si>
  <si>
    <t>F71854</t>
  </si>
  <si>
    <t>F71855</t>
  </si>
  <si>
    <t>F71856</t>
  </si>
  <si>
    <t>F71857</t>
  </si>
  <si>
    <t>F71858</t>
  </si>
  <si>
    <t>F71859</t>
  </si>
  <si>
    <t>F71860</t>
  </si>
  <si>
    <t>F71861</t>
  </si>
  <si>
    <t>F71862</t>
  </si>
  <si>
    <t>F71863</t>
  </si>
  <si>
    <t>F71864</t>
  </si>
  <si>
    <t>F71865</t>
  </si>
  <si>
    <t>F71866</t>
  </si>
  <si>
    <t>F71867</t>
  </si>
  <si>
    <t>F71868</t>
  </si>
  <si>
    <t>F71869</t>
  </si>
  <si>
    <t>F71870</t>
  </si>
  <si>
    <t>F71872</t>
  </si>
  <si>
    <t>F71871</t>
  </si>
  <si>
    <t>F71873</t>
  </si>
  <si>
    <t>F71874</t>
  </si>
  <si>
    <t>F71875</t>
  </si>
  <si>
    <t>F71877</t>
  </si>
  <si>
    <t>F71876</t>
  </si>
  <si>
    <t>F71878</t>
  </si>
  <si>
    <t>F71879</t>
  </si>
  <si>
    <t>F71880</t>
  </si>
  <si>
    <t>F71881</t>
  </si>
  <si>
    <t>F71882</t>
  </si>
  <si>
    <t>F71883</t>
  </si>
  <si>
    <t>F71884</t>
  </si>
  <si>
    <t>F71885</t>
  </si>
  <si>
    <t>F71886</t>
  </si>
  <si>
    <t>F71887</t>
  </si>
  <si>
    <t>F71888</t>
  </si>
  <si>
    <t>F71889</t>
  </si>
  <si>
    <t>F71890</t>
  </si>
  <si>
    <t>F71891</t>
  </si>
  <si>
    <t>F71892</t>
  </si>
  <si>
    <t>F71893</t>
  </si>
  <si>
    <t>F71894</t>
  </si>
  <si>
    <t>F71895</t>
  </si>
  <si>
    <t>F71896</t>
  </si>
  <si>
    <t>F71897</t>
  </si>
  <si>
    <t>F71898</t>
  </si>
  <si>
    <t>F71899</t>
  </si>
  <si>
    <t>F71900</t>
  </si>
  <si>
    <t>F71901</t>
  </si>
  <si>
    <t>F71907</t>
  </si>
  <si>
    <t>F71902</t>
  </si>
  <si>
    <t>F71903</t>
  </si>
  <si>
    <t>F71904</t>
  </si>
  <si>
    <t>F71905</t>
  </si>
  <si>
    <t>F71906</t>
  </si>
  <si>
    <t>F71908</t>
  </si>
  <si>
    <t>F71909</t>
  </si>
  <si>
    <t>F71910</t>
  </si>
  <si>
    <t>F71911</t>
  </si>
  <si>
    <t>F71912</t>
  </si>
  <si>
    <t>F71913</t>
  </si>
  <si>
    <t>F71914</t>
  </si>
  <si>
    <t>F71915</t>
  </si>
  <si>
    <t>F71916</t>
  </si>
  <si>
    <t>F71917</t>
  </si>
  <si>
    <t>F71918</t>
  </si>
  <si>
    <t>F71919</t>
  </si>
  <si>
    <t>F71920</t>
  </si>
  <si>
    <t>F71921</t>
  </si>
  <si>
    <t>F71922</t>
  </si>
  <si>
    <t>F71923</t>
  </si>
  <si>
    <t>F71924</t>
  </si>
  <si>
    <t>F71925</t>
  </si>
  <si>
    <t>free</t>
  </si>
  <si>
    <t>F71926</t>
  </si>
  <si>
    <t>F71928</t>
  </si>
  <si>
    <t>F71927</t>
  </si>
  <si>
    <t>F71929</t>
  </si>
  <si>
    <t>F71930</t>
  </si>
  <si>
    <t>F71931</t>
  </si>
  <si>
    <t>F71932</t>
  </si>
  <si>
    <t>F71933</t>
  </si>
  <si>
    <t>F71934</t>
  </si>
  <si>
    <t xml:space="preserve"> 45 wayas</t>
  </si>
  <si>
    <t>F71935</t>
  </si>
  <si>
    <t>F71944</t>
  </si>
  <si>
    <t>F71936</t>
  </si>
  <si>
    <t>F71937</t>
  </si>
  <si>
    <t>F71938</t>
  </si>
  <si>
    <t>F71939</t>
  </si>
  <si>
    <t>F71940</t>
  </si>
  <si>
    <t>F71943</t>
  </si>
  <si>
    <t>F71941</t>
  </si>
  <si>
    <t>F71942</t>
  </si>
  <si>
    <t>F71945</t>
  </si>
  <si>
    <t>tamie</t>
  </si>
  <si>
    <t>F71946</t>
  </si>
  <si>
    <t>F71947</t>
  </si>
  <si>
    <t>F71948</t>
  </si>
  <si>
    <t>F71949</t>
  </si>
  <si>
    <t>F71950</t>
  </si>
  <si>
    <t>F71956</t>
  </si>
  <si>
    <t>F71951</t>
  </si>
  <si>
    <t>F71952</t>
  </si>
  <si>
    <t>F71953</t>
  </si>
  <si>
    <t>F71954</t>
  </si>
  <si>
    <t>F71955</t>
  </si>
  <si>
    <t>F71957</t>
  </si>
  <si>
    <t>F71958</t>
  </si>
  <si>
    <t>F71959</t>
  </si>
  <si>
    <t>F71960</t>
  </si>
  <si>
    <t>F71961</t>
  </si>
  <si>
    <t>F71962</t>
  </si>
  <si>
    <t>F71963</t>
  </si>
  <si>
    <t>F71964</t>
  </si>
  <si>
    <t>F71965</t>
  </si>
  <si>
    <t>F71966</t>
  </si>
  <si>
    <t>F71967</t>
  </si>
  <si>
    <t>F71968</t>
  </si>
  <si>
    <t>F71969</t>
  </si>
  <si>
    <t>F71971</t>
  </si>
  <si>
    <t>F71970</t>
  </si>
  <si>
    <t>F71972</t>
  </si>
  <si>
    <t>F71975</t>
  </si>
  <si>
    <t>F71973</t>
  </si>
  <si>
    <t>F71974</t>
  </si>
  <si>
    <t>F71976</t>
  </si>
  <si>
    <t>F71977</t>
  </si>
  <si>
    <t>F71978</t>
  </si>
  <si>
    <t>F71979</t>
  </si>
  <si>
    <t>F71980</t>
  </si>
  <si>
    <t>F71981</t>
  </si>
  <si>
    <t>F71982</t>
  </si>
  <si>
    <t>F71983</t>
  </si>
  <si>
    <t>F71984</t>
  </si>
  <si>
    <t>F71985</t>
  </si>
  <si>
    <t>F71986</t>
  </si>
  <si>
    <t>F71987</t>
  </si>
  <si>
    <t>F71988</t>
  </si>
  <si>
    <t>F71989</t>
  </si>
  <si>
    <t>F71990</t>
  </si>
  <si>
    <t>english m</t>
  </si>
  <si>
    <t>F71991</t>
  </si>
  <si>
    <t>F71992</t>
  </si>
  <si>
    <t>F71993</t>
  </si>
  <si>
    <t>F71994</t>
  </si>
  <si>
    <t>F71995</t>
  </si>
  <si>
    <t>F71996</t>
  </si>
  <si>
    <t>F71997</t>
  </si>
  <si>
    <t>F71998</t>
  </si>
  <si>
    <t>F71999</t>
  </si>
  <si>
    <t>F72000</t>
  </si>
  <si>
    <t>F72001</t>
  </si>
  <si>
    <t>F72002</t>
  </si>
  <si>
    <t>F72003</t>
  </si>
  <si>
    <t>F72004</t>
  </si>
  <si>
    <t>F72005</t>
  </si>
  <si>
    <t>F72006</t>
  </si>
  <si>
    <t>F72007</t>
  </si>
  <si>
    <t>F72008</t>
  </si>
  <si>
    <t>F72009</t>
  </si>
  <si>
    <t>F72010</t>
  </si>
  <si>
    <t>F72012</t>
  </si>
  <si>
    <t>F72011</t>
  </si>
  <si>
    <t>F72013</t>
  </si>
  <si>
    <t>F72014</t>
  </si>
  <si>
    <t>F72015</t>
  </si>
  <si>
    <t>F72016</t>
  </si>
  <si>
    <t>F72017</t>
  </si>
  <si>
    <t>F72018</t>
  </si>
  <si>
    <t>F72019</t>
  </si>
  <si>
    <t>F72020</t>
  </si>
  <si>
    <t>F72021</t>
  </si>
  <si>
    <t>11,9</t>
  </si>
  <si>
    <t>F72022</t>
  </si>
  <si>
    <t>F72023</t>
  </si>
  <si>
    <t>F72024</t>
  </si>
  <si>
    <t>F72025</t>
  </si>
  <si>
    <t>F72026</t>
  </si>
  <si>
    <t>F72027</t>
  </si>
  <si>
    <t>F72028</t>
  </si>
  <si>
    <t>F72029</t>
  </si>
  <si>
    <t>F72030</t>
  </si>
  <si>
    <t>F72031</t>
  </si>
  <si>
    <t>F72032</t>
  </si>
  <si>
    <t>F72036</t>
  </si>
  <si>
    <t>F72033</t>
  </si>
  <si>
    <t>F72034</t>
  </si>
  <si>
    <t>F72035</t>
  </si>
  <si>
    <t>F72037</t>
  </si>
  <si>
    <t>F72038</t>
  </si>
  <si>
    <t>F72039</t>
  </si>
  <si>
    <t>F72040</t>
  </si>
  <si>
    <t>F72041</t>
  </si>
  <si>
    <t>F72042</t>
  </si>
  <si>
    <t>F72043</t>
  </si>
  <si>
    <t>F72044</t>
  </si>
  <si>
    <t>F72045</t>
  </si>
  <si>
    <t>F72049</t>
  </si>
  <si>
    <t>F72046</t>
  </si>
  <si>
    <t>F72047</t>
  </si>
  <si>
    <t>F72048</t>
  </si>
  <si>
    <t>F72050</t>
  </si>
  <si>
    <t>F72051</t>
  </si>
  <si>
    <t>F72052</t>
  </si>
  <si>
    <t>F72053</t>
  </si>
  <si>
    <t>F72054</t>
  </si>
  <si>
    <t>F72055</t>
  </si>
  <si>
    <t>F72056</t>
  </si>
  <si>
    <t>F72058</t>
  </si>
  <si>
    <t>F72057</t>
  </si>
  <si>
    <t>F72059</t>
  </si>
  <si>
    <t>F72060</t>
  </si>
  <si>
    <t>F72061</t>
  </si>
  <si>
    <t>F72062</t>
  </si>
  <si>
    <t>F72063</t>
  </si>
  <si>
    <t>F72064</t>
  </si>
  <si>
    <t>F72065</t>
  </si>
  <si>
    <t>F72066</t>
  </si>
  <si>
    <t>F72067</t>
  </si>
  <si>
    <t>F72068</t>
  </si>
  <si>
    <t>F72069</t>
  </si>
  <si>
    <t>grade 4</t>
  </si>
  <si>
    <t>F72070</t>
  </si>
  <si>
    <t>F72071</t>
  </si>
  <si>
    <t>F72072</t>
  </si>
  <si>
    <t>F72073</t>
  </si>
  <si>
    <t>F72075</t>
  </si>
  <si>
    <t>F72074</t>
  </si>
  <si>
    <t>F72076</t>
  </si>
  <si>
    <t>F72078</t>
  </si>
  <si>
    <t>F72080</t>
  </si>
  <si>
    <t>F72079</t>
  </si>
  <si>
    <t>F72081</t>
  </si>
  <si>
    <t>F72090</t>
  </si>
  <si>
    <t>F72082</t>
  </si>
  <si>
    <t>F72083</t>
  </si>
  <si>
    <t>F72084</t>
  </si>
  <si>
    <t>F72085</t>
  </si>
  <si>
    <t>F72086</t>
  </si>
  <si>
    <t>F72087</t>
  </si>
  <si>
    <t>F72088</t>
  </si>
  <si>
    <t>F72089</t>
  </si>
  <si>
    <t>F72093</t>
  </si>
  <si>
    <t>F72091</t>
  </si>
  <si>
    <t>F72092</t>
  </si>
  <si>
    <t>F72094</t>
  </si>
  <si>
    <t>F72095</t>
  </si>
  <si>
    <t>F72096</t>
  </si>
  <si>
    <t>NOT JOIN</t>
  </si>
  <si>
    <t>F72097</t>
  </si>
  <si>
    <t>F72098</t>
  </si>
  <si>
    <t>F72099</t>
  </si>
  <si>
    <t>F72100</t>
  </si>
  <si>
    <t>F72101</t>
  </si>
  <si>
    <t>F72102</t>
  </si>
  <si>
    <t>F72103</t>
  </si>
  <si>
    <t>F72105</t>
  </si>
  <si>
    <t>F72104</t>
  </si>
  <si>
    <t>F72106</t>
  </si>
  <si>
    <t>F72107</t>
  </si>
  <si>
    <t>F72108</t>
  </si>
  <si>
    <t>F72109</t>
  </si>
  <si>
    <t>F72110</t>
  </si>
  <si>
    <t>F72111</t>
  </si>
  <si>
    <t>F72112</t>
  </si>
  <si>
    <t>F72113</t>
  </si>
  <si>
    <t>F72114</t>
  </si>
  <si>
    <t>F72115</t>
  </si>
  <si>
    <t>daruwa dala</t>
  </si>
  <si>
    <t>F72116</t>
  </si>
  <si>
    <t>F72117</t>
  </si>
  <si>
    <t>F72118</t>
  </si>
  <si>
    <t>F72119</t>
  </si>
  <si>
    <t>F72120</t>
  </si>
  <si>
    <t>F72121</t>
  </si>
  <si>
    <t>F72123</t>
  </si>
  <si>
    <t>F72122</t>
  </si>
  <si>
    <t>F72124</t>
  </si>
  <si>
    <t>8,10</t>
  </si>
  <si>
    <t>F72125</t>
  </si>
  <si>
    <t>F72126</t>
  </si>
  <si>
    <t>F72127</t>
  </si>
  <si>
    <t>F72128</t>
  </si>
  <si>
    <t>F72129</t>
  </si>
  <si>
    <t>F72131</t>
  </si>
  <si>
    <t>F72132</t>
  </si>
  <si>
    <t>F72133</t>
  </si>
  <si>
    <t>F72134</t>
  </si>
  <si>
    <t>F72135</t>
  </si>
  <si>
    <t>F72136</t>
  </si>
  <si>
    <t>F72137</t>
  </si>
  <si>
    <t>F72138</t>
  </si>
  <si>
    <t>F72139</t>
  </si>
  <si>
    <t>F72140</t>
  </si>
  <si>
    <t>F72143</t>
  </si>
  <si>
    <t>F72141</t>
  </si>
  <si>
    <t>F72142</t>
  </si>
  <si>
    <t>F72145</t>
  </si>
  <si>
    <t>F72144</t>
  </si>
  <si>
    <t>F72146</t>
  </si>
  <si>
    <t>F72147</t>
  </si>
  <si>
    <t>F72149</t>
  </si>
  <si>
    <t>F72148</t>
  </si>
  <si>
    <t>F72150</t>
  </si>
  <si>
    <t>F72151</t>
  </si>
  <si>
    <t>F72152</t>
  </si>
  <si>
    <t>F72153</t>
  </si>
  <si>
    <t>baba dala thiyne</t>
  </si>
  <si>
    <t>F72154</t>
  </si>
  <si>
    <t>F72155</t>
  </si>
  <si>
    <t>F72159</t>
  </si>
  <si>
    <t>F72157</t>
  </si>
  <si>
    <t>F72158</t>
  </si>
  <si>
    <t>F72161</t>
  </si>
  <si>
    <t>F72160</t>
  </si>
  <si>
    <t>F72162</t>
  </si>
  <si>
    <t>F72163</t>
  </si>
  <si>
    <t>F72164</t>
  </si>
  <si>
    <t>F72165</t>
  </si>
  <si>
    <t>F72166</t>
  </si>
  <si>
    <t>F72167</t>
  </si>
  <si>
    <t>F72168</t>
  </si>
  <si>
    <t>F72169</t>
  </si>
  <si>
    <t>F72170</t>
  </si>
  <si>
    <t>F72171</t>
  </si>
  <si>
    <t>F72172</t>
  </si>
  <si>
    <t>F72173</t>
  </si>
  <si>
    <t>F72175</t>
  </si>
  <si>
    <t>F72174</t>
  </si>
  <si>
    <t>F72176</t>
  </si>
  <si>
    <t>F72177</t>
  </si>
  <si>
    <t>F72178</t>
  </si>
  <si>
    <t>F72179</t>
  </si>
  <si>
    <t>F72181</t>
  </si>
  <si>
    <t>F72180</t>
  </si>
  <si>
    <t>F72182</t>
  </si>
  <si>
    <t>F72183</t>
  </si>
  <si>
    <t>F72184</t>
  </si>
  <si>
    <t>F72185</t>
  </si>
  <si>
    <t>F72186</t>
  </si>
  <si>
    <t>F72187</t>
  </si>
  <si>
    <t>F72188</t>
  </si>
  <si>
    <t>F72189</t>
  </si>
  <si>
    <t>F72190</t>
  </si>
  <si>
    <t>F72191</t>
  </si>
  <si>
    <t>F72192</t>
  </si>
  <si>
    <t>F72193</t>
  </si>
  <si>
    <t>F72194</t>
  </si>
  <si>
    <t>F72195</t>
  </si>
  <si>
    <t>F72196</t>
  </si>
  <si>
    <t>F72199</t>
  </si>
  <si>
    <t>F72197</t>
  </si>
  <si>
    <t>F72198</t>
  </si>
  <si>
    <t>F72200</t>
  </si>
  <si>
    <t>F72201</t>
  </si>
  <si>
    <t>F72202</t>
  </si>
  <si>
    <t>F72203</t>
  </si>
  <si>
    <t>F72204</t>
  </si>
  <si>
    <t>F72207</t>
  </si>
  <si>
    <t>F72209</t>
  </si>
  <si>
    <t>F72205</t>
  </si>
  <si>
    <t>F72206</t>
  </si>
  <si>
    <t>F72208</t>
  </si>
  <si>
    <t>F72210</t>
  </si>
  <si>
    <t>F72212</t>
  </si>
  <si>
    <t>F72211</t>
  </si>
  <si>
    <t>F72213</t>
  </si>
  <si>
    <t>F72214</t>
  </si>
  <si>
    <t>F72215</t>
  </si>
  <si>
    <t>F72216</t>
  </si>
  <si>
    <t>F72221</t>
  </si>
  <si>
    <t>F72217</t>
  </si>
  <si>
    <t>F72218</t>
  </si>
  <si>
    <t>F72219</t>
  </si>
  <si>
    <t>F72220</t>
  </si>
  <si>
    <t>F72222</t>
  </si>
  <si>
    <t>F72223</t>
  </si>
  <si>
    <t>F72224</t>
  </si>
  <si>
    <t>F72225</t>
  </si>
  <si>
    <t>F72226</t>
  </si>
  <si>
    <t>F72227</t>
  </si>
  <si>
    <t>F72228</t>
  </si>
  <si>
    <t>F72229</t>
  </si>
  <si>
    <t>F72230</t>
  </si>
  <si>
    <t>F72231</t>
  </si>
  <si>
    <t>F72232</t>
  </si>
  <si>
    <t>F72233</t>
  </si>
  <si>
    <t>F72234</t>
  </si>
  <si>
    <t>F72235</t>
  </si>
  <si>
    <t>F72236</t>
  </si>
  <si>
    <t>F72237</t>
  </si>
  <si>
    <t>F72238</t>
  </si>
  <si>
    <t>F72239</t>
  </si>
  <si>
    <t>F72240</t>
  </si>
  <si>
    <t>F72241</t>
  </si>
  <si>
    <t>F72242</t>
  </si>
  <si>
    <t>F72243</t>
  </si>
  <si>
    <t>F72244</t>
  </si>
  <si>
    <t>F72245</t>
  </si>
  <si>
    <t>F72246</t>
  </si>
  <si>
    <t>F72247</t>
  </si>
  <si>
    <t>taime aul</t>
  </si>
  <si>
    <t>F72248</t>
  </si>
  <si>
    <t>F72249</t>
  </si>
  <si>
    <t>F72250</t>
  </si>
  <si>
    <t>F72252</t>
  </si>
  <si>
    <t>F72251</t>
  </si>
  <si>
    <t>F72253</t>
  </si>
  <si>
    <t>F72254</t>
  </si>
  <si>
    <t>F72255</t>
  </si>
  <si>
    <t>F72256</t>
  </si>
  <si>
    <t>F72257</t>
  </si>
  <si>
    <t>F72258</t>
  </si>
  <si>
    <t>F72259</t>
  </si>
  <si>
    <t>F72260</t>
  </si>
  <si>
    <t>F72261</t>
  </si>
  <si>
    <t>F72262</t>
  </si>
  <si>
    <t>F72263</t>
  </si>
  <si>
    <t>F72264</t>
  </si>
  <si>
    <t>F72265</t>
  </si>
  <si>
    <t>F72266</t>
  </si>
  <si>
    <t>F72268</t>
  </si>
  <si>
    <t>F72267</t>
  </si>
  <si>
    <t>F72269</t>
  </si>
  <si>
    <t>F72270</t>
  </si>
  <si>
    <t>F72271</t>
  </si>
  <si>
    <t>F72272</t>
  </si>
  <si>
    <t>F72274</t>
  </si>
  <si>
    <t>F72273</t>
  </si>
  <si>
    <t>F72275</t>
  </si>
  <si>
    <t>F72276</t>
  </si>
  <si>
    <t>F72277</t>
  </si>
  <si>
    <t>F72278</t>
  </si>
  <si>
    <t>F72279</t>
  </si>
  <si>
    <t>F72280</t>
  </si>
  <si>
    <t>F72281</t>
  </si>
  <si>
    <t>F72282</t>
  </si>
  <si>
    <t>F72283</t>
  </si>
  <si>
    <t>F72285</t>
  </si>
  <si>
    <t>F72284</t>
  </si>
  <si>
    <t>F72286</t>
  </si>
  <si>
    <t>F72287</t>
  </si>
  <si>
    <t>F72289</t>
  </si>
  <si>
    <t>F72290</t>
  </si>
  <si>
    <t>F72291</t>
  </si>
  <si>
    <t>T.p</t>
  </si>
  <si>
    <t>F72292</t>
  </si>
  <si>
    <t>F72293</t>
  </si>
  <si>
    <t>F72294</t>
  </si>
  <si>
    <t>F72295</t>
  </si>
  <si>
    <t>T P</t>
  </si>
  <si>
    <t>F72296</t>
  </si>
  <si>
    <t>F72297</t>
  </si>
  <si>
    <t>msge 1 dnnm kiw</t>
  </si>
  <si>
    <t>F72298</t>
  </si>
  <si>
    <t>F72299</t>
  </si>
  <si>
    <t>F72301</t>
  </si>
  <si>
    <t>F72302</t>
  </si>
  <si>
    <t>9wsr  ekkent 11 clz ek ne</t>
  </si>
  <si>
    <t>F72303</t>
  </si>
  <si>
    <t>join wela inne</t>
  </si>
  <si>
    <t>F72304</t>
  </si>
  <si>
    <t>F72305</t>
  </si>
  <si>
    <t>F72306</t>
  </si>
  <si>
    <t>F72307</t>
  </si>
  <si>
    <t>F72308</t>
  </si>
  <si>
    <t>F72309</t>
  </si>
  <si>
    <t>F72310</t>
  </si>
  <si>
    <t>F72311</t>
  </si>
  <si>
    <t>F72313</t>
  </si>
  <si>
    <t>F72314</t>
  </si>
  <si>
    <t>F72315</t>
  </si>
  <si>
    <t>F72316</t>
  </si>
  <si>
    <t>F72317</t>
  </si>
  <si>
    <t>F72318</t>
  </si>
  <si>
    <t>F72319</t>
  </si>
  <si>
    <t>F72321</t>
  </si>
  <si>
    <t>F72320</t>
  </si>
  <si>
    <t>F72322</t>
  </si>
  <si>
    <t>F72323</t>
  </si>
  <si>
    <t>F72327</t>
  </si>
  <si>
    <t>F72324</t>
  </si>
  <si>
    <t>F72325</t>
  </si>
  <si>
    <t>F72326</t>
  </si>
  <si>
    <t>F72328</t>
  </si>
  <si>
    <t>F72329</t>
  </si>
  <si>
    <t>F72330</t>
  </si>
  <si>
    <t>F72331</t>
  </si>
  <si>
    <t>F72332</t>
  </si>
  <si>
    <t>F72333</t>
  </si>
  <si>
    <t>F72334</t>
  </si>
  <si>
    <t>F72335</t>
  </si>
  <si>
    <t>F72336</t>
  </si>
  <si>
    <t>m1 dnn kiw</t>
  </si>
  <si>
    <t>F72337</t>
  </si>
  <si>
    <t>F72338</t>
  </si>
  <si>
    <t>F72339</t>
  </si>
  <si>
    <t>F72353</t>
  </si>
  <si>
    <t>F72340</t>
  </si>
  <si>
    <t>F72341</t>
  </si>
  <si>
    <t>F72342</t>
  </si>
  <si>
    <t>F72343</t>
  </si>
  <si>
    <t>F72344</t>
  </si>
  <si>
    <t>F72345</t>
  </si>
  <si>
    <t>F72346</t>
  </si>
  <si>
    <t>F72347</t>
  </si>
  <si>
    <t>F72348</t>
  </si>
  <si>
    <t>F72349</t>
  </si>
  <si>
    <t>F72350</t>
  </si>
  <si>
    <t>F72351</t>
  </si>
  <si>
    <t>F72352</t>
  </si>
  <si>
    <t>F72357</t>
  </si>
  <si>
    <t>F72355</t>
  </si>
  <si>
    <t>F72356</t>
  </si>
  <si>
    <t>F72358</t>
  </si>
  <si>
    <t>F72359</t>
  </si>
  <si>
    <t>T p</t>
  </si>
  <si>
    <t>F72360</t>
  </si>
  <si>
    <t>F72361</t>
  </si>
  <si>
    <t>F72362</t>
  </si>
  <si>
    <t>F72363</t>
  </si>
  <si>
    <t>F72364</t>
  </si>
  <si>
    <t>F72365</t>
  </si>
  <si>
    <t>F72366</t>
  </si>
  <si>
    <t>F72367</t>
  </si>
  <si>
    <t>F72368</t>
  </si>
  <si>
    <t>F72369</t>
  </si>
  <si>
    <t>TP</t>
  </si>
  <si>
    <t>F72370</t>
  </si>
  <si>
    <t>F72371</t>
  </si>
  <si>
    <t>F72372</t>
  </si>
  <si>
    <t>F72373</t>
  </si>
  <si>
    <t>F72375</t>
  </si>
  <si>
    <t>F72374</t>
  </si>
  <si>
    <t>F72376</t>
  </si>
  <si>
    <t>F72377</t>
  </si>
  <si>
    <t>F72378</t>
  </si>
  <si>
    <t>F72379</t>
  </si>
  <si>
    <t>F72380</t>
  </si>
  <si>
    <t>F72381</t>
  </si>
  <si>
    <t>F72382</t>
  </si>
  <si>
    <t>F72383</t>
  </si>
  <si>
    <t>F72384</t>
  </si>
  <si>
    <t>F72385</t>
  </si>
  <si>
    <t>F72386</t>
  </si>
  <si>
    <t>tp</t>
  </si>
  <si>
    <t>F72387</t>
  </si>
  <si>
    <t>F72388</t>
  </si>
  <si>
    <t>F72389</t>
  </si>
  <si>
    <t>F72390</t>
  </si>
  <si>
    <t>F72391</t>
  </si>
  <si>
    <t>F72392</t>
  </si>
  <si>
    <t>F72393</t>
  </si>
  <si>
    <t>F72394</t>
  </si>
  <si>
    <t>F72395</t>
  </si>
  <si>
    <t>F72396</t>
  </si>
  <si>
    <t>F72397</t>
  </si>
  <si>
    <t>F72398</t>
  </si>
  <si>
    <t xml:space="preserve">t psd </t>
  </si>
  <si>
    <t>F72402</t>
  </si>
  <si>
    <t xml:space="preserve">T P </t>
  </si>
  <si>
    <t>F72399</t>
  </si>
  <si>
    <t>F72400</t>
  </si>
  <si>
    <t>F72401</t>
  </si>
  <si>
    <t>F72403</t>
  </si>
  <si>
    <t>F72404</t>
  </si>
  <si>
    <t>F72409</t>
  </si>
  <si>
    <t>F72405</t>
  </si>
  <si>
    <t>F72406</t>
  </si>
  <si>
    <t>F72408</t>
  </si>
  <si>
    <t>F72410</t>
  </si>
  <si>
    <t>F72411</t>
  </si>
  <si>
    <t>F72412</t>
  </si>
  <si>
    <t>F72413</t>
  </si>
  <si>
    <t>F72414</t>
  </si>
  <si>
    <t>F72415</t>
  </si>
  <si>
    <t>F72417</t>
  </si>
  <si>
    <t>F72420</t>
  </si>
  <si>
    <t>F72422</t>
  </si>
  <si>
    <t>t pas</t>
  </si>
  <si>
    <t>F72418</t>
  </si>
  <si>
    <t>F72421</t>
  </si>
  <si>
    <t>F72423</t>
  </si>
  <si>
    <t>F72424</t>
  </si>
  <si>
    <t>F72425</t>
  </si>
  <si>
    <t>F72426</t>
  </si>
  <si>
    <t>t pad</t>
  </si>
  <si>
    <t>F72427</t>
  </si>
  <si>
    <t>F72428</t>
  </si>
  <si>
    <t>F72429</t>
  </si>
  <si>
    <t>F72431</t>
  </si>
  <si>
    <t>F72430</t>
  </si>
  <si>
    <t>F72432</t>
  </si>
  <si>
    <t>F72433</t>
  </si>
  <si>
    <t>F72434</t>
  </si>
  <si>
    <t>F72435</t>
  </si>
  <si>
    <t>F72436</t>
  </si>
  <si>
    <t>F72437</t>
  </si>
  <si>
    <t>F72438</t>
  </si>
  <si>
    <t>F72440</t>
  </si>
  <si>
    <t>F72439</t>
  </si>
  <si>
    <t>F72441</t>
  </si>
  <si>
    <t>F72443</t>
  </si>
  <si>
    <t>F72444</t>
  </si>
  <si>
    <t>F72445</t>
  </si>
  <si>
    <t>F72446</t>
  </si>
  <si>
    <t>F72448</t>
  </si>
  <si>
    <t>F72449</t>
  </si>
  <si>
    <t>F72452</t>
  </si>
  <si>
    <t>F72454</t>
  </si>
  <si>
    <t>F72455</t>
  </si>
  <si>
    <t>F72456</t>
  </si>
  <si>
    <t>F72457</t>
  </si>
  <si>
    <t>F72458</t>
  </si>
  <si>
    <t>F72459</t>
  </si>
  <si>
    <t>F72460</t>
  </si>
  <si>
    <t>F72461</t>
  </si>
  <si>
    <t>F72462</t>
  </si>
  <si>
    <t>F72463</t>
  </si>
  <si>
    <t>F72464</t>
  </si>
  <si>
    <t>t ps (english)</t>
  </si>
  <si>
    <t>F72465</t>
  </si>
  <si>
    <t>F72466</t>
  </si>
  <si>
    <t>F72468</t>
  </si>
  <si>
    <t>F72469</t>
  </si>
  <si>
    <t>F72470</t>
  </si>
  <si>
    <t>F72471</t>
  </si>
  <si>
    <t>F72472</t>
  </si>
  <si>
    <t>F72477</t>
  </si>
  <si>
    <t>F72473</t>
  </si>
  <si>
    <t>F72474</t>
  </si>
  <si>
    <t>F72475</t>
  </si>
  <si>
    <t>F72481</t>
  </si>
  <si>
    <t>F72478</t>
  </si>
  <si>
    <t>F72479</t>
  </si>
  <si>
    <t>F72480</t>
  </si>
  <si>
    <t>F72482</t>
  </si>
  <si>
    <t>F72483</t>
  </si>
  <si>
    <t>KTHA KRNNE NA</t>
  </si>
  <si>
    <t>F72484</t>
  </si>
  <si>
    <t>F72486</t>
  </si>
  <si>
    <t>F72487</t>
  </si>
  <si>
    <t>F72488</t>
  </si>
  <si>
    <t>F72489</t>
  </si>
  <si>
    <t>F72491</t>
  </si>
  <si>
    <t>F72492</t>
  </si>
  <si>
    <t>F72493</t>
  </si>
  <si>
    <t>F72494</t>
  </si>
  <si>
    <t>F72495</t>
  </si>
  <si>
    <t>F72497</t>
  </si>
  <si>
    <t>F72498</t>
  </si>
  <si>
    <t>F72500</t>
  </si>
  <si>
    <t>F72501</t>
  </si>
  <si>
    <t>F72502</t>
  </si>
  <si>
    <t>F72504</t>
  </si>
  <si>
    <t>F72505</t>
  </si>
  <si>
    <t>F72507</t>
  </si>
  <si>
    <t>F72508</t>
  </si>
  <si>
    <t>F72510</t>
  </si>
  <si>
    <t>F72511</t>
  </si>
  <si>
    <t>F72513</t>
  </si>
  <si>
    <t>`</t>
  </si>
  <si>
    <t>F72514</t>
  </si>
  <si>
    <t>F72515</t>
  </si>
  <si>
    <t>F72516</t>
  </si>
  <si>
    <t>F72517</t>
  </si>
  <si>
    <t>F72518</t>
  </si>
  <si>
    <t>F72519</t>
  </si>
  <si>
    <t>F72520</t>
  </si>
  <si>
    <t>F72521</t>
  </si>
  <si>
    <t>F72522</t>
  </si>
  <si>
    <t>F72523</t>
  </si>
  <si>
    <t>F72524</t>
  </si>
  <si>
    <t>F72525</t>
  </si>
  <si>
    <t>F72526</t>
  </si>
  <si>
    <t>F72527</t>
  </si>
  <si>
    <t>F72528</t>
  </si>
  <si>
    <t>F72529</t>
  </si>
  <si>
    <t>F72530</t>
  </si>
  <si>
    <t>F72531</t>
  </si>
  <si>
    <t>F72532</t>
  </si>
  <si>
    <t>F72533</t>
  </si>
  <si>
    <t>F72535</t>
  </si>
  <si>
    <t>F72537</t>
  </si>
  <si>
    <t>F72536</t>
  </si>
  <si>
    <t>F72538</t>
  </si>
  <si>
    <t>F72288</t>
  </si>
  <si>
    <t>F72300</t>
  </si>
  <si>
    <t>ටයිම් අවුල් රට යන්න</t>
  </si>
  <si>
    <t>F72312</t>
  </si>
  <si>
    <t>F72407</t>
  </si>
  <si>
    <t>F72416</t>
  </si>
  <si>
    <t xml:space="preserve">ahala na </t>
  </si>
  <si>
    <t>F72419</t>
  </si>
  <si>
    <t>F72442</t>
  </si>
  <si>
    <t>F72447</t>
  </si>
  <si>
    <t>time aul</t>
  </si>
  <si>
    <t>F72450</t>
  </si>
  <si>
    <t>F72451</t>
  </si>
  <si>
    <t xml:space="preserve">english </t>
  </si>
  <si>
    <t>F72453</t>
  </si>
  <si>
    <t>F72467</t>
  </si>
  <si>
    <t>F72476</t>
  </si>
  <si>
    <t>6 join</t>
  </si>
  <si>
    <t>F72485</t>
  </si>
  <si>
    <t>F72490</t>
  </si>
  <si>
    <t>F72496</t>
  </si>
  <si>
    <t>F72499</t>
  </si>
  <si>
    <t>F72503</t>
  </si>
  <si>
    <t>F72506</t>
  </si>
  <si>
    <t>F72509</t>
  </si>
  <si>
    <t>F72512</t>
  </si>
  <si>
    <t>F72534</t>
  </si>
  <si>
    <t>F72552</t>
  </si>
  <si>
    <t>F72557</t>
  </si>
  <si>
    <t>F72573</t>
  </si>
  <si>
    <t>F72539</t>
  </si>
  <si>
    <t>F72540</t>
  </si>
  <si>
    <t>Time aul</t>
  </si>
  <si>
    <t>F72596</t>
  </si>
  <si>
    <t>F72600</t>
  </si>
  <si>
    <t>F72606</t>
  </si>
  <si>
    <t>F72611</t>
  </si>
  <si>
    <t>F72613</t>
  </si>
  <si>
    <t>F72615</t>
  </si>
  <si>
    <t>F72620</t>
  </si>
  <si>
    <t>F72624</t>
  </si>
  <si>
    <t>F72630</t>
  </si>
  <si>
    <t>F72633</t>
  </si>
  <si>
    <t>F72635</t>
  </si>
  <si>
    <t>F72639</t>
  </si>
  <si>
    <t>F72644</t>
  </si>
  <si>
    <t>F72649</t>
  </si>
  <si>
    <t>F72654</t>
  </si>
  <si>
    <t>F72656</t>
  </si>
  <si>
    <t>F72659</t>
  </si>
  <si>
    <t>F72670</t>
  </si>
  <si>
    <t>F72676</t>
  </si>
  <si>
    <t xml:space="preserve">time </t>
  </si>
  <si>
    <t>F72682</t>
  </si>
  <si>
    <t>F72683</t>
  </si>
  <si>
    <t>F72685</t>
  </si>
  <si>
    <t>F72687</t>
  </si>
  <si>
    <t>F72688</t>
  </si>
  <si>
    <t>F72690</t>
  </si>
  <si>
    <t>F72692</t>
  </si>
  <si>
    <t>F72694</t>
  </si>
  <si>
    <t>F72699</t>
  </si>
  <si>
    <t>F72700</t>
  </si>
  <si>
    <t>F72701</t>
  </si>
  <si>
    <t>F72702</t>
  </si>
  <si>
    <t>F72745</t>
  </si>
  <si>
    <t>F72752</t>
  </si>
  <si>
    <t>F72761</t>
  </si>
  <si>
    <t>F72764</t>
  </si>
  <si>
    <t>F72769</t>
  </si>
  <si>
    <t>F72775</t>
  </si>
  <si>
    <t>F72779</t>
  </si>
  <si>
    <t>F72808</t>
  </si>
  <si>
    <t>F72811</t>
  </si>
  <si>
    <t>F72815</t>
  </si>
  <si>
    <t>F72837</t>
  </si>
  <si>
    <t>F72838</t>
  </si>
  <si>
    <t>Taime aul</t>
  </si>
  <si>
    <t>F72843</t>
  </si>
  <si>
    <t>F72844</t>
  </si>
  <si>
    <t>F72850</t>
  </si>
  <si>
    <t>F72852</t>
  </si>
  <si>
    <t>F72855</t>
  </si>
  <si>
    <t>F71217</t>
  </si>
  <si>
    <t>F72861</t>
  </si>
  <si>
    <t>F72866</t>
  </si>
  <si>
    <t>F72872</t>
  </si>
  <si>
    <t>F72876</t>
  </si>
  <si>
    <t>F72879</t>
  </si>
  <si>
    <t>F72883</t>
  </si>
  <si>
    <t>6,8</t>
  </si>
  <si>
    <t>F72895</t>
  </si>
  <si>
    <t>F72903</t>
  </si>
  <si>
    <t>F72917</t>
  </si>
  <si>
    <t>F72919</t>
  </si>
  <si>
    <t>F72922</t>
  </si>
  <si>
    <t>F72924</t>
  </si>
  <si>
    <t>F72929</t>
  </si>
  <si>
    <t>F72932</t>
  </si>
  <si>
    <t>F72933</t>
  </si>
  <si>
    <t>F72936</t>
  </si>
  <si>
    <t>F72942</t>
  </si>
  <si>
    <t>F72541</t>
  </si>
  <si>
    <t>katha karanne</t>
  </si>
  <si>
    <t>F72542</t>
  </si>
  <si>
    <t>F72543</t>
  </si>
  <si>
    <t>F72544</t>
  </si>
  <si>
    <t>F72545</t>
  </si>
  <si>
    <t>F72546</t>
  </si>
  <si>
    <t>F72547</t>
  </si>
  <si>
    <t>F72548</t>
  </si>
  <si>
    <t>F72549</t>
  </si>
  <si>
    <t>F72550</t>
  </si>
  <si>
    <t>F72551</t>
  </si>
  <si>
    <t>F72553</t>
  </si>
  <si>
    <t>F72554</t>
  </si>
  <si>
    <t>F72556</t>
  </si>
  <si>
    <t>F72555</t>
  </si>
  <si>
    <t>F72558</t>
  </si>
  <si>
    <t>F72559</t>
  </si>
  <si>
    <t>F72560</t>
  </si>
  <si>
    <t>F72561</t>
  </si>
  <si>
    <t>F72562</t>
  </si>
  <si>
    <t>F72563</t>
  </si>
  <si>
    <t>F72564</t>
  </si>
  <si>
    <t>F72565</t>
  </si>
  <si>
    <t>F72566</t>
  </si>
  <si>
    <t>F72567</t>
  </si>
  <si>
    <t>F72568</t>
  </si>
  <si>
    <t>F72569</t>
  </si>
  <si>
    <t>F72570</t>
  </si>
  <si>
    <t>F72571</t>
  </si>
  <si>
    <t>F72572</t>
  </si>
  <si>
    <t>F72574</t>
  </si>
  <si>
    <t>F72575</t>
  </si>
  <si>
    <t>F72576</t>
  </si>
  <si>
    <t>F72577</t>
  </si>
  <si>
    <t>F72578</t>
  </si>
  <si>
    <t>F72579</t>
  </si>
  <si>
    <t>F72580</t>
  </si>
  <si>
    <t>F72581</t>
  </si>
  <si>
    <t>F72582</t>
  </si>
  <si>
    <t>F72583</t>
  </si>
  <si>
    <t>F72585</t>
  </si>
  <si>
    <t>F72586</t>
  </si>
  <si>
    <t>F72587</t>
  </si>
  <si>
    <t>F72588</t>
  </si>
  <si>
    <t>F72589</t>
  </si>
  <si>
    <t>F72590</t>
  </si>
  <si>
    <t>F72591</t>
  </si>
  <si>
    <t>F72592</t>
  </si>
  <si>
    <t>F72593</t>
  </si>
  <si>
    <t>F72594</t>
  </si>
  <si>
    <t>F72595</t>
  </si>
  <si>
    <t>F72598</t>
  </si>
  <si>
    <t>F72599</t>
  </si>
  <si>
    <t>F72601</t>
  </si>
  <si>
    <t>F72602</t>
  </si>
  <si>
    <t>F72603</t>
  </si>
  <si>
    <t>F72604</t>
  </si>
  <si>
    <t>F72605</t>
  </si>
  <si>
    <t>F72607</t>
  </si>
  <si>
    <t>F72608</t>
  </si>
  <si>
    <t>F72609</t>
  </si>
  <si>
    <t>F72610</t>
  </si>
  <si>
    <t>F72614</t>
  </si>
  <si>
    <t>F72612</t>
  </si>
  <si>
    <t>F72616</t>
  </si>
  <si>
    <t>F72617</t>
  </si>
  <si>
    <t>F72618</t>
  </si>
  <si>
    <t>F72619</t>
  </si>
  <si>
    <t>F72621</t>
  </si>
  <si>
    <t>F72622</t>
  </si>
  <si>
    <t>F72623</t>
  </si>
  <si>
    <t>F72625</t>
  </si>
  <si>
    <t>F72626</t>
  </si>
  <si>
    <t>F72627</t>
  </si>
  <si>
    <t>F72628</t>
  </si>
  <si>
    <t>F72629</t>
  </si>
  <si>
    <t>F72631</t>
  </si>
  <si>
    <t>F72632</t>
  </si>
  <si>
    <t>F72634</t>
  </si>
  <si>
    <t>F72636</t>
  </si>
  <si>
    <t>F72637</t>
  </si>
  <si>
    <t>F72638</t>
  </si>
  <si>
    <t>F72640</t>
  </si>
  <si>
    <t>F72641</t>
  </si>
  <si>
    <t>F72643</t>
  </si>
  <si>
    <t>F72642</t>
  </si>
  <si>
    <t>F72645</t>
  </si>
  <si>
    <t>F72646</t>
  </si>
  <si>
    <t>F72647</t>
  </si>
  <si>
    <t>F72648</t>
  </si>
  <si>
    <t>F72650</t>
  </si>
  <si>
    <t>F72651</t>
  </si>
  <si>
    <t>F72652</t>
  </si>
  <si>
    <t>F72653</t>
  </si>
  <si>
    <t>F72655</t>
  </si>
  <si>
    <t>F72657</t>
  </si>
  <si>
    <t>F72658</t>
  </si>
  <si>
    <t>F72660</t>
  </si>
  <si>
    <t>F72661</t>
  </si>
  <si>
    <t>F72663</t>
  </si>
  <si>
    <t>F72662</t>
  </si>
  <si>
    <t>F72664</t>
  </si>
  <si>
    <t>F72665</t>
  </si>
  <si>
    <t>F72666</t>
  </si>
  <si>
    <t>7,11</t>
  </si>
  <si>
    <t>F72667</t>
  </si>
  <si>
    <t>F72668</t>
  </si>
  <si>
    <t>F72669</t>
  </si>
  <si>
    <t>F72671</t>
  </si>
  <si>
    <t>F72673</t>
  </si>
  <si>
    <t>F72672</t>
  </si>
  <si>
    <t>F72674</t>
  </si>
  <si>
    <t>F72675</t>
  </si>
  <si>
    <t>F72677</t>
  </si>
  <si>
    <t>F72678</t>
  </si>
  <si>
    <t xml:space="preserve"> T P</t>
  </si>
  <si>
    <t>F72679</t>
  </si>
  <si>
    <t>F72680</t>
  </si>
  <si>
    <t>F72681</t>
  </si>
  <si>
    <t>F72684</t>
  </si>
  <si>
    <t>FREE CLZ</t>
  </si>
  <si>
    <t>F72686</t>
  </si>
  <si>
    <t>F72689</t>
  </si>
  <si>
    <t>F72691</t>
  </si>
  <si>
    <t>F72693</t>
  </si>
  <si>
    <t>F72695</t>
  </si>
  <si>
    <t>F72696</t>
  </si>
  <si>
    <t>F72697</t>
  </si>
  <si>
    <t>F72698</t>
  </si>
  <si>
    <t>F72703</t>
  </si>
  <si>
    <t>F72704</t>
  </si>
  <si>
    <t>F72705</t>
  </si>
  <si>
    <t>F72706</t>
  </si>
  <si>
    <t>F72707</t>
  </si>
  <si>
    <t>F72708</t>
  </si>
  <si>
    <t>ENGLISH</t>
  </si>
  <si>
    <t>F72710</t>
  </si>
  <si>
    <t>F72709</t>
  </si>
  <si>
    <t>F72711</t>
  </si>
  <si>
    <t>F72712</t>
  </si>
  <si>
    <t>F72713</t>
  </si>
  <si>
    <t>F72714</t>
  </si>
  <si>
    <t>F72715</t>
  </si>
  <si>
    <t>F72716</t>
  </si>
  <si>
    <t>F72717</t>
  </si>
  <si>
    <t>F72718</t>
  </si>
  <si>
    <t>F72719</t>
  </si>
  <si>
    <t>F72720</t>
  </si>
  <si>
    <t>F72721</t>
  </si>
  <si>
    <t>F72722</t>
  </si>
  <si>
    <t>F72723</t>
  </si>
  <si>
    <t>F72724</t>
  </si>
  <si>
    <t>F72725</t>
  </si>
  <si>
    <t>F72726</t>
  </si>
  <si>
    <t>F72728</t>
  </si>
  <si>
    <t>F72727</t>
  </si>
  <si>
    <t>F72729</t>
  </si>
  <si>
    <t>F72730</t>
  </si>
  <si>
    <t>F72731</t>
  </si>
  <si>
    <t>F72732</t>
  </si>
  <si>
    <t>F72733</t>
  </si>
  <si>
    <t>F72734</t>
  </si>
  <si>
    <t>F72735</t>
  </si>
  <si>
    <t>F72736</t>
  </si>
  <si>
    <t>F72737</t>
  </si>
  <si>
    <t>F72738</t>
  </si>
  <si>
    <t>F72739</t>
  </si>
  <si>
    <t>F72740</t>
  </si>
  <si>
    <t>F72741</t>
  </si>
  <si>
    <t>F72742</t>
  </si>
  <si>
    <t>F72743</t>
  </si>
  <si>
    <t>F72744</t>
  </si>
  <si>
    <t>F72746</t>
  </si>
  <si>
    <t>F72747</t>
  </si>
  <si>
    <t>F72748</t>
  </si>
  <si>
    <t>F72749</t>
  </si>
  <si>
    <t>F72750</t>
  </si>
  <si>
    <t>F72751</t>
  </si>
  <si>
    <t>F72754</t>
  </si>
  <si>
    <t>F72753</t>
  </si>
  <si>
    <t>F72755</t>
  </si>
  <si>
    <t>F72756</t>
  </si>
  <si>
    <t>F72757</t>
  </si>
  <si>
    <t>F72758</t>
  </si>
  <si>
    <t>F72759</t>
  </si>
  <si>
    <t>F72760</t>
  </si>
  <si>
    <t>F72762</t>
  </si>
  <si>
    <t>F72763</t>
  </si>
  <si>
    <t>F72765</t>
  </si>
  <si>
    <t>F72766</t>
  </si>
  <si>
    <t>F72767</t>
  </si>
  <si>
    <t>F72768</t>
  </si>
  <si>
    <t>F72770</t>
  </si>
  <si>
    <t>F72771</t>
  </si>
  <si>
    <t>F72772</t>
  </si>
  <si>
    <t>F72773</t>
  </si>
  <si>
    <t>F72774</t>
  </si>
  <si>
    <t>F72776</t>
  </si>
  <si>
    <t>F72777</t>
  </si>
  <si>
    <t>F72783</t>
  </si>
  <si>
    <t>F72778</t>
  </si>
  <si>
    <t>F72780</t>
  </si>
  <si>
    <t>F72781</t>
  </si>
  <si>
    <t>F72782</t>
  </si>
  <si>
    <t>F72784</t>
  </si>
  <si>
    <t>F72785</t>
  </si>
  <si>
    <t>F72786</t>
  </si>
  <si>
    <t>F72787</t>
  </si>
  <si>
    <t>F72788</t>
  </si>
  <si>
    <t>F72789</t>
  </si>
  <si>
    <t>F72790</t>
  </si>
  <si>
    <t>F72791</t>
  </si>
  <si>
    <t>F72792</t>
  </si>
  <si>
    <t>DANNE NALU</t>
  </si>
  <si>
    <t>F72793</t>
  </si>
  <si>
    <t>F72794</t>
  </si>
  <si>
    <t>F72795</t>
  </si>
  <si>
    <t>F72796</t>
  </si>
  <si>
    <t>F72797</t>
  </si>
  <si>
    <t>F72798</t>
  </si>
  <si>
    <t>F72799</t>
  </si>
  <si>
    <t>F72800</t>
  </si>
  <si>
    <t>F72801</t>
  </si>
  <si>
    <t>F72802</t>
  </si>
  <si>
    <t>F72803</t>
  </si>
  <si>
    <t>F72804</t>
  </si>
  <si>
    <t>F72805</t>
  </si>
  <si>
    <t>F72806</t>
  </si>
  <si>
    <t>F72807</t>
  </si>
  <si>
    <t>F72809</t>
  </si>
  <si>
    <t>F72810</t>
  </si>
  <si>
    <t>F72812</t>
  </si>
  <si>
    <t>F72813</t>
  </si>
  <si>
    <t>F72814</t>
  </si>
  <si>
    <t>F72816</t>
  </si>
  <si>
    <t>F72817</t>
  </si>
  <si>
    <t>F72818</t>
  </si>
  <si>
    <t>F72819</t>
  </si>
  <si>
    <t>F72820</t>
  </si>
  <si>
    <t>F72821</t>
  </si>
  <si>
    <t>F72822</t>
  </si>
  <si>
    <t>F72823</t>
  </si>
  <si>
    <t>F72824</t>
  </si>
  <si>
    <t>F72825</t>
  </si>
  <si>
    <t>F72826</t>
  </si>
  <si>
    <t>F72827</t>
  </si>
  <si>
    <t>F72828</t>
  </si>
  <si>
    <t>F72829</t>
  </si>
  <si>
    <t>F72830</t>
  </si>
  <si>
    <t>F72831</t>
  </si>
  <si>
    <t>F72832</t>
  </si>
  <si>
    <t>baluwe na</t>
  </si>
  <si>
    <t>F72833</t>
  </si>
  <si>
    <t>F72834</t>
  </si>
  <si>
    <t>F72836</t>
  </si>
  <si>
    <t>F72835</t>
  </si>
  <si>
    <t>WISTHARA LABUNA</t>
  </si>
  <si>
    <t>F72839</t>
  </si>
  <si>
    <t>wena ekk hmbuna</t>
  </si>
  <si>
    <t>F72840</t>
  </si>
  <si>
    <t>F72841</t>
  </si>
  <si>
    <t>F72842</t>
  </si>
  <si>
    <t>F72845</t>
  </si>
  <si>
    <t>F72846</t>
  </si>
  <si>
    <t>F72847</t>
  </si>
  <si>
    <t>F72849</t>
  </si>
  <si>
    <t>F72848</t>
  </si>
  <si>
    <t>F72851</t>
  </si>
  <si>
    <t>F72853</t>
  </si>
  <si>
    <t>F72854</t>
  </si>
  <si>
    <t>F72856</t>
  </si>
  <si>
    <t>F72857</t>
  </si>
  <si>
    <t>F72858</t>
  </si>
  <si>
    <t>F72859</t>
  </si>
  <si>
    <t>F72860</t>
  </si>
  <si>
    <t>F72864</t>
  </si>
  <si>
    <t>F72862</t>
  </si>
  <si>
    <t>F72863</t>
  </si>
  <si>
    <t>F72865</t>
  </si>
  <si>
    <t>F72867</t>
  </si>
  <si>
    <t>F72868</t>
  </si>
  <si>
    <t>F72869</t>
  </si>
  <si>
    <t>F72870</t>
  </si>
  <si>
    <t>F72871</t>
  </si>
  <si>
    <t>F72874</t>
  </si>
  <si>
    <t>F72878</t>
  </si>
  <si>
    <t>F72875</t>
  </si>
  <si>
    <t>F72877</t>
  </si>
  <si>
    <t>F72880</t>
  </si>
  <si>
    <t>F72881</t>
  </si>
  <si>
    <t>F72882</t>
  </si>
  <si>
    <t>F72884</t>
  </si>
  <si>
    <t>F72885</t>
  </si>
  <si>
    <t>F72888</t>
  </si>
  <si>
    <t>F72886</t>
  </si>
  <si>
    <t>F72887</t>
  </si>
  <si>
    <t>F72897</t>
  </si>
  <si>
    <t>F72889</t>
  </si>
  <si>
    <t>F72890</t>
  </si>
  <si>
    <t>F72892</t>
  </si>
  <si>
    <t>F72893</t>
  </si>
  <si>
    <t>F72894</t>
  </si>
  <si>
    <t>F72896</t>
  </si>
  <si>
    <t>F72900</t>
  </si>
  <si>
    <t>F72898</t>
  </si>
  <si>
    <t>F72899</t>
  </si>
  <si>
    <t>F72901</t>
  </si>
  <si>
    <t>F72902</t>
  </si>
  <si>
    <t>F72904</t>
  </si>
  <si>
    <t>F72905</t>
  </si>
  <si>
    <t>F72906</t>
  </si>
  <si>
    <t>F72907</t>
  </si>
  <si>
    <t>F72908</t>
  </si>
  <si>
    <t>F72909</t>
  </si>
  <si>
    <t>F72911</t>
  </si>
  <si>
    <t>F72910</t>
  </si>
  <si>
    <t>F72912</t>
  </si>
  <si>
    <t>F72913</t>
  </si>
  <si>
    <t>F72914</t>
  </si>
  <si>
    <t>F72915</t>
  </si>
  <si>
    <t>F72916</t>
  </si>
  <si>
    <t>F72918</t>
  </si>
  <si>
    <t>F72920</t>
  </si>
  <si>
    <t>F72921</t>
  </si>
  <si>
    <t>F72923</t>
  </si>
  <si>
    <t>F72928</t>
  </si>
  <si>
    <t>F72925</t>
  </si>
  <si>
    <t>F72926</t>
  </si>
  <si>
    <t>F72927</t>
  </si>
  <si>
    <t>F72930</t>
  </si>
  <si>
    <t>F72931</t>
  </si>
  <si>
    <t>F72934</t>
  </si>
  <si>
    <t>F72935</t>
  </si>
  <si>
    <t>F72937</t>
  </si>
  <si>
    <t>F72938</t>
  </si>
  <si>
    <t>F72939</t>
  </si>
  <si>
    <t>F72940</t>
  </si>
  <si>
    <t>F72941</t>
  </si>
  <si>
    <t>F72943</t>
  </si>
  <si>
    <t>F72944</t>
  </si>
  <si>
    <t>F72945</t>
  </si>
  <si>
    <t>F72946</t>
  </si>
  <si>
    <t>F72947</t>
  </si>
  <si>
    <t>F72948</t>
  </si>
  <si>
    <t>F72949</t>
  </si>
  <si>
    <t>F72950</t>
  </si>
  <si>
    <t>F72951</t>
  </si>
  <si>
    <t>F72952</t>
  </si>
  <si>
    <t>F72953</t>
  </si>
  <si>
    <t>F72954</t>
  </si>
  <si>
    <t>F72955</t>
  </si>
  <si>
    <t>F72957</t>
  </si>
  <si>
    <t>F72956</t>
  </si>
  <si>
    <t>F72958</t>
  </si>
  <si>
    <t>F72959</t>
  </si>
  <si>
    <t>F72960</t>
  </si>
  <si>
    <t>F72961</t>
  </si>
  <si>
    <t>F72962</t>
  </si>
  <si>
    <t>F72963</t>
  </si>
  <si>
    <t>F72964</t>
  </si>
  <si>
    <t>F72970</t>
  </si>
  <si>
    <t>F72965</t>
  </si>
  <si>
    <t>F72967</t>
  </si>
  <si>
    <t>F72966</t>
  </si>
  <si>
    <t>F72968</t>
  </si>
  <si>
    <t>F72969</t>
  </si>
  <si>
    <t>F72971</t>
  </si>
  <si>
    <t>F72972</t>
  </si>
  <si>
    <t>F72973</t>
  </si>
  <si>
    <t>F72974</t>
  </si>
  <si>
    <t>F72975</t>
  </si>
  <si>
    <t>F72977</t>
  </si>
  <si>
    <t>F72976</t>
  </si>
  <si>
    <t>F72979</t>
  </si>
  <si>
    <t>F72978</t>
  </si>
  <si>
    <t>F72981</t>
  </si>
  <si>
    <t>F72980</t>
  </si>
  <si>
    <t>F72982</t>
  </si>
  <si>
    <t>F72984</t>
  </si>
  <si>
    <t>ෆිසකල්</t>
  </si>
  <si>
    <t>F72983</t>
  </si>
  <si>
    <t>F72985</t>
  </si>
  <si>
    <t>F72986</t>
  </si>
  <si>
    <t>F72987</t>
  </si>
  <si>
    <t>F72989</t>
  </si>
  <si>
    <t>F72988</t>
  </si>
  <si>
    <t>F72990</t>
  </si>
  <si>
    <t>F72991</t>
  </si>
  <si>
    <t>F72992</t>
  </si>
  <si>
    <t>F72993</t>
  </si>
  <si>
    <t>F72994</t>
  </si>
  <si>
    <t>F72995</t>
  </si>
  <si>
    <t>F72996</t>
  </si>
  <si>
    <t>F72997</t>
  </si>
  <si>
    <t>F72998</t>
  </si>
  <si>
    <t>F72999</t>
  </si>
  <si>
    <t>F73000</t>
  </si>
  <si>
    <t>F73001</t>
  </si>
  <si>
    <t>F73018</t>
  </si>
  <si>
    <t>F73002</t>
  </si>
  <si>
    <t>F73003</t>
  </si>
  <si>
    <t>F73004</t>
  </si>
  <si>
    <t>F73005</t>
  </si>
  <si>
    <t>F73006</t>
  </si>
  <si>
    <t>F73007</t>
  </si>
  <si>
    <t>F73008</t>
  </si>
  <si>
    <t>F73009</t>
  </si>
  <si>
    <t>F73010</t>
  </si>
  <si>
    <t>F73011</t>
  </si>
  <si>
    <t>F73012</t>
  </si>
  <si>
    <t>F73013</t>
  </si>
  <si>
    <t>F73014</t>
  </si>
  <si>
    <t>F73015</t>
  </si>
  <si>
    <t>F73016</t>
  </si>
  <si>
    <t>F73019</t>
  </si>
  <si>
    <t>F73017</t>
  </si>
  <si>
    <t>F73020</t>
  </si>
  <si>
    <t>F73021</t>
  </si>
  <si>
    <t>F73022</t>
  </si>
  <si>
    <t>F73023</t>
  </si>
  <si>
    <t>F73024</t>
  </si>
  <si>
    <t>F73025</t>
  </si>
  <si>
    <t>F73026</t>
  </si>
  <si>
    <t>F73027</t>
  </si>
  <si>
    <t>F73028</t>
  </si>
  <si>
    <t>F73029</t>
  </si>
  <si>
    <t>F73030</t>
  </si>
  <si>
    <t>F73031</t>
  </si>
  <si>
    <t>F73032</t>
  </si>
  <si>
    <t>F73033</t>
  </si>
  <si>
    <t>F73034</t>
  </si>
  <si>
    <t>F73035</t>
  </si>
  <si>
    <t>F73036</t>
  </si>
  <si>
    <t>F73037</t>
  </si>
  <si>
    <t>F73038</t>
  </si>
  <si>
    <t>F73039</t>
  </si>
  <si>
    <t>F73041</t>
  </si>
  <si>
    <t>F73040</t>
  </si>
  <si>
    <t>F73042</t>
  </si>
  <si>
    <t>F73043</t>
  </si>
  <si>
    <t>F73044</t>
  </si>
  <si>
    <t>F73045</t>
  </si>
  <si>
    <t>F73046</t>
  </si>
  <si>
    <t>F73047</t>
  </si>
  <si>
    <t>F73048</t>
  </si>
  <si>
    <t>F73059</t>
  </si>
  <si>
    <t>F73049</t>
  </si>
  <si>
    <t>F73050</t>
  </si>
  <si>
    <t>F73051</t>
  </si>
  <si>
    <t>F73052</t>
  </si>
  <si>
    <t>F73053</t>
  </si>
  <si>
    <t>F73054</t>
  </si>
  <si>
    <t>F73055</t>
  </si>
  <si>
    <t>F73056</t>
  </si>
  <si>
    <t>FREE</t>
  </si>
  <si>
    <t>F73057</t>
  </si>
  <si>
    <t>F73058</t>
  </si>
  <si>
    <t>F73060</t>
  </si>
  <si>
    <t>F73061</t>
  </si>
  <si>
    <t>F73062</t>
  </si>
  <si>
    <t>F73063</t>
  </si>
  <si>
    <t>F73064</t>
  </si>
  <si>
    <t>F73065</t>
  </si>
  <si>
    <t>F73067</t>
  </si>
  <si>
    <t>F73066</t>
  </si>
  <si>
    <t>F73068</t>
  </si>
  <si>
    <t>F73069</t>
  </si>
  <si>
    <t>F73070</t>
  </si>
  <si>
    <t>F73071</t>
  </si>
  <si>
    <t>F73072</t>
  </si>
  <si>
    <t>F73073</t>
  </si>
  <si>
    <t>F73074</t>
  </si>
  <si>
    <t>F73075</t>
  </si>
  <si>
    <t>F73076</t>
  </si>
  <si>
    <t>F73077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</si>
</sst>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.0%"/>
    <numFmt numFmtId="166" formatCode="YYYY-MM-DD"/>
    <numFmt numFmtId="167" formatCode="m/d"/>
    <numFmt numFmtId="168" formatCode="mm/dd"/>
  </numFmts>
  <fonts count="37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6.0"/>
      <color rgb="FFFFFFFF"/>
      <name val="Calibri"/>
      <scheme val="minor"/>
    </font>
    <font>
      <sz val="9.0"/>
      <color rgb="FFBFDBFE"/>
      <name val="Calibri"/>
      <scheme val="minor"/>
    </font>
    <font>
      <b/>
      <sz val="10.0"/>
      <color rgb="FFFFFFFF"/>
      <name val="Calibri"/>
    </font>
    <font>
      <b/>
      <color rgb="FF312E81"/>
      <name val="Calibri"/>
      <scheme val="minor"/>
    </font>
    <font>
      <b/>
      <sz val="18.0"/>
      <color rgb="FFFFFFFF"/>
      <name val="Calibri"/>
    </font>
    <font>
      <b/>
      <color rgb="FF1E293B"/>
      <name val="Calibri"/>
      <scheme val="minor"/>
    </font>
    <font>
      <sz val="10.0"/>
      <color rgb="FF1E293B"/>
      <name val="Calibri"/>
    </font>
    <font>
      <b/>
      <sz val="13.0"/>
      <color rgb="FFFFFFFF"/>
      <name val="Calibri"/>
    </font>
    <font>
      <i/>
      <sz val="9.0"/>
      <color rgb="FF64748B"/>
      <name val="Calibri"/>
      <scheme val="minor"/>
    </font>
    <font>
      <sz val="10.0"/>
      <color rgb="FFFFFFFF"/>
      <name val="Calibri"/>
    </font>
    <font>
      <b/>
      <sz val="10.0"/>
      <color rgb="FF0D2744"/>
      <name val="Calibri"/>
    </font>
    <font>
      <b/>
      <sz val="11.0"/>
      <color rgb="FF0D2744"/>
      <name val="Calibri"/>
      <scheme val="minor"/>
    </font>
    <font>
      <b/>
      <sz val="9.0"/>
      <color rgb="FFFFFFFF"/>
      <name val="Calibri"/>
      <scheme val="minor"/>
    </font>
    <font>
      <b/>
      <sz val="10.0"/>
      <color rgb="FF1E293B"/>
      <name val="Calibri"/>
    </font>
    <font>
      <b/>
      <sz val="10.0"/>
      <color rgb="FF166534"/>
      <name val="Calibri"/>
    </font>
    <font>
      <sz val="10.0"/>
      <color rgb="FFC2410C"/>
      <name val="Calibri"/>
    </font>
    <font>
      <sz val="11.0"/>
      <color theme="1"/>
      <name val="Calibri"/>
    </font>
    <font>
      <color rgb="FF1E293B"/>
      <name val="Calibri"/>
      <scheme val="minor"/>
    </font>
    <font>
      <sz val="11.0"/>
      <color rgb="FF1D1D1F"/>
      <name val="Inter"/>
    </font>
    <font>
      <sz val="9.0"/>
      <color rgb="FF111B21"/>
      <name val="Inter"/>
    </font>
    <font>
      <b/>
      <color rgb="FF1565C0"/>
      <name val="Calibri"/>
      <scheme val="minor"/>
    </font>
    <font>
      <sz val="11.0"/>
      <color rgb="FF606576"/>
      <name val="Inter"/>
    </font>
    <font>
      <color theme="1"/>
      <name val="Inter"/>
    </font>
    <font>
      <sz val="8.0"/>
      <color rgb="FFA16207"/>
      <name val="-apple-system"/>
    </font>
    <font>
      <b/>
      <color rgb="FFFFFFFF"/>
      <name val="Calibri"/>
      <scheme val="minor"/>
    </font>
    <font>
      <b/>
      <sz val="11.0"/>
      <color rgb="FF166534"/>
      <name val="Calibri"/>
      <scheme val="minor"/>
    </font>
    <font>
      <b/>
      <color rgb="FF166534"/>
      <name val="Calibri"/>
      <scheme val="minor"/>
    </font>
    <font>
      <b/>
      <color rgb="FF134E4A"/>
      <name val="Calibri"/>
      <scheme val="minor"/>
    </font>
    <font>
      <sz val="11.0"/>
      <color rgb="FF000000"/>
      <name val="Calibri"/>
    </font>
    <font>
      <b/>
      <sz val="11.0"/>
      <color rgb="FFC2410C"/>
      <name val="Calibri"/>
      <scheme val="minor"/>
    </font>
    <font>
      <b/>
      <color rgb="FFC2410C"/>
      <name val="Calibri"/>
      <scheme val="minor"/>
    </font>
    <font>
      <b/>
      <color rgb="FFEA580C"/>
      <name val="Calibri"/>
      <scheme val="minor"/>
    </font>
    <font>
      <b/>
      <sz val="11.0"/>
      <color rgb="FF312E81"/>
      <name val="Calibri"/>
      <scheme val="minor"/>
    </font>
    <font>
      <sz val="8.0"/>
      <color theme="1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D2744"/>
        <bgColor rgb="FF0D2744"/>
      </patternFill>
    </fill>
    <fill>
      <patternFill patternType="solid">
        <fgColor rgb="FF1E40AF"/>
        <bgColor rgb="FF1E40AF"/>
      </patternFill>
    </fill>
    <fill>
      <patternFill patternType="solid">
        <fgColor rgb="FF475569"/>
        <bgColor rgb="FF475569"/>
      </patternFill>
    </fill>
    <fill>
      <patternFill patternType="solid">
        <fgColor rgb="FFD97706"/>
        <bgColor rgb="FFD97706"/>
      </patternFill>
    </fill>
    <fill>
      <patternFill patternType="solid">
        <fgColor rgb="FFB91C1C"/>
        <bgColor rgb="FFB91C1C"/>
      </patternFill>
    </fill>
    <fill>
      <patternFill patternType="solid">
        <fgColor rgb="FF166534"/>
        <bgColor rgb="FF166534"/>
      </patternFill>
    </fill>
    <fill>
      <patternFill patternType="solid">
        <fgColor rgb="FF0369A1"/>
        <bgColor rgb="FF0369A1"/>
      </patternFill>
    </fill>
    <fill>
      <patternFill patternType="solid">
        <fgColor rgb="FFF8FAFC"/>
        <bgColor rgb="FFF8FAFC"/>
      </patternFill>
    </fill>
    <fill>
      <patternFill patternType="solid">
        <fgColor rgb="FF1976D2"/>
        <bgColor rgb="FF1976D2"/>
      </patternFill>
    </fill>
    <fill>
      <patternFill patternType="solid">
        <fgColor rgb="FFE0E7FF"/>
        <bgColor rgb="FFE0E7FF"/>
      </patternFill>
    </fill>
    <fill>
      <patternFill patternType="solid">
        <fgColor rgb="FFFFFFFF"/>
        <bgColor rgb="FFFFFFFF"/>
      </patternFill>
    </fill>
    <fill>
      <patternFill patternType="solid">
        <fgColor rgb="FFC2410C"/>
        <bgColor rgb="FFC2410C"/>
      </patternFill>
    </fill>
    <fill>
      <patternFill patternType="solid">
        <fgColor rgb="FF134E4A"/>
        <bgColor rgb="FF134E4A"/>
      </patternFill>
    </fill>
    <fill>
      <patternFill patternType="solid">
        <fgColor rgb="FF1E293B"/>
        <bgColor rgb="FF1E293B"/>
      </patternFill>
    </fill>
    <fill>
      <patternFill patternType="solid">
        <fgColor rgb="FF64748B"/>
        <bgColor rgb="FF64748B"/>
      </patternFill>
    </fill>
    <fill>
      <patternFill patternType="solid">
        <fgColor rgb="FFDCFCE7"/>
        <bgColor rgb="FFDCFCE7"/>
      </patternFill>
    </fill>
    <fill>
      <patternFill patternType="solid">
        <fgColor rgb="FF1565C0"/>
        <bgColor rgb="FF1565C0"/>
      </patternFill>
    </fill>
    <fill>
      <patternFill patternType="solid">
        <fgColor rgb="FFF8F9FA"/>
        <bgColor rgb="FFF8F9FA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EA580C"/>
        <bgColor rgb="FFEA580C"/>
      </patternFill>
    </fill>
    <fill>
      <patternFill patternType="solid">
        <fgColor rgb="FF312E81"/>
        <bgColor rgb="FF312E81"/>
      </patternFill>
    </fill>
    <fill>
      <patternFill patternType="solid">
        <fgColor rgb="FF0284C7"/>
        <bgColor rgb="FF0284C7"/>
      </patternFill>
    </fill>
  </fills>
  <borders count="9">
    <border/>
    <border>
      <bottom style="medium">
        <color rgb="FF000000"/>
      </bottom>
    </border>
    <border>
      <left style="medium">
        <color rgb="FF0D2744"/>
      </left>
      <right style="medium">
        <color rgb="FF0D2744"/>
      </right>
      <top style="medium">
        <color rgb="FF0D2744"/>
      </top>
      <bottom style="medium">
        <color rgb="FF0D2744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D2744"/>
      </left>
      <right style="medium">
        <color rgb="FF0D2744"/>
      </right>
      <top style="medium">
        <color rgb="FF0D2744"/>
      </top>
    </border>
    <border>
      <left style="medium">
        <color rgb="FF166534"/>
      </left>
      <right style="medium">
        <color rgb="FF166534"/>
      </right>
      <top style="medium">
        <color rgb="FF166534"/>
      </top>
    </border>
    <border>
      <left style="medium">
        <color rgb="FFC2410C"/>
      </left>
      <right style="medium">
        <color rgb="FFC2410C"/>
      </right>
      <top style="medium">
        <color rgb="FFC2410C"/>
      </top>
    </border>
    <border>
      <left style="medium">
        <color rgb="FF312E81"/>
      </left>
      <right style="medium">
        <color rgb="FF312E81"/>
      </right>
      <top style="medium">
        <color rgb="FF312E81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9" fontId="2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 vertical="center"/>
    </xf>
    <xf borderId="0" fillId="10" fontId="4" numFmtId="0" xfId="0" applyAlignment="1" applyFill="1" applyFont="1">
      <alignment horizontal="left" readingOrder="0" vertical="center"/>
    </xf>
    <xf borderId="0" fillId="0" fontId="2" numFmtId="164" xfId="0" applyAlignment="1" applyFont="1" applyNumberFormat="1">
      <alignment readingOrder="0"/>
    </xf>
    <xf borderId="2" fillId="2" fontId="5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vertical="center"/>
    </xf>
    <xf borderId="0" fillId="11" fontId="6" numFmtId="0" xfId="0" applyAlignment="1" applyFill="1" applyFont="1">
      <alignment horizontal="left" readingOrder="0" vertical="center"/>
    </xf>
    <xf borderId="2" fillId="7" fontId="5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left" shrinkToFit="0" vertical="center" wrapText="1"/>
    </xf>
    <xf borderId="2" fillId="12" fontId="8" numFmtId="164" xfId="0" applyAlignment="1" applyBorder="1" applyFill="1" applyFont="1" applyNumberFormat="1">
      <alignment horizontal="center" readingOrder="0" vertical="center"/>
    </xf>
    <xf borderId="3" fillId="12" fontId="9" numFmtId="0" xfId="0" applyAlignment="1" applyBorder="1" applyFont="1">
      <alignment horizontal="left" shrinkToFit="0" vertical="center" wrapText="1"/>
    </xf>
    <xf borderId="0" fillId="11" fontId="6" numFmtId="0" xfId="0" applyAlignment="1" applyFont="1">
      <alignment horizontal="right" readingOrder="0" vertical="center"/>
    </xf>
    <xf borderId="2" fillId="13" fontId="5" numFmtId="0" xfId="0" applyAlignment="1" applyBorder="1" applyFill="1" applyFont="1">
      <alignment horizontal="center" vertical="center"/>
    </xf>
    <xf borderId="3" fillId="10" fontId="10" numFmtId="0" xfId="0" applyAlignment="1" applyBorder="1" applyFont="1">
      <alignment horizontal="left" shrinkToFit="0" vertical="center" wrapText="1"/>
    </xf>
    <xf borderId="0" fillId="11" fontId="11" numFmtId="0" xfId="0" applyAlignment="1" applyFont="1">
      <alignment horizontal="left" readingOrder="0" vertical="center"/>
    </xf>
    <xf borderId="2" fillId="14" fontId="5" numFmtId="0" xfId="0" applyAlignment="1" applyBorder="1" applyFill="1" applyFont="1">
      <alignment horizontal="center" vertical="center"/>
    </xf>
    <xf borderId="3" fillId="15" fontId="12" numFmtId="0" xfId="0" applyAlignment="1" applyBorder="1" applyFill="1" applyFont="1">
      <alignment horizontal="left" shrinkToFit="0" vertical="center" wrapText="1"/>
    </xf>
    <xf borderId="2" fillId="16" fontId="5" numFmtId="0" xfId="0" applyAlignment="1" applyBorder="1" applyFill="1" applyFont="1">
      <alignment horizontal="center" vertical="center"/>
    </xf>
    <xf borderId="4" fillId="17" fontId="13" numFmtId="0" xfId="0" applyBorder="1" applyFill="1" applyFont="1"/>
    <xf borderId="0" fillId="9" fontId="14" numFmtId="0" xfId="0" applyAlignment="1" applyFont="1">
      <alignment readingOrder="0"/>
    </xf>
    <xf borderId="5" fillId="2" fontId="15" numFmtId="0" xfId="0" applyAlignment="1" applyBorder="1" applyFont="1">
      <alignment horizontal="center" readingOrder="0" vertical="center"/>
    </xf>
    <xf borderId="5" fillId="18" fontId="15" numFmtId="0" xfId="0" applyAlignment="1" applyBorder="1" applyFill="1" applyFont="1">
      <alignment horizontal="center" readingOrder="0" vertical="center"/>
    </xf>
    <xf borderId="4" fillId="17" fontId="16" numFmtId="0" xfId="0" applyAlignment="1" applyBorder="1" applyFont="1">
      <alignment horizontal="center" vertical="center"/>
    </xf>
    <xf borderId="4" fillId="17" fontId="17" numFmtId="0" xfId="0" applyAlignment="1" applyBorder="1" applyFont="1">
      <alignment horizontal="center" vertical="center"/>
    </xf>
    <xf borderId="4" fillId="12" fontId="8" numFmtId="0" xfId="0" applyAlignment="1" applyBorder="1" applyFont="1">
      <alignment horizontal="left" vertical="center"/>
    </xf>
    <xf borderId="4" fillId="17" fontId="18" numFmtId="0" xfId="0" applyAlignment="1" applyBorder="1" applyFont="1">
      <alignment horizontal="center" vertical="center"/>
    </xf>
    <xf borderId="4" fillId="17" fontId="9" numFmtId="165" xfId="0" applyAlignment="1" applyBorder="1" applyFont="1" applyNumberFormat="1">
      <alignment horizontal="center" vertical="center"/>
    </xf>
    <xf borderId="4" fillId="17" fontId="19" numFmtId="166" xfId="0" applyBorder="1" applyFont="1" applyNumberFormat="1"/>
    <xf borderId="4" fillId="17" fontId="19" numFmtId="0" xfId="0" applyBorder="1" applyFont="1"/>
    <xf borderId="4" fillId="12" fontId="13" numFmtId="0" xfId="0" applyBorder="1" applyFont="1"/>
    <xf borderId="4" fillId="12" fontId="16" numFmtId="0" xfId="0" applyAlignment="1" applyBorder="1" applyFont="1">
      <alignment horizontal="center" vertical="center"/>
    </xf>
    <xf borderId="4" fillId="12" fontId="20" numFmtId="0" xfId="0" applyAlignment="1" applyBorder="1" applyFont="1">
      <alignment horizontal="center" vertical="center"/>
    </xf>
    <xf borderId="4" fillId="12" fontId="17" numFmtId="0" xfId="0" applyAlignment="1" applyBorder="1" applyFont="1">
      <alignment horizontal="center" vertical="center"/>
    </xf>
    <xf borderId="4" fillId="12" fontId="18" numFmtId="0" xfId="0" applyAlignment="1" applyBorder="1" applyFont="1">
      <alignment horizontal="center" vertical="center"/>
    </xf>
    <xf borderId="4" fillId="12" fontId="9" numFmtId="165" xfId="0" applyAlignment="1" applyBorder="1" applyFont="1" applyNumberFormat="1">
      <alignment horizontal="center" vertical="center"/>
    </xf>
    <xf borderId="4" fillId="12" fontId="19" numFmtId="166" xfId="0" applyBorder="1" applyFont="1" applyNumberFormat="1"/>
    <xf borderId="4" fillId="12" fontId="19" numFmtId="0" xfId="0" applyBorder="1" applyFont="1"/>
    <xf borderId="0" fillId="19" fontId="21" numFmtId="0" xfId="0" applyAlignment="1" applyFill="1" applyFont="1">
      <alignment readingOrder="0"/>
    </xf>
    <xf borderId="0" fillId="12" fontId="22" numFmtId="0" xfId="0" applyAlignment="1" applyFont="1">
      <alignment readingOrder="0"/>
    </xf>
    <xf borderId="0" fillId="19" fontId="21" numFmtId="0" xfId="0" applyAlignment="1" applyFont="1">
      <alignment readingOrder="0"/>
    </xf>
    <xf borderId="4" fillId="12" fontId="23" numFmtId="0" xfId="0" applyAlignment="1" applyBorder="1" applyFont="1">
      <alignment horizontal="center" vertical="center"/>
    </xf>
    <xf borderId="4" fillId="12" fontId="20" numFmtId="165" xfId="0" applyAlignment="1" applyBorder="1" applyFont="1" applyNumberFormat="1">
      <alignment horizontal="center" vertical="center"/>
    </xf>
    <xf borderId="4" fillId="20" fontId="8" numFmtId="0" xfId="0" applyAlignment="1" applyBorder="1" applyFill="1" applyFont="1">
      <alignment horizontal="left" vertical="center"/>
    </xf>
    <xf borderId="4" fillId="20" fontId="20" numFmtId="0" xfId="0" applyAlignment="1" applyBorder="1" applyFont="1">
      <alignment horizontal="center" vertical="center"/>
    </xf>
    <xf borderId="4" fillId="12" fontId="13" numFmtId="0" xfId="0" applyAlignment="1" applyBorder="1" applyFont="1">
      <alignment readingOrder="0"/>
    </xf>
    <xf borderId="4" fillId="12" fontId="9" numFmtId="165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0" fontId="23" numFmtId="0" xfId="0" applyAlignment="1" applyBorder="1" applyFont="1">
      <alignment horizontal="center" vertical="center"/>
    </xf>
    <xf borderId="0" fillId="0" fontId="2" numFmtId="3" xfId="0" applyAlignment="1" applyFont="1" applyNumberFormat="1">
      <alignment readingOrder="0"/>
    </xf>
    <xf borderId="4" fillId="20" fontId="20" numFmtId="165" xfId="0" applyAlignment="1" applyBorder="1" applyFont="1" applyNumberFormat="1">
      <alignment horizontal="center" vertical="center"/>
    </xf>
    <xf borderId="4" fillId="2" fontId="19" numFmtId="0" xfId="0" applyBorder="1" applyFont="1"/>
    <xf borderId="4" fillId="20" fontId="8" numFmtId="0" xfId="0" applyAlignment="1" applyBorder="1" applyFont="1">
      <alignment horizontal="left" readingOrder="0" vertical="center"/>
    </xf>
    <xf borderId="0" fillId="0" fontId="24" numFmtId="0" xfId="0" applyAlignment="1" applyFont="1">
      <alignment readingOrder="0"/>
    </xf>
    <xf borderId="0" fillId="12" fontId="25" numFmtId="0" xfId="0" applyAlignment="1" applyFont="1">
      <alignment readingOrder="0"/>
    </xf>
    <xf borderId="0" fillId="19" fontId="21" numFmtId="0" xfId="0" applyFont="1"/>
    <xf borderId="0" fillId="12" fontId="26" numFmtId="0" xfId="0" applyAlignment="1" applyFont="1">
      <alignment shrinkToFit="0" wrapText="0"/>
    </xf>
    <xf borderId="0" fillId="21" fontId="26" numFmtId="0" xfId="0" applyAlignment="1" applyFill="1" applyFont="1">
      <alignment shrinkToFit="0" wrapText="0"/>
    </xf>
    <xf borderId="0" fillId="21" fontId="26" numFmtId="0" xfId="0" applyAlignment="1" applyFont="1">
      <alignment shrinkToFit="0" wrapText="0"/>
    </xf>
    <xf borderId="0" fillId="22" fontId="2" numFmtId="0" xfId="0" applyFill="1" applyFont="1"/>
    <xf borderId="0" fillId="22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4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vertical="center"/>
    </xf>
    <xf borderId="4" fillId="2" fontId="27" numFmtId="165" xfId="0" applyAlignment="1" applyBorder="1" applyFont="1" applyNumberFormat="1">
      <alignment horizontal="center" readingOrder="0" vertical="center"/>
    </xf>
    <xf borderId="0" fillId="9" fontId="28" numFmtId="0" xfId="0" applyAlignment="1" applyFont="1">
      <alignment readingOrder="0"/>
    </xf>
    <xf borderId="6" fillId="7" fontId="15" numFmtId="0" xfId="0" applyAlignment="1" applyBorder="1" applyFont="1">
      <alignment horizontal="center" readingOrder="0" vertical="center"/>
    </xf>
    <xf borderId="6" fillId="14" fontId="15" numFmtId="0" xfId="0" applyAlignment="1" applyBorder="1" applyFont="1">
      <alignment horizontal="center" readingOrder="0" vertical="center"/>
    </xf>
    <xf borderId="4" fillId="12" fontId="29" numFmtId="0" xfId="0" applyAlignment="1" applyBorder="1" applyFont="1">
      <alignment horizontal="center" vertical="center"/>
    </xf>
    <xf borderId="4" fillId="12" fontId="30" numFmtId="165" xfId="0" applyAlignment="1" applyBorder="1" applyFont="1" applyNumberFormat="1">
      <alignment horizontal="center" vertical="center"/>
    </xf>
    <xf borderId="4" fillId="20" fontId="29" numFmtId="0" xfId="0" applyAlignment="1" applyBorder="1" applyFont="1">
      <alignment horizontal="center" vertical="center"/>
    </xf>
    <xf borderId="4" fillId="20" fontId="30" numFmtId="165" xfId="0" applyAlignment="1" applyBorder="1" applyFont="1" applyNumberFormat="1">
      <alignment horizontal="center" vertical="center"/>
    </xf>
    <xf borderId="0" fillId="12" fontId="31" numFmtId="0" xfId="0" applyAlignment="1" applyFont="1">
      <alignment readingOrder="0"/>
    </xf>
    <xf borderId="4" fillId="7" fontId="27" numFmtId="0" xfId="0" applyAlignment="1" applyBorder="1" applyFont="1">
      <alignment horizontal="center" readingOrder="0" vertical="center"/>
    </xf>
    <xf borderId="4" fillId="7" fontId="27" numFmtId="0" xfId="0" applyAlignment="1" applyBorder="1" applyFont="1">
      <alignment horizontal="center" vertical="center"/>
    </xf>
    <xf borderId="4" fillId="7" fontId="27" numFmtId="165" xfId="0" applyAlignment="1" applyBorder="1" applyFont="1" applyNumberFormat="1">
      <alignment horizontal="center" readingOrder="0" vertical="center"/>
    </xf>
    <xf borderId="4" fillId="7" fontId="27" numFmtId="165" xfId="0" applyAlignment="1" applyBorder="1" applyFont="1" applyNumberFormat="1">
      <alignment horizontal="center" vertical="center"/>
    </xf>
    <xf borderId="0" fillId="9" fontId="32" numFmtId="0" xfId="0" applyAlignment="1" applyFont="1">
      <alignment readingOrder="0"/>
    </xf>
    <xf borderId="7" fillId="13" fontId="15" numFmtId="0" xfId="0" applyAlignment="1" applyBorder="1" applyFont="1">
      <alignment horizontal="center" readingOrder="0" vertical="center"/>
    </xf>
    <xf borderId="7" fillId="23" fontId="15" numFmtId="0" xfId="0" applyAlignment="1" applyBorder="1" applyFill="1" applyFont="1">
      <alignment horizontal="center" readingOrder="0" vertical="center"/>
    </xf>
    <xf borderId="4" fillId="12" fontId="33" numFmtId="0" xfId="0" applyAlignment="1" applyBorder="1" applyFont="1">
      <alignment horizontal="center" vertical="center"/>
    </xf>
    <xf borderId="4" fillId="12" fontId="34" numFmtId="165" xfId="0" applyAlignment="1" applyBorder="1" applyFont="1" applyNumberFormat="1">
      <alignment horizontal="center" vertical="center"/>
    </xf>
    <xf borderId="4" fillId="20" fontId="33" numFmtId="0" xfId="0" applyAlignment="1" applyBorder="1" applyFont="1">
      <alignment horizontal="center" vertical="center"/>
    </xf>
    <xf borderId="4" fillId="20" fontId="34" numFmtId="165" xfId="0" applyAlignment="1" applyBorder="1" applyFont="1" applyNumberFormat="1">
      <alignment horizontal="center" vertical="center"/>
    </xf>
    <xf borderId="4" fillId="13" fontId="27" numFmtId="0" xfId="0" applyAlignment="1" applyBorder="1" applyFont="1">
      <alignment horizontal="center" readingOrder="0" vertical="center"/>
    </xf>
    <xf borderId="4" fillId="13" fontId="27" numFmtId="0" xfId="0" applyAlignment="1" applyBorder="1" applyFont="1">
      <alignment horizontal="center" vertical="center"/>
    </xf>
    <xf borderId="4" fillId="13" fontId="27" numFmtId="165" xfId="0" applyAlignment="1" applyBorder="1" applyFont="1" applyNumberFormat="1">
      <alignment horizontal="center" vertical="center"/>
    </xf>
    <xf borderId="0" fillId="9" fontId="35" numFmtId="0" xfId="0" applyAlignment="1" applyFont="1">
      <alignment readingOrder="0"/>
    </xf>
    <xf borderId="8" fillId="24" fontId="15" numFmtId="0" xfId="0" applyAlignment="1" applyBorder="1" applyFill="1" applyFont="1">
      <alignment horizontal="center" readingOrder="0" vertical="center"/>
    </xf>
    <xf borderId="8" fillId="25" fontId="15" numFmtId="0" xfId="0" applyAlignment="1" applyBorder="1" applyFill="1" applyFont="1">
      <alignment horizontal="center" readingOrder="0" vertical="center"/>
    </xf>
    <xf borderId="4" fillId="12" fontId="8" numFmtId="0" xfId="0" applyAlignment="1" applyBorder="1" applyFont="1">
      <alignment horizontal="center" readingOrder="0" vertical="center"/>
    </xf>
    <xf borderId="4" fillId="20" fontId="8" numFmtId="0" xfId="0" applyAlignment="1" applyBorder="1" applyFont="1">
      <alignment horizontal="center" readingOrder="0" vertical="center"/>
    </xf>
    <xf borderId="4" fillId="24" fontId="27" numFmtId="0" xfId="0" applyAlignment="1" applyBorder="1" applyFont="1">
      <alignment horizontal="center" readingOrder="0" vertical="center"/>
    </xf>
    <xf borderId="4" fillId="24" fontId="27" numFmtId="0" xfId="0" applyAlignment="1" applyBorder="1" applyFont="1">
      <alignment horizontal="center" vertical="center"/>
    </xf>
    <xf borderId="4" fillId="24" fontId="27" numFmtId="165" xfId="0" applyAlignment="1" applyBorder="1" applyFont="1" applyNumberFormat="1">
      <alignment horizontal="center" vertical="center"/>
    </xf>
    <xf borderId="4" fillId="24" fontId="27" numFmtId="165" xfId="0" applyAlignment="1" applyBorder="1" applyFont="1" applyNumberFormat="1">
      <alignment horizontal="center" readingOrder="0" vertical="center"/>
    </xf>
    <xf borderId="0" fillId="0" fontId="2" numFmtId="168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2" fontId="22" numFmtId="0" xfId="0" applyAlignment="1" applyFont="1">
      <alignment readingOrder="0"/>
    </xf>
    <xf borderId="0" fillId="22" fontId="2" numFmtId="164" xfId="0" applyAlignment="1" applyFont="1" applyNumberFormat="1">
      <alignment readingOrder="0"/>
    </xf>
    <xf borderId="0" fillId="12" fontId="22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FFF9C4"/>
          <bgColor rgb="FFFFF9C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74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9.86"/>
    <col customWidth="1" min="3" max="3" width="15.86"/>
    <col customWidth="1" min="4" max="4" width="18.14"/>
    <col customWidth="1" min="5" max="5" width="15.71"/>
    <col customWidth="1" min="6" max="6" width="20.29"/>
    <col customWidth="1" min="7" max="7" width="10.57"/>
    <col customWidth="1" min="8" max="8" width="13.57"/>
    <col customWidth="1" min="9" max="9" width="14.0"/>
    <col customWidth="1" min="10" max="10" width="25.86"/>
    <col customWidth="1" min="11" max="11" width="17.86"/>
    <col customWidth="1" min="12" max="12" width="18.0"/>
    <col customWidth="1" min="13" max="13" width="19.0"/>
    <col customWidth="1" min="14" max="14" width="13.86"/>
    <col customWidth="1" min="15" max="15" width="11.0"/>
    <col customWidth="1" min="16" max="16" width="13.57"/>
    <col customWidth="1" min="1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</row>
    <row r="2" ht="19.5" customHeight="1">
      <c r="A2" s="9" t="str">
        <f>IFERROR(__xludf.DUMMYFUNCTION("IF(B2="""","""",RIGHT(REGEXREPLACE(B2&amp;"""",""[^0-9]"",""""),9))"),"714423443")</f>
        <v>714423443</v>
      </c>
      <c r="B2" s="10">
        <v>7.14423443E8</v>
      </c>
      <c r="C2" s="10" t="s">
        <v>17</v>
      </c>
      <c r="D2" s="10" t="s">
        <v>20</v>
      </c>
      <c r="E2" s="13">
        <v>46226.0</v>
      </c>
      <c r="F2" s="10" t="s">
        <v>21</v>
      </c>
      <c r="I2" s="10" t="s">
        <v>22</v>
      </c>
      <c r="J2" s="10" t="s">
        <v>23</v>
      </c>
      <c r="K2" s="9" t="str">
        <f t="shared" ref="K2:K13" si="1">IF(COUNTIFS($A$2:A2,A2,$I$2:I2,I2)&gt;1,"DUPLICATE - CHECK","")</f>
        <v/>
      </c>
      <c r="M2" s="9"/>
      <c r="O2" s="10"/>
      <c r="P2" s="10"/>
    </row>
    <row r="3" ht="19.5" customHeight="1">
      <c r="A3" s="9" t="str">
        <f>IFERROR(__xludf.DUMMYFUNCTION("IF(B3="""","""",RIGHT(REGEXREPLACE(B3&amp;"""",""[^0-9]"",""""),9))"),"778959239")</f>
        <v>778959239</v>
      </c>
      <c r="B3" s="10">
        <v>7.78959239E8</v>
      </c>
      <c r="C3" s="10" t="s">
        <v>32</v>
      </c>
      <c r="D3" s="10" t="s">
        <v>34</v>
      </c>
      <c r="E3" s="13">
        <v>46226.0</v>
      </c>
      <c r="F3" s="10" t="s">
        <v>35</v>
      </c>
      <c r="G3" s="10">
        <v>11.0</v>
      </c>
      <c r="I3" s="10" t="s">
        <v>22</v>
      </c>
      <c r="J3" s="9" t="str">
        <f t="shared" ref="J3:J13" si="2">IF(COUNTIF($A$2:A2,A3)&gt;0,"Yes - see Previous F-Code","No")</f>
        <v>No</v>
      </c>
      <c r="K3" s="9" t="str">
        <f t="shared" si="1"/>
        <v/>
      </c>
      <c r="L3" s="9" t="str">
        <f t="shared" ref="L3:L13" si="3">IF(COUNTIF($A$2:A2,A3)&gt;0,INDEX($C$2:C2,MATCH(A3,$A$2:A2,0)),"")</f>
        <v/>
      </c>
      <c r="M3" s="9"/>
      <c r="O3" s="9"/>
    </row>
    <row r="4" ht="19.5" customHeight="1">
      <c r="A4" s="9" t="str">
        <f>IFERROR(__xludf.DUMMYFUNCTION("IF(B4="""","""",RIGHT(REGEXREPLACE(B4&amp;"""",""[^0-9]"",""""),9))"),"769195778")</f>
        <v>769195778</v>
      </c>
      <c r="B4" s="10">
        <v>7.69195778E8</v>
      </c>
      <c r="C4" s="10" t="s">
        <v>49</v>
      </c>
      <c r="D4" s="10" t="s">
        <v>50</v>
      </c>
      <c r="E4" s="13">
        <v>46226.0</v>
      </c>
      <c r="F4" s="10" t="s">
        <v>35</v>
      </c>
      <c r="G4" s="10">
        <v>11.0</v>
      </c>
      <c r="I4" s="10" t="s">
        <v>22</v>
      </c>
      <c r="J4" s="9" t="str">
        <f t="shared" si="2"/>
        <v>No</v>
      </c>
      <c r="K4" s="9" t="str">
        <f t="shared" si="1"/>
        <v/>
      </c>
      <c r="L4" s="9" t="str">
        <f t="shared" si="3"/>
        <v/>
      </c>
      <c r="M4" s="9"/>
      <c r="O4" s="9"/>
    </row>
    <row r="5" ht="19.5" customHeight="1">
      <c r="A5" s="9" t="str">
        <f>IFERROR(__xludf.DUMMYFUNCTION("IF(B5="""","""",RIGHT(REGEXREPLACE(B5&amp;"""",""[^0-9]"",""""),9))"),"765471585")</f>
        <v>765471585</v>
      </c>
      <c r="B5" s="10">
        <v>7.65471585E8</v>
      </c>
      <c r="C5" s="10" t="s">
        <v>56</v>
      </c>
      <c r="D5" s="10" t="s">
        <v>34</v>
      </c>
      <c r="E5" s="13">
        <v>46226.0</v>
      </c>
      <c r="F5" s="10" t="s">
        <v>21</v>
      </c>
      <c r="I5" s="10" t="s">
        <v>22</v>
      </c>
      <c r="J5" s="9" t="str">
        <f t="shared" si="2"/>
        <v>No</v>
      </c>
      <c r="K5" s="9" t="str">
        <f t="shared" si="1"/>
        <v/>
      </c>
      <c r="L5" s="9" t="str">
        <f t="shared" si="3"/>
        <v/>
      </c>
      <c r="M5" s="9"/>
      <c r="O5" s="9"/>
    </row>
    <row r="6" ht="19.5" customHeight="1">
      <c r="A6" s="9" t="str">
        <f>IFERROR(__xludf.DUMMYFUNCTION("IF(B6="""","""",RIGHT(REGEXREPLACE(B6&amp;"""",""[^0-9]"",""""),9))"),"779810385")</f>
        <v>779810385</v>
      </c>
      <c r="B6" s="10">
        <v>7.79810385E8</v>
      </c>
      <c r="C6" s="10" t="s">
        <v>67</v>
      </c>
      <c r="D6" s="10" t="s">
        <v>69</v>
      </c>
      <c r="E6" s="13">
        <v>46226.0</v>
      </c>
      <c r="F6" s="10" t="s">
        <v>35</v>
      </c>
      <c r="G6" s="10">
        <v>11.0</v>
      </c>
      <c r="I6" s="10" t="s">
        <v>22</v>
      </c>
      <c r="J6" s="9" t="str">
        <f t="shared" si="2"/>
        <v>No</v>
      </c>
      <c r="K6" s="9" t="str">
        <f t="shared" si="1"/>
        <v/>
      </c>
      <c r="L6" s="9" t="str">
        <f t="shared" si="3"/>
        <v/>
      </c>
      <c r="M6" s="9"/>
      <c r="O6" s="9"/>
    </row>
    <row r="7" ht="19.5" customHeight="1">
      <c r="A7" s="9" t="str">
        <f>IFERROR(__xludf.DUMMYFUNCTION("IF(B7="""","""",RIGHT(REGEXREPLACE(B7&amp;"""",""[^0-9]"",""""),9))"),"741738779")</f>
        <v>741738779</v>
      </c>
      <c r="B7" s="10">
        <v>7.41738779E8</v>
      </c>
      <c r="C7" s="10" t="s">
        <v>77</v>
      </c>
      <c r="D7" s="10" t="s">
        <v>50</v>
      </c>
      <c r="E7" s="13">
        <v>46226.0</v>
      </c>
      <c r="F7" s="10" t="s">
        <v>35</v>
      </c>
      <c r="G7" s="10">
        <v>11.0</v>
      </c>
      <c r="I7" s="10" t="s">
        <v>22</v>
      </c>
      <c r="J7" s="9" t="str">
        <f t="shared" si="2"/>
        <v>No</v>
      </c>
      <c r="K7" s="9" t="str">
        <f t="shared" si="1"/>
        <v/>
      </c>
      <c r="L7" s="9" t="str">
        <f t="shared" si="3"/>
        <v/>
      </c>
      <c r="M7" s="9"/>
      <c r="O7" s="9"/>
    </row>
    <row r="8" ht="19.5" customHeight="1">
      <c r="A8" s="9" t="str">
        <f>IFERROR(__xludf.DUMMYFUNCTION("IF(B8="""","""",RIGHT(REGEXREPLACE(B8&amp;"""",""[^0-9]"",""""),9))"),"762721575")</f>
        <v>762721575</v>
      </c>
      <c r="B8" s="10">
        <v>7.62721575E8</v>
      </c>
      <c r="C8" s="10" t="s">
        <v>91</v>
      </c>
      <c r="D8" s="10" t="s">
        <v>69</v>
      </c>
      <c r="E8" s="13">
        <v>46226.0</v>
      </c>
      <c r="F8" s="10" t="s">
        <v>21</v>
      </c>
      <c r="I8" s="10" t="s">
        <v>22</v>
      </c>
      <c r="J8" s="9" t="str">
        <f t="shared" si="2"/>
        <v>No</v>
      </c>
      <c r="K8" s="9" t="str">
        <f t="shared" si="1"/>
        <v/>
      </c>
      <c r="L8" s="9" t="str">
        <f t="shared" si="3"/>
        <v/>
      </c>
      <c r="M8" s="9"/>
      <c r="O8" s="9"/>
    </row>
    <row r="9" ht="19.5" customHeight="1">
      <c r="A9" s="9" t="str">
        <f>IFERROR(__xludf.DUMMYFUNCTION("IF(B9="""","""",RIGHT(REGEXREPLACE(B9&amp;"""",""[^0-9]"",""""),9))"),"760581038")</f>
        <v>760581038</v>
      </c>
      <c r="B9" s="10">
        <v>7.60581038E8</v>
      </c>
      <c r="C9" s="10" t="s">
        <v>94</v>
      </c>
      <c r="D9" s="10" t="s">
        <v>34</v>
      </c>
      <c r="E9" s="13">
        <v>46226.0</v>
      </c>
      <c r="F9" s="10" t="s">
        <v>35</v>
      </c>
      <c r="I9" s="10" t="s">
        <v>22</v>
      </c>
      <c r="J9" s="9" t="str">
        <f t="shared" si="2"/>
        <v>No</v>
      </c>
      <c r="K9" s="9" t="str">
        <f t="shared" si="1"/>
        <v/>
      </c>
      <c r="L9" s="9" t="str">
        <f t="shared" si="3"/>
        <v/>
      </c>
      <c r="M9" s="9"/>
      <c r="O9" s="9"/>
    </row>
    <row r="10" ht="19.5" customHeight="1">
      <c r="A10" s="9" t="str">
        <f>IFERROR(__xludf.DUMMYFUNCTION("IF(B10="""","""",RIGHT(REGEXREPLACE(B10&amp;"""",""[^0-9]"",""""),9))"),"712370010")</f>
        <v>712370010</v>
      </c>
      <c r="B10" s="10">
        <v>7.1237001E8</v>
      </c>
      <c r="C10" s="10" t="s">
        <v>96</v>
      </c>
      <c r="D10" s="10" t="s">
        <v>97</v>
      </c>
      <c r="E10" s="13">
        <v>46226.0</v>
      </c>
      <c r="F10" s="10" t="s">
        <v>21</v>
      </c>
      <c r="I10" s="10" t="s">
        <v>22</v>
      </c>
      <c r="J10" s="9" t="str">
        <f t="shared" si="2"/>
        <v>No</v>
      </c>
      <c r="K10" s="9" t="str">
        <f t="shared" si="1"/>
        <v/>
      </c>
      <c r="L10" s="9" t="str">
        <f t="shared" si="3"/>
        <v/>
      </c>
      <c r="M10" s="9"/>
      <c r="O10" s="9"/>
    </row>
    <row r="11" ht="19.5" customHeight="1">
      <c r="A11" s="9" t="str">
        <f>IFERROR(__xludf.DUMMYFUNCTION("IF(B11="""","""",RIGHT(REGEXREPLACE(B11&amp;"""",""[^0-9]"",""""),9))"),"712694935")</f>
        <v>712694935</v>
      </c>
      <c r="B11" s="10">
        <v>7.12694935E8</v>
      </c>
      <c r="C11" s="10" t="s">
        <v>98</v>
      </c>
      <c r="D11" s="10" t="s">
        <v>69</v>
      </c>
      <c r="E11" s="13">
        <v>46226.0</v>
      </c>
      <c r="F11" s="10" t="s">
        <v>35</v>
      </c>
      <c r="G11" s="10">
        <v>10.0</v>
      </c>
      <c r="I11" s="10" t="s">
        <v>22</v>
      </c>
      <c r="J11" s="9" t="str">
        <f t="shared" si="2"/>
        <v>No</v>
      </c>
      <c r="K11" s="9" t="str">
        <f t="shared" si="1"/>
        <v/>
      </c>
      <c r="L11" s="9" t="str">
        <f t="shared" si="3"/>
        <v/>
      </c>
      <c r="M11" s="9"/>
      <c r="O11" s="9"/>
    </row>
    <row r="12">
      <c r="A12" s="9" t="str">
        <f>IFERROR(__xludf.DUMMYFUNCTION("IF(B12="""","""",RIGHT(REGEXREPLACE(B12&amp;"""",""[^0-9]"",""""),9))"),"717444140")</f>
        <v>717444140</v>
      </c>
      <c r="B12" s="10">
        <v>7.1744414E8</v>
      </c>
      <c r="C12" s="10" t="s">
        <v>99</v>
      </c>
      <c r="D12" s="10" t="s">
        <v>34</v>
      </c>
      <c r="E12" s="13">
        <v>46226.0</v>
      </c>
      <c r="F12" s="10" t="s">
        <v>21</v>
      </c>
      <c r="I12" s="10" t="s">
        <v>22</v>
      </c>
      <c r="J12" s="9" t="str">
        <f t="shared" si="2"/>
        <v>No</v>
      </c>
      <c r="K12" s="9" t="str">
        <f t="shared" si="1"/>
        <v/>
      </c>
      <c r="L12" s="9" t="str">
        <f t="shared" si="3"/>
        <v/>
      </c>
      <c r="M12" s="9"/>
      <c r="O12" s="9"/>
    </row>
    <row r="13">
      <c r="A13" s="9" t="str">
        <f>IFERROR(__xludf.DUMMYFUNCTION("IF(B13="""","""",RIGHT(REGEXREPLACE(B13&amp;"""",""[^0-9]"",""""),9))"),"768299308")</f>
        <v>768299308</v>
      </c>
      <c r="B13" s="10">
        <v>7.68299308E8</v>
      </c>
      <c r="C13" s="10" t="s">
        <v>100</v>
      </c>
      <c r="D13" s="10" t="s">
        <v>34</v>
      </c>
      <c r="E13" s="13">
        <v>46226.0</v>
      </c>
      <c r="F13" s="10" t="s">
        <v>21</v>
      </c>
      <c r="I13" s="10" t="s">
        <v>22</v>
      </c>
      <c r="J13" s="9" t="str">
        <f t="shared" si="2"/>
        <v>No</v>
      </c>
      <c r="K13" s="9" t="str">
        <f t="shared" si="1"/>
        <v/>
      </c>
      <c r="L13" s="9" t="str">
        <f t="shared" si="3"/>
        <v/>
      </c>
      <c r="M13" s="9"/>
      <c r="O13" s="9"/>
    </row>
    <row r="14">
      <c r="A14" s="10" t="s">
        <v>101</v>
      </c>
      <c r="D14" s="9"/>
      <c r="F14" s="9"/>
      <c r="M14" s="9"/>
      <c r="O14" s="9"/>
    </row>
    <row r="15">
      <c r="A15" s="9" t="str">
        <f>IFERROR(__xludf.DUMMYFUNCTION("IF(B15="""","""",RIGHT(REGEXREPLACE(B15&amp;"""",""[^0-9]"",""""),9))"),"711821851")</f>
        <v>711821851</v>
      </c>
      <c r="B15" s="47">
        <v>7.11821851E8</v>
      </c>
      <c r="C15" s="10" t="s">
        <v>102</v>
      </c>
      <c r="D15" s="10" t="s">
        <v>50</v>
      </c>
      <c r="E15" s="13">
        <v>46226.0</v>
      </c>
      <c r="F15" s="10" t="s">
        <v>21</v>
      </c>
      <c r="I15" s="10" t="s">
        <v>22</v>
      </c>
      <c r="J15" s="9" t="str">
        <f t="shared" ref="J15:J29" si="4">IF(COUNTIF($A$2:A14,A15)&gt;0,"Yes - see Previous F-Code","No")</f>
        <v>No</v>
      </c>
      <c r="K15" s="9" t="str">
        <f t="shared" ref="K15:K29" si="5">IF(COUNTIFS($A$2:A15,A15,$I$2:I15,I15)&gt;1,"DUPLICATE - CHECK","")</f>
        <v/>
      </c>
      <c r="L15" s="9" t="str">
        <f t="shared" ref="L15:L29" si="6">IF(COUNTIF($A$2:A14,A15)&gt;0,INDEX($C$2:C14,MATCH(A15,$A$2:A14,0)),"")</f>
        <v/>
      </c>
      <c r="M15" s="9"/>
      <c r="O15" s="9"/>
    </row>
    <row r="16">
      <c r="A16" s="9" t="str">
        <f>IFERROR(__xludf.DUMMYFUNCTION("IF(B16="""","""",RIGHT(REGEXREPLACE(B16&amp;"""",""[^0-9]"",""""),9))"),"719322000")</f>
        <v>719322000</v>
      </c>
      <c r="B16" s="47">
        <v>7.19322E8</v>
      </c>
      <c r="C16" s="10" t="s">
        <v>103</v>
      </c>
      <c r="D16" s="10" t="s">
        <v>69</v>
      </c>
      <c r="E16" s="13">
        <v>46226.0</v>
      </c>
      <c r="F16" s="10" t="s">
        <v>21</v>
      </c>
      <c r="I16" s="10" t="s">
        <v>22</v>
      </c>
      <c r="J16" s="9" t="str">
        <f t="shared" si="4"/>
        <v>No</v>
      </c>
      <c r="K16" s="9" t="str">
        <f t="shared" si="5"/>
        <v/>
      </c>
      <c r="L16" s="9" t="str">
        <f t="shared" si="6"/>
        <v/>
      </c>
      <c r="M16" s="9"/>
      <c r="O16" s="9"/>
    </row>
    <row r="17">
      <c r="A17" s="9" t="str">
        <f>IFERROR(__xludf.DUMMYFUNCTION("IF(B17="""","""",RIGHT(REGEXREPLACE(B17&amp;"""",""[^0-9]"",""""),9))"),"777471118")</f>
        <v>777471118</v>
      </c>
      <c r="B17" s="47">
        <v>7.77471118E8</v>
      </c>
      <c r="C17" s="10" t="s">
        <v>104</v>
      </c>
      <c r="D17" s="10" t="s">
        <v>50</v>
      </c>
      <c r="E17" s="13">
        <v>46226.0</v>
      </c>
      <c r="F17" s="10" t="s">
        <v>21</v>
      </c>
      <c r="G17" s="10">
        <v>11.0</v>
      </c>
      <c r="H17" s="9"/>
      <c r="I17" s="9"/>
      <c r="J17" s="9" t="str">
        <f t="shared" si="4"/>
        <v>No</v>
      </c>
      <c r="K17" s="9" t="str">
        <f t="shared" si="5"/>
        <v/>
      </c>
      <c r="L17" s="9" t="str">
        <f t="shared" si="6"/>
        <v/>
      </c>
      <c r="M17" s="9"/>
      <c r="N17" s="9"/>
      <c r="O17" s="9"/>
      <c r="P17" s="9"/>
    </row>
    <row r="18">
      <c r="A18" s="9" t="str">
        <f>IFERROR(__xludf.DUMMYFUNCTION("IF(B18="""","""",RIGHT(REGEXREPLACE(B18&amp;"""",""[^0-9]"",""""),9))"),"705238969")</f>
        <v>705238969</v>
      </c>
      <c r="B18" s="47">
        <v>7.05238969E8</v>
      </c>
      <c r="C18" s="10" t="s">
        <v>106</v>
      </c>
      <c r="D18" s="10" t="s">
        <v>50</v>
      </c>
      <c r="E18" s="13">
        <v>46226.0</v>
      </c>
      <c r="F18" s="10" t="s">
        <v>35</v>
      </c>
      <c r="G18" s="10">
        <v>11.0</v>
      </c>
      <c r="H18" s="9"/>
      <c r="I18" s="9"/>
      <c r="J18" s="9" t="str">
        <f t="shared" si="4"/>
        <v>No</v>
      </c>
      <c r="K18" s="9" t="str">
        <f t="shared" si="5"/>
        <v/>
      </c>
      <c r="L18" s="9" t="str">
        <f t="shared" si="6"/>
        <v/>
      </c>
      <c r="M18" s="9"/>
      <c r="N18" s="9"/>
      <c r="O18" s="9"/>
      <c r="P18" s="9"/>
    </row>
    <row r="19">
      <c r="A19" s="9" t="str">
        <f>IFERROR(__xludf.DUMMYFUNCTION("IF(B19="""","""",RIGHT(REGEXREPLACE(B19&amp;"""",""[^0-9]"",""""),9))"),"773981644")</f>
        <v>773981644</v>
      </c>
      <c r="B19" s="48">
        <v>7.73981644E8</v>
      </c>
      <c r="C19" s="10" t="s">
        <v>107</v>
      </c>
      <c r="D19" s="10" t="s">
        <v>34</v>
      </c>
      <c r="E19" s="13">
        <v>46226.0</v>
      </c>
      <c r="F19" s="10" t="s">
        <v>35</v>
      </c>
      <c r="G19" s="10">
        <v>11.0</v>
      </c>
      <c r="I19" s="10" t="s">
        <v>22</v>
      </c>
      <c r="J19" s="9" t="str">
        <f t="shared" si="4"/>
        <v>No</v>
      </c>
      <c r="K19" s="9" t="str">
        <f t="shared" si="5"/>
        <v/>
      </c>
      <c r="L19" s="9" t="str">
        <f t="shared" si="6"/>
        <v/>
      </c>
      <c r="M19" s="9"/>
      <c r="O19" s="9"/>
    </row>
    <row r="20">
      <c r="A20" s="9" t="str">
        <f>IFERROR(__xludf.DUMMYFUNCTION("IF(B20="""","""",RIGHT(REGEXREPLACE(B20&amp;"""",""[^0-9]"",""""),9))"),"716747001")</f>
        <v>716747001</v>
      </c>
      <c r="B20" s="49">
        <v>7.16747001E8</v>
      </c>
      <c r="C20" s="10" t="s">
        <v>108</v>
      </c>
      <c r="D20" s="10" t="s">
        <v>69</v>
      </c>
      <c r="E20" s="13">
        <v>46226.0</v>
      </c>
      <c r="F20" s="9"/>
      <c r="G20" s="9"/>
      <c r="H20" s="9"/>
      <c r="I20" s="10" t="s">
        <v>22</v>
      </c>
      <c r="J20" s="9" t="str">
        <f t="shared" si="4"/>
        <v>No</v>
      </c>
      <c r="K20" s="9" t="str">
        <f t="shared" si="5"/>
        <v/>
      </c>
      <c r="L20" s="9" t="str">
        <f t="shared" si="6"/>
        <v/>
      </c>
      <c r="M20" s="9"/>
      <c r="N20" s="9"/>
      <c r="O20" s="9"/>
      <c r="P20" s="9"/>
    </row>
    <row r="21" ht="15.75" customHeight="1">
      <c r="A21" s="9" t="str">
        <f>IFERROR(__xludf.DUMMYFUNCTION("IF(B21="""","""",RIGHT(REGEXREPLACE(B21&amp;"""",""[^0-9]"",""""),9))"),"763945570")</f>
        <v>763945570</v>
      </c>
      <c r="B21" s="48">
        <v>7.6394557E8</v>
      </c>
      <c r="C21" s="10" t="s">
        <v>110</v>
      </c>
      <c r="D21" s="10" t="s">
        <v>34</v>
      </c>
      <c r="E21" s="13">
        <v>46226.0</v>
      </c>
      <c r="F21" s="10" t="s">
        <v>35</v>
      </c>
      <c r="G21" s="10">
        <v>11.0</v>
      </c>
      <c r="I21" s="10" t="s">
        <v>22</v>
      </c>
      <c r="J21" s="9" t="str">
        <f t="shared" si="4"/>
        <v>No</v>
      </c>
      <c r="K21" s="9" t="str">
        <f t="shared" si="5"/>
        <v/>
      </c>
      <c r="L21" s="9" t="str">
        <f t="shared" si="6"/>
        <v/>
      </c>
      <c r="M21" s="9"/>
      <c r="O21" s="9"/>
    </row>
    <row r="22" ht="15.75" customHeight="1">
      <c r="A22" s="9" t="str">
        <f>IFERROR(__xludf.DUMMYFUNCTION("IF(B22="""","""",RIGHT(REGEXREPLACE(B22&amp;"""",""[^0-9]"",""""),9))"),"703936681")</f>
        <v>703936681</v>
      </c>
      <c r="B22" s="49">
        <v>7.03936681E8</v>
      </c>
      <c r="C22" s="10" t="s">
        <v>111</v>
      </c>
      <c r="D22" s="10" t="s">
        <v>50</v>
      </c>
      <c r="E22" s="13">
        <v>46226.0</v>
      </c>
      <c r="F22" s="10" t="s">
        <v>35</v>
      </c>
      <c r="G22" s="10">
        <v>11.0</v>
      </c>
      <c r="H22" s="9"/>
      <c r="I22" s="9"/>
      <c r="J22" s="9" t="str">
        <f t="shared" si="4"/>
        <v>No</v>
      </c>
      <c r="K22" s="9" t="str">
        <f t="shared" si="5"/>
        <v/>
      </c>
      <c r="L22" s="9" t="str">
        <f t="shared" si="6"/>
        <v/>
      </c>
      <c r="M22" s="9"/>
      <c r="N22" s="9"/>
      <c r="O22" s="9"/>
      <c r="P22" s="9"/>
    </row>
    <row r="23" ht="15.75" customHeight="1">
      <c r="A23" s="9" t="str">
        <f>IFERROR(__xludf.DUMMYFUNCTION("IF(B23="""","""",RIGHT(REGEXREPLACE(B23&amp;"""",""[^0-9]"",""""),9))"),"784501127")</f>
        <v>784501127</v>
      </c>
      <c r="B23" s="48">
        <v>7.84501127E8</v>
      </c>
      <c r="C23" s="10" t="s">
        <v>112</v>
      </c>
      <c r="D23" s="10" t="s">
        <v>34</v>
      </c>
      <c r="E23" s="13">
        <v>46226.0</v>
      </c>
      <c r="F23" s="10" t="s">
        <v>113</v>
      </c>
      <c r="I23" s="10" t="s">
        <v>22</v>
      </c>
      <c r="J23" s="9" t="str">
        <f t="shared" si="4"/>
        <v>No</v>
      </c>
      <c r="K23" s="9" t="str">
        <f t="shared" si="5"/>
        <v/>
      </c>
      <c r="L23" s="9" t="str">
        <f t="shared" si="6"/>
        <v/>
      </c>
      <c r="M23" s="9"/>
      <c r="O23" s="9"/>
    </row>
    <row r="24" ht="15.75" customHeight="1">
      <c r="A24" s="9" t="str">
        <f>IFERROR(__xludf.DUMMYFUNCTION("IF(B24="""","""",RIGHT(REGEXREPLACE(B24&amp;"""",""[^0-9]"",""""),9))"),"766323831")</f>
        <v>766323831</v>
      </c>
      <c r="B24" s="48">
        <v>7.66323831E8</v>
      </c>
      <c r="C24" s="10" t="s">
        <v>114</v>
      </c>
      <c r="D24" s="10" t="s">
        <v>34</v>
      </c>
      <c r="E24" s="13">
        <v>46226.0</v>
      </c>
      <c r="F24" s="10" t="s">
        <v>21</v>
      </c>
      <c r="G24" s="10">
        <v>10.0</v>
      </c>
      <c r="I24" s="10" t="s">
        <v>22</v>
      </c>
      <c r="J24" s="9" t="str">
        <f t="shared" si="4"/>
        <v>No</v>
      </c>
      <c r="K24" s="9" t="str">
        <f t="shared" si="5"/>
        <v/>
      </c>
      <c r="L24" s="9" t="str">
        <f t="shared" si="6"/>
        <v/>
      </c>
      <c r="M24" s="9"/>
      <c r="O24" s="9"/>
    </row>
    <row r="25" ht="15.75" customHeight="1">
      <c r="A25" s="9" t="str">
        <f>IFERROR(__xludf.DUMMYFUNCTION("IF(B25="""","""",RIGHT(REGEXREPLACE(B25&amp;"""",""[^0-9]"",""""),9))"),"703577703")</f>
        <v>703577703</v>
      </c>
      <c r="B25" s="47">
        <v>7.03577703E8</v>
      </c>
      <c r="C25" s="10" t="s">
        <v>115</v>
      </c>
      <c r="D25" s="10" t="s">
        <v>50</v>
      </c>
      <c r="E25" s="13">
        <v>46226.0</v>
      </c>
      <c r="F25" s="10" t="s">
        <v>21</v>
      </c>
      <c r="G25" s="9"/>
      <c r="H25" s="9"/>
      <c r="I25" s="9"/>
      <c r="J25" s="9" t="str">
        <f t="shared" si="4"/>
        <v>No</v>
      </c>
      <c r="K25" s="9" t="str">
        <f t="shared" si="5"/>
        <v/>
      </c>
      <c r="L25" s="9" t="str">
        <f t="shared" si="6"/>
        <v/>
      </c>
      <c r="M25" s="9"/>
      <c r="N25" s="9"/>
      <c r="O25" s="9"/>
      <c r="P25" s="9"/>
    </row>
    <row r="26" ht="15.75" customHeight="1">
      <c r="A26" s="9" t="str">
        <f>IFERROR(__xludf.DUMMYFUNCTION("IF(B26="""","""",RIGHT(REGEXREPLACE(B26&amp;"""",""[^0-9]"",""""),9))"),"727009037")</f>
        <v>727009037</v>
      </c>
      <c r="B26" s="47">
        <v>7.27009037E8</v>
      </c>
      <c r="C26" s="10" t="s">
        <v>116</v>
      </c>
      <c r="D26" s="10" t="s">
        <v>69</v>
      </c>
      <c r="E26" s="13">
        <v>46226.0</v>
      </c>
      <c r="F26" s="10" t="s">
        <v>21</v>
      </c>
      <c r="I26" s="10" t="s">
        <v>22</v>
      </c>
      <c r="J26" s="9" t="str">
        <f t="shared" si="4"/>
        <v>No</v>
      </c>
      <c r="K26" s="9" t="str">
        <f t="shared" si="5"/>
        <v/>
      </c>
      <c r="L26" s="9" t="str">
        <f t="shared" si="6"/>
        <v/>
      </c>
      <c r="M26" s="9"/>
      <c r="O26" s="9"/>
    </row>
    <row r="27" ht="15.75" customHeight="1">
      <c r="A27" s="9" t="str">
        <f>IFERROR(__xludf.DUMMYFUNCTION("IF(B27="""","""",RIGHT(REGEXREPLACE(B27&amp;"""",""[^0-9]"",""""),9))"),"774435357")</f>
        <v>774435357</v>
      </c>
      <c r="B27" s="48">
        <v>7.74435357E8</v>
      </c>
      <c r="C27" s="10" t="s">
        <v>117</v>
      </c>
      <c r="D27" s="10" t="s">
        <v>34</v>
      </c>
      <c r="E27" s="13">
        <v>46226.0</v>
      </c>
      <c r="F27" s="10" t="s">
        <v>35</v>
      </c>
      <c r="G27" s="10">
        <v>11.0</v>
      </c>
      <c r="I27" s="10" t="s">
        <v>22</v>
      </c>
      <c r="J27" s="9" t="str">
        <f t="shared" si="4"/>
        <v>No</v>
      </c>
      <c r="K27" s="9" t="str">
        <f t="shared" si="5"/>
        <v/>
      </c>
      <c r="L27" s="9" t="str">
        <f t="shared" si="6"/>
        <v/>
      </c>
      <c r="M27" s="9"/>
      <c r="O27" s="9"/>
    </row>
    <row r="28" ht="15.75" customHeight="1">
      <c r="A28" s="9" t="str">
        <f>IFERROR(__xludf.DUMMYFUNCTION("IF(B28="""","""",RIGHT(REGEXREPLACE(B28&amp;"""",""[^0-9]"",""""),9))"),"718066694")</f>
        <v>718066694</v>
      </c>
      <c r="B28" s="47">
        <v>7.18066694E8</v>
      </c>
      <c r="C28" s="10" t="s">
        <v>118</v>
      </c>
      <c r="D28" s="9"/>
      <c r="E28" s="13">
        <v>46226.0</v>
      </c>
      <c r="F28" s="9"/>
      <c r="G28" s="9"/>
      <c r="H28" s="9"/>
      <c r="I28" s="9"/>
      <c r="J28" s="9" t="str">
        <f t="shared" si="4"/>
        <v>No</v>
      </c>
      <c r="K28" s="9" t="str">
        <f t="shared" si="5"/>
        <v/>
      </c>
      <c r="L28" s="9" t="str">
        <f t="shared" si="6"/>
        <v/>
      </c>
      <c r="M28" s="9"/>
      <c r="N28" s="9"/>
      <c r="O28" s="9"/>
      <c r="P28" s="9"/>
    </row>
    <row r="29" ht="15.75" customHeight="1">
      <c r="A29" s="9" t="str">
        <f>IFERROR(__xludf.DUMMYFUNCTION("IF(B29="""","""",RIGHT(REGEXREPLACE(B29&amp;"""",""[^0-9]"",""""),9))"),"710165336")</f>
        <v>710165336</v>
      </c>
      <c r="B29" s="47">
        <v>7.10165336E8</v>
      </c>
      <c r="C29" s="10" t="s">
        <v>119</v>
      </c>
      <c r="D29" s="10" t="s">
        <v>50</v>
      </c>
      <c r="E29" s="13">
        <v>46226.0</v>
      </c>
      <c r="F29" s="10" t="s">
        <v>21</v>
      </c>
      <c r="G29" s="10">
        <v>11.0</v>
      </c>
      <c r="H29" s="9"/>
      <c r="I29" s="9"/>
      <c r="J29" s="9" t="str">
        <f t="shared" si="4"/>
        <v>No</v>
      </c>
      <c r="K29" s="9" t="str">
        <f t="shared" si="5"/>
        <v/>
      </c>
      <c r="L29" s="9" t="str">
        <f t="shared" si="6"/>
        <v/>
      </c>
      <c r="M29" s="9"/>
      <c r="N29" s="9"/>
      <c r="O29" s="9"/>
      <c r="P29" s="9"/>
    </row>
    <row r="30" ht="15.75" customHeight="1">
      <c r="D30" s="9"/>
      <c r="F30" s="9"/>
      <c r="M30" s="9"/>
      <c r="O30" s="9"/>
    </row>
    <row r="31" ht="15.75" customHeight="1">
      <c r="A31" s="9" t="str">
        <f>IFERROR(__xludf.DUMMYFUNCTION("IF(B31="""","""",RIGHT(REGEXREPLACE(B31&amp;"""",""[^0-9]"",""""),9))"),"769365683")</f>
        <v>769365683</v>
      </c>
      <c r="B31" s="47">
        <v>7.69365683E8</v>
      </c>
      <c r="C31" s="10" t="s">
        <v>121</v>
      </c>
      <c r="D31" s="10" t="s">
        <v>50</v>
      </c>
      <c r="E31" s="13">
        <v>46226.0</v>
      </c>
      <c r="F31" s="10" t="s">
        <v>35</v>
      </c>
      <c r="G31" s="10">
        <v>11.0</v>
      </c>
      <c r="H31" s="9"/>
      <c r="I31" s="9"/>
      <c r="J31" s="9" t="str">
        <f t="shared" ref="J31:J32" si="7">IF(COUNTIF($A$2:A30,A31)&gt;0,"Yes - see Previous F-Code","No")</f>
        <v>No</v>
      </c>
      <c r="K31" s="9" t="str">
        <f t="shared" ref="K31:K34" si="8">IF(COUNTIFS($A$2:A31,A31,$I$2:I31,I31)&gt;1,"DUPLICATE - CHECK","")</f>
        <v/>
      </c>
      <c r="L31" s="9" t="str">
        <f t="shared" ref="L31:L32" si="9">IF(COUNTIF($A$2:A30,A31)&gt;0,INDEX($C$2:C30,MATCH(A31,$A$2:A30,0)),"")</f>
        <v/>
      </c>
      <c r="M31" s="9"/>
      <c r="N31" s="9"/>
      <c r="O31" s="9"/>
      <c r="P31" s="9"/>
    </row>
    <row r="32" ht="15.75" customHeight="1">
      <c r="A32" s="9" t="str">
        <f>IFERROR(__xludf.DUMMYFUNCTION("IF(B32="""","""",RIGHT(REGEXREPLACE(B32&amp;"""",""[^0-9]"",""""),9))"),"711993176")</f>
        <v>711993176</v>
      </c>
      <c r="B32" s="48">
        <v>9.4711993176E10</v>
      </c>
      <c r="C32" s="10" t="s">
        <v>122</v>
      </c>
      <c r="D32" s="10" t="s">
        <v>120</v>
      </c>
      <c r="E32" s="13">
        <v>46226.0</v>
      </c>
      <c r="F32" s="10" t="s">
        <v>35</v>
      </c>
      <c r="G32" s="10">
        <v>9.0</v>
      </c>
      <c r="I32" s="10" t="s">
        <v>22</v>
      </c>
      <c r="J32" s="9" t="str">
        <f t="shared" si="7"/>
        <v>No</v>
      </c>
      <c r="K32" s="9" t="str">
        <f t="shared" si="8"/>
        <v/>
      </c>
      <c r="L32" s="9" t="str">
        <f t="shared" si="9"/>
        <v/>
      </c>
      <c r="M32" s="9"/>
      <c r="O32" s="9"/>
    </row>
    <row r="33" ht="15.75" customHeight="1">
      <c r="A33" s="9" t="str">
        <f>IFERROR(__xludf.DUMMYFUNCTION("IF(B33="""","""",RIGHT(REGEXREPLACE(B33&amp;"""",""[^0-9]"",""""),9))"),"")</f>
        <v/>
      </c>
      <c r="B33" s="47"/>
      <c r="D33" s="9"/>
      <c r="E33" s="13"/>
      <c r="F33" s="9"/>
      <c r="K33" s="9" t="str">
        <f t="shared" si="8"/>
        <v/>
      </c>
      <c r="M33" s="9"/>
      <c r="O33" s="9"/>
    </row>
    <row r="34" ht="15.75" customHeight="1">
      <c r="A34" s="9" t="str">
        <f>IFERROR(__xludf.DUMMYFUNCTION("IF(B34="""","""",RIGHT(REGEXREPLACE(B34&amp;"""",""[^0-9]"",""""),9))"),"765254282")</f>
        <v>765254282</v>
      </c>
      <c r="B34" s="47">
        <v>7.65254282E8</v>
      </c>
      <c r="C34" s="10" t="s">
        <v>124</v>
      </c>
      <c r="D34" s="10" t="s">
        <v>69</v>
      </c>
      <c r="E34" s="13">
        <v>46226.0</v>
      </c>
      <c r="F34" s="10" t="s">
        <v>35</v>
      </c>
      <c r="G34" s="59" t="s">
        <v>125</v>
      </c>
      <c r="I34" s="10" t="s">
        <v>22</v>
      </c>
      <c r="J34" s="9" t="str">
        <f>IF(COUNTIF($A$2:A33,A34)&gt;0,"Yes - see Previous F-Code","No")</f>
        <v>No</v>
      </c>
      <c r="K34" s="9" t="str">
        <f t="shared" si="8"/>
        <v/>
      </c>
      <c r="L34" s="9" t="str">
        <f t="array" ref="L34">IF(COUNTIF($A$2:A33,A34)&gt;0,INDEX($C$2:C33,MATCH(A34,$A$2:A33,0)),"")</f>
        <v/>
      </c>
      <c r="M34" s="9"/>
      <c r="O34" s="9"/>
    </row>
    <row r="35" ht="15.75" customHeight="1">
      <c r="D35" s="9"/>
      <c r="F35" s="9"/>
      <c r="M35" s="9"/>
      <c r="O35" s="9"/>
    </row>
    <row r="36" ht="15.75" customHeight="1">
      <c r="A36" s="9" t="str">
        <f>IFERROR(__xludf.DUMMYFUNCTION("IF(B36="""","""",RIGHT(REGEXREPLACE(B36&amp;"""",""[^0-9]"",""""),9))"),"701026904")</f>
        <v>701026904</v>
      </c>
      <c r="B36" s="48">
        <v>7.01026904E8</v>
      </c>
      <c r="C36" s="10" t="s">
        <v>126</v>
      </c>
      <c r="D36" s="10" t="s">
        <v>34</v>
      </c>
      <c r="E36" s="13">
        <v>46226.0</v>
      </c>
      <c r="F36" s="10" t="s">
        <v>21</v>
      </c>
      <c r="G36" s="10">
        <v>8.0</v>
      </c>
      <c r="H36" s="9"/>
      <c r="I36" s="9"/>
      <c r="J36" s="9" t="str">
        <f t="shared" ref="J36:J66" si="10">IF(COUNTIF($A$2:A35,A36)&gt;0,"Yes - see Previous F-Code","No")</f>
        <v>No</v>
      </c>
      <c r="K36" s="9" t="str">
        <f t="shared" ref="K36:K66" si="11">IF(COUNTIFS($A$2:A36,A36,$I$2:I36,I36)&gt;1,"DUPLICATE - CHECK","")</f>
        <v/>
      </c>
      <c r="L36" s="9" t="str">
        <f t="shared" ref="L36:L66" si="12">IF(COUNTIF($A$2:A35,A36)&gt;0,INDEX($C$2:C35,MATCH(A36,$A$2:A35,0)),"")</f>
        <v/>
      </c>
      <c r="M36" s="9"/>
      <c r="N36" s="9"/>
      <c r="O36" s="9"/>
      <c r="P36" s="9"/>
    </row>
    <row r="37" ht="15.75" customHeight="1">
      <c r="A37" s="9" t="str">
        <f>IFERROR(__xludf.DUMMYFUNCTION("IF(B37="""","""",RIGHT(REGEXREPLACE(B37&amp;"""",""[^0-9]"",""""),9))"),"702580544")</f>
        <v>702580544</v>
      </c>
      <c r="B37" s="47">
        <v>7.02580544E8</v>
      </c>
      <c r="C37" s="10" t="s">
        <v>127</v>
      </c>
      <c r="D37" s="10" t="s">
        <v>69</v>
      </c>
      <c r="E37" s="13">
        <v>46226.0</v>
      </c>
      <c r="F37" s="10" t="s">
        <v>35</v>
      </c>
      <c r="G37" s="10">
        <v>11.0</v>
      </c>
      <c r="I37" s="10" t="s">
        <v>22</v>
      </c>
      <c r="J37" s="9" t="str">
        <f t="shared" si="10"/>
        <v>No</v>
      </c>
      <c r="K37" s="9" t="str">
        <f t="shared" si="11"/>
        <v/>
      </c>
      <c r="L37" s="9" t="str">
        <f t="shared" si="12"/>
        <v/>
      </c>
      <c r="M37" s="9"/>
      <c r="O37" s="9"/>
    </row>
    <row r="38" ht="15.75" customHeight="1">
      <c r="A38" s="9" t="str">
        <f>IFERROR(__xludf.DUMMYFUNCTION("IF(B38="""","""",RIGHT(REGEXREPLACE(B38&amp;"""",""[^0-9]"",""""),9))"),"772732100")</f>
        <v>772732100</v>
      </c>
      <c r="B38" s="47">
        <v>7.727321E8</v>
      </c>
      <c r="C38" s="10" t="s">
        <v>128</v>
      </c>
      <c r="D38" s="10" t="s">
        <v>69</v>
      </c>
      <c r="E38" s="13">
        <v>46226.0</v>
      </c>
      <c r="F38" s="10" t="s">
        <v>113</v>
      </c>
      <c r="I38" s="10" t="s">
        <v>22</v>
      </c>
      <c r="J38" s="9" t="str">
        <f t="shared" si="10"/>
        <v>No</v>
      </c>
      <c r="K38" s="9" t="str">
        <f t="shared" si="11"/>
        <v/>
      </c>
      <c r="L38" s="9" t="str">
        <f t="shared" si="12"/>
        <v/>
      </c>
      <c r="M38" s="9"/>
      <c r="O38" s="9"/>
    </row>
    <row r="39" ht="15.75" customHeight="1">
      <c r="A39" s="9" t="str">
        <f>IFERROR(__xludf.DUMMYFUNCTION("IF(B39="""","""",RIGHT(REGEXREPLACE(B39&amp;"""",""[^0-9]"",""""),9))"),"777007650")</f>
        <v>777007650</v>
      </c>
      <c r="B39" s="47">
        <v>7.7700765E8</v>
      </c>
      <c r="C39" s="10" t="s">
        <v>129</v>
      </c>
      <c r="D39" s="10" t="s">
        <v>120</v>
      </c>
      <c r="E39" s="13">
        <v>46226.0</v>
      </c>
      <c r="F39" s="10" t="s">
        <v>21</v>
      </c>
      <c r="I39" s="10" t="s">
        <v>22</v>
      </c>
      <c r="J39" s="9" t="str">
        <f t="shared" si="10"/>
        <v>No</v>
      </c>
      <c r="K39" s="9" t="str">
        <f t="shared" si="11"/>
        <v/>
      </c>
      <c r="L39" s="9" t="str">
        <f t="shared" si="12"/>
        <v/>
      </c>
      <c r="M39" s="9"/>
      <c r="O39" s="9"/>
    </row>
    <row r="40" ht="15.75" customHeight="1">
      <c r="A40" s="9" t="str">
        <f>IFERROR(__xludf.DUMMYFUNCTION("IF(B40="""","""",RIGHT(REGEXREPLACE(B40&amp;"""",""[^0-9]"",""""),9))"),"764519540")</f>
        <v>764519540</v>
      </c>
      <c r="B40" s="48">
        <v>7.6451954E8</v>
      </c>
      <c r="C40" s="10" t="s">
        <v>130</v>
      </c>
      <c r="D40" s="10" t="s">
        <v>34</v>
      </c>
      <c r="E40" s="13">
        <v>46226.0</v>
      </c>
      <c r="F40" s="10" t="s">
        <v>35</v>
      </c>
      <c r="G40" s="10">
        <v>11.0</v>
      </c>
      <c r="I40" s="10" t="s">
        <v>22</v>
      </c>
      <c r="J40" s="9" t="str">
        <f t="shared" si="10"/>
        <v>No</v>
      </c>
      <c r="K40" s="9" t="str">
        <f t="shared" si="11"/>
        <v/>
      </c>
      <c r="L40" s="9" t="str">
        <f t="shared" si="12"/>
        <v/>
      </c>
      <c r="M40" s="9"/>
      <c r="O40" s="9"/>
    </row>
    <row r="41" ht="15.75" customHeight="1">
      <c r="A41" s="9" t="str">
        <f>IFERROR(__xludf.DUMMYFUNCTION("IF(B41="""","""",RIGHT(REGEXREPLACE(B41&amp;"""",""[^0-9]"",""""),9))"),"779890412")</f>
        <v>779890412</v>
      </c>
      <c r="B41" s="47">
        <v>7.79890412E8</v>
      </c>
      <c r="C41" s="10" t="s">
        <v>131</v>
      </c>
      <c r="D41" s="10" t="s">
        <v>50</v>
      </c>
      <c r="E41" s="13">
        <v>46226.0</v>
      </c>
      <c r="F41" s="10" t="s">
        <v>21</v>
      </c>
      <c r="G41" s="10">
        <v>10.0</v>
      </c>
      <c r="I41" s="10" t="s">
        <v>22</v>
      </c>
      <c r="J41" s="9" t="str">
        <f t="shared" si="10"/>
        <v>No</v>
      </c>
      <c r="K41" s="9" t="str">
        <f t="shared" si="11"/>
        <v/>
      </c>
      <c r="L41" s="9" t="str">
        <f t="shared" si="12"/>
        <v/>
      </c>
      <c r="M41" s="9"/>
      <c r="O41" s="9"/>
    </row>
    <row r="42" ht="15.75" customHeight="1">
      <c r="A42" s="9" t="str">
        <f>IFERROR(__xludf.DUMMYFUNCTION("IF(B42="""","""",RIGHT(REGEXREPLACE(B42&amp;"""",""[^0-9]"",""""),9))"),"768369790")</f>
        <v>768369790</v>
      </c>
      <c r="B42" s="47">
        <v>9.476836979E10</v>
      </c>
      <c r="C42" s="10" t="s">
        <v>132</v>
      </c>
      <c r="D42" s="10" t="s">
        <v>20</v>
      </c>
      <c r="E42" s="13">
        <v>46226.0</v>
      </c>
      <c r="F42" s="10" t="s">
        <v>21</v>
      </c>
      <c r="I42" s="10" t="s">
        <v>22</v>
      </c>
      <c r="J42" s="9" t="str">
        <f t="shared" si="10"/>
        <v>No</v>
      </c>
      <c r="K42" s="9" t="str">
        <f t="shared" si="11"/>
        <v/>
      </c>
      <c r="L42" s="9" t="str">
        <f t="shared" si="12"/>
        <v/>
      </c>
      <c r="M42" s="9"/>
      <c r="O42" s="9"/>
    </row>
    <row r="43" ht="15.75" customHeight="1">
      <c r="A43" s="9" t="str">
        <f>IFERROR(__xludf.DUMMYFUNCTION("IF(B43="""","""",RIGHT(REGEXREPLACE(B43&amp;"""",""[^0-9]"",""""),9))"),"767287836")</f>
        <v>767287836</v>
      </c>
      <c r="B43" s="47">
        <v>7.67287836E8</v>
      </c>
      <c r="C43" s="10" t="s">
        <v>133</v>
      </c>
      <c r="D43" s="10" t="s">
        <v>50</v>
      </c>
      <c r="E43" s="13">
        <v>46226.0</v>
      </c>
      <c r="F43" s="10" t="s">
        <v>35</v>
      </c>
      <c r="G43" s="10">
        <v>11.0</v>
      </c>
      <c r="I43" s="10" t="s">
        <v>22</v>
      </c>
      <c r="J43" s="9" t="str">
        <f t="shared" si="10"/>
        <v>No</v>
      </c>
      <c r="K43" s="9" t="str">
        <f t="shared" si="11"/>
        <v/>
      </c>
      <c r="L43" s="9" t="str">
        <f t="shared" si="12"/>
        <v/>
      </c>
      <c r="M43" s="9"/>
      <c r="O43" s="9"/>
    </row>
    <row r="44" ht="15.75" customHeight="1">
      <c r="A44" s="9" t="str">
        <f>IFERROR(__xludf.DUMMYFUNCTION("IF(B44="""","""",RIGHT(REGEXREPLACE(B44&amp;"""",""[^0-9]"",""""),9))"),"772577091")</f>
        <v>772577091</v>
      </c>
      <c r="B44" s="47">
        <v>9.4772577091E10</v>
      </c>
      <c r="C44" s="10" t="s">
        <v>134</v>
      </c>
      <c r="D44" s="10" t="s">
        <v>20</v>
      </c>
      <c r="E44" s="13">
        <v>46226.0</v>
      </c>
      <c r="F44" s="10" t="s">
        <v>21</v>
      </c>
      <c r="I44" s="10" t="s">
        <v>22</v>
      </c>
      <c r="J44" s="9" t="str">
        <f t="shared" si="10"/>
        <v>No</v>
      </c>
      <c r="K44" s="9" t="str">
        <f t="shared" si="11"/>
        <v/>
      </c>
      <c r="L44" s="9" t="str">
        <f t="shared" si="12"/>
        <v/>
      </c>
      <c r="M44" s="9"/>
      <c r="O44" s="9"/>
    </row>
    <row r="45" ht="15.75" customHeight="1">
      <c r="A45" s="9" t="str">
        <f>IFERROR(__xludf.DUMMYFUNCTION("IF(B45="""","""",RIGHT(REGEXREPLACE(B45&amp;"""",""[^0-9]"",""""),9))"),"741558418")</f>
        <v>741558418</v>
      </c>
      <c r="B45" s="47">
        <v>7.41558418E8</v>
      </c>
      <c r="C45" s="10" t="s">
        <v>135</v>
      </c>
      <c r="D45" s="10" t="s">
        <v>120</v>
      </c>
      <c r="E45" s="13">
        <v>46226.0</v>
      </c>
      <c r="F45" s="10" t="s">
        <v>21</v>
      </c>
      <c r="I45" s="10" t="s">
        <v>22</v>
      </c>
      <c r="J45" s="9" t="str">
        <f t="shared" si="10"/>
        <v>No</v>
      </c>
      <c r="K45" s="9" t="str">
        <f t="shared" si="11"/>
        <v/>
      </c>
      <c r="L45" s="9" t="str">
        <f t="shared" si="12"/>
        <v/>
      </c>
      <c r="M45" s="9"/>
      <c r="O45" s="9"/>
    </row>
    <row r="46" ht="15.75" customHeight="1">
      <c r="A46" s="9" t="str">
        <f>IFERROR(__xludf.DUMMYFUNCTION("IF(B46="""","""",RIGHT(REGEXREPLACE(B46&amp;"""",""[^0-9]"",""""),9))"),"717490051")</f>
        <v>717490051</v>
      </c>
      <c r="B46" s="48">
        <v>7.17490051E8</v>
      </c>
      <c r="C46" s="10" t="s">
        <v>136</v>
      </c>
      <c r="D46" s="10" t="s">
        <v>34</v>
      </c>
      <c r="E46" s="13">
        <v>46226.0</v>
      </c>
      <c r="F46" s="10" t="s">
        <v>21</v>
      </c>
      <c r="I46" s="10" t="s">
        <v>22</v>
      </c>
      <c r="J46" s="9" t="str">
        <f t="shared" si="10"/>
        <v>No</v>
      </c>
      <c r="K46" s="9" t="str">
        <f t="shared" si="11"/>
        <v/>
      </c>
      <c r="L46" s="9" t="str">
        <f t="shared" si="12"/>
        <v/>
      </c>
      <c r="M46" s="9"/>
      <c r="O46" s="9"/>
    </row>
    <row r="47" ht="15.75" customHeight="1">
      <c r="A47" s="9" t="str">
        <f>IFERROR(__xludf.DUMMYFUNCTION("IF(B47="""","""",RIGHT(REGEXREPLACE(B47&amp;"""",""[^0-9]"",""""),9))"),"741603448")</f>
        <v>741603448</v>
      </c>
      <c r="B47" s="47">
        <v>7.41603448E8</v>
      </c>
      <c r="C47" s="10" t="s">
        <v>137</v>
      </c>
      <c r="D47" s="10" t="s">
        <v>50</v>
      </c>
      <c r="E47" s="13">
        <v>46226.0</v>
      </c>
      <c r="F47" s="10" t="s">
        <v>35</v>
      </c>
      <c r="G47" s="10">
        <v>11.0</v>
      </c>
      <c r="I47" s="10" t="s">
        <v>22</v>
      </c>
      <c r="J47" s="9" t="str">
        <f t="shared" si="10"/>
        <v>No</v>
      </c>
      <c r="K47" s="9" t="str">
        <f t="shared" si="11"/>
        <v/>
      </c>
      <c r="L47" s="9" t="str">
        <f t="shared" si="12"/>
        <v/>
      </c>
      <c r="M47" s="9"/>
      <c r="O47" s="9"/>
    </row>
    <row r="48" ht="15.75" customHeight="1">
      <c r="A48" s="9" t="str">
        <f>IFERROR(__xludf.DUMMYFUNCTION("IF(B48="""","""",RIGHT(REGEXREPLACE(B48&amp;"""",""[^0-9]"",""""),9))"),"718248235")</f>
        <v>718248235</v>
      </c>
      <c r="B48" s="63">
        <v>7.18248235E8</v>
      </c>
      <c r="C48" s="10" t="s">
        <v>138</v>
      </c>
      <c r="D48" s="10" t="s">
        <v>120</v>
      </c>
      <c r="E48" s="13">
        <v>46226.0</v>
      </c>
      <c r="F48" s="10" t="s">
        <v>35</v>
      </c>
      <c r="G48" s="10">
        <v>10.0</v>
      </c>
      <c r="I48" s="10" t="s">
        <v>22</v>
      </c>
      <c r="J48" s="9" t="str">
        <f t="shared" si="10"/>
        <v>No</v>
      </c>
      <c r="K48" s="9" t="str">
        <f t="shared" si="11"/>
        <v/>
      </c>
      <c r="L48" s="9" t="str">
        <f t="shared" si="12"/>
        <v/>
      </c>
      <c r="M48" s="9"/>
      <c r="O48" s="9"/>
    </row>
    <row r="49" ht="15.75" customHeight="1">
      <c r="A49" s="9" t="str">
        <f>IFERROR(__xludf.DUMMYFUNCTION("IF(B49="""","""",RIGHT(REGEXREPLACE(B49&amp;"""",""[^0-9]"",""""),9))"),"775802531")</f>
        <v>775802531</v>
      </c>
      <c r="B49" s="48">
        <v>7.75802531E8</v>
      </c>
      <c r="C49" s="10" t="s">
        <v>139</v>
      </c>
      <c r="D49" s="10" t="s">
        <v>34</v>
      </c>
      <c r="E49" s="13">
        <v>46226.0</v>
      </c>
      <c r="F49" s="10" t="s">
        <v>35</v>
      </c>
      <c r="G49" s="10">
        <v>11.0</v>
      </c>
      <c r="I49" s="10" t="s">
        <v>22</v>
      </c>
      <c r="J49" s="9" t="str">
        <f t="shared" si="10"/>
        <v>No</v>
      </c>
      <c r="K49" s="9" t="str">
        <f t="shared" si="11"/>
        <v/>
      </c>
      <c r="L49" s="9" t="str">
        <f t="shared" si="12"/>
        <v/>
      </c>
      <c r="M49" s="9"/>
      <c r="O49" s="9"/>
    </row>
    <row r="50" ht="15.75" customHeight="1">
      <c r="A50" s="9" t="str">
        <f>IFERROR(__xludf.DUMMYFUNCTION("IF(B50="""","""",RIGHT(REGEXREPLACE(B50&amp;"""",""[^0-9]"",""""),9))"),"763279075")</f>
        <v>763279075</v>
      </c>
      <c r="B50" s="64">
        <v>9.4763279075E10</v>
      </c>
      <c r="C50" s="10" t="s">
        <v>140</v>
      </c>
      <c r="D50" s="10" t="s">
        <v>20</v>
      </c>
      <c r="E50" s="13">
        <v>46226.0</v>
      </c>
      <c r="F50" s="10" t="s">
        <v>21</v>
      </c>
      <c r="I50" s="10" t="s">
        <v>22</v>
      </c>
      <c r="J50" s="9" t="str">
        <f t="shared" si="10"/>
        <v>No</v>
      </c>
      <c r="K50" s="9" t="str">
        <f t="shared" si="11"/>
        <v/>
      </c>
      <c r="L50" s="9" t="str">
        <f t="shared" si="12"/>
        <v/>
      </c>
      <c r="M50" s="9"/>
      <c r="O50" s="9"/>
    </row>
    <row r="51" ht="15.75" customHeight="1">
      <c r="A51" s="9" t="str">
        <f>IFERROR(__xludf.DUMMYFUNCTION("IF(B51="""","""",RIGHT(REGEXREPLACE(B51&amp;"""",""[^0-9]"",""""),9))"),"772508309")</f>
        <v>772508309</v>
      </c>
      <c r="B51" s="65">
        <f>+94772508309</f>
        <v>94772508309</v>
      </c>
      <c r="C51" s="10" t="s">
        <v>141</v>
      </c>
      <c r="D51" s="10" t="s">
        <v>20</v>
      </c>
      <c r="E51" s="13">
        <v>46226.0</v>
      </c>
      <c r="F51" s="10" t="s">
        <v>35</v>
      </c>
      <c r="G51" s="10">
        <v>11.0</v>
      </c>
      <c r="I51" s="10" t="s">
        <v>22</v>
      </c>
      <c r="J51" s="9" t="str">
        <f t="shared" si="10"/>
        <v>No</v>
      </c>
      <c r="K51" s="9" t="str">
        <f t="shared" si="11"/>
        <v/>
      </c>
      <c r="L51" s="9" t="str">
        <f t="shared" si="12"/>
        <v/>
      </c>
      <c r="M51" s="9"/>
      <c r="O51" s="9"/>
    </row>
    <row r="52" ht="15.75" customHeight="1">
      <c r="A52" s="9" t="str">
        <f>IFERROR(__xludf.DUMMYFUNCTION("IF(B52="""","""",RIGHT(REGEXREPLACE(B52&amp;"""",""[^0-9]"",""""),9))"),"779994616")</f>
        <v>779994616</v>
      </c>
      <c r="B52" s="63">
        <v>9.4779994616E10</v>
      </c>
      <c r="C52" s="10" t="s">
        <v>142</v>
      </c>
      <c r="D52" s="10" t="s">
        <v>20</v>
      </c>
      <c r="E52" s="13">
        <v>46226.0</v>
      </c>
      <c r="F52" s="10" t="s">
        <v>21</v>
      </c>
      <c r="I52" s="10" t="s">
        <v>22</v>
      </c>
      <c r="J52" s="9" t="str">
        <f t="shared" si="10"/>
        <v>No</v>
      </c>
      <c r="K52" s="9" t="str">
        <f t="shared" si="11"/>
        <v/>
      </c>
      <c r="L52" s="9" t="str">
        <f t="shared" si="12"/>
        <v/>
      </c>
      <c r="M52" s="9"/>
      <c r="O52" s="9"/>
    </row>
    <row r="53" ht="15.75" customHeight="1">
      <c r="A53" s="9" t="str">
        <f>IFERROR(__xludf.DUMMYFUNCTION("IF(B53="""","""",RIGHT(REGEXREPLACE(B53&amp;"""",""[^0-9]"",""""),9))"),"784731796")</f>
        <v>784731796</v>
      </c>
      <c r="B53" s="47">
        <v>7.84731796E8</v>
      </c>
      <c r="C53" s="10" t="s">
        <v>143</v>
      </c>
      <c r="D53" s="10" t="s">
        <v>50</v>
      </c>
      <c r="E53" s="13">
        <v>46226.0</v>
      </c>
      <c r="F53" s="9"/>
      <c r="G53" s="10">
        <v>11.0</v>
      </c>
      <c r="H53" s="9"/>
      <c r="I53" s="10" t="s">
        <v>22</v>
      </c>
      <c r="J53" s="9" t="str">
        <f t="shared" si="10"/>
        <v>No</v>
      </c>
      <c r="K53" s="9" t="str">
        <f t="shared" si="11"/>
        <v/>
      </c>
      <c r="L53" s="9" t="str">
        <f t="shared" si="12"/>
        <v/>
      </c>
      <c r="M53" s="9"/>
      <c r="N53" s="9"/>
      <c r="O53" s="9"/>
      <c r="P53" s="9"/>
    </row>
    <row r="54" ht="15.75" customHeight="1">
      <c r="A54" s="9" t="str">
        <f>IFERROR(__xludf.DUMMYFUNCTION("IF(B54="""","""",RIGHT(REGEXREPLACE(B54&amp;"""",""[^0-9]"",""""),9))"),"762502362")</f>
        <v>762502362</v>
      </c>
      <c r="B54" s="49">
        <v>7.62502362E8</v>
      </c>
      <c r="C54" s="10" t="s">
        <v>144</v>
      </c>
      <c r="D54" s="10" t="s">
        <v>120</v>
      </c>
      <c r="E54" s="13">
        <v>46226.0</v>
      </c>
      <c r="F54" s="10" t="s">
        <v>145</v>
      </c>
      <c r="I54" s="10" t="s">
        <v>22</v>
      </c>
      <c r="J54" s="9" t="str">
        <f t="shared" si="10"/>
        <v>No</v>
      </c>
      <c r="K54" s="9" t="str">
        <f t="shared" si="11"/>
        <v/>
      </c>
      <c r="L54" s="9" t="str">
        <f t="shared" si="12"/>
        <v/>
      </c>
      <c r="M54" s="9"/>
      <c r="O54" s="9"/>
    </row>
    <row r="55" ht="15.75" customHeight="1">
      <c r="A55" s="9" t="str">
        <f>IFERROR(__xludf.DUMMYFUNCTION("IF(B55="""","""",RIGHT(REGEXREPLACE(B55&amp;"""",""[^0-9]"",""""),9))"),"729578807")</f>
        <v>729578807</v>
      </c>
      <c r="B55" s="48">
        <v>7.29578807E8</v>
      </c>
      <c r="C55" s="10" t="s">
        <v>146</v>
      </c>
      <c r="D55" s="10" t="s">
        <v>34</v>
      </c>
      <c r="E55" s="13">
        <v>46226.0</v>
      </c>
      <c r="F55" s="10" t="s">
        <v>35</v>
      </c>
      <c r="G55" s="10">
        <v>11.0</v>
      </c>
      <c r="I55" s="10" t="s">
        <v>22</v>
      </c>
      <c r="J55" s="9" t="str">
        <f t="shared" si="10"/>
        <v>No</v>
      </c>
      <c r="K55" s="9" t="str">
        <f t="shared" si="11"/>
        <v/>
      </c>
      <c r="L55" s="9" t="str">
        <f t="shared" si="12"/>
        <v/>
      </c>
      <c r="M55" s="9"/>
      <c r="O55" s="9"/>
    </row>
    <row r="56" ht="15.75" customHeight="1">
      <c r="A56" s="9" t="str">
        <f>IFERROR(__xludf.DUMMYFUNCTION("IF(B56="""","""",RIGHT(REGEXREPLACE(B56&amp;"""",""[^0-9]"",""""),9))"),"774750880")</f>
        <v>774750880</v>
      </c>
      <c r="B56" s="47">
        <v>7.7475088E8</v>
      </c>
      <c r="C56" s="10" t="s">
        <v>147</v>
      </c>
      <c r="D56" s="10" t="s">
        <v>69</v>
      </c>
      <c r="E56" s="13">
        <v>46226.0</v>
      </c>
      <c r="F56" s="10" t="s">
        <v>35</v>
      </c>
      <c r="G56" s="10">
        <v>11.0</v>
      </c>
      <c r="H56" s="10" t="s">
        <v>148</v>
      </c>
      <c r="I56" s="10" t="s">
        <v>22</v>
      </c>
      <c r="J56" s="9" t="str">
        <f t="shared" si="10"/>
        <v>No</v>
      </c>
      <c r="K56" s="9" t="str">
        <f t="shared" si="11"/>
        <v/>
      </c>
      <c r="L56" s="9" t="str">
        <f t="shared" si="12"/>
        <v/>
      </c>
      <c r="M56" s="9"/>
      <c r="O56" s="9"/>
    </row>
    <row r="57" ht="15.75" customHeight="1">
      <c r="A57" s="9" t="str">
        <f>IFERROR(__xludf.DUMMYFUNCTION("IF(B57="""","""",RIGHT(REGEXREPLACE(B57&amp;"""",""[^0-9]"",""""),9))"),"719245094")</f>
        <v>719245094</v>
      </c>
      <c r="B57" s="47">
        <v>7.19245094E8</v>
      </c>
      <c r="C57" s="10" t="s">
        <v>149</v>
      </c>
      <c r="D57" s="10" t="s">
        <v>50</v>
      </c>
      <c r="E57" s="13">
        <v>46226.0</v>
      </c>
      <c r="F57" s="10" t="s">
        <v>21</v>
      </c>
      <c r="G57" s="10">
        <v>11.0</v>
      </c>
      <c r="I57" s="10" t="s">
        <v>22</v>
      </c>
      <c r="J57" s="9" t="str">
        <f t="shared" si="10"/>
        <v>No</v>
      </c>
      <c r="K57" s="9" t="str">
        <f t="shared" si="11"/>
        <v/>
      </c>
      <c r="L57" s="9" t="str">
        <f t="shared" si="12"/>
        <v/>
      </c>
      <c r="M57" s="9"/>
      <c r="O57" s="9"/>
    </row>
    <row r="58" ht="15.75" customHeight="1">
      <c r="A58" s="9" t="str">
        <f>IFERROR(__xludf.DUMMYFUNCTION("IF(B58="""","""",RIGHT(REGEXREPLACE(B58&amp;"""",""[^0-9]"",""""),9))"),"719381931")</f>
        <v>719381931</v>
      </c>
      <c r="B58" s="47">
        <v>7.19381931E8</v>
      </c>
      <c r="C58" s="10" t="s">
        <v>150</v>
      </c>
      <c r="D58" s="10" t="s">
        <v>69</v>
      </c>
      <c r="E58" s="13">
        <v>46226.0</v>
      </c>
      <c r="F58" s="10" t="s">
        <v>35</v>
      </c>
      <c r="G58" s="10">
        <v>11.0</v>
      </c>
      <c r="I58" s="10" t="s">
        <v>22</v>
      </c>
      <c r="J58" s="9" t="str">
        <f t="shared" si="10"/>
        <v>No</v>
      </c>
      <c r="K58" s="9" t="str">
        <f t="shared" si="11"/>
        <v/>
      </c>
      <c r="L58" s="9" t="str">
        <f t="shared" si="12"/>
        <v/>
      </c>
      <c r="M58" s="9"/>
      <c r="O58" s="9"/>
    </row>
    <row r="59" ht="15.75" customHeight="1">
      <c r="A59" s="9" t="str">
        <f>IFERROR(__xludf.DUMMYFUNCTION("IF(B59="""","""",RIGHT(REGEXREPLACE(B59&amp;"""",""[^0-9]"",""""),9))"),"763596088")</f>
        <v>763596088</v>
      </c>
      <c r="B59" s="47">
        <v>7.63596088E8</v>
      </c>
      <c r="C59" s="10" t="s">
        <v>151</v>
      </c>
      <c r="D59" s="10" t="s">
        <v>50</v>
      </c>
      <c r="E59" s="13">
        <v>46226.0</v>
      </c>
      <c r="F59" s="10" t="s">
        <v>35</v>
      </c>
      <c r="G59" s="10">
        <v>11.0</v>
      </c>
      <c r="I59" s="10" t="s">
        <v>22</v>
      </c>
      <c r="J59" s="9" t="str">
        <f t="shared" si="10"/>
        <v>No</v>
      </c>
      <c r="K59" s="9" t="str">
        <f t="shared" si="11"/>
        <v/>
      </c>
      <c r="L59" s="9" t="str">
        <f t="shared" si="12"/>
        <v/>
      </c>
      <c r="M59" s="9"/>
      <c r="O59" s="9"/>
    </row>
    <row r="60" ht="15.75" customHeight="1">
      <c r="A60" s="9" t="str">
        <f>IFERROR(__xludf.DUMMYFUNCTION("IF(B60="""","""",RIGHT(REGEXREPLACE(B60&amp;"""",""[^0-9]"",""""),9))"),"716427267")</f>
        <v>716427267</v>
      </c>
      <c r="B60" s="48">
        <v>7.16427267E8</v>
      </c>
      <c r="C60" s="10" t="s">
        <v>152</v>
      </c>
      <c r="D60" s="10" t="s">
        <v>34</v>
      </c>
      <c r="E60" s="13">
        <v>46226.0</v>
      </c>
      <c r="F60" s="10" t="s">
        <v>113</v>
      </c>
      <c r="I60" s="10" t="s">
        <v>22</v>
      </c>
      <c r="J60" s="9" t="str">
        <f t="shared" si="10"/>
        <v>No</v>
      </c>
      <c r="K60" s="9" t="str">
        <f t="shared" si="11"/>
        <v/>
      </c>
      <c r="L60" s="9" t="str">
        <f t="shared" si="12"/>
        <v/>
      </c>
      <c r="M60" s="9"/>
      <c r="O60" s="9"/>
    </row>
    <row r="61" ht="15.75" customHeight="1">
      <c r="A61" s="9" t="str">
        <f>IFERROR(__xludf.DUMMYFUNCTION("IF(B61="""","""",RIGHT(REGEXREPLACE(B61&amp;"""",""[^0-9]"",""""),9))"),"754205669")</f>
        <v>754205669</v>
      </c>
      <c r="B61" s="47">
        <v>4.754205669E9</v>
      </c>
      <c r="C61" s="10" t="s">
        <v>153</v>
      </c>
      <c r="D61" s="10" t="s">
        <v>120</v>
      </c>
      <c r="E61" s="13">
        <v>46226.0</v>
      </c>
      <c r="F61" s="10" t="s">
        <v>35</v>
      </c>
      <c r="G61" s="10">
        <v>11.0</v>
      </c>
      <c r="I61" s="10" t="s">
        <v>22</v>
      </c>
      <c r="J61" s="9" t="str">
        <f t="shared" si="10"/>
        <v>No</v>
      </c>
      <c r="K61" s="9" t="str">
        <f t="shared" si="11"/>
        <v/>
      </c>
      <c r="L61" s="9" t="str">
        <f t="shared" si="12"/>
        <v/>
      </c>
      <c r="M61" s="9"/>
      <c r="O61" s="9"/>
    </row>
    <row r="62" ht="15.75" customHeight="1">
      <c r="A62" s="9" t="str">
        <f>IFERROR(__xludf.DUMMYFUNCTION("IF(B62="""","""",RIGHT(REGEXREPLACE(B62&amp;"""",""[^0-9]"",""""),9))"),"765786831")</f>
        <v>765786831</v>
      </c>
      <c r="B62" s="63">
        <v>7.65786831E8</v>
      </c>
      <c r="C62" s="10" t="s">
        <v>154</v>
      </c>
      <c r="D62" s="10" t="s">
        <v>50</v>
      </c>
      <c r="E62" s="13">
        <v>46226.0</v>
      </c>
      <c r="F62" s="10" t="s">
        <v>21</v>
      </c>
      <c r="I62" s="10" t="s">
        <v>22</v>
      </c>
      <c r="J62" s="9" t="str">
        <f t="shared" si="10"/>
        <v>No</v>
      </c>
      <c r="K62" s="9" t="str">
        <f t="shared" si="11"/>
        <v/>
      </c>
      <c r="L62" s="9" t="str">
        <f t="shared" si="12"/>
        <v/>
      </c>
      <c r="M62" s="9"/>
      <c r="O62" s="9"/>
    </row>
    <row r="63" ht="15.75" customHeight="1">
      <c r="A63" s="9" t="str">
        <f>IFERROR(__xludf.DUMMYFUNCTION("IF(B63="""","""",RIGHT(REGEXREPLACE(B63&amp;"""",""[^0-9]"",""""),9))"),"715626139")</f>
        <v>715626139</v>
      </c>
      <c r="B63" s="63">
        <v>7.15626139E8</v>
      </c>
      <c r="C63" s="10" t="s">
        <v>155</v>
      </c>
      <c r="D63" s="10" t="s">
        <v>69</v>
      </c>
      <c r="E63" s="13">
        <v>46226.0</v>
      </c>
      <c r="F63" s="10" t="s">
        <v>35</v>
      </c>
      <c r="G63" s="10">
        <v>11.0</v>
      </c>
      <c r="I63" s="10" t="s">
        <v>22</v>
      </c>
      <c r="J63" s="9" t="str">
        <f t="shared" si="10"/>
        <v>No</v>
      </c>
      <c r="K63" s="9" t="str">
        <f t="shared" si="11"/>
        <v/>
      </c>
      <c r="L63" s="9" t="str">
        <f t="shared" si="12"/>
        <v/>
      </c>
      <c r="M63" s="9"/>
      <c r="O63" s="9"/>
    </row>
    <row r="64" ht="15.75" customHeight="1">
      <c r="A64" s="9" t="str">
        <f>IFERROR(__xludf.DUMMYFUNCTION("IF(B64="""","""",RIGHT(REGEXREPLACE(B64&amp;"""",""[^0-9]"",""""),9))"),"727370793")</f>
        <v>727370793</v>
      </c>
      <c r="B64" s="49">
        <v>7.27370793E8</v>
      </c>
      <c r="C64" s="10" t="s">
        <v>156</v>
      </c>
      <c r="D64" s="10" t="s">
        <v>120</v>
      </c>
      <c r="E64" s="13">
        <v>46226.0</v>
      </c>
      <c r="F64" s="10" t="s">
        <v>21</v>
      </c>
      <c r="I64" s="10" t="s">
        <v>22</v>
      </c>
      <c r="J64" s="9" t="str">
        <f t="shared" si="10"/>
        <v>No</v>
      </c>
      <c r="K64" s="9" t="str">
        <f t="shared" si="11"/>
        <v/>
      </c>
      <c r="L64" s="9" t="str">
        <f t="shared" si="12"/>
        <v/>
      </c>
      <c r="M64" s="9"/>
      <c r="O64" s="9"/>
    </row>
    <row r="65" ht="15.75" customHeight="1">
      <c r="A65" s="9" t="str">
        <f>IFERROR(__xludf.DUMMYFUNCTION("IF(B65="""","""",RIGHT(REGEXREPLACE(B65&amp;"""",""[^0-9]"",""""),9))"),"")</f>
        <v/>
      </c>
      <c r="B65" s="66"/>
      <c r="C65" s="10" t="s">
        <v>157</v>
      </c>
      <c r="D65" s="10" t="s">
        <v>50</v>
      </c>
      <c r="E65" s="13">
        <v>46226.0</v>
      </c>
      <c r="F65" s="10" t="s">
        <v>21</v>
      </c>
      <c r="I65" s="10" t="s">
        <v>22</v>
      </c>
      <c r="J65" s="9" t="str">
        <f t="shared" si="10"/>
        <v>Yes - see Previous F-Code</v>
      </c>
      <c r="K65" s="9" t="str">
        <f t="shared" si="11"/>
        <v/>
      </c>
      <c r="L65" s="9" t="str">
        <f t="shared" si="12"/>
        <v/>
      </c>
      <c r="M65" s="9"/>
      <c r="O65" s="9"/>
    </row>
    <row r="66" ht="15.75" customHeight="1">
      <c r="A66" s="9" t="str">
        <f>IFERROR(__xludf.DUMMYFUNCTION("IF(B66="""","""",RIGHT(REGEXREPLACE(B66&amp;"""",""[^0-9]"",""""),9))"),"705506939")</f>
        <v>705506939</v>
      </c>
      <c r="B66" s="48">
        <v>7.05506939E8</v>
      </c>
      <c r="C66" s="10" t="s">
        <v>158</v>
      </c>
      <c r="D66" s="10" t="s">
        <v>34</v>
      </c>
      <c r="E66" s="13">
        <v>46226.0</v>
      </c>
      <c r="F66" s="9"/>
      <c r="G66" s="9"/>
      <c r="H66" s="9"/>
      <c r="I66" s="10" t="s">
        <v>22</v>
      </c>
      <c r="J66" s="9" t="str">
        <f t="shared" si="10"/>
        <v>No</v>
      </c>
      <c r="K66" s="9" t="str">
        <f t="shared" si="11"/>
        <v/>
      </c>
      <c r="L66" s="9" t="str">
        <f t="shared" si="12"/>
        <v/>
      </c>
      <c r="M66" s="9"/>
      <c r="N66" s="9"/>
      <c r="O66" s="9"/>
      <c r="P66" s="9"/>
    </row>
    <row r="67" ht="15.75" customHeight="1">
      <c r="D67" s="9"/>
      <c r="F67" s="9"/>
      <c r="I67" s="10" t="s">
        <v>22</v>
      </c>
      <c r="M67" s="9"/>
      <c r="O67" s="9"/>
    </row>
    <row r="68" ht="15.75" customHeight="1">
      <c r="A68" s="9" t="str">
        <f>IFERROR(__xludf.DUMMYFUNCTION("IF(B68="""","""",RIGHT(REGEXREPLACE(B68&amp;"""",""[^0-9]"",""""),9))"),"762992915")</f>
        <v>762992915</v>
      </c>
      <c r="B68" s="47">
        <v>7.62992915E8</v>
      </c>
      <c r="C68" s="10" t="s">
        <v>159</v>
      </c>
      <c r="D68" s="10" t="s">
        <v>50</v>
      </c>
      <c r="E68" s="13">
        <v>46226.0</v>
      </c>
      <c r="F68" s="10" t="s">
        <v>21</v>
      </c>
      <c r="I68" s="10" t="s">
        <v>22</v>
      </c>
      <c r="J68" s="9" t="str">
        <f t="shared" ref="J68:J81" si="13">IF(COUNTIF($A$2:A67,A68)&gt;0,"Yes - see Previous F-Code","No")</f>
        <v>No</v>
      </c>
      <c r="K68" s="9" t="str">
        <f t="shared" ref="K68:K81" si="14">IF(COUNTIFS($A$2:A68,A68,$I$2:I68,I68)&gt;1,"DUPLICATE - CHECK","")</f>
        <v/>
      </c>
      <c r="L68" s="9" t="str">
        <f t="shared" ref="L68:L81" si="15">IF(COUNTIF($A$2:A67,A68)&gt;0,INDEX($C$2:C67,MATCH(A68,$A$2:A67,0)),"")</f>
        <v/>
      </c>
      <c r="M68" s="9"/>
      <c r="O68" s="9"/>
    </row>
    <row r="69" ht="15.75" customHeight="1">
      <c r="A69" s="9" t="str">
        <f>IFERROR(__xludf.DUMMYFUNCTION("IF(B69="""","""",RIGHT(REGEXREPLACE(B69&amp;"""",""[^0-9]"",""""),9))"),"767370474")</f>
        <v>767370474</v>
      </c>
      <c r="B69" s="47">
        <v>7.67370474E8</v>
      </c>
      <c r="C69" s="10" t="s">
        <v>160</v>
      </c>
      <c r="D69" s="10" t="s">
        <v>69</v>
      </c>
      <c r="E69" s="13">
        <v>46226.0</v>
      </c>
      <c r="F69" s="10" t="s">
        <v>35</v>
      </c>
      <c r="G69" s="10">
        <v>10.0</v>
      </c>
      <c r="I69" s="10" t="s">
        <v>22</v>
      </c>
      <c r="J69" s="9" t="str">
        <f t="shared" si="13"/>
        <v>No</v>
      </c>
      <c r="K69" s="9" t="str">
        <f t="shared" si="14"/>
        <v/>
      </c>
      <c r="L69" s="9" t="str">
        <f t="shared" si="15"/>
        <v/>
      </c>
      <c r="M69" s="9"/>
      <c r="O69" s="9"/>
    </row>
    <row r="70" ht="15.75" customHeight="1">
      <c r="A70" s="9" t="str">
        <f>IFERROR(__xludf.DUMMYFUNCTION("IF(B70="""","""",RIGHT(REGEXREPLACE(B70&amp;"""",""[^0-9]"",""""),9))"),"774132822")</f>
        <v>774132822</v>
      </c>
      <c r="B70" s="47">
        <v>7.74132822E8</v>
      </c>
      <c r="C70" s="10" t="s">
        <v>161</v>
      </c>
      <c r="D70" s="10" t="s">
        <v>50</v>
      </c>
      <c r="E70" s="13">
        <v>46226.0</v>
      </c>
      <c r="F70" s="10" t="s">
        <v>35</v>
      </c>
      <c r="G70" s="10" t="s">
        <v>162</v>
      </c>
      <c r="I70" s="10" t="s">
        <v>22</v>
      </c>
      <c r="J70" s="9" t="str">
        <f t="shared" si="13"/>
        <v>No</v>
      </c>
      <c r="K70" s="9" t="str">
        <f t="shared" si="14"/>
        <v/>
      </c>
      <c r="L70" s="9" t="str">
        <f t="shared" si="15"/>
        <v/>
      </c>
      <c r="M70" s="9"/>
      <c r="O70" s="9"/>
    </row>
    <row r="71" ht="15.75" customHeight="1">
      <c r="A71" s="9" t="str">
        <f>IFERROR(__xludf.DUMMYFUNCTION("IF(B71="""","""",RIGHT(REGEXREPLACE(B71&amp;"""",""[^0-9]"",""""),9))"),"718088305")</f>
        <v>718088305</v>
      </c>
      <c r="B71" s="49">
        <v>7.18088305E8</v>
      </c>
      <c r="C71" s="10" t="s">
        <v>163</v>
      </c>
      <c r="D71" s="10" t="s">
        <v>120</v>
      </c>
      <c r="E71" s="13">
        <v>46226.0</v>
      </c>
      <c r="F71" s="10" t="s">
        <v>35</v>
      </c>
      <c r="G71" s="10">
        <v>11.0</v>
      </c>
      <c r="I71" s="10" t="s">
        <v>22</v>
      </c>
      <c r="J71" s="9" t="str">
        <f t="shared" si="13"/>
        <v>No</v>
      </c>
      <c r="K71" s="9" t="str">
        <f t="shared" si="14"/>
        <v/>
      </c>
      <c r="L71" s="9" t="str">
        <f t="shared" si="15"/>
        <v/>
      </c>
      <c r="M71" s="9"/>
      <c r="O71" s="9"/>
    </row>
    <row r="72" ht="15.75" customHeight="1">
      <c r="A72" s="9" t="str">
        <f>IFERROR(__xludf.DUMMYFUNCTION("IF(B72="""","""",RIGHT(REGEXREPLACE(B72&amp;"""",""[^0-9]"",""""),9))"),"771106271")</f>
        <v>771106271</v>
      </c>
      <c r="B72" s="49">
        <v>7.71106271E8</v>
      </c>
      <c r="C72" s="10" t="s">
        <v>164</v>
      </c>
      <c r="D72" s="9"/>
      <c r="E72" s="13">
        <v>46226.0</v>
      </c>
      <c r="F72" s="9"/>
      <c r="G72" s="9"/>
      <c r="H72" s="9"/>
      <c r="I72" s="10" t="s">
        <v>22</v>
      </c>
      <c r="J72" s="9" t="str">
        <f t="shared" si="13"/>
        <v>No</v>
      </c>
      <c r="K72" s="9" t="str">
        <f t="shared" si="14"/>
        <v/>
      </c>
      <c r="L72" s="9" t="str">
        <f t="shared" si="15"/>
        <v/>
      </c>
      <c r="M72" s="9"/>
      <c r="N72" s="9"/>
      <c r="O72" s="9"/>
      <c r="P72" s="9"/>
    </row>
    <row r="73" ht="15.75" customHeight="1">
      <c r="A73" s="9" t="str">
        <f>IFERROR(__xludf.DUMMYFUNCTION("IF(B73="""","""",RIGHT(REGEXREPLACE(B73&amp;"""",""[^0-9]"",""""),9))"),"")</f>
        <v/>
      </c>
      <c r="B73" s="67"/>
      <c r="C73" s="10" t="s">
        <v>165</v>
      </c>
      <c r="D73" s="10" t="s">
        <v>69</v>
      </c>
      <c r="E73" s="13">
        <v>46226.0</v>
      </c>
      <c r="F73" s="10" t="s">
        <v>35</v>
      </c>
      <c r="G73" s="10">
        <v>9.0</v>
      </c>
      <c r="I73" s="10" t="s">
        <v>22</v>
      </c>
      <c r="J73" s="9" t="str">
        <f t="shared" si="13"/>
        <v>Yes - see Previous F-Code</v>
      </c>
      <c r="K73" s="9" t="str">
        <f t="shared" si="14"/>
        <v>DUPLICATE - CHECK</v>
      </c>
      <c r="L73" s="9" t="str">
        <f t="shared" si="15"/>
        <v/>
      </c>
      <c r="M73" s="9"/>
      <c r="O73" s="9"/>
    </row>
    <row r="74" ht="15.75" customHeight="1">
      <c r="A74" s="9" t="str">
        <f>IFERROR(__xludf.DUMMYFUNCTION("IF(B74="""","""",RIGHT(REGEXREPLACE(B74&amp;"""",""[^0-9]"",""""),9))"),"783813395")</f>
        <v>783813395</v>
      </c>
      <c r="B74" s="47">
        <v>7.83813395E8</v>
      </c>
      <c r="C74" s="10" t="s">
        <v>166</v>
      </c>
      <c r="D74" s="10" t="s">
        <v>120</v>
      </c>
      <c r="E74" s="13">
        <v>46226.0</v>
      </c>
      <c r="F74" s="10" t="s">
        <v>35</v>
      </c>
      <c r="I74" s="10" t="s">
        <v>22</v>
      </c>
      <c r="J74" s="9" t="str">
        <f t="shared" si="13"/>
        <v>No</v>
      </c>
      <c r="K74" s="9" t="str">
        <f t="shared" si="14"/>
        <v/>
      </c>
      <c r="L74" s="9" t="str">
        <f t="shared" si="15"/>
        <v/>
      </c>
      <c r="M74" s="9"/>
      <c r="O74" s="9"/>
    </row>
    <row r="75" ht="15.75" customHeight="1">
      <c r="A75" s="9" t="str">
        <f>IFERROR(__xludf.DUMMYFUNCTION("IF(B75="""","""",RIGHT(REGEXREPLACE(B75&amp;"""",""[^0-9]"",""""),9))"),"717301396")</f>
        <v>717301396</v>
      </c>
      <c r="B75" s="47">
        <v>7.17301396E8</v>
      </c>
      <c r="C75" s="10" t="s">
        <v>167</v>
      </c>
      <c r="D75" s="10" t="s">
        <v>50</v>
      </c>
      <c r="E75" s="13">
        <v>46226.0</v>
      </c>
      <c r="F75" s="10" t="s">
        <v>21</v>
      </c>
      <c r="G75" s="10">
        <v>11.0</v>
      </c>
      <c r="I75" s="10" t="s">
        <v>22</v>
      </c>
      <c r="J75" s="9" t="str">
        <f t="shared" si="13"/>
        <v>No</v>
      </c>
      <c r="K75" s="9" t="str">
        <f t="shared" si="14"/>
        <v/>
      </c>
      <c r="L75" s="9" t="str">
        <f t="shared" si="15"/>
        <v/>
      </c>
      <c r="M75" s="9"/>
      <c r="O75" s="9"/>
    </row>
    <row r="76" ht="15.75" customHeight="1">
      <c r="A76" s="9" t="str">
        <f>IFERROR(__xludf.DUMMYFUNCTION("IF(B76="""","""",RIGHT(REGEXREPLACE(B76&amp;"""",""[^0-9]"",""""),9))"),"771679093")</f>
        <v>771679093</v>
      </c>
      <c r="B76" s="48">
        <v>7.71679093E8</v>
      </c>
      <c r="C76" s="10" t="s">
        <v>168</v>
      </c>
      <c r="D76" s="10" t="s">
        <v>34</v>
      </c>
      <c r="E76" s="13">
        <v>46226.0</v>
      </c>
      <c r="F76" s="10" t="s">
        <v>21</v>
      </c>
      <c r="I76" s="10" t="s">
        <v>22</v>
      </c>
      <c r="J76" s="9" t="str">
        <f t="shared" si="13"/>
        <v>No</v>
      </c>
      <c r="K76" s="9" t="str">
        <f t="shared" si="14"/>
        <v/>
      </c>
      <c r="L76" s="9" t="str">
        <f t="shared" si="15"/>
        <v/>
      </c>
      <c r="M76" s="9"/>
      <c r="O76" s="9"/>
    </row>
    <row r="77" ht="15.75" customHeight="1">
      <c r="A77" s="9" t="str">
        <f>IFERROR(__xludf.DUMMYFUNCTION("IF(B77="""","""",RIGHT(REGEXREPLACE(B77&amp;"""",""[^0-9]"",""""),9))"),"704945435")</f>
        <v>704945435</v>
      </c>
      <c r="B77" s="48">
        <v>7.04945435E8</v>
      </c>
      <c r="C77" s="10" t="s">
        <v>169</v>
      </c>
      <c r="D77" s="10" t="s">
        <v>34</v>
      </c>
      <c r="E77" s="13">
        <v>46226.0</v>
      </c>
      <c r="F77" s="10" t="s">
        <v>35</v>
      </c>
      <c r="G77" s="10">
        <v>10.0</v>
      </c>
      <c r="I77" s="10" t="s">
        <v>22</v>
      </c>
      <c r="J77" s="9" t="str">
        <f t="shared" si="13"/>
        <v>No</v>
      </c>
      <c r="K77" s="9" t="str">
        <f t="shared" si="14"/>
        <v/>
      </c>
      <c r="L77" s="9" t="str">
        <f t="shared" si="15"/>
        <v/>
      </c>
      <c r="M77" s="9"/>
      <c r="O77" s="9"/>
    </row>
    <row r="78" ht="15.75" customHeight="1">
      <c r="A78" s="9" t="str">
        <f>IFERROR(__xludf.DUMMYFUNCTION("IF(B78="""","""",RIGHT(REGEXREPLACE(B78&amp;"""",""[^0-9]"",""""),9))"),"760366274")</f>
        <v>760366274</v>
      </c>
      <c r="B78" s="47">
        <v>7.60366274E8</v>
      </c>
      <c r="C78" s="10" t="s">
        <v>170</v>
      </c>
      <c r="D78" s="10" t="s">
        <v>69</v>
      </c>
      <c r="E78" s="13">
        <v>46226.0</v>
      </c>
      <c r="F78" s="10" t="s">
        <v>171</v>
      </c>
      <c r="I78" s="10" t="s">
        <v>22</v>
      </c>
      <c r="J78" s="9" t="str">
        <f t="shared" si="13"/>
        <v>No</v>
      </c>
      <c r="K78" s="9" t="str">
        <f t="shared" si="14"/>
        <v/>
      </c>
      <c r="L78" s="9" t="str">
        <f t="shared" si="15"/>
        <v/>
      </c>
      <c r="M78" s="9"/>
      <c r="O78" s="9"/>
    </row>
    <row r="79" ht="15.75" customHeight="1">
      <c r="A79" s="9" t="str">
        <f>IFERROR(__xludf.DUMMYFUNCTION("IF(B79="""","""",RIGHT(REGEXREPLACE(B79&amp;"""",""[^0-9]"",""""),9))"),"717302940")</f>
        <v>717302940</v>
      </c>
      <c r="B79" s="47">
        <v>7.1730294E8</v>
      </c>
      <c r="C79" s="10" t="s">
        <v>172</v>
      </c>
      <c r="D79" s="10" t="s">
        <v>120</v>
      </c>
      <c r="E79" s="13">
        <v>46226.0</v>
      </c>
      <c r="F79" s="10" t="s">
        <v>173</v>
      </c>
      <c r="G79" s="10">
        <v>11.0</v>
      </c>
      <c r="I79" s="10" t="s">
        <v>22</v>
      </c>
      <c r="J79" s="9" t="str">
        <f t="shared" si="13"/>
        <v>No</v>
      </c>
      <c r="K79" s="9" t="str">
        <f t="shared" si="14"/>
        <v/>
      </c>
      <c r="L79" s="9" t="str">
        <f t="shared" si="15"/>
        <v/>
      </c>
      <c r="M79" s="9"/>
      <c r="O79" s="9"/>
    </row>
    <row r="80" ht="15.75" customHeight="1">
      <c r="A80" s="9" t="str">
        <f>IFERROR(__xludf.DUMMYFUNCTION("IF(B80="""","""",RIGHT(REGEXREPLACE(B80&amp;"""",""[^0-9]"",""""),9))"),"765444245")</f>
        <v>765444245</v>
      </c>
      <c r="B80" s="47">
        <v>7.65444245E8</v>
      </c>
      <c r="C80" s="10" t="s">
        <v>174</v>
      </c>
      <c r="D80" s="10" t="s">
        <v>50</v>
      </c>
      <c r="E80" s="13">
        <v>46226.0</v>
      </c>
      <c r="F80" s="9"/>
      <c r="G80" s="10">
        <v>11.0</v>
      </c>
      <c r="H80" s="9"/>
      <c r="I80" s="10" t="s">
        <v>22</v>
      </c>
      <c r="J80" s="9" t="str">
        <f t="shared" si="13"/>
        <v>No</v>
      </c>
      <c r="K80" s="9" t="str">
        <f t="shared" si="14"/>
        <v/>
      </c>
      <c r="L80" s="9" t="str">
        <f t="shared" si="15"/>
        <v/>
      </c>
      <c r="M80" s="9"/>
      <c r="N80" s="9"/>
      <c r="O80" s="9"/>
      <c r="P80" s="9"/>
    </row>
    <row r="81" ht="15.75" customHeight="1">
      <c r="A81" s="9" t="str">
        <f>IFERROR(__xludf.DUMMYFUNCTION("IF(B81="""","""",RIGHT(REGEXREPLACE(B81&amp;"""",""[^0-9]"",""""),9))"),"771106271")</f>
        <v>771106271</v>
      </c>
      <c r="B81" s="49">
        <v>7.71106271E8</v>
      </c>
      <c r="C81" s="10" t="s">
        <v>164</v>
      </c>
      <c r="D81" s="9"/>
      <c r="E81" s="13">
        <v>46226.0</v>
      </c>
      <c r="F81" s="9"/>
      <c r="G81" s="9"/>
      <c r="H81" s="9"/>
      <c r="I81" s="10" t="s">
        <v>22</v>
      </c>
      <c r="J81" s="9" t="str">
        <f t="shared" si="13"/>
        <v>Yes - see Previous F-Code</v>
      </c>
      <c r="K81" s="9" t="str">
        <f t="shared" si="14"/>
        <v>DUPLICATE - CHECK</v>
      </c>
      <c r="L81" s="9" t="str">
        <f t="shared" si="15"/>
        <v>F70071</v>
      </c>
      <c r="M81" s="9"/>
      <c r="N81" s="9"/>
      <c r="O81" s="9"/>
      <c r="P81" s="9"/>
    </row>
    <row r="82" ht="15.75" customHeight="1">
      <c r="B82" s="68"/>
      <c r="D82" s="9"/>
      <c r="F82" s="9"/>
      <c r="I82" s="10" t="s">
        <v>22</v>
      </c>
      <c r="M82" s="9"/>
      <c r="O82" s="9"/>
    </row>
    <row r="83" ht="15.75" customHeight="1">
      <c r="B83" s="68"/>
      <c r="D83" s="9"/>
      <c r="F83" s="9"/>
      <c r="I83" s="10" t="s">
        <v>22</v>
      </c>
      <c r="M83" s="9"/>
      <c r="O83" s="9"/>
    </row>
    <row r="84" ht="15.75" customHeight="1">
      <c r="A84" s="9" t="str">
        <f>IFERROR(__xludf.DUMMYFUNCTION("IF(B84="""","""",RIGHT(REGEXREPLACE(B84&amp;"""",""[^0-9]"",""""),9))"),"778426619")</f>
        <v>778426619</v>
      </c>
      <c r="B84" s="47">
        <v>7.78426619E8</v>
      </c>
      <c r="C84" s="10" t="s">
        <v>175</v>
      </c>
      <c r="D84" s="10" t="s">
        <v>50</v>
      </c>
      <c r="E84" s="13">
        <v>46226.0</v>
      </c>
      <c r="F84" s="10" t="s">
        <v>35</v>
      </c>
      <c r="G84" s="10">
        <v>11.0</v>
      </c>
      <c r="I84" s="10" t="s">
        <v>22</v>
      </c>
      <c r="J84" s="9" t="str">
        <f t="shared" ref="J84:J85" si="16">IF(COUNTIF($A$2:A83,A84)&gt;0,"Yes - see Previous F-Code","No")</f>
        <v>No</v>
      </c>
      <c r="K84" s="9" t="str">
        <f t="shared" ref="K84:K85" si="17">IF(COUNTIFS($A$2:A84,A84,$I$2:I84,I84)&gt;1,"DUPLICATE - CHECK","")</f>
        <v/>
      </c>
      <c r="L84" s="9" t="str">
        <f t="shared" ref="L84:L85" si="18">IF(COUNTIF($A$2:A83,A84)&gt;0,INDEX($C$2:C83,MATCH(A84,$A$2:A83,0)),"")</f>
        <v/>
      </c>
      <c r="M84" s="9"/>
      <c r="O84" s="9"/>
    </row>
    <row r="85" ht="15.75" customHeight="1">
      <c r="A85" s="9" t="str">
        <f>IFERROR(__xludf.DUMMYFUNCTION("IF(B85="""","""",RIGHT(REGEXREPLACE(B85&amp;"""",""[^0-9]"",""""),9))"),"711342417")</f>
        <v>711342417</v>
      </c>
      <c r="B85" s="47">
        <v>7.11342417E8</v>
      </c>
      <c r="C85" s="10" t="s">
        <v>176</v>
      </c>
      <c r="D85" s="10" t="s">
        <v>50</v>
      </c>
      <c r="E85" s="13">
        <v>46226.0</v>
      </c>
      <c r="F85" s="10" t="s">
        <v>35</v>
      </c>
      <c r="G85" s="10">
        <v>10.0</v>
      </c>
      <c r="I85" s="10" t="s">
        <v>22</v>
      </c>
      <c r="J85" s="9" t="str">
        <f t="shared" si="16"/>
        <v>No</v>
      </c>
      <c r="K85" s="9" t="str">
        <f t="shared" si="17"/>
        <v/>
      </c>
      <c r="L85" s="9" t="str">
        <f t="shared" si="18"/>
        <v/>
      </c>
      <c r="M85" s="9"/>
      <c r="O85" s="9"/>
    </row>
    <row r="86" ht="15.75" customHeight="1">
      <c r="D86" s="9"/>
      <c r="F86" s="9"/>
      <c r="I86" s="10" t="s">
        <v>22</v>
      </c>
      <c r="M86" s="9"/>
      <c r="O86" s="9"/>
    </row>
    <row r="87" ht="15.75" customHeight="1">
      <c r="D87" s="9"/>
      <c r="F87" s="9"/>
      <c r="I87" s="10" t="s">
        <v>22</v>
      </c>
      <c r="M87" s="9"/>
      <c r="O87" s="9"/>
    </row>
    <row r="88" ht="15.75" customHeight="1">
      <c r="D88" s="9"/>
      <c r="F88" s="9"/>
      <c r="I88" s="10" t="s">
        <v>22</v>
      </c>
      <c r="M88" s="9"/>
      <c r="O88" s="9"/>
    </row>
    <row r="89" ht="15.75" customHeight="1">
      <c r="A89" s="9" t="str">
        <f>IFERROR(__xludf.DUMMYFUNCTION("IF(B89="""","""",RIGHT(REGEXREPLACE(B89&amp;"""",""[^0-9]"",""""),9))"),"771106271")</f>
        <v>771106271</v>
      </c>
      <c r="B89" s="49">
        <v>7.71106271E8</v>
      </c>
      <c r="C89" s="10" t="s">
        <v>164</v>
      </c>
      <c r="D89" s="10" t="s">
        <v>69</v>
      </c>
      <c r="E89" s="13">
        <v>46226.0</v>
      </c>
      <c r="F89" s="9"/>
      <c r="G89" s="9"/>
      <c r="H89" s="9"/>
      <c r="I89" s="10" t="s">
        <v>22</v>
      </c>
      <c r="J89" s="9" t="str">
        <f>IF(COUNTIF($A$2:A88,A89)&gt;0,"Yes - see Previous F-Code","No")</f>
        <v>Yes - see Previous F-Code</v>
      </c>
      <c r="K89" s="9" t="str">
        <f>IF(COUNTIFS($A$2:A89,A89,$I$2:I89,I89)&gt;1,"DUPLICATE - CHECK","")</f>
        <v>DUPLICATE - CHECK</v>
      </c>
      <c r="L89" s="9" t="str">
        <f t="array" ref="L89">IF(COUNTIF($A$2:A88,A89)&gt;0,INDEX($C$2:C88,MATCH(A89,$A$2:A88,0)),"")</f>
        <v>F70071</v>
      </c>
      <c r="M89" s="9"/>
      <c r="N89" s="9"/>
      <c r="O89" s="9"/>
      <c r="P89" s="9"/>
    </row>
    <row r="90" ht="15.75" customHeight="1">
      <c r="B90" s="68"/>
      <c r="D90" s="9"/>
      <c r="F90" s="9"/>
      <c r="I90" s="10" t="s">
        <v>22</v>
      </c>
      <c r="M90" s="9"/>
      <c r="O90" s="9"/>
    </row>
    <row r="91" ht="15.75" customHeight="1">
      <c r="B91" s="68"/>
      <c r="D91" s="9"/>
      <c r="F91" s="9"/>
      <c r="I91" s="10" t="s">
        <v>22</v>
      </c>
      <c r="M91" s="9"/>
      <c r="O91" s="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70" t="s">
        <v>22</v>
      </c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9" t="str">
        <f>IFERROR(__xludf.DUMMYFUNCTION("IF(B93="""","""",RIGHT(REGEXREPLACE(B93&amp;"""",""[^0-9]"",""""),9))"),"")</f>
        <v/>
      </c>
      <c r="D93" s="9"/>
      <c r="E93" s="13"/>
      <c r="F93" s="9"/>
      <c r="I93" s="10" t="s">
        <v>22</v>
      </c>
      <c r="L93" s="9" t="str">
        <f t="shared" ref="L93:L115" si="19">IF(COUNTIF($A$2:A92,A93)&gt;0,INDEX($C$2:C92,MATCH(A93,$A$2:A92,0)),"")</f>
        <v/>
      </c>
      <c r="M93" s="9"/>
      <c r="O93" s="9"/>
    </row>
    <row r="94" ht="15.75" customHeight="1">
      <c r="A94" s="9" t="str">
        <f>IFERROR(__xludf.DUMMYFUNCTION("IF(B94="""","""",RIGHT(REGEXREPLACE(B94&amp;"""",""[^0-9]"",""""),9))"),"718558435")</f>
        <v>718558435</v>
      </c>
      <c r="B94" s="48">
        <v>7.18558435E8</v>
      </c>
      <c r="C94" s="10" t="s">
        <v>177</v>
      </c>
      <c r="D94" s="10" t="s">
        <v>34</v>
      </c>
      <c r="E94" s="13">
        <v>46226.0</v>
      </c>
      <c r="F94" s="10" t="s">
        <v>113</v>
      </c>
      <c r="G94" s="10">
        <v>10.0</v>
      </c>
      <c r="I94" s="10" t="s">
        <v>22</v>
      </c>
      <c r="J94" s="9" t="str">
        <f t="shared" ref="J94:J115" si="20">IF(COUNTIF($A$2:A93,A94)&gt;0,"Yes - see Previous F-Code","No")</f>
        <v>No</v>
      </c>
      <c r="K94" s="9" t="str">
        <f t="shared" ref="K94:K115" si="21">IF(COUNTIFS($A$2:A94,A94,$I$2:I94,I94)&gt;1,"DUPLICATE - CHECK","")</f>
        <v/>
      </c>
      <c r="L94" s="9" t="str">
        <f t="shared" si="19"/>
        <v/>
      </c>
      <c r="M94" s="9"/>
      <c r="O94" s="9"/>
    </row>
    <row r="95" ht="15.75" customHeight="1">
      <c r="A95" s="9" t="str">
        <f>IFERROR(__xludf.DUMMYFUNCTION("IF(B95="""","""",RIGHT(REGEXREPLACE(B95&amp;"""",""[^0-9]"",""""),9))"),"765410059")</f>
        <v>765410059</v>
      </c>
      <c r="B95" s="48">
        <v>7.65410059E8</v>
      </c>
      <c r="C95" s="10" t="s">
        <v>178</v>
      </c>
      <c r="D95" s="10" t="s">
        <v>34</v>
      </c>
      <c r="E95" s="13">
        <v>46226.0</v>
      </c>
      <c r="F95" s="10" t="s">
        <v>35</v>
      </c>
      <c r="G95" s="10" t="s">
        <v>179</v>
      </c>
      <c r="I95" s="10" t="s">
        <v>22</v>
      </c>
      <c r="J95" s="9" t="str">
        <f t="shared" si="20"/>
        <v>No</v>
      </c>
      <c r="K95" s="9" t="str">
        <f t="shared" si="21"/>
        <v/>
      </c>
      <c r="L95" s="9" t="str">
        <f t="shared" si="19"/>
        <v/>
      </c>
      <c r="M95" s="9"/>
      <c r="O95" s="9"/>
    </row>
    <row r="96" ht="15.75" customHeight="1">
      <c r="A96" s="9" t="str">
        <f>IFERROR(__xludf.DUMMYFUNCTION("IF(B96="""","""",RIGHT(REGEXREPLACE(B96&amp;"""",""[^0-9]"",""""),9))"),"778422145")</f>
        <v>778422145</v>
      </c>
      <c r="B96" s="48">
        <v>7.78422145E8</v>
      </c>
      <c r="C96" s="10" t="s">
        <v>180</v>
      </c>
      <c r="D96" s="10" t="s">
        <v>69</v>
      </c>
      <c r="E96" s="13">
        <v>46226.0</v>
      </c>
      <c r="F96" s="10" t="s">
        <v>35</v>
      </c>
      <c r="G96" s="10">
        <v>11.0</v>
      </c>
      <c r="I96" s="10" t="s">
        <v>22</v>
      </c>
      <c r="J96" s="9" t="str">
        <f t="shared" si="20"/>
        <v>No</v>
      </c>
      <c r="K96" s="9" t="str">
        <f t="shared" si="21"/>
        <v/>
      </c>
      <c r="L96" s="9" t="str">
        <f t="shared" si="19"/>
        <v/>
      </c>
      <c r="M96" s="9"/>
      <c r="O96" s="9"/>
    </row>
    <row r="97" ht="15.75" customHeight="1">
      <c r="A97" s="9" t="str">
        <f>IFERROR(__xludf.DUMMYFUNCTION("IF(B97="""","""",RIGHT(REGEXREPLACE(B97&amp;"""",""[^0-9]"",""""),9))"),"")</f>
        <v/>
      </c>
      <c r="B97" s="48"/>
      <c r="D97" s="9"/>
      <c r="E97" s="13">
        <v>46226.0</v>
      </c>
      <c r="F97" s="9"/>
      <c r="I97" s="10" t="s">
        <v>22</v>
      </c>
      <c r="J97" s="9" t="str">
        <f t="shared" si="20"/>
        <v>Yes - see Previous F-Code</v>
      </c>
      <c r="K97" s="9" t="str">
        <f t="shared" si="21"/>
        <v>DUPLICATE - CHECK</v>
      </c>
      <c r="L97" s="9" t="str">
        <f t="shared" si="19"/>
        <v/>
      </c>
      <c r="M97" s="9"/>
      <c r="O97" s="9"/>
    </row>
    <row r="98" ht="15.75" customHeight="1">
      <c r="A98" s="9" t="str">
        <f>IFERROR(__xludf.DUMMYFUNCTION("IF(B98="""","""",RIGHT(REGEXREPLACE(B98&amp;"""",""[^0-9]"",""""),9))"),"717915938")</f>
        <v>717915938</v>
      </c>
      <c r="B98" s="47">
        <v>7.17915938E8</v>
      </c>
      <c r="C98" s="10" t="s">
        <v>181</v>
      </c>
      <c r="D98" s="10" t="s">
        <v>120</v>
      </c>
      <c r="E98" s="13">
        <v>46226.0</v>
      </c>
      <c r="F98" s="10" t="s">
        <v>21</v>
      </c>
      <c r="I98" s="10" t="s">
        <v>22</v>
      </c>
      <c r="J98" s="9" t="str">
        <f t="shared" si="20"/>
        <v>No</v>
      </c>
      <c r="K98" s="9" t="str">
        <f t="shared" si="21"/>
        <v/>
      </c>
      <c r="L98" s="9" t="str">
        <f t="shared" si="19"/>
        <v/>
      </c>
      <c r="M98" s="9"/>
      <c r="O98" s="9"/>
    </row>
    <row r="99" ht="15.75" customHeight="1">
      <c r="A99" s="9" t="str">
        <f>IFERROR(__xludf.DUMMYFUNCTION("IF(B99="""","""",RIGHT(REGEXREPLACE(B99&amp;"""",""[^0-9]"",""""),9))"),"764034255")</f>
        <v>764034255</v>
      </c>
      <c r="B99" s="48">
        <v>7.64034255E8</v>
      </c>
      <c r="C99" s="10" t="s">
        <v>182</v>
      </c>
      <c r="D99" s="10" t="s">
        <v>50</v>
      </c>
      <c r="E99" s="13">
        <v>46226.0</v>
      </c>
      <c r="F99" s="10" t="s">
        <v>35</v>
      </c>
      <c r="G99" s="10">
        <v>11.0</v>
      </c>
      <c r="I99" s="10" t="s">
        <v>22</v>
      </c>
      <c r="J99" s="9" t="str">
        <f t="shared" si="20"/>
        <v>No</v>
      </c>
      <c r="K99" s="9" t="str">
        <f t="shared" si="21"/>
        <v/>
      </c>
      <c r="L99" s="9" t="str">
        <f t="shared" si="19"/>
        <v/>
      </c>
      <c r="M99" s="9"/>
      <c r="O99" s="9"/>
    </row>
    <row r="100" ht="15.75" customHeight="1">
      <c r="A100" s="9" t="str">
        <f>IFERROR(__xludf.DUMMYFUNCTION("IF(B100="""","""",RIGHT(REGEXREPLACE(B100&amp;"""",""[^0-9]"",""""),9))"),"779091786")</f>
        <v>779091786</v>
      </c>
      <c r="B100" s="48">
        <v>7.79091786E8</v>
      </c>
      <c r="C100" s="10" t="s">
        <v>183</v>
      </c>
      <c r="D100" s="10" t="s">
        <v>50</v>
      </c>
      <c r="E100" s="13">
        <v>46226.0</v>
      </c>
      <c r="F100" s="10" t="s">
        <v>35</v>
      </c>
      <c r="G100" s="10">
        <v>11.0</v>
      </c>
      <c r="I100" s="10" t="s">
        <v>22</v>
      </c>
      <c r="J100" s="9" t="str">
        <f t="shared" si="20"/>
        <v>No</v>
      </c>
      <c r="K100" s="9" t="str">
        <f t="shared" si="21"/>
        <v/>
      </c>
      <c r="L100" s="9" t="str">
        <f t="shared" si="19"/>
        <v/>
      </c>
      <c r="M100" s="9"/>
      <c r="O100" s="9"/>
    </row>
    <row r="101" ht="15.75" customHeight="1">
      <c r="A101" s="9" t="str">
        <f>IFERROR(__xludf.DUMMYFUNCTION("IF(B101="""","""",RIGHT(REGEXREPLACE(B101&amp;"""",""[^0-9]"",""""),9))"),"763627921")</f>
        <v>763627921</v>
      </c>
      <c r="B101" s="48">
        <v>7.63627921E8</v>
      </c>
      <c r="C101" s="10" t="s">
        <v>184</v>
      </c>
      <c r="D101" s="10" t="s">
        <v>120</v>
      </c>
      <c r="E101" s="13">
        <v>46226.0</v>
      </c>
      <c r="F101" s="10" t="s">
        <v>21</v>
      </c>
      <c r="I101" s="10" t="s">
        <v>22</v>
      </c>
      <c r="J101" s="9" t="str">
        <f t="shared" si="20"/>
        <v>No</v>
      </c>
      <c r="K101" s="9" t="str">
        <f t="shared" si="21"/>
        <v/>
      </c>
      <c r="L101" s="9" t="str">
        <f t="shared" si="19"/>
        <v/>
      </c>
      <c r="M101" s="9"/>
      <c r="O101" s="9"/>
    </row>
    <row r="102" ht="15.75" customHeight="1">
      <c r="A102" s="9" t="str">
        <f>IFERROR(__xludf.DUMMYFUNCTION("IF(B102="""","""",RIGHT(REGEXREPLACE(B102&amp;"""",""[^0-9]"",""""),9))"),"785362936")</f>
        <v>785362936</v>
      </c>
      <c r="B102" s="48">
        <v>7.85362936E8</v>
      </c>
      <c r="C102" s="10" t="s">
        <v>185</v>
      </c>
      <c r="D102" s="10" t="s">
        <v>69</v>
      </c>
      <c r="E102" s="13">
        <v>46226.0</v>
      </c>
      <c r="F102" s="10" t="s">
        <v>35</v>
      </c>
      <c r="G102" s="10">
        <v>11.0</v>
      </c>
      <c r="I102" s="10" t="s">
        <v>22</v>
      </c>
      <c r="J102" s="9" t="str">
        <f t="shared" si="20"/>
        <v>No</v>
      </c>
      <c r="K102" s="9" t="str">
        <f t="shared" si="21"/>
        <v/>
      </c>
      <c r="L102" s="9" t="str">
        <f t="shared" si="19"/>
        <v/>
      </c>
      <c r="M102" s="9"/>
      <c r="O102" s="9"/>
    </row>
    <row r="103" ht="15.75" customHeight="1">
      <c r="A103" s="9" t="str">
        <f>IFERROR(__xludf.DUMMYFUNCTION("IF(B103="""","""",RIGHT(REGEXREPLACE(B103&amp;"""",""[^0-9]"",""""),9))"),"768057433")</f>
        <v>768057433</v>
      </c>
      <c r="B103" s="48">
        <v>7.68057433E8</v>
      </c>
      <c r="C103" s="10" t="s">
        <v>186</v>
      </c>
      <c r="D103" s="10" t="s">
        <v>50</v>
      </c>
      <c r="E103" s="13">
        <v>46226.0</v>
      </c>
      <c r="F103" s="10" t="s">
        <v>35</v>
      </c>
      <c r="G103" s="10">
        <v>11.0</v>
      </c>
      <c r="I103" s="10" t="s">
        <v>22</v>
      </c>
      <c r="J103" s="9" t="str">
        <f t="shared" si="20"/>
        <v>No</v>
      </c>
      <c r="K103" s="9" t="str">
        <f t="shared" si="21"/>
        <v/>
      </c>
      <c r="L103" s="9" t="str">
        <f t="shared" si="19"/>
        <v/>
      </c>
      <c r="M103" s="9"/>
      <c r="O103" s="9"/>
    </row>
    <row r="104" ht="15.75" customHeight="1">
      <c r="A104" s="9" t="str">
        <f>IFERROR(__xludf.DUMMYFUNCTION("IF(B104="""","""",RIGHT(REGEXREPLACE(B104&amp;"""",""[^0-9]"",""""),9))"),"713088136")</f>
        <v>713088136</v>
      </c>
      <c r="B104" s="48">
        <v>7.13088136E8</v>
      </c>
      <c r="C104" s="10" t="s">
        <v>187</v>
      </c>
      <c r="D104" s="10" t="s">
        <v>34</v>
      </c>
      <c r="E104" s="13">
        <v>46226.0</v>
      </c>
      <c r="F104" s="10" t="s">
        <v>35</v>
      </c>
      <c r="G104" s="10">
        <v>11.0</v>
      </c>
      <c r="H104" s="10" t="s">
        <v>188</v>
      </c>
      <c r="I104" s="10" t="s">
        <v>22</v>
      </c>
      <c r="J104" s="9" t="str">
        <f t="shared" si="20"/>
        <v>No</v>
      </c>
      <c r="K104" s="9" t="str">
        <f t="shared" si="21"/>
        <v/>
      </c>
      <c r="L104" s="9" t="str">
        <f t="shared" si="19"/>
        <v/>
      </c>
      <c r="M104" s="9"/>
      <c r="O104" s="9"/>
    </row>
    <row r="105" ht="15.75" customHeight="1">
      <c r="A105" s="9" t="str">
        <f>IFERROR(__xludf.DUMMYFUNCTION("IF(B105="""","""",RIGHT(REGEXREPLACE(B105&amp;"""",""[^0-9]"",""""),9))"),"776664805")</f>
        <v>776664805</v>
      </c>
      <c r="B105" s="48">
        <v>7.76664805E8</v>
      </c>
      <c r="C105" s="10" t="s">
        <v>189</v>
      </c>
      <c r="D105" s="10" t="s">
        <v>120</v>
      </c>
      <c r="E105" s="13">
        <v>46226.0</v>
      </c>
      <c r="F105" s="10" t="s">
        <v>35</v>
      </c>
      <c r="G105" s="10">
        <v>11.0</v>
      </c>
      <c r="I105" s="10" t="s">
        <v>22</v>
      </c>
      <c r="J105" s="9" t="str">
        <f t="shared" si="20"/>
        <v>No</v>
      </c>
      <c r="K105" s="9" t="str">
        <f t="shared" si="21"/>
        <v/>
      </c>
      <c r="L105" s="9" t="str">
        <f t="shared" si="19"/>
        <v/>
      </c>
      <c r="M105" s="9"/>
      <c r="O105" s="9"/>
    </row>
    <row r="106" ht="15.75" customHeight="1">
      <c r="A106" s="9" t="str">
        <f>IFERROR(__xludf.DUMMYFUNCTION("IF(B106="""","""",RIGHT(REGEXREPLACE(B106&amp;"""",""[^0-9]"",""""),9))"),"772662812")</f>
        <v>772662812</v>
      </c>
      <c r="B106" s="48">
        <v>7.72662812E8</v>
      </c>
      <c r="C106" s="10" t="s">
        <v>190</v>
      </c>
      <c r="D106" s="10" t="s">
        <v>69</v>
      </c>
      <c r="E106" s="13">
        <v>46226.0</v>
      </c>
      <c r="F106" s="10" t="s">
        <v>35</v>
      </c>
      <c r="G106" s="10">
        <v>11.0</v>
      </c>
      <c r="I106" s="10" t="s">
        <v>22</v>
      </c>
      <c r="J106" s="9" t="str">
        <f t="shared" si="20"/>
        <v>No</v>
      </c>
      <c r="K106" s="9" t="str">
        <f t="shared" si="21"/>
        <v/>
      </c>
      <c r="L106" s="9" t="str">
        <f t="shared" si="19"/>
        <v/>
      </c>
      <c r="M106" s="9"/>
      <c r="O106" s="9"/>
    </row>
    <row r="107" ht="15.75" customHeight="1">
      <c r="A107" s="9" t="str">
        <f>IFERROR(__xludf.DUMMYFUNCTION("IF(B107="""","""",RIGHT(REGEXREPLACE(B107&amp;"""",""[^0-9]"",""""),9))"),"762073988")</f>
        <v>762073988</v>
      </c>
      <c r="B107" s="48">
        <v>7.62073988E8</v>
      </c>
      <c r="C107" s="10" t="s">
        <v>191</v>
      </c>
      <c r="D107" s="10" t="s">
        <v>34</v>
      </c>
      <c r="E107" s="13">
        <v>46226.0</v>
      </c>
      <c r="F107" s="10" t="s">
        <v>35</v>
      </c>
      <c r="G107" s="10">
        <v>11.0</v>
      </c>
      <c r="I107" s="10" t="s">
        <v>22</v>
      </c>
      <c r="J107" s="9" t="str">
        <f t="shared" si="20"/>
        <v>No</v>
      </c>
      <c r="K107" s="9" t="str">
        <f t="shared" si="21"/>
        <v/>
      </c>
      <c r="L107" s="9" t="str">
        <f t="shared" si="19"/>
        <v/>
      </c>
      <c r="M107" s="9"/>
      <c r="O107" s="9"/>
    </row>
    <row r="108" ht="15.75" customHeight="1">
      <c r="A108" s="9" t="str">
        <f>IFERROR(__xludf.DUMMYFUNCTION("IF(B108="""","""",RIGHT(REGEXREPLACE(B108&amp;"""",""[^0-9]"",""""),9))"),"767328798")</f>
        <v>767328798</v>
      </c>
      <c r="B108" s="48">
        <v>7.67328798E8</v>
      </c>
      <c r="C108" s="10" t="s">
        <v>192</v>
      </c>
      <c r="D108" s="10" t="s">
        <v>69</v>
      </c>
      <c r="E108" s="13">
        <v>46226.0</v>
      </c>
      <c r="F108" s="10" t="s">
        <v>35</v>
      </c>
      <c r="G108" s="10">
        <v>11.0</v>
      </c>
      <c r="I108" s="10" t="s">
        <v>22</v>
      </c>
      <c r="J108" s="9" t="str">
        <f t="shared" si="20"/>
        <v>No</v>
      </c>
      <c r="K108" s="9" t="str">
        <f t="shared" si="21"/>
        <v/>
      </c>
      <c r="L108" s="9" t="str">
        <f t="shared" si="19"/>
        <v/>
      </c>
      <c r="M108" s="9"/>
      <c r="O108" s="9"/>
    </row>
    <row r="109" ht="15.75" customHeight="1">
      <c r="A109" s="9" t="str">
        <f>IFERROR(__xludf.DUMMYFUNCTION("IF(B109="""","""",RIGHT(REGEXREPLACE(B109&amp;"""",""[^0-9]"",""""),9))"),"778929102")</f>
        <v>778929102</v>
      </c>
      <c r="B109" s="48">
        <v>7.78929102E8</v>
      </c>
      <c r="C109" s="10" t="s">
        <v>193</v>
      </c>
      <c r="D109" s="10" t="s">
        <v>50</v>
      </c>
      <c r="E109" s="13">
        <v>46226.0</v>
      </c>
      <c r="F109" s="10" t="s">
        <v>35</v>
      </c>
      <c r="G109" s="10">
        <v>11.0</v>
      </c>
      <c r="I109" s="10" t="s">
        <v>22</v>
      </c>
      <c r="J109" s="9" t="str">
        <f t="shared" si="20"/>
        <v>No</v>
      </c>
      <c r="K109" s="9" t="str">
        <f t="shared" si="21"/>
        <v/>
      </c>
      <c r="L109" s="9" t="str">
        <f t="shared" si="19"/>
        <v/>
      </c>
      <c r="M109" s="9"/>
      <c r="O109" s="9"/>
    </row>
    <row r="110" ht="15.75" customHeight="1">
      <c r="A110" s="9" t="str">
        <f>IFERROR(__xludf.DUMMYFUNCTION("IF(B110="""","""",RIGHT(REGEXREPLACE(B110&amp;"""",""[^0-9]"",""""),9))"),"711207160")</f>
        <v>711207160</v>
      </c>
      <c r="B110" s="48">
        <v>7.1120716E8</v>
      </c>
      <c r="C110" s="10" t="s">
        <v>194</v>
      </c>
      <c r="D110" s="10" t="s">
        <v>120</v>
      </c>
      <c r="E110" s="13">
        <v>46226.0</v>
      </c>
      <c r="F110" s="10" t="s">
        <v>35</v>
      </c>
      <c r="G110" s="10">
        <v>11.0</v>
      </c>
      <c r="H110" s="10" t="s">
        <v>195</v>
      </c>
      <c r="I110" s="10" t="s">
        <v>22</v>
      </c>
      <c r="J110" s="9" t="str">
        <f t="shared" si="20"/>
        <v>No</v>
      </c>
      <c r="K110" s="9" t="str">
        <f t="shared" si="21"/>
        <v/>
      </c>
      <c r="L110" s="9" t="str">
        <f t="shared" si="19"/>
        <v/>
      </c>
      <c r="M110" s="9"/>
      <c r="O110" s="9"/>
    </row>
    <row r="111" ht="15.75" customHeight="1">
      <c r="A111" s="9" t="str">
        <f>IFERROR(__xludf.DUMMYFUNCTION("IF(B111="""","""",RIGHT(REGEXREPLACE(B111&amp;"""",""[^0-9]"",""""),9))"),"772679780")</f>
        <v>772679780</v>
      </c>
      <c r="B111" s="48">
        <v>7.7267978E8</v>
      </c>
      <c r="C111" s="10" t="s">
        <v>196</v>
      </c>
      <c r="D111" s="10" t="s">
        <v>50</v>
      </c>
      <c r="E111" s="13">
        <v>46226.0</v>
      </c>
      <c r="F111" s="10" t="s">
        <v>35</v>
      </c>
      <c r="G111" s="10">
        <v>11.0</v>
      </c>
      <c r="I111" s="10" t="s">
        <v>22</v>
      </c>
      <c r="J111" s="9" t="str">
        <f t="shared" si="20"/>
        <v>No</v>
      </c>
      <c r="K111" s="9" t="str">
        <f t="shared" si="21"/>
        <v/>
      </c>
      <c r="L111" s="9" t="str">
        <f t="shared" si="19"/>
        <v/>
      </c>
      <c r="M111" s="9"/>
      <c r="O111" s="9"/>
    </row>
    <row r="112" ht="15.75" customHeight="1">
      <c r="A112" s="9" t="str">
        <f>IFERROR(__xludf.DUMMYFUNCTION("IF(B112="""","""",RIGHT(REGEXREPLACE(B112&amp;"""",""[^0-9]"",""""),9))"),"776580719")</f>
        <v>776580719</v>
      </c>
      <c r="B112" s="48">
        <v>7.76580719E8</v>
      </c>
      <c r="C112" s="10" t="s">
        <v>197</v>
      </c>
      <c r="D112" s="10" t="s">
        <v>69</v>
      </c>
      <c r="E112" s="13">
        <v>46226.0</v>
      </c>
      <c r="F112" s="10" t="s">
        <v>198</v>
      </c>
      <c r="G112" s="10">
        <v>11.0</v>
      </c>
      <c r="I112" s="10" t="s">
        <v>22</v>
      </c>
      <c r="J112" s="9" t="str">
        <f t="shared" si="20"/>
        <v>No</v>
      </c>
      <c r="K112" s="9" t="str">
        <f t="shared" si="21"/>
        <v/>
      </c>
      <c r="L112" s="9" t="str">
        <f t="shared" si="19"/>
        <v/>
      </c>
      <c r="M112" s="9"/>
      <c r="O112" s="9"/>
    </row>
    <row r="113" ht="15.75" customHeight="1">
      <c r="A113" s="9" t="str">
        <f>IFERROR(__xludf.DUMMYFUNCTION("IF(B113="""","""",RIGHT(REGEXREPLACE(B113&amp;"""",""[^0-9]"",""""),9))"),"779815426")</f>
        <v>779815426</v>
      </c>
      <c r="B113" s="48">
        <v>7.79815426E8</v>
      </c>
      <c r="C113" s="10" t="s">
        <v>199</v>
      </c>
      <c r="D113" s="10" t="s">
        <v>120</v>
      </c>
      <c r="E113" s="13">
        <v>46226.0</v>
      </c>
      <c r="F113" s="10" t="s">
        <v>35</v>
      </c>
      <c r="I113" s="10" t="s">
        <v>22</v>
      </c>
      <c r="J113" s="9" t="str">
        <f t="shared" si="20"/>
        <v>No</v>
      </c>
      <c r="K113" s="9" t="str">
        <f t="shared" si="21"/>
        <v/>
      </c>
      <c r="L113" s="9" t="str">
        <f t="shared" si="19"/>
        <v/>
      </c>
      <c r="M113" s="9"/>
      <c r="O113" s="9"/>
    </row>
    <row r="114" ht="15.75" customHeight="1">
      <c r="A114" s="9" t="str">
        <f>IFERROR(__xludf.DUMMYFUNCTION("IF(B114="""","""",RIGHT(REGEXREPLACE(B114&amp;"""",""[^0-9]"",""""),9))"),"714966622")</f>
        <v>714966622</v>
      </c>
      <c r="B114" s="48">
        <v>7.14966622E8</v>
      </c>
      <c r="C114" s="10" t="s">
        <v>200</v>
      </c>
      <c r="D114" s="10" t="s">
        <v>120</v>
      </c>
      <c r="E114" s="13">
        <v>46226.0</v>
      </c>
      <c r="F114" s="10" t="s">
        <v>35</v>
      </c>
      <c r="G114" s="10">
        <v>11.0</v>
      </c>
      <c r="I114" s="10" t="s">
        <v>22</v>
      </c>
      <c r="J114" s="9" t="str">
        <f t="shared" si="20"/>
        <v>No</v>
      </c>
      <c r="K114" s="9" t="str">
        <f t="shared" si="21"/>
        <v/>
      </c>
      <c r="L114" s="9" t="str">
        <f t="shared" si="19"/>
        <v/>
      </c>
      <c r="M114" s="9"/>
      <c r="O114" s="9"/>
    </row>
    <row r="115" ht="15.75" customHeight="1">
      <c r="A115" s="9" t="str">
        <f>IFERROR(__xludf.DUMMYFUNCTION("IF(B115="""","""",RIGHT(REGEXREPLACE(B115&amp;"""",""[^0-9]"",""""),9))"),"779166676")</f>
        <v>779166676</v>
      </c>
      <c r="B115" s="48">
        <v>7.79166676E8</v>
      </c>
      <c r="C115" s="10" t="s">
        <v>201</v>
      </c>
      <c r="D115" s="10" t="s">
        <v>69</v>
      </c>
      <c r="E115" s="13">
        <v>46226.0</v>
      </c>
      <c r="F115" s="10" t="s">
        <v>35</v>
      </c>
      <c r="G115" s="10">
        <v>11.0</v>
      </c>
      <c r="I115" s="10" t="s">
        <v>22</v>
      </c>
      <c r="J115" s="9" t="str">
        <f t="shared" si="20"/>
        <v>No</v>
      </c>
      <c r="K115" s="9" t="str">
        <f t="shared" si="21"/>
        <v/>
      </c>
      <c r="L115" s="9" t="str">
        <f t="shared" si="19"/>
        <v/>
      </c>
      <c r="M115" s="9"/>
      <c r="O115" s="9"/>
    </row>
    <row r="116" ht="15.75" customHeight="1">
      <c r="D116" s="9"/>
      <c r="F116" s="9"/>
      <c r="I116" s="10" t="s">
        <v>22</v>
      </c>
      <c r="M116" s="9"/>
      <c r="O116" s="9"/>
    </row>
    <row r="117" ht="15.75" customHeight="1">
      <c r="A117" s="9" t="str">
        <f>IFERROR(__xludf.DUMMYFUNCTION("IF(B117="""","""",RIGHT(REGEXREPLACE(B117&amp;"""",""[^0-9]"",""""),9))"),"773812515")</f>
        <v>773812515</v>
      </c>
      <c r="B117" s="48">
        <v>7.73812515E8</v>
      </c>
      <c r="C117" s="10" t="s">
        <v>202</v>
      </c>
      <c r="D117" s="10" t="s">
        <v>69</v>
      </c>
      <c r="E117" s="13">
        <v>46226.0</v>
      </c>
      <c r="F117" s="10" t="s">
        <v>113</v>
      </c>
      <c r="I117" s="10" t="s">
        <v>22</v>
      </c>
      <c r="J117" s="9" t="str">
        <f t="shared" ref="J117:J132" si="22">IF(COUNTIF($A$2:A116,A117)&gt;0,"Yes - see Previous F-Code","No")</f>
        <v>No</v>
      </c>
      <c r="K117" s="9" t="str">
        <f t="shared" ref="K117:K132" si="23">IF(COUNTIFS($A$2:A117,A117,$I$2:I117,I117)&gt;1,"DUPLICATE - CHECK","")</f>
        <v/>
      </c>
      <c r="L117" s="9" t="str">
        <f t="shared" ref="L117:L132" si="24">IF(COUNTIF($A$2:A116,A117)&gt;0,INDEX($C$2:C116,MATCH(A117,$A$2:A116,0)),"")</f>
        <v/>
      </c>
      <c r="M117" s="9"/>
      <c r="O117" s="9"/>
    </row>
    <row r="118" ht="15.75" customHeight="1">
      <c r="A118" s="9" t="str">
        <f>IFERROR(__xludf.DUMMYFUNCTION("IF(B118="""","""",RIGHT(REGEXREPLACE(B118&amp;"""",""[^0-9]"",""""),9))"),"778235374")</f>
        <v>778235374</v>
      </c>
      <c r="B118" s="48">
        <v>7.78235374E8</v>
      </c>
      <c r="C118" s="10" t="s">
        <v>203</v>
      </c>
      <c r="D118" s="10" t="s">
        <v>120</v>
      </c>
      <c r="E118" s="13">
        <v>46226.0</v>
      </c>
      <c r="F118" s="10" t="s">
        <v>198</v>
      </c>
      <c r="I118" s="10" t="s">
        <v>22</v>
      </c>
      <c r="J118" s="9" t="str">
        <f t="shared" si="22"/>
        <v>No</v>
      </c>
      <c r="K118" s="9" t="str">
        <f t="shared" si="23"/>
        <v/>
      </c>
      <c r="L118" s="9" t="str">
        <f t="shared" si="24"/>
        <v/>
      </c>
      <c r="M118" s="9"/>
      <c r="O118" s="9"/>
    </row>
    <row r="119" ht="15.75" customHeight="1">
      <c r="A119" s="9" t="str">
        <f>IFERROR(__xludf.DUMMYFUNCTION("IF(B119="""","""",RIGHT(REGEXREPLACE(B119&amp;"""",""[^0-9]"",""""),9))"),"762503820")</f>
        <v>762503820</v>
      </c>
      <c r="B119" s="48">
        <v>7.6250382E8</v>
      </c>
      <c r="C119" s="10" t="s">
        <v>204</v>
      </c>
      <c r="D119" s="10" t="s">
        <v>120</v>
      </c>
      <c r="E119" s="13">
        <v>46226.0</v>
      </c>
      <c r="F119" s="10" t="s">
        <v>35</v>
      </c>
      <c r="I119" s="10" t="s">
        <v>22</v>
      </c>
      <c r="J119" s="9" t="str">
        <f t="shared" si="22"/>
        <v>No</v>
      </c>
      <c r="K119" s="9" t="str">
        <f t="shared" si="23"/>
        <v/>
      </c>
      <c r="L119" s="9" t="str">
        <f t="shared" si="24"/>
        <v/>
      </c>
      <c r="M119" s="9"/>
      <c r="O119" s="9"/>
    </row>
    <row r="120" ht="15.75" customHeight="1">
      <c r="A120" s="9" t="str">
        <f>IFERROR(__xludf.DUMMYFUNCTION("IF(B120="""","""",RIGHT(REGEXREPLACE(B120&amp;"""",""[^0-9]"",""""),9))"),"719398419")</f>
        <v>719398419</v>
      </c>
      <c r="B120" s="48">
        <v>7.19398419E8</v>
      </c>
      <c r="C120" s="10" t="s">
        <v>205</v>
      </c>
      <c r="D120" s="10" t="s">
        <v>69</v>
      </c>
      <c r="E120" s="13">
        <v>46226.0</v>
      </c>
      <c r="F120" s="10" t="s">
        <v>35</v>
      </c>
      <c r="G120" s="10">
        <v>11.0</v>
      </c>
      <c r="I120" s="10" t="s">
        <v>22</v>
      </c>
      <c r="J120" s="9" t="str">
        <f t="shared" si="22"/>
        <v>No</v>
      </c>
      <c r="K120" s="9" t="str">
        <f t="shared" si="23"/>
        <v/>
      </c>
      <c r="L120" s="9" t="str">
        <f t="shared" si="24"/>
        <v/>
      </c>
      <c r="M120" s="9"/>
      <c r="O120" s="9"/>
    </row>
    <row r="121" ht="15.75" customHeight="1">
      <c r="A121" s="9" t="str">
        <f>IFERROR(__xludf.DUMMYFUNCTION("IF(B121="""","""",RIGHT(REGEXREPLACE(B121&amp;"""",""[^0-9]"",""""),9))"),"770025018")</f>
        <v>770025018</v>
      </c>
      <c r="B121" s="48">
        <v>7.70025018E8</v>
      </c>
      <c r="C121" s="10" t="s">
        <v>206</v>
      </c>
      <c r="D121" s="10" t="s">
        <v>69</v>
      </c>
      <c r="E121" s="13">
        <v>46226.0</v>
      </c>
      <c r="F121" s="10" t="s">
        <v>113</v>
      </c>
      <c r="I121" s="10" t="s">
        <v>22</v>
      </c>
      <c r="J121" s="9" t="str">
        <f t="shared" si="22"/>
        <v>No</v>
      </c>
      <c r="K121" s="9" t="str">
        <f t="shared" si="23"/>
        <v/>
      </c>
      <c r="L121" s="9" t="str">
        <f t="shared" si="24"/>
        <v/>
      </c>
      <c r="M121" s="9"/>
      <c r="O121" s="9"/>
    </row>
    <row r="122" ht="15.75" customHeight="1">
      <c r="A122" s="9" t="str">
        <f>IFERROR(__xludf.DUMMYFUNCTION("IF(B122="""","""",RIGHT(REGEXREPLACE(B122&amp;"""",""[^0-9]"",""""),9))"),"740771105")</f>
        <v>740771105</v>
      </c>
      <c r="B122" s="48">
        <v>7.40771105E8</v>
      </c>
      <c r="C122" s="10" t="s">
        <v>207</v>
      </c>
      <c r="D122" s="10" t="s">
        <v>69</v>
      </c>
      <c r="E122" s="13">
        <v>46226.0</v>
      </c>
      <c r="F122" s="10" t="s">
        <v>35</v>
      </c>
      <c r="G122" s="10">
        <v>11.0</v>
      </c>
      <c r="I122" s="10" t="s">
        <v>22</v>
      </c>
      <c r="J122" s="9" t="str">
        <f t="shared" si="22"/>
        <v>No</v>
      </c>
      <c r="K122" s="9" t="str">
        <f t="shared" si="23"/>
        <v/>
      </c>
      <c r="L122" s="9" t="str">
        <f t="shared" si="24"/>
        <v/>
      </c>
      <c r="M122" s="9"/>
      <c r="O122" s="9"/>
    </row>
    <row r="123" ht="15.75" customHeight="1">
      <c r="A123" s="9" t="str">
        <f>IFERROR(__xludf.DUMMYFUNCTION("IF(B123="""","""",RIGHT(REGEXREPLACE(B123&amp;"""",""[^0-9]"",""""),9))"),"773073300")</f>
        <v>773073300</v>
      </c>
      <c r="B123" s="48">
        <v>7.730733E8</v>
      </c>
      <c r="C123" s="10" t="s">
        <v>208</v>
      </c>
      <c r="D123" s="10" t="s">
        <v>50</v>
      </c>
      <c r="E123" s="13">
        <v>46226.0</v>
      </c>
      <c r="F123" s="10" t="s">
        <v>21</v>
      </c>
      <c r="I123" s="10" t="s">
        <v>22</v>
      </c>
      <c r="J123" s="9" t="str">
        <f t="shared" si="22"/>
        <v>No</v>
      </c>
      <c r="K123" s="9" t="str">
        <f t="shared" si="23"/>
        <v/>
      </c>
      <c r="L123" s="9" t="str">
        <f t="shared" si="24"/>
        <v/>
      </c>
      <c r="M123" s="9"/>
      <c r="O123" s="9"/>
    </row>
    <row r="124" ht="15.75" customHeight="1">
      <c r="A124" s="9" t="str">
        <f>IFERROR(__xludf.DUMMYFUNCTION("IF(B124="""","""",RIGHT(REGEXREPLACE(B124&amp;"""",""[^0-9]"",""""),9))"),"715174439")</f>
        <v>715174439</v>
      </c>
      <c r="B124" s="48">
        <v>7.15174439E8</v>
      </c>
      <c r="C124" s="10" t="s">
        <v>209</v>
      </c>
      <c r="D124" s="10" t="s">
        <v>50</v>
      </c>
      <c r="E124" s="13">
        <v>46226.0</v>
      </c>
      <c r="F124" s="10" t="s">
        <v>21</v>
      </c>
      <c r="G124" s="10">
        <v>10.0</v>
      </c>
      <c r="I124" s="10" t="s">
        <v>22</v>
      </c>
      <c r="J124" s="9" t="str">
        <f t="shared" si="22"/>
        <v>No</v>
      </c>
      <c r="K124" s="9" t="str">
        <f t="shared" si="23"/>
        <v/>
      </c>
      <c r="L124" s="9" t="str">
        <f t="shared" si="24"/>
        <v/>
      </c>
      <c r="M124" s="9"/>
      <c r="O124" s="9"/>
    </row>
    <row r="125" ht="15.75" customHeight="1">
      <c r="A125" s="9" t="str">
        <f>IFERROR(__xludf.DUMMYFUNCTION("IF(B125="""","""",RIGHT(REGEXREPLACE(B125&amp;"""",""[^0-9]"",""""),9))"),"703708138")</f>
        <v>703708138</v>
      </c>
      <c r="B125" s="48">
        <v>7.03708138E8</v>
      </c>
      <c r="C125" s="10" t="s">
        <v>210</v>
      </c>
      <c r="D125" s="10" t="s">
        <v>120</v>
      </c>
      <c r="E125" s="13">
        <v>46226.0</v>
      </c>
      <c r="F125" s="10" t="s">
        <v>35</v>
      </c>
      <c r="G125" s="10">
        <v>11.0</v>
      </c>
      <c r="I125" s="10" t="s">
        <v>22</v>
      </c>
      <c r="J125" s="9" t="str">
        <f t="shared" si="22"/>
        <v>No</v>
      </c>
      <c r="K125" s="9" t="str">
        <f t="shared" si="23"/>
        <v/>
      </c>
      <c r="L125" s="9" t="str">
        <f t="shared" si="24"/>
        <v/>
      </c>
      <c r="M125" s="9"/>
      <c r="O125" s="9"/>
    </row>
    <row r="126" ht="15.75" customHeight="1">
      <c r="A126" s="9" t="str">
        <f>IFERROR(__xludf.DUMMYFUNCTION("IF(B126="""","""",RIGHT(REGEXREPLACE(B126&amp;"""",""[^0-9]"",""""),9))"),"772726987")</f>
        <v>772726987</v>
      </c>
      <c r="B126" s="48">
        <v>7.72726987E8</v>
      </c>
      <c r="C126" s="10" t="s">
        <v>211</v>
      </c>
      <c r="D126" s="10" t="s">
        <v>50</v>
      </c>
      <c r="E126" s="13">
        <v>46226.0</v>
      </c>
      <c r="F126" s="10" t="s">
        <v>198</v>
      </c>
      <c r="I126" s="10" t="s">
        <v>22</v>
      </c>
      <c r="J126" s="9" t="str">
        <f t="shared" si="22"/>
        <v>No</v>
      </c>
      <c r="K126" s="9" t="str">
        <f t="shared" si="23"/>
        <v/>
      </c>
      <c r="L126" s="9" t="str">
        <f t="shared" si="24"/>
        <v/>
      </c>
      <c r="M126" s="9"/>
      <c r="O126" s="9"/>
    </row>
    <row r="127" ht="15.75" customHeight="1">
      <c r="A127" s="9" t="str">
        <f>IFERROR(__xludf.DUMMYFUNCTION("IF(B127="""","""",RIGHT(REGEXREPLACE(B127&amp;"""",""[^0-9]"",""""),9))"),"777488291")</f>
        <v>777488291</v>
      </c>
      <c r="B127" s="48">
        <v>7.77488291E8</v>
      </c>
      <c r="C127" s="10" t="s">
        <v>212</v>
      </c>
      <c r="D127" s="10" t="s">
        <v>50</v>
      </c>
      <c r="E127" s="13">
        <v>46226.0</v>
      </c>
      <c r="F127" s="10" t="s">
        <v>21</v>
      </c>
      <c r="I127" s="10" t="s">
        <v>22</v>
      </c>
      <c r="J127" s="9" t="str">
        <f t="shared" si="22"/>
        <v>No</v>
      </c>
      <c r="K127" s="9" t="str">
        <f t="shared" si="23"/>
        <v/>
      </c>
      <c r="L127" s="9" t="str">
        <f t="shared" si="24"/>
        <v/>
      </c>
      <c r="M127" s="9"/>
      <c r="O127" s="9"/>
    </row>
    <row r="128" ht="15.75" customHeight="1">
      <c r="A128" s="9" t="str">
        <f>IFERROR(__xludf.DUMMYFUNCTION("IF(B128="""","""",RIGHT(REGEXREPLACE(B128&amp;"""",""[^0-9]"",""""),9))"),"705975827")</f>
        <v>705975827</v>
      </c>
      <c r="B128" s="48">
        <v>7.05975827E8</v>
      </c>
      <c r="C128" s="10" t="s">
        <v>213</v>
      </c>
      <c r="D128" s="10" t="s">
        <v>120</v>
      </c>
      <c r="E128" s="13">
        <v>46226.0</v>
      </c>
      <c r="F128" s="10" t="s">
        <v>21</v>
      </c>
      <c r="G128" s="10">
        <v>9.0</v>
      </c>
      <c r="I128" s="10" t="s">
        <v>22</v>
      </c>
      <c r="J128" s="9" t="str">
        <f t="shared" si="22"/>
        <v>No</v>
      </c>
      <c r="K128" s="9" t="str">
        <f t="shared" si="23"/>
        <v/>
      </c>
      <c r="L128" s="9" t="str">
        <f t="shared" si="24"/>
        <v/>
      </c>
      <c r="M128" s="9"/>
      <c r="O128" s="9"/>
    </row>
    <row r="129" ht="15.75" customHeight="1">
      <c r="A129" s="9" t="str">
        <f>IFERROR(__xludf.DUMMYFUNCTION("IF(B129="""","""",RIGHT(REGEXREPLACE(B129&amp;"""",""[^0-9]"",""""),9))"),"767173553")</f>
        <v>767173553</v>
      </c>
      <c r="B129" s="48">
        <v>7.67173553E8</v>
      </c>
      <c r="C129" s="10" t="s">
        <v>214</v>
      </c>
      <c r="D129" s="10" t="s">
        <v>34</v>
      </c>
      <c r="E129" s="13">
        <v>46226.0</v>
      </c>
      <c r="F129" s="10" t="s">
        <v>35</v>
      </c>
      <c r="G129" s="10">
        <v>11.0</v>
      </c>
      <c r="I129" s="10" t="s">
        <v>22</v>
      </c>
      <c r="J129" s="9" t="str">
        <f t="shared" si="22"/>
        <v>No</v>
      </c>
      <c r="K129" s="9" t="str">
        <f t="shared" si="23"/>
        <v/>
      </c>
      <c r="L129" s="9" t="str">
        <f t="shared" si="24"/>
        <v/>
      </c>
      <c r="M129" s="9"/>
      <c r="O129" s="9"/>
    </row>
    <row r="130" ht="15.75" customHeight="1">
      <c r="A130" s="9" t="str">
        <f>IFERROR(__xludf.DUMMYFUNCTION("IF(B130="""","""",RIGHT(REGEXREPLACE(B130&amp;"""",""[^0-9]"",""""),9))"),"769781873")</f>
        <v>769781873</v>
      </c>
      <c r="B130" s="48">
        <v>7.69781873E8</v>
      </c>
      <c r="C130" s="10" t="s">
        <v>215</v>
      </c>
      <c r="D130" s="10" t="s">
        <v>50</v>
      </c>
      <c r="E130" s="13">
        <v>46226.0</v>
      </c>
      <c r="F130" s="10" t="s">
        <v>35</v>
      </c>
      <c r="G130" s="10">
        <v>11.0</v>
      </c>
      <c r="I130" s="10" t="s">
        <v>22</v>
      </c>
      <c r="J130" s="9" t="str">
        <f t="shared" si="22"/>
        <v>No</v>
      </c>
      <c r="K130" s="9" t="str">
        <f t="shared" si="23"/>
        <v/>
      </c>
      <c r="L130" s="9" t="str">
        <f t="shared" si="24"/>
        <v/>
      </c>
      <c r="M130" s="9"/>
      <c r="O130" s="9"/>
    </row>
    <row r="131" ht="15.75" customHeight="1">
      <c r="A131" s="9" t="str">
        <f>IFERROR(__xludf.DUMMYFUNCTION("IF(B131="""","""",RIGHT(REGEXREPLACE(B131&amp;"""",""[^0-9]"",""""),9))"),"772416964")</f>
        <v>772416964</v>
      </c>
      <c r="B131" s="48">
        <v>7.72416964E8</v>
      </c>
      <c r="C131" s="10" t="s">
        <v>216</v>
      </c>
      <c r="D131" s="10" t="s">
        <v>69</v>
      </c>
      <c r="E131" s="13">
        <v>46226.0</v>
      </c>
      <c r="F131" s="10" t="s">
        <v>21</v>
      </c>
      <c r="G131" s="10">
        <v>11.0</v>
      </c>
      <c r="I131" s="10" t="s">
        <v>22</v>
      </c>
      <c r="J131" s="9" t="str">
        <f t="shared" si="22"/>
        <v>No</v>
      </c>
      <c r="K131" s="9" t="str">
        <f t="shared" si="23"/>
        <v/>
      </c>
      <c r="L131" s="9" t="str">
        <f t="shared" si="24"/>
        <v/>
      </c>
      <c r="M131" s="9"/>
      <c r="O131" s="9"/>
    </row>
    <row r="132" ht="15.75" customHeight="1">
      <c r="A132" s="9" t="str">
        <f>IFERROR(__xludf.DUMMYFUNCTION("IF(B132="""","""",RIGHT(REGEXREPLACE(B132&amp;"""",""[^0-9]"",""""),9))"),"742786875")</f>
        <v>742786875</v>
      </c>
      <c r="B132" s="48">
        <v>7.42786875E8</v>
      </c>
      <c r="C132" s="10" t="s">
        <v>217</v>
      </c>
      <c r="D132" s="10" t="s">
        <v>120</v>
      </c>
      <c r="E132" s="13">
        <v>46226.0</v>
      </c>
      <c r="F132" s="10" t="s">
        <v>21</v>
      </c>
      <c r="I132" s="10" t="s">
        <v>22</v>
      </c>
      <c r="J132" s="9" t="str">
        <f t="shared" si="22"/>
        <v>No</v>
      </c>
      <c r="K132" s="9" t="str">
        <f t="shared" si="23"/>
        <v/>
      </c>
      <c r="L132" s="9" t="str">
        <f t="shared" si="24"/>
        <v/>
      </c>
      <c r="M132" s="9"/>
      <c r="O132" s="9"/>
    </row>
    <row r="133" ht="15.75" customHeight="1">
      <c r="D133" s="9"/>
      <c r="F133" s="9"/>
      <c r="I133" s="10" t="s">
        <v>22</v>
      </c>
      <c r="M133" s="9"/>
      <c r="O133" s="9"/>
    </row>
    <row r="134" ht="15.75" customHeight="1">
      <c r="A134" s="9" t="str">
        <f>IFERROR(__xludf.DUMMYFUNCTION("IF(B134="""","""",RIGHT(REGEXREPLACE(B134&amp;"""",""[^0-9]"",""""),9))"),"761440753")</f>
        <v>761440753</v>
      </c>
      <c r="B134" s="48">
        <v>9.4761440753E10</v>
      </c>
      <c r="C134" s="10" t="s">
        <v>218</v>
      </c>
      <c r="D134" s="10" t="s">
        <v>20</v>
      </c>
      <c r="E134" s="13">
        <v>46226.0</v>
      </c>
      <c r="F134" s="10" t="s">
        <v>113</v>
      </c>
      <c r="I134" s="10" t="s">
        <v>22</v>
      </c>
      <c r="J134" s="9" t="str">
        <f t="shared" ref="J134:J179" si="25">IF(COUNTIF($A$2:A133,A134)&gt;0,"Yes - see Previous F-Code","No")</f>
        <v>No</v>
      </c>
      <c r="K134" s="9" t="str">
        <f t="shared" ref="K134:K412" si="26">IF(COUNTIFS($A$2:A134,A134,$I$2:I134,I134)&gt;1,"DUPLICATE - CHECK","")</f>
        <v/>
      </c>
      <c r="L134" s="9" t="str">
        <f t="shared" ref="L134:L179" si="27">IF(COUNTIF($A$2:A133,A134)&gt;0,INDEX($C$2:C133,MATCH(A134,$A$2:A133,0)),"")</f>
        <v/>
      </c>
      <c r="M134" s="9"/>
      <c r="O134" s="9"/>
    </row>
    <row r="135" ht="15.75" customHeight="1">
      <c r="A135" s="9" t="str">
        <f>IFERROR(__xludf.DUMMYFUNCTION("IF(B135="""","""",RIGHT(REGEXREPLACE(B135&amp;"""",""[^0-9]"",""""),9))"),"702307329")</f>
        <v>702307329</v>
      </c>
      <c r="B135" s="48">
        <v>7.02307329E8</v>
      </c>
      <c r="C135" s="10" t="s">
        <v>219</v>
      </c>
      <c r="D135" s="10" t="s">
        <v>69</v>
      </c>
      <c r="E135" s="13">
        <v>46226.0</v>
      </c>
      <c r="F135" s="10" t="s">
        <v>21</v>
      </c>
      <c r="I135" s="10" t="s">
        <v>22</v>
      </c>
      <c r="J135" s="9" t="str">
        <f t="shared" si="25"/>
        <v>No</v>
      </c>
      <c r="K135" s="9" t="str">
        <f t="shared" si="26"/>
        <v/>
      </c>
      <c r="L135" s="9" t="str">
        <f t="shared" si="27"/>
        <v/>
      </c>
      <c r="M135" s="9"/>
      <c r="O135" s="9"/>
    </row>
    <row r="136" ht="15.75" customHeight="1">
      <c r="A136" s="9" t="str">
        <f>IFERROR(__xludf.DUMMYFUNCTION("IF(B136="""","""",RIGHT(REGEXREPLACE(B136&amp;"""",""[^0-9]"",""""),9))"),"775855991")</f>
        <v>775855991</v>
      </c>
      <c r="B136" s="48">
        <v>7.75855991E8</v>
      </c>
      <c r="C136" s="10" t="s">
        <v>220</v>
      </c>
      <c r="D136" s="10" t="s">
        <v>34</v>
      </c>
      <c r="E136" s="13">
        <v>46226.0</v>
      </c>
      <c r="F136" s="10" t="s">
        <v>35</v>
      </c>
      <c r="G136" s="10">
        <v>11.0</v>
      </c>
      <c r="H136" s="10" t="s">
        <v>221</v>
      </c>
      <c r="I136" s="10" t="s">
        <v>22</v>
      </c>
      <c r="J136" s="9" t="str">
        <f t="shared" si="25"/>
        <v>No</v>
      </c>
      <c r="K136" s="9" t="str">
        <f t="shared" si="26"/>
        <v/>
      </c>
      <c r="L136" s="9" t="str">
        <f t="shared" si="27"/>
        <v/>
      </c>
      <c r="M136" s="9"/>
      <c r="O136" s="9"/>
    </row>
    <row r="137" ht="15.75" customHeight="1">
      <c r="A137" s="9" t="str">
        <f>IFERROR(__xludf.DUMMYFUNCTION("IF(B137="""","""",RIGHT(REGEXREPLACE(B137&amp;"""",""[^0-9]"",""""),9))"),"772427569")</f>
        <v>772427569</v>
      </c>
      <c r="B137" s="48">
        <v>7.72427569E8</v>
      </c>
      <c r="C137" s="10" t="s">
        <v>222</v>
      </c>
      <c r="D137" s="10" t="s">
        <v>120</v>
      </c>
      <c r="E137" s="13">
        <v>46226.0</v>
      </c>
      <c r="F137" s="10" t="s">
        <v>35</v>
      </c>
      <c r="G137" s="10">
        <v>10.0</v>
      </c>
      <c r="I137" s="10" t="s">
        <v>22</v>
      </c>
      <c r="J137" s="9" t="str">
        <f t="shared" si="25"/>
        <v>No</v>
      </c>
      <c r="K137" s="9" t="str">
        <f t="shared" si="26"/>
        <v/>
      </c>
      <c r="L137" s="9" t="str">
        <f t="shared" si="27"/>
        <v/>
      </c>
      <c r="M137" s="9"/>
      <c r="O137" s="9"/>
    </row>
    <row r="138" ht="15.75" customHeight="1">
      <c r="A138" s="9" t="str">
        <f>IFERROR(__xludf.DUMMYFUNCTION("IF(B138="""","""",RIGHT(REGEXREPLACE(B138&amp;"""",""[^0-9]"",""""),9))"),"723287278")</f>
        <v>723287278</v>
      </c>
      <c r="B138" s="48">
        <v>7.23287278E8</v>
      </c>
      <c r="C138" s="10" t="s">
        <v>223</v>
      </c>
      <c r="D138" s="10" t="s">
        <v>69</v>
      </c>
      <c r="E138" s="13">
        <v>46226.0</v>
      </c>
      <c r="F138" s="10" t="s">
        <v>113</v>
      </c>
      <c r="I138" s="10" t="s">
        <v>22</v>
      </c>
      <c r="J138" s="9" t="str">
        <f t="shared" si="25"/>
        <v>No</v>
      </c>
      <c r="K138" s="9" t="str">
        <f t="shared" si="26"/>
        <v/>
      </c>
      <c r="L138" s="9" t="str">
        <f t="shared" si="27"/>
        <v/>
      </c>
      <c r="M138" s="9"/>
      <c r="O138" s="9"/>
    </row>
    <row r="139" ht="15.75" customHeight="1">
      <c r="A139" s="9" t="str">
        <f>IFERROR(__xludf.DUMMYFUNCTION("IF(B139="""","""",RIGHT(REGEXREPLACE(B139&amp;"""",""[^0-9]"",""""),9))"),"702966822")</f>
        <v>702966822</v>
      </c>
      <c r="B139" s="48">
        <v>9.4702966822E10</v>
      </c>
      <c r="C139" s="10" t="s">
        <v>224</v>
      </c>
      <c r="D139" s="10" t="s">
        <v>20</v>
      </c>
      <c r="E139" s="13">
        <v>46226.0</v>
      </c>
      <c r="F139" s="10" t="s">
        <v>35</v>
      </c>
      <c r="I139" s="10" t="s">
        <v>22</v>
      </c>
      <c r="J139" s="9" t="str">
        <f t="shared" si="25"/>
        <v>No</v>
      </c>
      <c r="K139" s="9" t="str">
        <f t="shared" si="26"/>
        <v/>
      </c>
      <c r="L139" s="9" t="str">
        <f t="shared" si="27"/>
        <v/>
      </c>
      <c r="M139" s="9"/>
      <c r="O139" s="9"/>
    </row>
    <row r="140" ht="15.75" customHeight="1">
      <c r="A140" s="9" t="str">
        <f>IFERROR(__xludf.DUMMYFUNCTION("IF(B140="""","""",RIGHT(REGEXREPLACE(B140&amp;"""",""[^0-9]"",""""),9))"),"781751520")</f>
        <v>781751520</v>
      </c>
      <c r="B140" s="48">
        <v>9.478175152E10</v>
      </c>
      <c r="C140" s="10" t="s">
        <v>225</v>
      </c>
      <c r="D140" s="10" t="s">
        <v>20</v>
      </c>
      <c r="E140" s="13">
        <v>46226.0</v>
      </c>
      <c r="F140" s="10" t="s">
        <v>21</v>
      </c>
      <c r="I140" s="10" t="s">
        <v>22</v>
      </c>
      <c r="J140" s="9" t="str">
        <f t="shared" si="25"/>
        <v>No</v>
      </c>
      <c r="K140" s="9" t="str">
        <f t="shared" si="26"/>
        <v/>
      </c>
      <c r="L140" s="9" t="str">
        <f t="shared" si="27"/>
        <v/>
      </c>
      <c r="M140" s="9"/>
      <c r="O140" s="9"/>
    </row>
    <row r="141" ht="15.75" customHeight="1">
      <c r="A141" s="9" t="str">
        <f>IFERROR(__xludf.DUMMYFUNCTION("IF(B141="""","""",RIGHT(REGEXREPLACE(B141&amp;"""",""[^0-9]"",""""),9))"),"789767742")</f>
        <v>789767742</v>
      </c>
      <c r="B141" s="48">
        <v>7.89767742E8</v>
      </c>
      <c r="C141" s="10" t="s">
        <v>226</v>
      </c>
      <c r="D141" s="10" t="s">
        <v>50</v>
      </c>
      <c r="E141" s="13">
        <v>46226.0</v>
      </c>
      <c r="F141" s="10" t="s">
        <v>35</v>
      </c>
      <c r="G141" s="10">
        <v>10.0</v>
      </c>
      <c r="I141" s="10" t="s">
        <v>22</v>
      </c>
      <c r="J141" s="9" t="str">
        <f t="shared" si="25"/>
        <v>No</v>
      </c>
      <c r="K141" s="9" t="str">
        <f t="shared" si="26"/>
        <v/>
      </c>
      <c r="L141" s="9" t="str">
        <f t="shared" si="27"/>
        <v/>
      </c>
      <c r="M141" s="9"/>
      <c r="O141" s="9"/>
    </row>
    <row r="142" ht="15.75" customHeight="1">
      <c r="A142" s="9" t="str">
        <f>IFERROR(__xludf.DUMMYFUNCTION("IF(B142="""","""",RIGHT(REGEXREPLACE(B142&amp;"""",""[^0-9]"",""""),9))"),"718221696")</f>
        <v>718221696</v>
      </c>
      <c r="B142" s="48">
        <v>7.18221696E8</v>
      </c>
      <c r="C142" s="10" t="s">
        <v>227</v>
      </c>
      <c r="D142" s="10" t="s">
        <v>69</v>
      </c>
      <c r="E142" s="13">
        <v>46226.0</v>
      </c>
      <c r="F142" s="10" t="s">
        <v>35</v>
      </c>
      <c r="G142" s="10">
        <v>11.0</v>
      </c>
      <c r="I142" s="10" t="s">
        <v>22</v>
      </c>
      <c r="J142" s="9" t="str">
        <f t="shared" si="25"/>
        <v>No</v>
      </c>
      <c r="K142" s="9" t="str">
        <f t="shared" si="26"/>
        <v/>
      </c>
      <c r="L142" s="9" t="str">
        <f t="shared" si="27"/>
        <v/>
      </c>
      <c r="M142" s="9"/>
      <c r="O142" s="9"/>
    </row>
    <row r="143" ht="15.75" customHeight="1">
      <c r="A143" s="9" t="str">
        <f>IFERROR(__xludf.DUMMYFUNCTION("IF(B143="""","""",RIGHT(REGEXREPLACE(B143&amp;"""",""[^0-9]"",""""),9))"),"789657104")</f>
        <v>789657104</v>
      </c>
      <c r="B143" s="48">
        <v>7.89657104E8</v>
      </c>
      <c r="C143" s="10" t="s">
        <v>228</v>
      </c>
      <c r="D143" s="10" t="s">
        <v>69</v>
      </c>
      <c r="E143" s="13">
        <v>46226.0</v>
      </c>
      <c r="F143" s="10" t="s">
        <v>35</v>
      </c>
      <c r="G143" s="10">
        <v>11.0</v>
      </c>
      <c r="I143" s="10" t="s">
        <v>22</v>
      </c>
      <c r="J143" s="9" t="str">
        <f t="shared" si="25"/>
        <v>No</v>
      </c>
      <c r="K143" s="9" t="str">
        <f t="shared" si="26"/>
        <v/>
      </c>
      <c r="L143" s="9" t="str">
        <f t="shared" si="27"/>
        <v/>
      </c>
      <c r="M143" s="9"/>
      <c r="O143" s="9"/>
    </row>
    <row r="144" ht="15.75" customHeight="1">
      <c r="A144" s="9" t="str">
        <f>IFERROR(__xludf.DUMMYFUNCTION("IF(B144="""","""",RIGHT(REGEXREPLACE(B144&amp;"""",""[^0-9]"",""""),9))"),"784146451")</f>
        <v>784146451</v>
      </c>
      <c r="B144" s="48">
        <v>7.84146451E8</v>
      </c>
      <c r="C144" s="10" t="s">
        <v>229</v>
      </c>
      <c r="D144" s="10" t="s">
        <v>34</v>
      </c>
      <c r="E144" s="13">
        <v>46226.0</v>
      </c>
      <c r="F144" s="10" t="s">
        <v>21</v>
      </c>
      <c r="I144" s="10" t="s">
        <v>22</v>
      </c>
      <c r="J144" s="9" t="str">
        <f t="shared" si="25"/>
        <v>No</v>
      </c>
      <c r="K144" s="9" t="str">
        <f t="shared" si="26"/>
        <v/>
      </c>
      <c r="L144" s="9" t="str">
        <f t="shared" si="27"/>
        <v/>
      </c>
      <c r="M144" s="9"/>
      <c r="O144" s="9"/>
    </row>
    <row r="145" ht="15.75" customHeight="1">
      <c r="A145" s="9" t="str">
        <f>IFERROR(__xludf.DUMMYFUNCTION("IF(B145="""","""",RIGHT(REGEXREPLACE(B145&amp;"""",""[^0-9]"",""""),9))"),"715664942")</f>
        <v>715664942</v>
      </c>
      <c r="B145" s="48">
        <v>7.15664942E8</v>
      </c>
      <c r="C145" s="10" t="s">
        <v>230</v>
      </c>
      <c r="D145" s="10" t="s">
        <v>120</v>
      </c>
      <c r="E145" s="13">
        <v>46226.0</v>
      </c>
      <c r="F145" s="10" t="s">
        <v>35</v>
      </c>
      <c r="G145" s="10">
        <v>11.0</v>
      </c>
      <c r="I145" s="10" t="s">
        <v>22</v>
      </c>
      <c r="J145" s="9" t="str">
        <f t="shared" si="25"/>
        <v>No</v>
      </c>
      <c r="K145" s="9" t="str">
        <f t="shared" si="26"/>
        <v/>
      </c>
      <c r="L145" s="9" t="str">
        <f t="shared" si="27"/>
        <v/>
      </c>
      <c r="M145" s="9"/>
      <c r="O145" s="9"/>
    </row>
    <row r="146" ht="15.75" customHeight="1">
      <c r="A146" s="9" t="str">
        <f>IFERROR(__xludf.DUMMYFUNCTION("IF(B146="""","""",RIGHT(REGEXREPLACE(B146&amp;"""",""[^0-9]"",""""),9))"),"718738868")</f>
        <v>718738868</v>
      </c>
      <c r="B146" s="10">
        <v>7.18738868E8</v>
      </c>
      <c r="C146" s="10" t="s">
        <v>231</v>
      </c>
      <c r="D146" s="10" t="s">
        <v>20</v>
      </c>
      <c r="E146" s="13">
        <v>46226.0</v>
      </c>
      <c r="F146" s="10" t="s">
        <v>113</v>
      </c>
      <c r="H146" s="10" t="s">
        <v>232</v>
      </c>
      <c r="I146" s="10" t="s">
        <v>22</v>
      </c>
      <c r="J146" s="9" t="str">
        <f t="shared" si="25"/>
        <v>No</v>
      </c>
      <c r="K146" s="9" t="str">
        <f t="shared" si="26"/>
        <v/>
      </c>
      <c r="L146" s="9" t="str">
        <f t="shared" si="27"/>
        <v/>
      </c>
      <c r="M146" s="9"/>
      <c r="O146" s="9"/>
    </row>
    <row r="147" ht="15.75" customHeight="1">
      <c r="A147" s="9" t="str">
        <f>IFERROR(__xludf.DUMMYFUNCTION("IF(B147="""","""",RIGHT(REGEXREPLACE(B147&amp;"""",""[^0-9]"",""""),9))"),"783468973")</f>
        <v>783468973</v>
      </c>
      <c r="B147" s="48">
        <v>7.83468973E8</v>
      </c>
      <c r="C147" s="10" t="s">
        <v>233</v>
      </c>
      <c r="D147" s="10" t="s">
        <v>50</v>
      </c>
      <c r="E147" s="13">
        <v>46226.0</v>
      </c>
      <c r="F147" s="9"/>
      <c r="G147" s="10">
        <v>11.0</v>
      </c>
      <c r="H147" s="9"/>
      <c r="I147" s="10" t="s">
        <v>22</v>
      </c>
      <c r="J147" s="9" t="str">
        <f t="shared" si="25"/>
        <v>No</v>
      </c>
      <c r="K147" s="9" t="str">
        <f t="shared" si="26"/>
        <v/>
      </c>
      <c r="L147" s="9" t="str">
        <f t="shared" si="27"/>
        <v/>
      </c>
      <c r="M147" s="9"/>
      <c r="N147" s="9"/>
      <c r="O147" s="9"/>
      <c r="P147" s="9"/>
    </row>
    <row r="148" ht="15.75" customHeight="1">
      <c r="A148" s="9" t="str">
        <f>IFERROR(__xludf.DUMMYFUNCTION("IF(B148="""","""",RIGHT(REGEXREPLACE(B148&amp;"""",""[^0-9]"",""""),9))"),"705597335")</f>
        <v>705597335</v>
      </c>
      <c r="B148" s="48">
        <v>7.05597335E8</v>
      </c>
      <c r="C148" s="10" t="s">
        <v>234</v>
      </c>
      <c r="D148" s="10" t="s">
        <v>34</v>
      </c>
      <c r="E148" s="13">
        <v>46226.0</v>
      </c>
      <c r="F148" s="10" t="s">
        <v>21</v>
      </c>
      <c r="G148" s="10">
        <v>11.0</v>
      </c>
      <c r="I148" s="10" t="s">
        <v>22</v>
      </c>
      <c r="J148" s="9" t="str">
        <f t="shared" si="25"/>
        <v>No</v>
      </c>
      <c r="K148" s="9" t="str">
        <f t="shared" si="26"/>
        <v/>
      </c>
      <c r="L148" s="9" t="str">
        <f t="shared" si="27"/>
        <v/>
      </c>
      <c r="M148" s="9"/>
      <c r="O148" s="9"/>
    </row>
    <row r="149" ht="15.75" customHeight="1">
      <c r="A149" s="9" t="str">
        <f>IFERROR(__xludf.DUMMYFUNCTION("IF(B149="""","""",RIGHT(REGEXREPLACE(B149&amp;"""",""[^0-9]"",""""),9))"),"766434339")</f>
        <v>766434339</v>
      </c>
      <c r="B149" s="48">
        <v>7.66434339E8</v>
      </c>
      <c r="C149" s="10" t="s">
        <v>235</v>
      </c>
      <c r="D149" s="10" t="s">
        <v>120</v>
      </c>
      <c r="E149" s="13">
        <v>46226.0</v>
      </c>
      <c r="F149" s="10" t="s">
        <v>35</v>
      </c>
      <c r="G149" s="10">
        <v>11.0</v>
      </c>
      <c r="I149" s="10" t="s">
        <v>22</v>
      </c>
      <c r="J149" s="9" t="str">
        <f t="shared" si="25"/>
        <v>No</v>
      </c>
      <c r="K149" s="9" t="str">
        <f t="shared" si="26"/>
        <v/>
      </c>
      <c r="L149" s="9" t="str">
        <f t="shared" si="27"/>
        <v/>
      </c>
      <c r="M149" s="9"/>
      <c r="O149" s="9"/>
    </row>
    <row r="150" ht="15.75" customHeight="1">
      <c r="A150" s="9" t="str">
        <f>IFERROR(__xludf.DUMMYFUNCTION("IF(B150="""","""",RIGHT(REGEXREPLACE(B150&amp;"""",""[^0-9]"",""""),9))"),"767970597")</f>
        <v>767970597</v>
      </c>
      <c r="B150" s="48">
        <v>7.67970597E8</v>
      </c>
      <c r="C150" s="10" t="s">
        <v>236</v>
      </c>
      <c r="D150" s="10" t="s">
        <v>69</v>
      </c>
      <c r="E150" s="13">
        <v>46226.0</v>
      </c>
      <c r="F150" s="10" t="s">
        <v>198</v>
      </c>
      <c r="I150" s="10" t="s">
        <v>22</v>
      </c>
      <c r="J150" s="9" t="str">
        <f t="shared" si="25"/>
        <v>No</v>
      </c>
      <c r="K150" s="9" t="str">
        <f t="shared" si="26"/>
        <v/>
      </c>
      <c r="L150" s="9" t="str">
        <f t="shared" si="27"/>
        <v/>
      </c>
      <c r="M150" s="9"/>
      <c r="O150" s="9"/>
    </row>
    <row r="151" ht="15.75" customHeight="1">
      <c r="A151" s="9" t="str">
        <f>IFERROR(__xludf.DUMMYFUNCTION("IF(B151="""","""",RIGHT(REGEXREPLACE(B151&amp;"""",""[^0-9]"",""""),9))"),"778954287")</f>
        <v>778954287</v>
      </c>
      <c r="B151" s="10">
        <v>7.78954287E8</v>
      </c>
      <c r="C151" s="10" t="s">
        <v>237</v>
      </c>
      <c r="D151" s="10" t="s">
        <v>20</v>
      </c>
      <c r="E151" s="13">
        <v>46226.0</v>
      </c>
      <c r="F151" s="10" t="s">
        <v>113</v>
      </c>
      <c r="H151" s="10" t="s">
        <v>238</v>
      </c>
      <c r="I151" s="10" t="s">
        <v>22</v>
      </c>
      <c r="J151" s="9" t="str">
        <f t="shared" si="25"/>
        <v>No</v>
      </c>
      <c r="K151" s="9" t="str">
        <f t="shared" si="26"/>
        <v/>
      </c>
      <c r="L151" s="9" t="str">
        <f t="shared" si="27"/>
        <v/>
      </c>
      <c r="M151" s="9"/>
      <c r="O151" s="9"/>
    </row>
    <row r="152" ht="15.75" customHeight="1">
      <c r="A152" s="9" t="str">
        <f>IFERROR(__xludf.DUMMYFUNCTION("IF(B152="""","""",RIGHT(REGEXREPLACE(B152&amp;"""",""[^0-9]"",""""),9))"),"718206457")</f>
        <v>718206457</v>
      </c>
      <c r="B152" s="48">
        <v>7.18206457E8</v>
      </c>
      <c r="C152" s="10" t="s">
        <v>239</v>
      </c>
      <c r="D152" s="10" t="s">
        <v>50</v>
      </c>
      <c r="E152" s="13">
        <v>46226.0</v>
      </c>
      <c r="F152" s="10" t="s">
        <v>198</v>
      </c>
      <c r="I152" s="10" t="s">
        <v>22</v>
      </c>
      <c r="J152" s="9" t="str">
        <f t="shared" si="25"/>
        <v>No</v>
      </c>
      <c r="K152" s="9" t="str">
        <f t="shared" si="26"/>
        <v/>
      </c>
      <c r="L152" s="9" t="str">
        <f t="shared" si="27"/>
        <v/>
      </c>
      <c r="M152" s="9"/>
      <c r="O152" s="9"/>
    </row>
    <row r="153" ht="15.75" customHeight="1">
      <c r="A153" s="9" t="str">
        <f>IFERROR(__xludf.DUMMYFUNCTION("IF(B153="""","""",RIGHT(REGEXREPLACE(B153&amp;"""",""[^0-9]"",""""),9))"),"701179517")</f>
        <v>701179517</v>
      </c>
      <c r="B153" s="64">
        <v>9.4701179517E10</v>
      </c>
      <c r="C153" s="10" t="s">
        <v>240</v>
      </c>
      <c r="D153" s="10" t="s">
        <v>20</v>
      </c>
      <c r="E153" s="13">
        <v>46226.0</v>
      </c>
      <c r="F153" s="10" t="s">
        <v>198</v>
      </c>
      <c r="I153" s="10" t="s">
        <v>22</v>
      </c>
      <c r="J153" s="9" t="str">
        <f t="shared" si="25"/>
        <v>No</v>
      </c>
      <c r="K153" s="9" t="str">
        <f t="shared" si="26"/>
        <v/>
      </c>
      <c r="L153" s="9" t="str">
        <f t="shared" si="27"/>
        <v/>
      </c>
      <c r="M153" s="9"/>
      <c r="O153" s="9"/>
    </row>
    <row r="154" ht="15.75" customHeight="1">
      <c r="A154" s="9" t="str">
        <f>IFERROR(__xludf.DUMMYFUNCTION("IF(B154="""","""",RIGHT(REGEXREPLACE(B154&amp;"""",""[^0-9]"",""""),9))"),"726158641")</f>
        <v>726158641</v>
      </c>
      <c r="B154" s="48">
        <v>9.4726158641E10</v>
      </c>
      <c r="C154" s="10" t="s">
        <v>241</v>
      </c>
      <c r="D154" s="10" t="s">
        <v>20</v>
      </c>
      <c r="E154" s="13">
        <v>46226.0</v>
      </c>
      <c r="F154" s="10" t="s">
        <v>35</v>
      </c>
      <c r="G154" s="10">
        <v>10.0</v>
      </c>
      <c r="H154" s="10" t="s">
        <v>242</v>
      </c>
      <c r="I154" s="10" t="s">
        <v>22</v>
      </c>
      <c r="J154" s="9" t="str">
        <f t="shared" si="25"/>
        <v>No</v>
      </c>
      <c r="K154" s="9" t="str">
        <f t="shared" si="26"/>
        <v/>
      </c>
      <c r="L154" s="9" t="str">
        <f t="shared" si="27"/>
        <v/>
      </c>
      <c r="M154" s="9"/>
      <c r="O154" s="9"/>
    </row>
    <row r="155" ht="15.75" customHeight="1">
      <c r="A155" s="9" t="str">
        <f>IFERROR(__xludf.DUMMYFUNCTION("IF(B155="""","""",RIGHT(REGEXREPLACE(B155&amp;"""",""[^0-9]"",""""),9))"),"770063790")</f>
        <v>770063790</v>
      </c>
      <c r="B155" s="48">
        <v>7.7006379E8</v>
      </c>
      <c r="C155" s="10" t="s">
        <v>243</v>
      </c>
      <c r="D155" s="10" t="s">
        <v>50</v>
      </c>
      <c r="E155" s="13">
        <v>46226.0</v>
      </c>
      <c r="F155" s="10" t="s">
        <v>35</v>
      </c>
      <c r="G155" s="10">
        <v>11.0</v>
      </c>
      <c r="I155" s="10" t="s">
        <v>22</v>
      </c>
      <c r="J155" s="9" t="str">
        <f t="shared" si="25"/>
        <v>No</v>
      </c>
      <c r="K155" s="9" t="str">
        <f t="shared" si="26"/>
        <v/>
      </c>
      <c r="L155" s="9" t="str">
        <f t="shared" si="27"/>
        <v/>
      </c>
      <c r="M155" s="9"/>
      <c r="O155" s="9"/>
    </row>
    <row r="156" ht="15.75" customHeight="1">
      <c r="A156" s="9" t="str">
        <f>IFERROR(__xludf.DUMMYFUNCTION("IF(B156="""","""",RIGHT(REGEXREPLACE(B156&amp;"""",""[^0-9]"",""""),9))"),"765897723")</f>
        <v>765897723</v>
      </c>
      <c r="B156" s="48">
        <v>7.65897723E8</v>
      </c>
      <c r="C156" s="10" t="s">
        <v>244</v>
      </c>
      <c r="D156" s="10" t="s">
        <v>120</v>
      </c>
      <c r="E156" s="13">
        <v>46226.0</v>
      </c>
      <c r="F156" s="10" t="s">
        <v>198</v>
      </c>
      <c r="I156" s="10" t="s">
        <v>22</v>
      </c>
      <c r="J156" s="9" t="str">
        <f t="shared" si="25"/>
        <v>No</v>
      </c>
      <c r="K156" s="9" t="str">
        <f t="shared" si="26"/>
        <v/>
      </c>
      <c r="L156" s="9" t="str">
        <f t="shared" si="27"/>
        <v/>
      </c>
      <c r="M156" s="9"/>
      <c r="O156" s="9"/>
    </row>
    <row r="157" ht="15.75" customHeight="1">
      <c r="A157" s="9" t="str">
        <f>IFERROR(__xludf.DUMMYFUNCTION("IF(B157="""","""",RIGHT(REGEXREPLACE(B157&amp;"""",""[^0-9]"",""""),9))"),"767054036")</f>
        <v>767054036</v>
      </c>
      <c r="B157" s="48">
        <v>7.67054036E8</v>
      </c>
      <c r="C157" s="10" t="s">
        <v>245</v>
      </c>
      <c r="D157" s="10" t="s">
        <v>120</v>
      </c>
      <c r="E157" s="13">
        <v>46226.0</v>
      </c>
      <c r="F157" s="10" t="s">
        <v>198</v>
      </c>
      <c r="G157" s="10">
        <v>11.0</v>
      </c>
      <c r="I157" s="10" t="s">
        <v>22</v>
      </c>
      <c r="J157" s="9" t="str">
        <f t="shared" si="25"/>
        <v>No</v>
      </c>
      <c r="K157" s="9" t="str">
        <f t="shared" si="26"/>
        <v/>
      </c>
      <c r="L157" s="9" t="str">
        <f t="shared" si="27"/>
        <v/>
      </c>
      <c r="M157" s="9"/>
      <c r="O157" s="9"/>
    </row>
    <row r="158" ht="15.75" customHeight="1">
      <c r="A158" s="9" t="str">
        <f>IFERROR(__xludf.DUMMYFUNCTION("IF(B158="""","""",RIGHT(REGEXREPLACE(B158&amp;"""",""[^0-9]"",""""),9))"),"779262113")</f>
        <v>779262113</v>
      </c>
      <c r="B158" s="48">
        <v>7.79262113E8</v>
      </c>
      <c r="C158" s="10" t="s">
        <v>246</v>
      </c>
      <c r="D158" s="10" t="s">
        <v>50</v>
      </c>
      <c r="E158" s="13">
        <v>46226.0</v>
      </c>
      <c r="F158" s="10" t="s">
        <v>35</v>
      </c>
      <c r="G158" s="10">
        <v>10.0</v>
      </c>
      <c r="I158" s="10" t="s">
        <v>22</v>
      </c>
      <c r="J158" s="9" t="str">
        <f t="shared" si="25"/>
        <v>No</v>
      </c>
      <c r="K158" s="9" t="str">
        <f t="shared" si="26"/>
        <v/>
      </c>
      <c r="L158" s="9" t="str">
        <f t="shared" si="27"/>
        <v/>
      </c>
      <c r="M158" s="9"/>
      <c r="O158" s="9"/>
    </row>
    <row r="159" ht="15.75" customHeight="1">
      <c r="A159" s="9" t="str">
        <f>IFERROR(__xludf.DUMMYFUNCTION("IF(B159="""","""",RIGHT(REGEXREPLACE(B159&amp;"""",""[^0-9]"",""""),9))"),"777350553")</f>
        <v>777350553</v>
      </c>
      <c r="B159" s="48">
        <v>7.77350553E8</v>
      </c>
      <c r="C159" s="10" t="s">
        <v>247</v>
      </c>
      <c r="D159" s="10" t="s">
        <v>34</v>
      </c>
      <c r="E159" s="13">
        <v>46226.0</v>
      </c>
      <c r="F159" s="10" t="s">
        <v>35</v>
      </c>
      <c r="G159" s="10">
        <v>6.0</v>
      </c>
      <c r="I159" s="10" t="s">
        <v>22</v>
      </c>
      <c r="J159" s="9" t="str">
        <f t="shared" si="25"/>
        <v>No</v>
      </c>
      <c r="K159" s="9" t="str">
        <f t="shared" si="26"/>
        <v/>
      </c>
      <c r="L159" s="9" t="str">
        <f t="shared" si="27"/>
        <v/>
      </c>
      <c r="M159" s="9"/>
      <c r="O159" s="9"/>
    </row>
    <row r="160" ht="15.75" customHeight="1">
      <c r="A160" s="9" t="str">
        <f>IFERROR(__xludf.DUMMYFUNCTION("IF(B160="""","""",RIGHT(REGEXREPLACE(B160&amp;"""",""[^0-9]"",""""),9))"),"706458686")</f>
        <v>706458686</v>
      </c>
      <c r="B160" s="48">
        <v>7.06458686E8</v>
      </c>
      <c r="C160" s="10" t="s">
        <v>248</v>
      </c>
      <c r="D160" s="10" t="s">
        <v>69</v>
      </c>
      <c r="E160" s="13">
        <v>46226.0</v>
      </c>
      <c r="F160" s="10" t="s">
        <v>35</v>
      </c>
      <c r="G160" s="10">
        <v>11.0</v>
      </c>
      <c r="I160" s="10" t="s">
        <v>22</v>
      </c>
      <c r="J160" s="9" t="str">
        <f t="shared" si="25"/>
        <v>No</v>
      </c>
      <c r="K160" s="9" t="str">
        <f t="shared" si="26"/>
        <v/>
      </c>
      <c r="L160" s="9" t="str">
        <f t="shared" si="27"/>
        <v/>
      </c>
      <c r="M160" s="9"/>
      <c r="O160" s="9"/>
    </row>
    <row r="161" ht="15.75" customHeight="1">
      <c r="A161" s="9" t="str">
        <f>IFERROR(__xludf.DUMMYFUNCTION("IF(B161="""","""",RIGHT(REGEXREPLACE(B161&amp;"""",""[^0-9]"",""""),9))"),"766704837")</f>
        <v>766704837</v>
      </c>
      <c r="B161" s="48">
        <v>7.66704837E8</v>
      </c>
      <c r="C161" s="10" t="s">
        <v>249</v>
      </c>
      <c r="D161" s="10" t="s">
        <v>120</v>
      </c>
      <c r="E161" s="13">
        <v>46226.0</v>
      </c>
      <c r="F161" s="10" t="s">
        <v>145</v>
      </c>
      <c r="G161" s="10">
        <v>11.0</v>
      </c>
      <c r="I161" s="10" t="s">
        <v>22</v>
      </c>
      <c r="J161" s="9" t="str">
        <f t="shared" si="25"/>
        <v>No</v>
      </c>
      <c r="K161" s="9" t="str">
        <f t="shared" si="26"/>
        <v/>
      </c>
      <c r="L161" s="9" t="str">
        <f t="shared" si="27"/>
        <v/>
      </c>
      <c r="M161" s="9"/>
      <c r="O161" s="9"/>
    </row>
    <row r="162" ht="15.75" customHeight="1">
      <c r="A162" s="9" t="str">
        <f>IFERROR(__xludf.DUMMYFUNCTION("IF(B162="""","""",RIGHT(REGEXREPLACE(B162&amp;"""",""[^0-9]"",""""),9))"),"706435653")</f>
        <v>706435653</v>
      </c>
      <c r="B162" s="48">
        <v>7.06435653E8</v>
      </c>
      <c r="C162" s="10" t="s">
        <v>250</v>
      </c>
      <c r="D162" s="10" t="s">
        <v>34</v>
      </c>
      <c r="E162" s="13">
        <v>46226.0</v>
      </c>
      <c r="F162" s="10" t="s">
        <v>21</v>
      </c>
      <c r="I162" s="10" t="s">
        <v>22</v>
      </c>
      <c r="J162" s="9" t="str">
        <f t="shared" si="25"/>
        <v>No</v>
      </c>
      <c r="K162" s="9" t="str">
        <f t="shared" si="26"/>
        <v/>
      </c>
      <c r="L162" s="9" t="str">
        <f t="shared" si="27"/>
        <v/>
      </c>
      <c r="M162" s="9"/>
      <c r="O162" s="9"/>
    </row>
    <row r="163" ht="15.75" customHeight="1">
      <c r="A163" s="9" t="str">
        <f>IFERROR(__xludf.DUMMYFUNCTION("IF(B163="""","""",RIGHT(REGEXREPLACE(B163&amp;"""",""[^0-9]"",""""),9))"),"759321962")</f>
        <v>759321962</v>
      </c>
      <c r="B163" s="48">
        <v>7.59321962E8</v>
      </c>
      <c r="C163" s="10" t="s">
        <v>251</v>
      </c>
      <c r="D163" s="10" t="s">
        <v>50</v>
      </c>
      <c r="E163" s="13">
        <v>46226.0</v>
      </c>
      <c r="F163" s="10" t="s">
        <v>35</v>
      </c>
      <c r="G163" s="10">
        <v>11.0</v>
      </c>
      <c r="I163" s="10" t="s">
        <v>22</v>
      </c>
      <c r="J163" s="9" t="str">
        <f t="shared" si="25"/>
        <v>No</v>
      </c>
      <c r="K163" s="9" t="str">
        <f t="shared" si="26"/>
        <v/>
      </c>
      <c r="L163" s="9" t="str">
        <f t="shared" si="27"/>
        <v/>
      </c>
      <c r="M163" s="9"/>
      <c r="O163" s="9"/>
    </row>
    <row r="164" ht="15.75" customHeight="1">
      <c r="A164" s="9" t="str">
        <f>IFERROR(__xludf.DUMMYFUNCTION("IF(B164="""","""",RIGHT(REGEXREPLACE(B164&amp;"""",""[^0-9]"",""""),9))"),"767503436")</f>
        <v>767503436</v>
      </c>
      <c r="B164" s="10">
        <v>7.67503436E8</v>
      </c>
      <c r="C164" s="10" t="s">
        <v>252</v>
      </c>
      <c r="D164" s="10" t="s">
        <v>20</v>
      </c>
      <c r="E164" s="13">
        <v>46226.0</v>
      </c>
      <c r="F164" s="10" t="s">
        <v>145</v>
      </c>
      <c r="I164" s="10" t="s">
        <v>22</v>
      </c>
      <c r="J164" s="9" t="str">
        <f t="shared" si="25"/>
        <v>No</v>
      </c>
      <c r="K164" s="9" t="str">
        <f t="shared" si="26"/>
        <v/>
      </c>
      <c r="L164" s="9" t="str">
        <f t="shared" si="27"/>
        <v/>
      </c>
      <c r="M164" s="9"/>
      <c r="O164" s="9"/>
    </row>
    <row r="165" ht="15.75" customHeight="1">
      <c r="A165" s="9" t="str">
        <f>IFERROR(__xludf.DUMMYFUNCTION("IF(B165="""","""",RIGHT(REGEXREPLACE(B165&amp;"""",""[^0-9]"",""""),9))"),"764575543")</f>
        <v>764575543</v>
      </c>
      <c r="B165" s="10">
        <v>7.64575543E8</v>
      </c>
      <c r="C165" s="10" t="s">
        <v>253</v>
      </c>
      <c r="D165" s="10" t="s">
        <v>20</v>
      </c>
      <c r="E165" s="13">
        <v>46226.0</v>
      </c>
      <c r="F165" s="10" t="s">
        <v>35</v>
      </c>
      <c r="G165" s="10">
        <v>7.0</v>
      </c>
      <c r="I165" s="10" t="s">
        <v>22</v>
      </c>
      <c r="J165" s="9" t="str">
        <f t="shared" si="25"/>
        <v>No</v>
      </c>
      <c r="K165" s="9" t="str">
        <f t="shared" si="26"/>
        <v/>
      </c>
      <c r="L165" s="9" t="str">
        <f t="shared" si="27"/>
        <v/>
      </c>
      <c r="M165" s="9"/>
      <c r="O165" s="9"/>
    </row>
    <row r="166" ht="15.75" customHeight="1">
      <c r="A166" s="9" t="str">
        <f>IFERROR(__xludf.DUMMYFUNCTION("IF(B166="""","""",RIGHT(REGEXREPLACE(B166&amp;"""",""[^0-9]"",""""),9))"),"762396757")</f>
        <v>762396757</v>
      </c>
      <c r="B166" s="48">
        <v>7.62396757E8</v>
      </c>
      <c r="C166" s="10" t="s">
        <v>254</v>
      </c>
      <c r="D166" s="10" t="s">
        <v>34</v>
      </c>
      <c r="E166" s="13">
        <v>46226.0</v>
      </c>
      <c r="F166" s="10" t="s">
        <v>113</v>
      </c>
      <c r="I166" s="10" t="s">
        <v>22</v>
      </c>
      <c r="J166" s="9" t="str">
        <f t="shared" si="25"/>
        <v>No</v>
      </c>
      <c r="K166" s="9" t="str">
        <f t="shared" si="26"/>
        <v/>
      </c>
      <c r="L166" s="9" t="str">
        <f t="shared" si="27"/>
        <v/>
      </c>
      <c r="M166" s="9"/>
      <c r="O166" s="9"/>
    </row>
    <row r="167" ht="15.75" customHeight="1">
      <c r="A167" s="9" t="str">
        <f>IFERROR(__xludf.DUMMYFUNCTION("IF(B167="""","""",RIGHT(REGEXREPLACE(B167&amp;"""",""[^0-9]"",""""),9))"),"771148779")</f>
        <v>771148779</v>
      </c>
      <c r="B167" s="48">
        <v>7.71148779E8</v>
      </c>
      <c r="C167" s="10" t="s">
        <v>255</v>
      </c>
      <c r="D167" s="10" t="s">
        <v>69</v>
      </c>
      <c r="E167" s="13">
        <v>46226.0</v>
      </c>
      <c r="F167" s="10" t="s">
        <v>35</v>
      </c>
      <c r="G167" s="10">
        <v>9.0</v>
      </c>
      <c r="I167" s="10" t="s">
        <v>22</v>
      </c>
      <c r="J167" s="9" t="str">
        <f t="shared" si="25"/>
        <v>No</v>
      </c>
      <c r="K167" s="9" t="str">
        <f t="shared" si="26"/>
        <v/>
      </c>
      <c r="L167" s="9" t="str">
        <f t="shared" si="27"/>
        <v/>
      </c>
      <c r="M167" s="9"/>
      <c r="O167" s="9"/>
    </row>
    <row r="168" ht="15.75" customHeight="1">
      <c r="A168" s="9" t="str">
        <f>IFERROR(__xludf.DUMMYFUNCTION("IF(B168="""","""",RIGHT(REGEXREPLACE(B168&amp;"""",""[^0-9]"",""""),9))"),"777572552")</f>
        <v>777572552</v>
      </c>
      <c r="B168" s="48">
        <v>7.77572552E8</v>
      </c>
      <c r="C168" s="10" t="s">
        <v>256</v>
      </c>
      <c r="D168" s="10" t="s">
        <v>120</v>
      </c>
      <c r="E168" s="13">
        <v>46226.0</v>
      </c>
      <c r="F168" s="10" t="s">
        <v>145</v>
      </c>
      <c r="G168" s="10">
        <v>11.0</v>
      </c>
      <c r="I168" s="10" t="s">
        <v>22</v>
      </c>
      <c r="J168" s="9" t="str">
        <f t="shared" si="25"/>
        <v>No</v>
      </c>
      <c r="K168" s="9" t="str">
        <f t="shared" si="26"/>
        <v/>
      </c>
      <c r="L168" s="9" t="str">
        <f t="shared" si="27"/>
        <v/>
      </c>
      <c r="M168" s="9"/>
      <c r="O168" s="9"/>
    </row>
    <row r="169" ht="15.75" customHeight="1">
      <c r="A169" s="9" t="str">
        <f>IFERROR(__xludf.DUMMYFUNCTION("IF(B169="""","""",RIGHT(REGEXREPLACE(B169&amp;"""",""[^0-9]"",""""),9))"),"715511820")</f>
        <v>715511820</v>
      </c>
      <c r="B169" s="48">
        <v>7.1551182E8</v>
      </c>
      <c r="C169" s="10" t="s">
        <v>257</v>
      </c>
      <c r="D169" s="10" t="s">
        <v>50</v>
      </c>
      <c r="E169" s="13">
        <v>46226.0</v>
      </c>
      <c r="F169" s="10" t="s">
        <v>21</v>
      </c>
      <c r="I169" s="10" t="s">
        <v>22</v>
      </c>
      <c r="J169" s="9" t="str">
        <f t="shared" si="25"/>
        <v>No</v>
      </c>
      <c r="K169" s="9" t="str">
        <f t="shared" si="26"/>
        <v/>
      </c>
      <c r="L169" s="9" t="str">
        <f t="shared" si="27"/>
        <v/>
      </c>
      <c r="M169" s="9"/>
      <c r="O169" s="9"/>
    </row>
    <row r="170" ht="15.75" customHeight="1">
      <c r="A170" s="9" t="str">
        <f>IFERROR(__xludf.DUMMYFUNCTION("IF(B170="""","""",RIGHT(REGEXREPLACE(B170&amp;"""",""[^0-9]"",""""),9))"),"774415086")</f>
        <v>774415086</v>
      </c>
      <c r="B170" s="48">
        <v>7.74415086E8</v>
      </c>
      <c r="C170" s="10" t="s">
        <v>258</v>
      </c>
      <c r="D170" s="10" t="s">
        <v>34</v>
      </c>
      <c r="E170" s="13">
        <v>46226.0</v>
      </c>
      <c r="F170" s="10" t="s">
        <v>21</v>
      </c>
      <c r="G170" s="10">
        <v>11.0</v>
      </c>
      <c r="I170" s="10" t="s">
        <v>22</v>
      </c>
      <c r="J170" s="9" t="str">
        <f t="shared" si="25"/>
        <v>No</v>
      </c>
      <c r="K170" s="9" t="str">
        <f t="shared" si="26"/>
        <v/>
      </c>
      <c r="L170" s="9" t="str">
        <f t="shared" si="27"/>
        <v/>
      </c>
      <c r="M170" s="9"/>
      <c r="O170" s="9"/>
    </row>
    <row r="171" ht="15.75" customHeight="1">
      <c r="A171" s="9" t="str">
        <f>IFERROR(__xludf.DUMMYFUNCTION("IF(B171="""","""",RIGHT(REGEXREPLACE(B171&amp;"""",""[^0-9]"",""""),9))"),"715837393")</f>
        <v>715837393</v>
      </c>
      <c r="B171" s="48">
        <v>7.15837393E8</v>
      </c>
      <c r="C171" s="10" t="s">
        <v>259</v>
      </c>
      <c r="D171" s="10" t="s">
        <v>34</v>
      </c>
      <c r="E171" s="13">
        <v>46226.0</v>
      </c>
      <c r="F171" s="10" t="s">
        <v>35</v>
      </c>
      <c r="G171" s="10">
        <v>11.0</v>
      </c>
      <c r="I171" s="10" t="s">
        <v>22</v>
      </c>
      <c r="J171" s="9" t="str">
        <f t="shared" si="25"/>
        <v>No</v>
      </c>
      <c r="K171" s="9" t="str">
        <f t="shared" si="26"/>
        <v/>
      </c>
      <c r="L171" s="9" t="str">
        <f t="shared" si="27"/>
        <v/>
      </c>
      <c r="M171" s="9"/>
      <c r="O171" s="9"/>
    </row>
    <row r="172" ht="15.75" customHeight="1">
      <c r="A172" s="9" t="str">
        <f>IFERROR(__xludf.DUMMYFUNCTION("IF(B172="""","""",RIGHT(REGEXREPLACE(B172&amp;"""",""[^0-9]"",""""),9))"),"781862376")</f>
        <v>781862376</v>
      </c>
      <c r="B172" s="10">
        <v>7.81862376E8</v>
      </c>
      <c r="C172" s="10" t="s">
        <v>260</v>
      </c>
      <c r="D172" s="10" t="s">
        <v>20</v>
      </c>
      <c r="E172" s="13">
        <v>46226.0</v>
      </c>
      <c r="F172" s="10" t="s">
        <v>198</v>
      </c>
      <c r="I172" s="10" t="s">
        <v>22</v>
      </c>
      <c r="J172" s="9" t="str">
        <f t="shared" si="25"/>
        <v>No</v>
      </c>
      <c r="K172" s="9" t="str">
        <f t="shared" si="26"/>
        <v/>
      </c>
      <c r="L172" s="9" t="str">
        <f t="shared" si="27"/>
        <v/>
      </c>
      <c r="M172" s="9"/>
      <c r="O172" s="9"/>
    </row>
    <row r="173" ht="15.75" customHeight="1">
      <c r="A173" s="9" t="str">
        <f>IFERROR(__xludf.DUMMYFUNCTION("IF(B173="""","""",RIGHT(REGEXREPLACE(B173&amp;"""",""[^0-9]"",""""),9))"),"761261484")</f>
        <v>761261484</v>
      </c>
      <c r="B173" s="48">
        <v>7.61261484E8</v>
      </c>
      <c r="C173" s="10" t="s">
        <v>261</v>
      </c>
      <c r="D173" s="10" t="s">
        <v>120</v>
      </c>
      <c r="E173" s="13">
        <v>46226.0</v>
      </c>
      <c r="F173" s="10" t="s">
        <v>198</v>
      </c>
      <c r="I173" s="10" t="s">
        <v>22</v>
      </c>
      <c r="J173" s="9" t="str">
        <f t="shared" si="25"/>
        <v>No</v>
      </c>
      <c r="K173" s="9" t="str">
        <f t="shared" si="26"/>
        <v/>
      </c>
      <c r="L173" s="9" t="str">
        <f t="shared" si="27"/>
        <v/>
      </c>
      <c r="M173" s="9"/>
      <c r="O173" s="9"/>
    </row>
    <row r="174" ht="15.75" customHeight="1">
      <c r="A174" s="9" t="str">
        <f>IFERROR(__xludf.DUMMYFUNCTION("IF(B174="""","""",RIGHT(REGEXREPLACE(B174&amp;"""",""[^0-9]"",""""),9))"),"717270425")</f>
        <v>717270425</v>
      </c>
      <c r="B174" s="48">
        <v>7.17270425E8</v>
      </c>
      <c r="C174" s="10" t="s">
        <v>262</v>
      </c>
      <c r="D174" s="10" t="s">
        <v>69</v>
      </c>
      <c r="E174" s="13">
        <v>46226.0</v>
      </c>
      <c r="F174" s="10" t="s">
        <v>35</v>
      </c>
      <c r="G174" s="10">
        <v>11.0</v>
      </c>
      <c r="I174" s="10" t="s">
        <v>22</v>
      </c>
      <c r="J174" s="9" t="str">
        <f t="shared" si="25"/>
        <v>No</v>
      </c>
      <c r="K174" s="9" t="str">
        <f t="shared" si="26"/>
        <v/>
      </c>
      <c r="L174" s="9" t="str">
        <f t="shared" si="27"/>
        <v/>
      </c>
      <c r="M174" s="9"/>
      <c r="O174" s="9"/>
    </row>
    <row r="175" ht="15.75" customHeight="1">
      <c r="A175" s="9" t="str">
        <f>IFERROR(__xludf.DUMMYFUNCTION("IF(B175="""","""",RIGHT(REGEXREPLACE(B175&amp;"""",""[^0-9]"",""""),9))"),"762003575")</f>
        <v>762003575</v>
      </c>
      <c r="B175" s="10">
        <v>7.62003575E8</v>
      </c>
      <c r="C175" s="10" t="s">
        <v>263</v>
      </c>
      <c r="D175" s="10" t="s">
        <v>20</v>
      </c>
      <c r="E175" s="13">
        <v>46226.0</v>
      </c>
      <c r="F175" s="10" t="s">
        <v>198</v>
      </c>
      <c r="I175" s="10" t="s">
        <v>22</v>
      </c>
      <c r="J175" s="9" t="str">
        <f t="shared" si="25"/>
        <v>No</v>
      </c>
      <c r="K175" s="9" t="str">
        <f t="shared" si="26"/>
        <v/>
      </c>
      <c r="L175" s="9" t="str">
        <f t="shared" si="27"/>
        <v/>
      </c>
      <c r="M175" s="9"/>
      <c r="O175" s="9"/>
    </row>
    <row r="176" ht="15.75" customHeight="1">
      <c r="A176" s="9" t="str">
        <f>IFERROR(__xludf.DUMMYFUNCTION("IF(B176="""","""",RIGHT(REGEXREPLACE(B176&amp;"""",""[^0-9]"",""""),9))"),"764155893")</f>
        <v>764155893</v>
      </c>
      <c r="B176" s="48">
        <v>7.64155893E8</v>
      </c>
      <c r="C176" s="10" t="s">
        <v>264</v>
      </c>
      <c r="D176" s="10" t="s">
        <v>50</v>
      </c>
      <c r="E176" s="13">
        <v>46226.0</v>
      </c>
      <c r="F176" s="10" t="s">
        <v>35</v>
      </c>
      <c r="G176" s="10">
        <v>11.0</v>
      </c>
      <c r="I176" s="10" t="s">
        <v>22</v>
      </c>
      <c r="J176" s="9" t="str">
        <f t="shared" si="25"/>
        <v>No</v>
      </c>
      <c r="K176" s="9" t="str">
        <f t="shared" si="26"/>
        <v/>
      </c>
      <c r="L176" s="9" t="str">
        <f t="shared" si="27"/>
        <v/>
      </c>
      <c r="M176" s="9"/>
      <c r="O176" s="9"/>
    </row>
    <row r="177" ht="15.75" customHeight="1">
      <c r="A177" s="9" t="str">
        <f>IFERROR(__xludf.DUMMYFUNCTION("IF(B177="""","""",RIGHT(REGEXREPLACE(B177&amp;"""",""[^0-9]"",""""),9))"),"711607344")</f>
        <v>711607344</v>
      </c>
      <c r="B177" s="48">
        <v>7.11607344E8</v>
      </c>
      <c r="C177" s="10" t="s">
        <v>265</v>
      </c>
      <c r="D177" s="10" t="s">
        <v>34</v>
      </c>
      <c r="E177" s="13">
        <v>46226.0</v>
      </c>
      <c r="F177" s="10" t="s">
        <v>35</v>
      </c>
      <c r="G177" s="10">
        <v>11.0</v>
      </c>
      <c r="I177" s="10" t="s">
        <v>22</v>
      </c>
      <c r="J177" s="9" t="str">
        <f t="shared" si="25"/>
        <v>No</v>
      </c>
      <c r="K177" s="9" t="str">
        <f t="shared" si="26"/>
        <v/>
      </c>
      <c r="L177" s="9" t="str">
        <f t="shared" si="27"/>
        <v/>
      </c>
      <c r="M177" s="9"/>
      <c r="O177" s="9"/>
    </row>
    <row r="178" ht="15.75" customHeight="1">
      <c r="A178" s="9" t="str">
        <f>IFERROR(__xludf.DUMMYFUNCTION("IF(B178="""","""",RIGHT(REGEXREPLACE(B178&amp;"""",""[^0-9]"",""""),9))"),"763533015")</f>
        <v>763533015</v>
      </c>
      <c r="B178" s="48">
        <v>7.63533015E8</v>
      </c>
      <c r="C178" s="10" t="s">
        <v>266</v>
      </c>
      <c r="D178" s="10" t="s">
        <v>120</v>
      </c>
      <c r="E178" s="13">
        <v>46226.0</v>
      </c>
      <c r="F178" s="10" t="s">
        <v>21</v>
      </c>
      <c r="I178" s="10" t="s">
        <v>22</v>
      </c>
      <c r="J178" s="9" t="str">
        <f t="shared" si="25"/>
        <v>No</v>
      </c>
      <c r="K178" s="9" t="str">
        <f t="shared" si="26"/>
        <v/>
      </c>
      <c r="L178" s="9" t="str">
        <f t="shared" si="27"/>
        <v/>
      </c>
      <c r="M178" s="9"/>
      <c r="O178" s="9"/>
    </row>
    <row r="179" ht="15.75" customHeight="1">
      <c r="A179" s="9" t="str">
        <f>IFERROR(__xludf.DUMMYFUNCTION("IF(B179="""","""",RIGHT(REGEXREPLACE(B179&amp;"""",""[^0-9]"",""""),9))"),"718641850")</f>
        <v>718641850</v>
      </c>
      <c r="B179" s="48">
        <v>7.1864185E8</v>
      </c>
      <c r="C179" s="10" t="s">
        <v>267</v>
      </c>
      <c r="D179" s="10" t="s">
        <v>69</v>
      </c>
      <c r="E179" s="13">
        <v>46226.0</v>
      </c>
      <c r="F179" s="10" t="s">
        <v>35</v>
      </c>
      <c r="G179" s="10">
        <v>11.0</v>
      </c>
      <c r="I179" s="10" t="s">
        <v>22</v>
      </c>
      <c r="J179" s="9" t="str">
        <f t="shared" si="25"/>
        <v>No</v>
      </c>
      <c r="K179" s="9" t="str">
        <f t="shared" si="26"/>
        <v/>
      </c>
      <c r="L179" s="9" t="str">
        <f t="shared" si="27"/>
        <v/>
      </c>
      <c r="M179" s="9"/>
      <c r="O179" s="9"/>
    </row>
    <row r="180" ht="15.75" customHeight="1">
      <c r="A180" s="9" t="str">
        <f>IFERROR(__xludf.DUMMYFUNCTION("IF(B180="""","""",RIGHT(REGEXREPLACE(B180&amp;"""",""[^0-9]"",""""),9))"),"711432353")</f>
        <v>711432353</v>
      </c>
      <c r="B180" s="48">
        <v>7.11432353E8</v>
      </c>
      <c r="C180" s="10" t="s">
        <v>268</v>
      </c>
      <c r="D180" s="10" t="s">
        <v>34</v>
      </c>
      <c r="E180" s="13">
        <v>46226.0</v>
      </c>
      <c r="F180" s="10" t="s">
        <v>21</v>
      </c>
      <c r="I180" s="10" t="s">
        <v>22</v>
      </c>
      <c r="J180" s="10" t="s">
        <v>23</v>
      </c>
      <c r="K180" s="9" t="str">
        <f t="shared" si="26"/>
        <v/>
      </c>
      <c r="M180" s="9"/>
      <c r="O180" s="9"/>
    </row>
    <row r="181" ht="15.75" customHeight="1">
      <c r="A181" s="9" t="str">
        <f>IFERROR(__xludf.DUMMYFUNCTION("IF(B181="""","""",RIGHT(REGEXREPLACE(B181&amp;"""",""[^0-9]"",""""),9))"),"712519240")</f>
        <v>712519240</v>
      </c>
      <c r="B181" s="48">
        <v>7.1251924E8</v>
      </c>
      <c r="C181" s="10" t="s">
        <v>269</v>
      </c>
      <c r="D181" s="10" t="s">
        <v>120</v>
      </c>
      <c r="E181" s="13">
        <v>46226.0</v>
      </c>
      <c r="F181" s="10" t="s">
        <v>21</v>
      </c>
      <c r="I181" s="10" t="s">
        <v>22</v>
      </c>
      <c r="J181" s="9" t="str">
        <f t="shared" ref="J181:J412" si="28">IF(COUNTIF($A$2:A180,A181)&gt;0,"Yes - see Previous F-Code","No")</f>
        <v>No</v>
      </c>
      <c r="K181" s="9" t="str">
        <f t="shared" si="26"/>
        <v/>
      </c>
      <c r="L181" s="9" t="str">
        <f t="shared" ref="L181:L412" si="29">IF(COUNTIF($A$2:A180,A181)&gt;0,INDEX($C$2:C180,MATCH(A181,$A$2:A180,0)),"")</f>
        <v/>
      </c>
      <c r="M181" s="9"/>
      <c r="O181" s="9"/>
    </row>
    <row r="182" ht="15.75" customHeight="1">
      <c r="A182" s="9" t="str">
        <f>IFERROR(__xludf.DUMMYFUNCTION("IF(B182="""","""",RIGHT(REGEXREPLACE(B182&amp;"""",""[^0-9]"",""""),9))"),"741082212")</f>
        <v>741082212</v>
      </c>
      <c r="B182" s="48">
        <v>7.41082212E8</v>
      </c>
      <c r="C182" s="10" t="s">
        <v>270</v>
      </c>
      <c r="D182" s="10" t="s">
        <v>50</v>
      </c>
      <c r="E182" s="13">
        <v>46226.0</v>
      </c>
      <c r="F182" s="10" t="s">
        <v>198</v>
      </c>
      <c r="I182" s="10" t="s">
        <v>22</v>
      </c>
      <c r="J182" s="9" t="str">
        <f t="shared" si="28"/>
        <v>No</v>
      </c>
      <c r="K182" s="9" t="str">
        <f t="shared" si="26"/>
        <v/>
      </c>
      <c r="L182" s="9" t="str">
        <f t="shared" si="29"/>
        <v/>
      </c>
      <c r="M182" s="9"/>
      <c r="O182" s="9"/>
    </row>
    <row r="183" ht="15.75" customHeight="1">
      <c r="A183" s="9" t="str">
        <f>IFERROR(__xludf.DUMMYFUNCTION("IF(B183="""","""",RIGHT(REGEXREPLACE(B183&amp;"""",""[^0-9]"",""""),9))"),"760232501")</f>
        <v>760232501</v>
      </c>
      <c r="B183" s="48">
        <v>7.60232501E8</v>
      </c>
      <c r="C183" s="10" t="s">
        <v>271</v>
      </c>
      <c r="D183" s="10" t="s">
        <v>69</v>
      </c>
      <c r="E183" s="13">
        <v>46226.0</v>
      </c>
      <c r="F183" s="10" t="s">
        <v>35</v>
      </c>
      <c r="G183" s="10">
        <v>11.0</v>
      </c>
      <c r="I183" s="10" t="s">
        <v>22</v>
      </c>
      <c r="J183" s="9" t="str">
        <f t="shared" si="28"/>
        <v>No</v>
      </c>
      <c r="K183" s="9" t="str">
        <f t="shared" si="26"/>
        <v/>
      </c>
      <c r="L183" s="9" t="str">
        <f t="shared" si="29"/>
        <v/>
      </c>
      <c r="M183" s="9"/>
      <c r="O183" s="9"/>
    </row>
    <row r="184" ht="15.75" customHeight="1">
      <c r="A184" s="9" t="str">
        <f>IFERROR(__xludf.DUMMYFUNCTION("IF(B184="""","""",RIGHT(REGEXREPLACE(B184&amp;"""",""[^0-9]"",""""),9))"),"771976831")</f>
        <v>771976831</v>
      </c>
      <c r="B184" s="48">
        <v>7.71976831E8</v>
      </c>
      <c r="C184" s="10" t="s">
        <v>272</v>
      </c>
      <c r="D184" s="10" t="s">
        <v>50</v>
      </c>
      <c r="E184" s="13">
        <v>46226.0</v>
      </c>
      <c r="F184" s="10" t="s">
        <v>21</v>
      </c>
      <c r="I184" s="10" t="s">
        <v>22</v>
      </c>
      <c r="J184" s="9" t="str">
        <f t="shared" si="28"/>
        <v>No</v>
      </c>
      <c r="K184" s="9" t="str">
        <f t="shared" si="26"/>
        <v/>
      </c>
      <c r="L184" s="9" t="str">
        <f t="shared" si="29"/>
        <v/>
      </c>
      <c r="M184" s="9"/>
      <c r="O184" s="9"/>
    </row>
    <row r="185" ht="15.75" customHeight="1">
      <c r="A185" s="9" t="str">
        <f>IFERROR(__xludf.DUMMYFUNCTION("IF(B185="""","""",RIGHT(REGEXREPLACE(B185&amp;"""",""[^0-9]"",""""),9))"),"703286575")</f>
        <v>703286575</v>
      </c>
      <c r="B185" s="48">
        <v>7.03286575E8</v>
      </c>
      <c r="C185" s="10" t="s">
        <v>273</v>
      </c>
      <c r="D185" s="10" t="s">
        <v>34</v>
      </c>
      <c r="E185" s="13">
        <v>46226.0</v>
      </c>
      <c r="F185" s="10" t="s">
        <v>198</v>
      </c>
      <c r="G185" s="10">
        <v>10.0</v>
      </c>
      <c r="I185" s="10" t="s">
        <v>22</v>
      </c>
      <c r="J185" s="9" t="str">
        <f t="shared" si="28"/>
        <v>No</v>
      </c>
      <c r="K185" s="9" t="str">
        <f t="shared" si="26"/>
        <v/>
      </c>
      <c r="L185" s="9" t="str">
        <f t="shared" si="29"/>
        <v/>
      </c>
      <c r="M185" s="9"/>
      <c r="O185" s="9"/>
    </row>
    <row r="186" ht="15.75" customHeight="1">
      <c r="A186" s="9" t="str">
        <f>IFERROR(__xludf.DUMMYFUNCTION("IF(B186="""","""",RIGHT(REGEXREPLACE(B186&amp;"""",""[^0-9]"",""""),9))"),"740416255")</f>
        <v>740416255</v>
      </c>
      <c r="B186" s="48">
        <v>7.40416255E8</v>
      </c>
      <c r="C186" s="10" t="s">
        <v>274</v>
      </c>
      <c r="D186" s="10" t="s">
        <v>50</v>
      </c>
      <c r="E186" s="13">
        <v>46226.0</v>
      </c>
      <c r="F186" s="10" t="s">
        <v>21</v>
      </c>
      <c r="G186" s="10">
        <v>9.0</v>
      </c>
      <c r="I186" s="10" t="s">
        <v>22</v>
      </c>
      <c r="J186" s="9" t="str">
        <f t="shared" si="28"/>
        <v>No</v>
      </c>
      <c r="K186" s="9" t="str">
        <f t="shared" si="26"/>
        <v/>
      </c>
      <c r="L186" s="9" t="str">
        <f t="shared" si="29"/>
        <v/>
      </c>
      <c r="M186" s="9"/>
      <c r="O186" s="9"/>
    </row>
    <row r="187" ht="15.75" customHeight="1">
      <c r="A187" s="9" t="str">
        <f>IFERROR(__xludf.DUMMYFUNCTION("IF(B187="""","""",RIGHT(REGEXREPLACE(B187&amp;"""",""[^0-9]"",""""),9))"),"771626501")</f>
        <v>771626501</v>
      </c>
      <c r="B187" s="48">
        <v>7.71626501E8</v>
      </c>
      <c r="C187" s="10" t="s">
        <v>275</v>
      </c>
      <c r="D187" s="10" t="s">
        <v>120</v>
      </c>
      <c r="E187" s="13">
        <v>46226.0</v>
      </c>
      <c r="F187" s="10" t="s">
        <v>35</v>
      </c>
      <c r="G187" s="10">
        <v>11.0</v>
      </c>
      <c r="I187" s="10" t="s">
        <v>22</v>
      </c>
      <c r="J187" s="9" t="str">
        <f t="shared" si="28"/>
        <v>No</v>
      </c>
      <c r="K187" s="9" t="str">
        <f t="shared" si="26"/>
        <v/>
      </c>
      <c r="L187" s="9" t="str">
        <f t="shared" si="29"/>
        <v/>
      </c>
      <c r="M187" s="9"/>
      <c r="O187" s="9"/>
    </row>
    <row r="188" ht="15.75" customHeight="1">
      <c r="A188" s="9" t="str">
        <f>IFERROR(__xludf.DUMMYFUNCTION("IF(B188="""","""",RIGHT(REGEXREPLACE(B188&amp;"""",""[^0-9]"",""""),9))"),"719393550")</f>
        <v>719393550</v>
      </c>
      <c r="B188" s="48">
        <v>7.1939355E8</v>
      </c>
      <c r="C188" s="10" t="s">
        <v>276</v>
      </c>
      <c r="D188" s="10" t="s">
        <v>34</v>
      </c>
      <c r="E188" s="13">
        <v>46226.0</v>
      </c>
      <c r="F188" s="10" t="s">
        <v>35</v>
      </c>
      <c r="G188" s="10">
        <v>11.0</v>
      </c>
      <c r="I188" s="10" t="s">
        <v>22</v>
      </c>
      <c r="J188" s="9" t="str">
        <f t="shared" si="28"/>
        <v>No</v>
      </c>
      <c r="K188" s="9" t="str">
        <f t="shared" si="26"/>
        <v/>
      </c>
      <c r="L188" s="9" t="str">
        <f t="shared" si="29"/>
        <v/>
      </c>
      <c r="M188" s="9"/>
      <c r="O188" s="9"/>
    </row>
    <row r="189" ht="15.75" customHeight="1">
      <c r="A189" s="9" t="str">
        <f>IFERROR(__xludf.DUMMYFUNCTION("IF(B189="""","""",RIGHT(REGEXREPLACE(B189&amp;"""",""[^0-9]"",""""),9))"),"719720930")</f>
        <v>719720930</v>
      </c>
      <c r="B189" s="48">
        <v>7.1972093E8</v>
      </c>
      <c r="C189" s="10" t="s">
        <v>277</v>
      </c>
      <c r="D189" s="10" t="s">
        <v>34</v>
      </c>
      <c r="E189" s="13">
        <v>46226.0</v>
      </c>
      <c r="F189" s="10" t="s">
        <v>35</v>
      </c>
      <c r="G189" s="10">
        <v>11.0</v>
      </c>
      <c r="I189" s="10" t="s">
        <v>22</v>
      </c>
      <c r="J189" s="9" t="str">
        <f t="shared" si="28"/>
        <v>No</v>
      </c>
      <c r="K189" s="9" t="str">
        <f t="shared" si="26"/>
        <v/>
      </c>
      <c r="L189" s="9" t="str">
        <f t="shared" si="29"/>
        <v/>
      </c>
      <c r="M189" s="9"/>
      <c r="O189" s="9"/>
    </row>
    <row r="190" ht="15.75" customHeight="1">
      <c r="A190" s="9" t="str">
        <f>IFERROR(__xludf.DUMMYFUNCTION("IF(B190="""","""",RIGHT(REGEXREPLACE(B190&amp;"""",""[^0-9]"",""""),9))"),"719244123")</f>
        <v>719244123</v>
      </c>
      <c r="B190" s="48">
        <v>7.19244123E8</v>
      </c>
      <c r="C190" s="10" t="s">
        <v>278</v>
      </c>
      <c r="D190" s="10" t="s">
        <v>69</v>
      </c>
      <c r="E190" s="13">
        <v>46226.0</v>
      </c>
      <c r="F190" s="10" t="s">
        <v>21</v>
      </c>
      <c r="I190" s="10" t="s">
        <v>22</v>
      </c>
      <c r="J190" s="9" t="str">
        <f t="shared" si="28"/>
        <v>No</v>
      </c>
      <c r="K190" s="9" t="str">
        <f t="shared" si="26"/>
        <v/>
      </c>
      <c r="L190" s="9" t="str">
        <f t="shared" si="29"/>
        <v/>
      </c>
      <c r="M190" s="9"/>
      <c r="O190" s="9"/>
    </row>
    <row r="191" ht="15.75" customHeight="1">
      <c r="A191" s="9" t="str">
        <f>IFERROR(__xludf.DUMMYFUNCTION("IF(B191="""","""",RIGHT(REGEXREPLACE(B191&amp;"""",""[^0-9]"",""""),9))"),"759736155")</f>
        <v>759736155</v>
      </c>
      <c r="B191" s="48">
        <v>7.59736155E8</v>
      </c>
      <c r="C191" s="10" t="s">
        <v>279</v>
      </c>
      <c r="D191" s="10" t="s">
        <v>120</v>
      </c>
      <c r="E191" s="13">
        <v>46226.0</v>
      </c>
      <c r="F191" s="10" t="s">
        <v>21</v>
      </c>
      <c r="G191" s="10">
        <v>11.0</v>
      </c>
      <c r="I191" s="10" t="s">
        <v>22</v>
      </c>
      <c r="J191" s="9" t="str">
        <f t="shared" si="28"/>
        <v>No</v>
      </c>
      <c r="K191" s="9" t="str">
        <f t="shared" si="26"/>
        <v/>
      </c>
      <c r="L191" s="9" t="str">
        <f t="shared" si="29"/>
        <v/>
      </c>
      <c r="M191" s="9"/>
      <c r="O191" s="9"/>
    </row>
    <row r="192" ht="15.75" customHeight="1">
      <c r="A192" s="9" t="str">
        <f>IFERROR(__xludf.DUMMYFUNCTION("IF(B192="""","""",RIGHT(REGEXREPLACE(B192&amp;"""",""[^0-9]"",""""),9))"),"785065192")</f>
        <v>785065192</v>
      </c>
      <c r="B192" s="48">
        <v>7.85065192E8</v>
      </c>
      <c r="C192" s="10" t="s">
        <v>280</v>
      </c>
      <c r="D192" s="10" t="s">
        <v>69</v>
      </c>
      <c r="E192" s="13">
        <v>46226.0</v>
      </c>
      <c r="F192" s="10" t="s">
        <v>21</v>
      </c>
      <c r="I192" s="10" t="s">
        <v>22</v>
      </c>
      <c r="J192" s="9" t="str">
        <f t="shared" si="28"/>
        <v>No</v>
      </c>
      <c r="K192" s="9" t="str">
        <f t="shared" si="26"/>
        <v/>
      </c>
      <c r="L192" s="9" t="str">
        <f t="shared" si="29"/>
        <v/>
      </c>
      <c r="M192" s="9"/>
      <c r="O192" s="9"/>
    </row>
    <row r="193" ht="15.75" customHeight="1">
      <c r="A193" s="9" t="str">
        <f>IFERROR(__xludf.DUMMYFUNCTION("IF(B193="""","""",RIGHT(REGEXREPLACE(B193&amp;"""",""[^0-9]"",""""),9))"),"704593769")</f>
        <v>704593769</v>
      </c>
      <c r="B193" s="48">
        <v>7.04593769E8</v>
      </c>
      <c r="C193" s="10" t="s">
        <v>281</v>
      </c>
      <c r="D193" s="10" t="s">
        <v>120</v>
      </c>
      <c r="E193" s="13">
        <v>46226.0</v>
      </c>
      <c r="F193" s="10" t="s">
        <v>21</v>
      </c>
      <c r="I193" s="10" t="s">
        <v>22</v>
      </c>
      <c r="J193" s="9" t="str">
        <f t="shared" si="28"/>
        <v>No</v>
      </c>
      <c r="K193" s="9" t="str">
        <f t="shared" si="26"/>
        <v/>
      </c>
      <c r="L193" s="9" t="str">
        <f t="shared" si="29"/>
        <v/>
      </c>
      <c r="M193" s="9"/>
      <c r="O193" s="9"/>
    </row>
    <row r="194" ht="15.75" customHeight="1">
      <c r="A194" s="9" t="str">
        <f>IFERROR(__xludf.DUMMYFUNCTION("IF(B194="""","""",RIGHT(REGEXREPLACE(B194&amp;"""",""[^0-9]"",""""),9))"),"760300127")</f>
        <v>760300127</v>
      </c>
      <c r="B194" s="48">
        <v>7.60300127E8</v>
      </c>
      <c r="C194" s="10" t="s">
        <v>282</v>
      </c>
      <c r="D194" s="10" t="s">
        <v>69</v>
      </c>
      <c r="E194" s="13">
        <v>46226.0</v>
      </c>
      <c r="F194" s="10" t="s">
        <v>21</v>
      </c>
      <c r="G194" s="10">
        <v>11.0</v>
      </c>
      <c r="I194" s="10" t="s">
        <v>22</v>
      </c>
      <c r="J194" s="9" t="str">
        <f t="shared" si="28"/>
        <v>No</v>
      </c>
      <c r="K194" s="9" t="str">
        <f t="shared" si="26"/>
        <v/>
      </c>
      <c r="L194" s="9" t="str">
        <f t="shared" si="29"/>
        <v/>
      </c>
      <c r="M194" s="9"/>
      <c r="O194" s="9"/>
    </row>
    <row r="195" ht="15.75" customHeight="1">
      <c r="A195" s="9" t="str">
        <f>IFERROR(__xludf.DUMMYFUNCTION("IF(B195="""","""",RIGHT(REGEXREPLACE(B195&amp;"""",""[^0-9]"",""""),9))"),"777421422")</f>
        <v>777421422</v>
      </c>
      <c r="B195" s="48">
        <v>7.77421422E8</v>
      </c>
      <c r="C195" s="10" t="s">
        <v>283</v>
      </c>
      <c r="D195" s="10" t="s">
        <v>34</v>
      </c>
      <c r="E195" s="13">
        <v>46226.0</v>
      </c>
      <c r="F195" s="10" t="s">
        <v>21</v>
      </c>
      <c r="G195" s="10">
        <v>10.0</v>
      </c>
      <c r="I195" s="10" t="s">
        <v>22</v>
      </c>
      <c r="J195" s="9" t="str">
        <f t="shared" si="28"/>
        <v>No</v>
      </c>
      <c r="K195" s="9" t="str">
        <f t="shared" si="26"/>
        <v/>
      </c>
      <c r="L195" s="9" t="str">
        <f t="shared" si="29"/>
        <v/>
      </c>
      <c r="M195" s="9"/>
      <c r="O195" s="9"/>
    </row>
    <row r="196" ht="15.75" customHeight="1">
      <c r="A196" s="9" t="str">
        <f>IFERROR(__xludf.DUMMYFUNCTION("IF(B196="""","""",RIGHT(REGEXREPLACE(B196&amp;"""",""[^0-9]"",""""),9))"),"761648403")</f>
        <v>761648403</v>
      </c>
      <c r="B196" s="48">
        <v>7.61648403E8</v>
      </c>
      <c r="C196" s="10" t="s">
        <v>284</v>
      </c>
      <c r="D196" s="10" t="s">
        <v>50</v>
      </c>
      <c r="E196" s="13">
        <v>46226.0</v>
      </c>
      <c r="F196" s="10" t="s">
        <v>35</v>
      </c>
      <c r="G196" s="10">
        <v>11.0</v>
      </c>
      <c r="I196" s="10" t="s">
        <v>22</v>
      </c>
      <c r="J196" s="9" t="str">
        <f t="shared" si="28"/>
        <v>No</v>
      </c>
      <c r="K196" s="9" t="str">
        <f t="shared" si="26"/>
        <v/>
      </c>
      <c r="L196" s="9" t="str">
        <f t="shared" si="29"/>
        <v/>
      </c>
      <c r="M196" s="9"/>
      <c r="O196" s="9"/>
    </row>
    <row r="197" ht="15.75" customHeight="1">
      <c r="A197" s="9" t="str">
        <f>IFERROR(__xludf.DUMMYFUNCTION("IF(B197="""","""",RIGHT(REGEXREPLACE(B197&amp;"""",""[^0-9]"",""""),9))"),"772228575")</f>
        <v>772228575</v>
      </c>
      <c r="B197" s="48">
        <v>7.72228575E8</v>
      </c>
      <c r="C197" s="10" t="s">
        <v>285</v>
      </c>
      <c r="D197" s="10" t="s">
        <v>34</v>
      </c>
      <c r="E197" s="13">
        <v>46226.0</v>
      </c>
      <c r="F197" s="10" t="s">
        <v>35</v>
      </c>
      <c r="G197" s="10">
        <v>11.0</v>
      </c>
      <c r="I197" s="10" t="s">
        <v>22</v>
      </c>
      <c r="J197" s="9" t="str">
        <f t="shared" si="28"/>
        <v>No</v>
      </c>
      <c r="K197" s="9" t="str">
        <f t="shared" si="26"/>
        <v/>
      </c>
      <c r="L197" s="9" t="str">
        <f t="shared" si="29"/>
        <v/>
      </c>
      <c r="M197" s="9"/>
      <c r="O197" s="9"/>
    </row>
    <row r="198" ht="15.75" customHeight="1">
      <c r="A198" s="9" t="str">
        <f>IFERROR(__xludf.DUMMYFUNCTION("IF(B198="""","""",RIGHT(REGEXREPLACE(B198&amp;"""",""[^0-9]"",""""),9))"),"770739220")</f>
        <v>770739220</v>
      </c>
      <c r="B198" s="48">
        <v>7.7073922E8</v>
      </c>
      <c r="C198" s="10" t="s">
        <v>286</v>
      </c>
      <c r="D198" s="10" t="s">
        <v>120</v>
      </c>
      <c r="E198" s="13">
        <v>46226.0</v>
      </c>
      <c r="F198" s="10" t="s">
        <v>198</v>
      </c>
      <c r="I198" s="10" t="s">
        <v>22</v>
      </c>
      <c r="J198" s="9" t="str">
        <f t="shared" si="28"/>
        <v>No</v>
      </c>
      <c r="K198" s="9" t="str">
        <f t="shared" si="26"/>
        <v/>
      </c>
      <c r="L198" s="9" t="str">
        <f t="shared" si="29"/>
        <v/>
      </c>
      <c r="M198" s="9"/>
      <c r="O198" s="9"/>
    </row>
    <row r="199" ht="15.75" customHeight="1">
      <c r="A199" s="9" t="str">
        <f>IFERROR(__xludf.DUMMYFUNCTION("IF(B199="""","""",RIGHT(REGEXREPLACE(B199&amp;"""",""[^0-9]"",""""),9))"),"761139956")</f>
        <v>761139956</v>
      </c>
      <c r="B199" s="48">
        <v>7.61139956E8</v>
      </c>
      <c r="C199" s="10" t="s">
        <v>287</v>
      </c>
      <c r="D199" s="10" t="s">
        <v>69</v>
      </c>
      <c r="E199" s="13">
        <v>46226.0</v>
      </c>
      <c r="F199" s="10" t="s">
        <v>145</v>
      </c>
      <c r="G199" s="10">
        <v>11.0</v>
      </c>
      <c r="I199" s="10" t="s">
        <v>22</v>
      </c>
      <c r="J199" s="9" t="str">
        <f t="shared" si="28"/>
        <v>No</v>
      </c>
      <c r="K199" s="9" t="str">
        <f t="shared" si="26"/>
        <v/>
      </c>
      <c r="L199" s="9" t="str">
        <f t="shared" si="29"/>
        <v/>
      </c>
      <c r="M199" s="9"/>
      <c r="O199" s="9"/>
    </row>
    <row r="200" ht="15.75" customHeight="1">
      <c r="A200" s="9" t="str">
        <f>IFERROR(__xludf.DUMMYFUNCTION("IF(B200="""","""",RIGHT(REGEXREPLACE(B200&amp;"""",""[^0-9]"",""""),9))"),"767273472")</f>
        <v>767273472</v>
      </c>
      <c r="B200" s="48">
        <v>7.67273472E8</v>
      </c>
      <c r="C200" s="10" t="s">
        <v>288</v>
      </c>
      <c r="D200" s="10" t="s">
        <v>50</v>
      </c>
      <c r="E200" s="13">
        <v>46226.0</v>
      </c>
      <c r="F200" s="10" t="s">
        <v>21</v>
      </c>
      <c r="I200" s="10" t="s">
        <v>22</v>
      </c>
      <c r="J200" s="9" t="str">
        <f t="shared" si="28"/>
        <v>No</v>
      </c>
      <c r="K200" s="9" t="str">
        <f t="shared" si="26"/>
        <v/>
      </c>
      <c r="L200" s="9" t="str">
        <f t="shared" si="29"/>
        <v/>
      </c>
      <c r="M200" s="9"/>
      <c r="O200" s="9"/>
    </row>
    <row r="201" ht="15.75" customHeight="1">
      <c r="A201" s="9" t="str">
        <f>IFERROR(__xludf.DUMMYFUNCTION("IF(B201="""","""",RIGHT(REGEXREPLACE(B201&amp;"""",""[^0-9]"",""""),9))"),"776075807")</f>
        <v>776075807</v>
      </c>
      <c r="B201" s="10">
        <v>7.76075807E8</v>
      </c>
      <c r="C201" s="10" t="s">
        <v>289</v>
      </c>
      <c r="D201" s="10" t="s">
        <v>20</v>
      </c>
      <c r="E201" s="13">
        <v>46226.0</v>
      </c>
      <c r="F201" s="10" t="s">
        <v>35</v>
      </c>
      <c r="G201" s="10">
        <v>11.0</v>
      </c>
      <c r="I201" s="10" t="s">
        <v>22</v>
      </c>
      <c r="J201" s="9" t="str">
        <f t="shared" si="28"/>
        <v>No</v>
      </c>
      <c r="K201" s="9" t="str">
        <f t="shared" si="26"/>
        <v/>
      </c>
      <c r="L201" s="9" t="str">
        <f t="shared" si="29"/>
        <v/>
      </c>
      <c r="M201" s="9"/>
      <c r="O201" s="9"/>
    </row>
    <row r="202" ht="15.75" customHeight="1">
      <c r="A202" s="9" t="str">
        <f>IFERROR(__xludf.DUMMYFUNCTION("IF(B202="""","""",RIGHT(REGEXREPLACE(B202&amp;"""",""[^0-9]"",""""),9))"),"718761737")</f>
        <v>718761737</v>
      </c>
      <c r="B202" s="48">
        <v>7.18761737E8</v>
      </c>
      <c r="C202" s="10" t="s">
        <v>290</v>
      </c>
      <c r="D202" s="10" t="s">
        <v>120</v>
      </c>
      <c r="E202" s="13">
        <v>46226.0</v>
      </c>
      <c r="F202" s="10" t="s">
        <v>35</v>
      </c>
      <c r="G202" s="10">
        <v>11.0</v>
      </c>
      <c r="I202" s="10" t="s">
        <v>22</v>
      </c>
      <c r="J202" s="9" t="str">
        <f t="shared" si="28"/>
        <v>No</v>
      </c>
      <c r="K202" s="9" t="str">
        <f t="shared" si="26"/>
        <v/>
      </c>
      <c r="L202" s="9" t="str">
        <f t="shared" si="29"/>
        <v/>
      </c>
      <c r="M202" s="9"/>
      <c r="O202" s="9"/>
    </row>
    <row r="203" ht="15.75" customHeight="1">
      <c r="A203" s="9" t="str">
        <f>IFERROR(__xludf.DUMMYFUNCTION("IF(B203="""","""",RIGHT(REGEXREPLACE(B203&amp;"""",""[^0-9]"",""""),9))"),"777184852")</f>
        <v>777184852</v>
      </c>
      <c r="B203" s="48">
        <v>7.77184852E8</v>
      </c>
      <c r="C203" s="10" t="s">
        <v>291</v>
      </c>
      <c r="D203" s="10" t="s">
        <v>34</v>
      </c>
      <c r="E203" s="13">
        <v>46226.0</v>
      </c>
      <c r="F203" s="10" t="s">
        <v>21</v>
      </c>
      <c r="I203" s="10" t="s">
        <v>22</v>
      </c>
      <c r="J203" s="9" t="str">
        <f t="shared" si="28"/>
        <v>No</v>
      </c>
      <c r="K203" s="9" t="str">
        <f t="shared" si="26"/>
        <v/>
      </c>
      <c r="L203" s="9" t="str">
        <f t="shared" si="29"/>
        <v/>
      </c>
      <c r="M203" s="9"/>
      <c r="O203" s="9"/>
    </row>
    <row r="204" ht="15.75" customHeight="1">
      <c r="A204" s="9" t="str">
        <f>IFERROR(__xludf.DUMMYFUNCTION("IF(B204="""","""",RIGHT(REGEXREPLACE(B204&amp;"""",""[^0-9]"",""""),9))"),"758431888")</f>
        <v>758431888</v>
      </c>
      <c r="B204" s="48">
        <v>7.58431888E8</v>
      </c>
      <c r="C204" s="10" t="s">
        <v>292</v>
      </c>
      <c r="D204" s="10" t="s">
        <v>50</v>
      </c>
      <c r="E204" s="13">
        <v>46226.0</v>
      </c>
      <c r="F204" s="10" t="s">
        <v>21</v>
      </c>
      <c r="I204" s="10" t="s">
        <v>22</v>
      </c>
      <c r="J204" s="9" t="str">
        <f t="shared" si="28"/>
        <v>No</v>
      </c>
      <c r="K204" s="9" t="str">
        <f t="shared" si="26"/>
        <v/>
      </c>
      <c r="L204" s="9" t="str">
        <f t="shared" si="29"/>
        <v/>
      </c>
      <c r="M204" s="9"/>
      <c r="O204" s="9"/>
    </row>
    <row r="205" ht="15.75" customHeight="1">
      <c r="A205" s="9" t="str">
        <f>IFERROR(__xludf.DUMMYFUNCTION("IF(B205="""","""",RIGHT(REGEXREPLACE(B205&amp;"""",""[^0-9]"",""""),9))"),"775631519")</f>
        <v>775631519</v>
      </c>
      <c r="B205" s="48">
        <v>7.75631519E8</v>
      </c>
      <c r="C205" s="10" t="s">
        <v>293</v>
      </c>
      <c r="D205" s="10" t="s">
        <v>34</v>
      </c>
      <c r="E205" s="13">
        <v>46226.0</v>
      </c>
      <c r="F205" s="10" t="s">
        <v>145</v>
      </c>
      <c r="G205" s="10">
        <v>11.0</v>
      </c>
      <c r="I205" s="10" t="s">
        <v>22</v>
      </c>
      <c r="J205" s="9" t="str">
        <f t="shared" si="28"/>
        <v>No</v>
      </c>
      <c r="K205" s="9" t="str">
        <f t="shared" si="26"/>
        <v/>
      </c>
      <c r="L205" s="9" t="str">
        <f t="shared" si="29"/>
        <v/>
      </c>
      <c r="M205" s="9"/>
      <c r="O205" s="9"/>
    </row>
    <row r="206" ht="15.75" customHeight="1">
      <c r="A206" s="9" t="str">
        <f>IFERROR(__xludf.DUMMYFUNCTION("IF(B206="""","""",RIGHT(REGEXREPLACE(B206&amp;"""",""[^0-9]"",""""),9))"),"760400346")</f>
        <v>760400346</v>
      </c>
      <c r="B206" s="48">
        <v>7.60400346E8</v>
      </c>
      <c r="C206" s="10" t="s">
        <v>294</v>
      </c>
      <c r="D206" s="10" t="s">
        <v>69</v>
      </c>
      <c r="E206" s="13">
        <v>46226.0</v>
      </c>
      <c r="F206" s="10" t="s">
        <v>21</v>
      </c>
      <c r="G206" s="10">
        <v>11.0</v>
      </c>
      <c r="I206" s="10" t="s">
        <v>22</v>
      </c>
      <c r="J206" s="9" t="str">
        <f t="shared" si="28"/>
        <v>No</v>
      </c>
      <c r="K206" s="9" t="str">
        <f t="shared" si="26"/>
        <v/>
      </c>
      <c r="L206" s="9" t="str">
        <f t="shared" si="29"/>
        <v/>
      </c>
      <c r="M206" s="9"/>
      <c r="O206" s="9"/>
    </row>
    <row r="207" ht="15.75" customHeight="1">
      <c r="A207" s="9" t="str">
        <f>IFERROR(__xludf.DUMMYFUNCTION("IF(B207="""","""",RIGHT(REGEXREPLACE(B207&amp;"""",""[^0-9]"",""""),9))"),"757316247")</f>
        <v>757316247</v>
      </c>
      <c r="B207" s="48">
        <v>9.4757316247E10</v>
      </c>
      <c r="C207" s="10" t="s">
        <v>295</v>
      </c>
      <c r="D207" s="10" t="s">
        <v>20</v>
      </c>
      <c r="E207" s="13">
        <v>46226.0</v>
      </c>
      <c r="F207" s="10" t="s">
        <v>35</v>
      </c>
      <c r="I207" s="10" t="s">
        <v>22</v>
      </c>
      <c r="J207" s="9" t="str">
        <f t="shared" si="28"/>
        <v>No</v>
      </c>
      <c r="K207" s="9" t="str">
        <f t="shared" si="26"/>
        <v/>
      </c>
      <c r="L207" s="9" t="str">
        <f t="shared" si="29"/>
        <v/>
      </c>
      <c r="M207" s="9"/>
      <c r="O207" s="9"/>
    </row>
    <row r="208" ht="15.75" customHeight="1">
      <c r="A208" s="9" t="str">
        <f>IFERROR(__xludf.DUMMYFUNCTION("IF(B208="""","""",RIGHT(REGEXREPLACE(B208&amp;"""",""[^0-9]"",""""),9))"),"714460479")</f>
        <v>714460479</v>
      </c>
      <c r="B208" s="48">
        <v>7.14460479E8</v>
      </c>
      <c r="C208" s="10" t="s">
        <v>296</v>
      </c>
      <c r="D208" s="10" t="s">
        <v>50</v>
      </c>
      <c r="E208" s="13">
        <v>46226.0</v>
      </c>
      <c r="F208" s="10" t="s">
        <v>145</v>
      </c>
      <c r="G208" s="10">
        <v>11.0</v>
      </c>
      <c r="I208" s="10" t="s">
        <v>22</v>
      </c>
      <c r="J208" s="9" t="str">
        <f t="shared" si="28"/>
        <v>No</v>
      </c>
      <c r="K208" s="9" t="str">
        <f t="shared" si="26"/>
        <v/>
      </c>
      <c r="L208" s="9" t="str">
        <f t="shared" si="29"/>
        <v/>
      </c>
      <c r="M208" s="9"/>
      <c r="O208" s="9"/>
    </row>
    <row r="209" ht="15.75" customHeight="1">
      <c r="A209" s="9" t="str">
        <f>IFERROR(__xludf.DUMMYFUNCTION("IF(B209="""","""",RIGHT(REGEXREPLACE(B209&amp;"""",""[^0-9]"",""""),9))"),"774007032")</f>
        <v>774007032</v>
      </c>
      <c r="B209" s="48">
        <v>7.74007032E8</v>
      </c>
      <c r="C209" s="10" t="s">
        <v>297</v>
      </c>
      <c r="D209" s="10" t="s">
        <v>120</v>
      </c>
      <c r="E209" s="13">
        <v>46226.0</v>
      </c>
      <c r="F209" s="10" t="s">
        <v>21</v>
      </c>
      <c r="G209" s="10">
        <v>11.0</v>
      </c>
      <c r="I209" s="10" t="s">
        <v>22</v>
      </c>
      <c r="J209" s="9" t="str">
        <f t="shared" si="28"/>
        <v>No</v>
      </c>
      <c r="K209" s="9" t="str">
        <f t="shared" si="26"/>
        <v/>
      </c>
      <c r="L209" s="9" t="str">
        <f t="shared" si="29"/>
        <v/>
      </c>
      <c r="M209" s="9"/>
      <c r="O209" s="9"/>
    </row>
    <row r="210" ht="15.75" customHeight="1">
      <c r="A210" s="9" t="str">
        <f>IFERROR(__xludf.DUMMYFUNCTION("IF(B210="""","""",RIGHT(REGEXREPLACE(B210&amp;"""",""[^0-9]"",""""),9))"),"751337964")</f>
        <v>751337964</v>
      </c>
      <c r="B210" s="48">
        <v>7.51337964E8</v>
      </c>
      <c r="C210" s="10" t="s">
        <v>298</v>
      </c>
      <c r="D210" s="10" t="s">
        <v>50</v>
      </c>
      <c r="E210" s="13">
        <v>46226.0</v>
      </c>
      <c r="F210" s="10" t="s">
        <v>35</v>
      </c>
      <c r="G210" s="10">
        <v>11.0</v>
      </c>
      <c r="I210" s="10" t="s">
        <v>22</v>
      </c>
      <c r="J210" s="9" t="str">
        <f t="shared" si="28"/>
        <v>No</v>
      </c>
      <c r="K210" s="9" t="str">
        <f t="shared" si="26"/>
        <v/>
      </c>
      <c r="L210" s="9" t="str">
        <f t="shared" si="29"/>
        <v/>
      </c>
      <c r="M210" s="9"/>
      <c r="O210" s="9"/>
    </row>
    <row r="211" ht="15.75" customHeight="1">
      <c r="A211" s="9" t="str">
        <f>IFERROR(__xludf.DUMMYFUNCTION("IF(B211="""","""",RIGHT(REGEXREPLACE(B211&amp;"""",""[^0-9]"",""""),9))"),"758605937")</f>
        <v>758605937</v>
      </c>
      <c r="B211" s="48">
        <v>7.58605937E8</v>
      </c>
      <c r="C211" s="10" t="s">
        <v>299</v>
      </c>
      <c r="D211" s="10" t="s">
        <v>34</v>
      </c>
      <c r="E211" s="13">
        <v>46226.0</v>
      </c>
      <c r="F211" s="10" t="s">
        <v>35</v>
      </c>
      <c r="G211" s="10">
        <v>11.0</v>
      </c>
      <c r="I211" s="10" t="s">
        <v>22</v>
      </c>
      <c r="J211" s="9" t="str">
        <f t="shared" si="28"/>
        <v>No</v>
      </c>
      <c r="K211" s="9" t="str">
        <f t="shared" si="26"/>
        <v/>
      </c>
      <c r="L211" s="9" t="str">
        <f t="shared" si="29"/>
        <v/>
      </c>
      <c r="M211" s="9"/>
      <c r="O211" s="9"/>
    </row>
    <row r="212" ht="15.75" customHeight="1">
      <c r="A212" s="9" t="str">
        <f>IFERROR(__xludf.DUMMYFUNCTION("IF(B212="""","""",RIGHT(REGEXREPLACE(B212&amp;"""",""[^0-9]"",""""),9))"),"783996815")</f>
        <v>783996815</v>
      </c>
      <c r="B212" s="48">
        <v>7.83996815E8</v>
      </c>
      <c r="C212" s="10" t="s">
        <v>300</v>
      </c>
      <c r="D212" s="10" t="s">
        <v>34</v>
      </c>
      <c r="E212" s="13">
        <v>46226.0</v>
      </c>
      <c r="F212" s="10" t="s">
        <v>171</v>
      </c>
      <c r="I212" s="10" t="s">
        <v>22</v>
      </c>
      <c r="J212" s="9" t="str">
        <f t="shared" si="28"/>
        <v>No</v>
      </c>
      <c r="K212" s="9" t="str">
        <f t="shared" si="26"/>
        <v/>
      </c>
      <c r="L212" s="9" t="str">
        <f t="shared" si="29"/>
        <v/>
      </c>
      <c r="M212" s="9"/>
      <c r="O212" s="9"/>
    </row>
    <row r="213" ht="15.75" customHeight="1">
      <c r="A213" s="9" t="str">
        <f>IFERROR(__xludf.DUMMYFUNCTION("IF(B213="""","""",RIGHT(REGEXREPLACE(B213&amp;"""",""[^0-9]"",""""),9))"),"713656883")</f>
        <v>713656883</v>
      </c>
      <c r="B213" s="48">
        <v>7.13656883E8</v>
      </c>
      <c r="C213" s="10" t="s">
        <v>301</v>
      </c>
      <c r="D213" s="10" t="s">
        <v>120</v>
      </c>
      <c r="E213" s="13">
        <v>46226.0</v>
      </c>
      <c r="F213" s="10" t="s">
        <v>198</v>
      </c>
      <c r="I213" s="10" t="s">
        <v>22</v>
      </c>
      <c r="J213" s="9" t="str">
        <f t="shared" si="28"/>
        <v>No</v>
      </c>
      <c r="K213" s="9" t="str">
        <f t="shared" si="26"/>
        <v/>
      </c>
      <c r="L213" s="9" t="str">
        <f t="shared" si="29"/>
        <v/>
      </c>
      <c r="M213" s="9"/>
      <c r="O213" s="9"/>
    </row>
    <row r="214" ht="15.75" customHeight="1">
      <c r="A214" s="9" t="str">
        <f>IFERROR(__xludf.DUMMYFUNCTION("IF(B214="""","""",RIGHT(REGEXREPLACE(B214&amp;"""",""[^0-9]"",""""),9))"),"773782021")</f>
        <v>773782021</v>
      </c>
      <c r="B214" s="10">
        <v>7.73782021E8</v>
      </c>
      <c r="C214" s="10" t="s">
        <v>302</v>
      </c>
      <c r="D214" s="10" t="s">
        <v>69</v>
      </c>
      <c r="E214" s="13">
        <v>46226.0</v>
      </c>
      <c r="F214" s="10" t="s">
        <v>35</v>
      </c>
      <c r="G214" s="10">
        <v>7.0</v>
      </c>
      <c r="H214" s="10" t="s">
        <v>303</v>
      </c>
      <c r="I214" s="10" t="s">
        <v>22</v>
      </c>
      <c r="J214" s="9" t="str">
        <f t="shared" si="28"/>
        <v>No</v>
      </c>
      <c r="K214" s="9" t="str">
        <f t="shared" si="26"/>
        <v/>
      </c>
      <c r="L214" s="9" t="str">
        <f t="shared" si="29"/>
        <v/>
      </c>
      <c r="M214" s="9"/>
      <c r="O214" s="9"/>
    </row>
    <row r="215" ht="15.75" customHeight="1">
      <c r="A215" s="9" t="str">
        <f>IFERROR(__xludf.DUMMYFUNCTION("IF(B215="""","""",RIGHT(REGEXREPLACE(B215&amp;"""",""[^0-9]"",""""),9))"),"787289206")</f>
        <v>787289206</v>
      </c>
      <c r="B215" s="48">
        <v>7.87289206E8</v>
      </c>
      <c r="C215" s="10" t="s">
        <v>304</v>
      </c>
      <c r="D215" s="10" t="s">
        <v>50</v>
      </c>
      <c r="E215" s="13">
        <v>46226.0</v>
      </c>
      <c r="F215" s="10" t="s">
        <v>113</v>
      </c>
      <c r="G215" s="10">
        <v>11.0</v>
      </c>
      <c r="H215" s="10" t="s">
        <v>238</v>
      </c>
      <c r="I215" s="10" t="s">
        <v>22</v>
      </c>
      <c r="J215" s="9" t="str">
        <f t="shared" si="28"/>
        <v>No</v>
      </c>
      <c r="K215" s="9" t="str">
        <f t="shared" si="26"/>
        <v/>
      </c>
      <c r="L215" s="9" t="str">
        <f t="shared" si="29"/>
        <v/>
      </c>
      <c r="M215" s="9"/>
      <c r="O215" s="9"/>
    </row>
    <row r="216" ht="15.75" customHeight="1">
      <c r="A216" s="9" t="str">
        <f>IFERROR(__xludf.DUMMYFUNCTION("IF(B216="""","""",RIGHT(REGEXREPLACE(B216&amp;"""",""[^0-9]"",""""),9))"),"776395498")</f>
        <v>776395498</v>
      </c>
      <c r="B216" s="48">
        <v>7.76395498E8</v>
      </c>
      <c r="C216" s="10" t="s">
        <v>305</v>
      </c>
      <c r="D216" s="10" t="s">
        <v>120</v>
      </c>
      <c r="E216" s="13">
        <v>46226.0</v>
      </c>
      <c r="F216" s="10" t="s">
        <v>21</v>
      </c>
      <c r="I216" s="10" t="s">
        <v>22</v>
      </c>
      <c r="J216" s="9" t="str">
        <f t="shared" si="28"/>
        <v>No</v>
      </c>
      <c r="K216" s="9" t="str">
        <f t="shared" si="26"/>
        <v/>
      </c>
      <c r="L216" s="9" t="str">
        <f t="shared" si="29"/>
        <v/>
      </c>
      <c r="M216" s="9"/>
      <c r="O216" s="9"/>
    </row>
    <row r="217" ht="15.75" customHeight="1">
      <c r="A217" s="9" t="str">
        <f>IFERROR(__xludf.DUMMYFUNCTION("IF(B217="""","""",RIGHT(REGEXREPLACE(B217&amp;"""",""[^0-9]"",""""),9))"),"715150088")</f>
        <v>715150088</v>
      </c>
      <c r="B217" s="10">
        <v>7.15150088E8</v>
      </c>
      <c r="C217" s="10" t="s">
        <v>306</v>
      </c>
      <c r="D217" s="10" t="s">
        <v>20</v>
      </c>
      <c r="E217" s="13">
        <v>46226.0</v>
      </c>
      <c r="F217" s="10" t="s">
        <v>35</v>
      </c>
      <c r="G217" s="10">
        <v>11.0</v>
      </c>
      <c r="I217" s="10" t="s">
        <v>22</v>
      </c>
      <c r="J217" s="9" t="str">
        <f t="shared" si="28"/>
        <v>No</v>
      </c>
      <c r="K217" s="9" t="str">
        <f t="shared" si="26"/>
        <v/>
      </c>
      <c r="L217" s="9" t="str">
        <f t="shared" si="29"/>
        <v/>
      </c>
      <c r="M217" s="9"/>
      <c r="O217" s="9"/>
    </row>
    <row r="218" ht="15.75" customHeight="1">
      <c r="A218" s="9" t="str">
        <f>IFERROR(__xludf.DUMMYFUNCTION("IF(B218="""","""",RIGHT(REGEXREPLACE(B218&amp;"""",""[^0-9]"",""""),9))"),"762291347")</f>
        <v>762291347</v>
      </c>
      <c r="B218" s="48">
        <v>7.62291347E8</v>
      </c>
      <c r="C218" s="10" t="s">
        <v>307</v>
      </c>
      <c r="D218" s="10" t="s">
        <v>34</v>
      </c>
      <c r="E218" s="13">
        <v>46226.0</v>
      </c>
      <c r="F218" s="10" t="s">
        <v>113</v>
      </c>
      <c r="I218" s="10" t="s">
        <v>22</v>
      </c>
      <c r="J218" s="9" t="str">
        <f t="shared" si="28"/>
        <v>No</v>
      </c>
      <c r="K218" s="9" t="str">
        <f t="shared" si="26"/>
        <v/>
      </c>
      <c r="L218" s="9" t="str">
        <f t="shared" si="29"/>
        <v/>
      </c>
      <c r="M218" s="9"/>
      <c r="O218" s="9"/>
    </row>
    <row r="219" ht="15.75" customHeight="1">
      <c r="A219" s="9" t="str">
        <f>IFERROR(__xludf.DUMMYFUNCTION("IF(B219="""","""",RIGHT(REGEXREPLACE(B219&amp;"""",""[^0-9]"",""""),9))"),"771093199")</f>
        <v>771093199</v>
      </c>
      <c r="B219" s="48">
        <v>7.71093199E8</v>
      </c>
      <c r="C219" s="10" t="s">
        <v>308</v>
      </c>
      <c r="D219" s="10" t="s">
        <v>50</v>
      </c>
      <c r="E219" s="13">
        <v>46226.0</v>
      </c>
      <c r="F219" s="10" t="s">
        <v>21</v>
      </c>
      <c r="I219" s="10" t="s">
        <v>22</v>
      </c>
      <c r="J219" s="9" t="str">
        <f t="shared" si="28"/>
        <v>No</v>
      </c>
      <c r="K219" s="9" t="str">
        <f t="shared" si="26"/>
        <v/>
      </c>
      <c r="L219" s="9" t="str">
        <f t="shared" si="29"/>
        <v/>
      </c>
      <c r="M219" s="9"/>
      <c r="O219" s="9"/>
    </row>
    <row r="220" ht="15.75" customHeight="1">
      <c r="A220" s="9" t="str">
        <f>IFERROR(__xludf.DUMMYFUNCTION("IF(B220="""","""",RIGHT(REGEXREPLACE(B220&amp;"""",""[^0-9]"",""""),9))"),"775177162")</f>
        <v>775177162</v>
      </c>
      <c r="B220" s="10">
        <v>7.75177162E8</v>
      </c>
      <c r="C220" s="10" t="s">
        <v>309</v>
      </c>
      <c r="D220" s="10" t="s">
        <v>20</v>
      </c>
      <c r="E220" s="13">
        <v>46226.0</v>
      </c>
      <c r="F220" s="10" t="s">
        <v>35</v>
      </c>
      <c r="G220" s="10">
        <v>11.0</v>
      </c>
      <c r="I220" s="10" t="s">
        <v>22</v>
      </c>
      <c r="J220" s="9" t="str">
        <f t="shared" si="28"/>
        <v>No</v>
      </c>
      <c r="K220" s="9" t="str">
        <f t="shared" si="26"/>
        <v/>
      </c>
      <c r="L220" s="9" t="str">
        <f t="shared" si="29"/>
        <v/>
      </c>
      <c r="M220" s="9"/>
      <c r="O220" s="9"/>
    </row>
    <row r="221" ht="15.75" customHeight="1">
      <c r="A221" s="9" t="str">
        <f>IFERROR(__xludf.DUMMYFUNCTION("IF(B221="""","""",RIGHT(REGEXREPLACE(B221&amp;"""",""[^0-9]"",""""),9))"),"770880788")</f>
        <v>770880788</v>
      </c>
      <c r="B221" s="48">
        <v>7.70880788E8</v>
      </c>
      <c r="C221" s="10" t="s">
        <v>310</v>
      </c>
      <c r="D221" s="10" t="s">
        <v>120</v>
      </c>
      <c r="E221" s="13">
        <v>46226.0</v>
      </c>
      <c r="F221" s="10" t="s">
        <v>113</v>
      </c>
      <c r="I221" s="10" t="s">
        <v>22</v>
      </c>
      <c r="J221" s="9" t="str">
        <f t="shared" si="28"/>
        <v>No</v>
      </c>
      <c r="K221" s="9" t="str">
        <f t="shared" si="26"/>
        <v/>
      </c>
      <c r="L221" s="9" t="str">
        <f t="shared" si="29"/>
        <v/>
      </c>
      <c r="M221" s="9"/>
      <c r="O221" s="9"/>
    </row>
    <row r="222" ht="15.75" customHeight="1">
      <c r="A222" s="9" t="str">
        <f>IFERROR(__xludf.DUMMYFUNCTION("IF(B222="""","""",RIGHT(REGEXREPLACE(B222&amp;"""",""[^0-9]"",""""),9))"),"713376942")</f>
        <v>713376942</v>
      </c>
      <c r="B222" s="48">
        <v>9.4713376942E10</v>
      </c>
      <c r="C222" s="10" t="s">
        <v>311</v>
      </c>
      <c r="D222" s="10" t="s">
        <v>20</v>
      </c>
      <c r="E222" s="13">
        <v>46226.0</v>
      </c>
      <c r="F222" s="10" t="s">
        <v>35</v>
      </c>
      <c r="G222" s="10">
        <v>11.0</v>
      </c>
      <c r="I222" s="10" t="s">
        <v>22</v>
      </c>
      <c r="J222" s="9" t="str">
        <f t="shared" si="28"/>
        <v>No</v>
      </c>
      <c r="K222" s="9" t="str">
        <f t="shared" si="26"/>
        <v/>
      </c>
      <c r="L222" s="9" t="str">
        <f t="shared" si="29"/>
        <v/>
      </c>
      <c r="M222" s="9"/>
      <c r="O222" s="9"/>
    </row>
    <row r="223" ht="15.75" customHeight="1">
      <c r="A223" s="9" t="str">
        <f>IFERROR(__xludf.DUMMYFUNCTION("IF(B223="""","""",RIGHT(REGEXREPLACE(B223&amp;"""",""[^0-9]"",""""),9))"),"775241969")</f>
        <v>775241969</v>
      </c>
      <c r="B223" s="48">
        <v>7.75241969E8</v>
      </c>
      <c r="C223" s="10" t="s">
        <v>312</v>
      </c>
      <c r="D223" s="10" t="s">
        <v>50</v>
      </c>
      <c r="E223" s="13">
        <v>46226.0</v>
      </c>
      <c r="F223" s="10" t="s">
        <v>35</v>
      </c>
      <c r="G223" s="10">
        <v>11.0</v>
      </c>
      <c r="I223" s="10" t="s">
        <v>22</v>
      </c>
      <c r="J223" s="9" t="str">
        <f t="shared" si="28"/>
        <v>No</v>
      </c>
      <c r="K223" s="9" t="str">
        <f t="shared" si="26"/>
        <v/>
      </c>
      <c r="L223" s="9" t="str">
        <f t="shared" si="29"/>
        <v/>
      </c>
      <c r="M223" s="9"/>
      <c r="O223" s="9"/>
    </row>
    <row r="224" ht="15.75" customHeight="1">
      <c r="A224" s="9" t="str">
        <f>IFERROR(__xludf.DUMMYFUNCTION("IF(B224="""","""",RIGHT(REGEXREPLACE(B224&amp;"""",""[^0-9]"",""""),9))"),"775536017")</f>
        <v>775536017</v>
      </c>
      <c r="B224" s="48">
        <v>7.75536017E8</v>
      </c>
      <c r="C224" s="10" t="s">
        <v>314</v>
      </c>
      <c r="D224" s="10" t="s">
        <v>69</v>
      </c>
      <c r="E224" s="13">
        <v>46226.0</v>
      </c>
      <c r="F224" s="10" t="s">
        <v>35</v>
      </c>
      <c r="G224" s="10">
        <v>11.0</v>
      </c>
      <c r="H224" s="10" t="s">
        <v>315</v>
      </c>
      <c r="I224" s="10" t="s">
        <v>22</v>
      </c>
      <c r="J224" s="9" t="str">
        <f t="shared" si="28"/>
        <v>No</v>
      </c>
      <c r="K224" s="9" t="str">
        <f t="shared" si="26"/>
        <v/>
      </c>
      <c r="L224" s="9" t="str">
        <f t="shared" si="29"/>
        <v/>
      </c>
      <c r="M224" s="9"/>
      <c r="O224" s="9"/>
    </row>
    <row r="225" ht="15.75" customHeight="1">
      <c r="A225" s="9" t="str">
        <f>IFERROR(__xludf.DUMMYFUNCTION("IF(B225="""","""",RIGHT(REGEXREPLACE(B225&amp;"""",""[^0-9]"",""""),9))"),"716864504")</f>
        <v>716864504</v>
      </c>
      <c r="B225" s="48">
        <v>7.16864504E8</v>
      </c>
      <c r="C225" s="10" t="s">
        <v>316</v>
      </c>
      <c r="D225" s="10" t="s">
        <v>120</v>
      </c>
      <c r="E225" s="13">
        <v>46226.0</v>
      </c>
      <c r="F225" s="10" t="s">
        <v>21</v>
      </c>
      <c r="I225" s="10" t="s">
        <v>22</v>
      </c>
      <c r="J225" s="9" t="str">
        <f t="shared" si="28"/>
        <v>No</v>
      </c>
      <c r="K225" s="9" t="str">
        <f t="shared" si="26"/>
        <v/>
      </c>
      <c r="L225" s="9" t="str">
        <f t="shared" si="29"/>
        <v/>
      </c>
      <c r="M225" s="9"/>
      <c r="O225" s="9"/>
    </row>
    <row r="226" ht="15.75" customHeight="1">
      <c r="A226" s="9" t="str">
        <f>IFERROR(__xludf.DUMMYFUNCTION("IF(B226="""","""",RIGHT(REGEXREPLACE(B226&amp;"""",""[^0-9]"",""""),9))"),"762860874")</f>
        <v>762860874</v>
      </c>
      <c r="B226" s="48">
        <v>7.62860874E8</v>
      </c>
      <c r="C226" s="10" t="s">
        <v>320</v>
      </c>
      <c r="D226" s="10" t="s">
        <v>34</v>
      </c>
      <c r="E226" s="13">
        <v>46226.0</v>
      </c>
      <c r="F226" s="10" t="s">
        <v>35</v>
      </c>
      <c r="G226" s="10">
        <v>11.0</v>
      </c>
      <c r="I226" s="10" t="s">
        <v>22</v>
      </c>
      <c r="J226" s="9" t="str">
        <f t="shared" si="28"/>
        <v>No</v>
      </c>
      <c r="K226" s="9" t="str">
        <f t="shared" si="26"/>
        <v/>
      </c>
      <c r="L226" s="9" t="str">
        <f t="shared" si="29"/>
        <v/>
      </c>
      <c r="M226" s="9"/>
      <c r="O226" s="9"/>
    </row>
    <row r="227" ht="15.75" customHeight="1">
      <c r="A227" s="9" t="str">
        <f>IFERROR(__xludf.DUMMYFUNCTION("IF(B227="""","""",RIGHT(REGEXREPLACE(B227&amp;"""",""[^0-9]"",""""),9))"),"710633233")</f>
        <v>710633233</v>
      </c>
      <c r="B227" s="48">
        <v>7.10633233E8</v>
      </c>
      <c r="C227" s="10" t="s">
        <v>321</v>
      </c>
      <c r="D227" s="10" t="s">
        <v>50</v>
      </c>
      <c r="E227" s="13">
        <v>46226.0</v>
      </c>
      <c r="F227" s="10" t="s">
        <v>113</v>
      </c>
      <c r="H227" s="10" t="s">
        <v>238</v>
      </c>
      <c r="I227" s="10" t="s">
        <v>22</v>
      </c>
      <c r="J227" s="9" t="str">
        <f t="shared" si="28"/>
        <v>No</v>
      </c>
      <c r="K227" s="9" t="str">
        <f t="shared" si="26"/>
        <v/>
      </c>
      <c r="L227" s="9" t="str">
        <f t="shared" si="29"/>
        <v/>
      </c>
      <c r="M227" s="9"/>
      <c r="O227" s="9"/>
    </row>
    <row r="228" ht="15.75" customHeight="1">
      <c r="A228" s="9" t="str">
        <f>IFERROR(__xludf.DUMMYFUNCTION("IF(B228="""","""",RIGHT(REGEXREPLACE(B228&amp;"""",""[^0-9]"",""""),9))"),"760745576")</f>
        <v>760745576</v>
      </c>
      <c r="B228" s="48">
        <v>7.60745576E8</v>
      </c>
      <c r="C228" s="10" t="s">
        <v>322</v>
      </c>
      <c r="D228" s="10" t="s">
        <v>69</v>
      </c>
      <c r="E228" s="13">
        <v>46226.0</v>
      </c>
      <c r="F228" s="10" t="s">
        <v>21</v>
      </c>
      <c r="I228" s="10" t="s">
        <v>22</v>
      </c>
      <c r="J228" s="9" t="str">
        <f t="shared" si="28"/>
        <v>No</v>
      </c>
      <c r="K228" s="9" t="str">
        <f t="shared" si="26"/>
        <v/>
      </c>
      <c r="L228" s="9" t="str">
        <f t="shared" si="29"/>
        <v/>
      </c>
      <c r="M228" s="9"/>
      <c r="O228" s="9"/>
    </row>
    <row r="229" ht="15.75" customHeight="1">
      <c r="A229" s="9" t="str">
        <f>IFERROR(__xludf.DUMMYFUNCTION("IF(B229="""","""",RIGHT(REGEXREPLACE(B229&amp;"""",""[^0-9]"",""""),9))"),"752260224")</f>
        <v>752260224</v>
      </c>
      <c r="B229" s="48">
        <v>7.52260224E8</v>
      </c>
      <c r="C229" s="10" t="s">
        <v>323</v>
      </c>
      <c r="D229" s="10" t="s">
        <v>120</v>
      </c>
      <c r="E229" s="13">
        <v>46226.0</v>
      </c>
      <c r="F229" s="10" t="s">
        <v>145</v>
      </c>
      <c r="G229" s="10">
        <v>11.0</v>
      </c>
      <c r="I229" s="10" t="s">
        <v>22</v>
      </c>
      <c r="J229" s="9" t="str">
        <f t="shared" si="28"/>
        <v>No</v>
      </c>
      <c r="K229" s="9" t="str">
        <f t="shared" si="26"/>
        <v/>
      </c>
      <c r="L229" s="9" t="str">
        <f t="shared" si="29"/>
        <v/>
      </c>
      <c r="M229" s="9"/>
      <c r="O229" s="9"/>
    </row>
    <row r="230" ht="15.75" customHeight="1">
      <c r="A230" s="9" t="str">
        <f>IFERROR(__xludf.DUMMYFUNCTION("IF(B230="""","""",RIGHT(REGEXREPLACE(B230&amp;"""",""[^0-9]"",""""),9))"),"714131921")</f>
        <v>714131921</v>
      </c>
      <c r="B230" s="48">
        <v>7.14131921E8</v>
      </c>
      <c r="C230" s="10" t="s">
        <v>324</v>
      </c>
      <c r="D230" s="10" t="s">
        <v>34</v>
      </c>
      <c r="E230" s="13">
        <v>46226.0</v>
      </c>
      <c r="F230" s="10" t="s">
        <v>21</v>
      </c>
      <c r="I230" s="10" t="s">
        <v>22</v>
      </c>
      <c r="J230" s="9" t="str">
        <f t="shared" si="28"/>
        <v>No</v>
      </c>
      <c r="K230" s="9" t="str">
        <f t="shared" si="26"/>
        <v/>
      </c>
      <c r="L230" s="9" t="str">
        <f t="shared" si="29"/>
        <v/>
      </c>
      <c r="M230" s="9"/>
      <c r="O230" s="9"/>
    </row>
    <row r="231" ht="15.75" customHeight="1">
      <c r="A231" s="9" t="str">
        <f>IFERROR(__xludf.DUMMYFUNCTION("IF(B231="""","""",RIGHT(REGEXREPLACE(B231&amp;"""",""[^0-9]"",""""),9))"),"715131183")</f>
        <v>715131183</v>
      </c>
      <c r="B231" s="48">
        <v>7.15131183E8</v>
      </c>
      <c r="C231" s="10" t="s">
        <v>325</v>
      </c>
      <c r="D231" s="10" t="s">
        <v>50</v>
      </c>
      <c r="E231" s="13">
        <v>46226.0</v>
      </c>
      <c r="F231" s="10" t="s">
        <v>113</v>
      </c>
      <c r="H231" s="10" t="s">
        <v>238</v>
      </c>
      <c r="I231" s="10" t="s">
        <v>22</v>
      </c>
      <c r="J231" s="9" t="str">
        <f t="shared" si="28"/>
        <v>No</v>
      </c>
      <c r="K231" s="9" t="str">
        <f t="shared" si="26"/>
        <v/>
      </c>
      <c r="L231" s="9" t="str">
        <f t="shared" si="29"/>
        <v/>
      </c>
      <c r="M231" s="9"/>
      <c r="O231" s="9"/>
    </row>
    <row r="232" ht="15.75" customHeight="1">
      <c r="A232" s="9" t="str">
        <f>IFERROR(__xludf.DUMMYFUNCTION("IF(B232="""","""",RIGHT(REGEXREPLACE(B232&amp;"""",""[^0-9]"",""""),9))"),"763512675")</f>
        <v>763512675</v>
      </c>
      <c r="B232" s="48">
        <v>7.63512675E8</v>
      </c>
      <c r="C232" s="10" t="s">
        <v>326</v>
      </c>
      <c r="D232" s="10" t="s">
        <v>50</v>
      </c>
      <c r="E232" s="13">
        <v>46226.0</v>
      </c>
      <c r="F232" s="10" t="s">
        <v>35</v>
      </c>
      <c r="G232" s="10">
        <v>11.0</v>
      </c>
      <c r="I232" s="10" t="s">
        <v>22</v>
      </c>
      <c r="J232" s="9" t="str">
        <f t="shared" si="28"/>
        <v>No</v>
      </c>
      <c r="K232" s="9" t="str">
        <f t="shared" si="26"/>
        <v/>
      </c>
      <c r="L232" s="9" t="str">
        <f t="shared" si="29"/>
        <v/>
      </c>
      <c r="M232" s="9"/>
      <c r="O232" s="9"/>
    </row>
    <row r="233" ht="15.75" customHeight="1">
      <c r="A233" s="9" t="str">
        <f>IFERROR(__xludf.DUMMYFUNCTION("IF(B233="""","""",RIGHT(REGEXREPLACE(B233&amp;"""",""[^0-9]"",""""),9))"),"775609838")</f>
        <v>775609838</v>
      </c>
      <c r="B233" s="48">
        <v>7.75609838E8</v>
      </c>
      <c r="C233" s="10" t="s">
        <v>327</v>
      </c>
      <c r="D233" s="10" t="s">
        <v>34</v>
      </c>
      <c r="E233" s="13">
        <v>46226.0</v>
      </c>
      <c r="F233" s="10" t="s">
        <v>35</v>
      </c>
      <c r="G233" s="10">
        <v>11.0</v>
      </c>
      <c r="I233" s="10" t="s">
        <v>22</v>
      </c>
      <c r="J233" s="9" t="str">
        <f t="shared" si="28"/>
        <v>No</v>
      </c>
      <c r="K233" s="9" t="str">
        <f t="shared" si="26"/>
        <v/>
      </c>
      <c r="L233" s="9" t="str">
        <f t="shared" si="29"/>
        <v/>
      </c>
      <c r="M233" s="9"/>
      <c r="O233" s="9"/>
    </row>
    <row r="234" ht="15.75" customHeight="1">
      <c r="A234" s="9" t="str">
        <f>IFERROR(__xludf.DUMMYFUNCTION("IF(B234="""","""",RIGHT(REGEXREPLACE(B234&amp;"""",""[^0-9]"",""""),9))"),"760403702")</f>
        <v>760403702</v>
      </c>
      <c r="B234" s="48">
        <v>7.60403702E8</v>
      </c>
      <c r="C234" s="10" t="s">
        <v>328</v>
      </c>
      <c r="D234" s="10" t="s">
        <v>120</v>
      </c>
      <c r="E234" s="13">
        <v>46226.0</v>
      </c>
      <c r="F234" s="10" t="s">
        <v>198</v>
      </c>
      <c r="G234" s="10">
        <v>11.0</v>
      </c>
      <c r="I234" s="10" t="s">
        <v>22</v>
      </c>
      <c r="J234" s="9" t="str">
        <f t="shared" si="28"/>
        <v>No</v>
      </c>
      <c r="K234" s="9" t="str">
        <f t="shared" si="26"/>
        <v/>
      </c>
      <c r="L234" s="9" t="str">
        <f t="shared" si="29"/>
        <v/>
      </c>
      <c r="M234" s="9"/>
      <c r="O234" s="9"/>
    </row>
    <row r="235" ht="15.75" customHeight="1">
      <c r="A235" s="9" t="str">
        <f>IFERROR(__xludf.DUMMYFUNCTION("IF(B235="""","""",RIGHT(REGEXREPLACE(B235&amp;"""",""[^0-9]"",""""),9))"),"753325779")</f>
        <v>753325779</v>
      </c>
      <c r="B235" s="48">
        <v>9.4753325779E10</v>
      </c>
      <c r="C235" s="10" t="s">
        <v>329</v>
      </c>
      <c r="D235" s="10" t="s">
        <v>20</v>
      </c>
      <c r="E235" s="13">
        <v>46226.0</v>
      </c>
      <c r="F235" s="10" t="s">
        <v>35</v>
      </c>
      <c r="G235" s="10">
        <v>11.0</v>
      </c>
      <c r="I235" s="10" t="s">
        <v>22</v>
      </c>
      <c r="J235" s="9" t="str">
        <f t="shared" si="28"/>
        <v>No</v>
      </c>
      <c r="K235" s="9" t="str">
        <f t="shared" si="26"/>
        <v/>
      </c>
      <c r="L235" s="9" t="str">
        <f t="shared" si="29"/>
        <v/>
      </c>
      <c r="M235" s="9"/>
      <c r="O235" s="9"/>
    </row>
    <row r="236" ht="15.75" customHeight="1">
      <c r="A236" s="9" t="str">
        <f>IFERROR(__xludf.DUMMYFUNCTION("IF(B236="""","""",RIGHT(REGEXREPLACE(B236&amp;"""",""[^0-9]"",""""),9))"),"771931698")</f>
        <v>771931698</v>
      </c>
      <c r="B236" s="48">
        <v>7.71931698E8</v>
      </c>
      <c r="C236" s="10" t="s">
        <v>330</v>
      </c>
      <c r="D236" s="10" t="s">
        <v>69</v>
      </c>
      <c r="E236" s="13">
        <v>46226.0</v>
      </c>
      <c r="F236" s="9"/>
      <c r="G236" s="10">
        <v>5.0</v>
      </c>
      <c r="H236" s="9"/>
      <c r="I236" s="10" t="s">
        <v>22</v>
      </c>
      <c r="J236" s="9" t="str">
        <f t="shared" si="28"/>
        <v>No</v>
      </c>
      <c r="K236" s="9" t="str">
        <f t="shared" si="26"/>
        <v/>
      </c>
      <c r="L236" s="9" t="str">
        <f t="shared" si="29"/>
        <v/>
      </c>
      <c r="M236" s="9"/>
      <c r="N236" s="9"/>
      <c r="O236" s="9"/>
      <c r="P236" s="9"/>
    </row>
    <row r="237" ht="15.75" customHeight="1">
      <c r="A237" s="9" t="str">
        <f>IFERROR(__xludf.DUMMYFUNCTION("IF(B237="""","""",RIGHT(REGEXREPLACE(B237&amp;"""",""[^0-9]"",""""),9))"),"771137532")</f>
        <v>771137532</v>
      </c>
      <c r="B237" s="48">
        <v>7.71137532E8</v>
      </c>
      <c r="C237" s="10" t="s">
        <v>331</v>
      </c>
      <c r="D237" s="10" t="s">
        <v>50</v>
      </c>
      <c r="E237" s="13">
        <v>46226.0</v>
      </c>
      <c r="F237" s="10" t="s">
        <v>35</v>
      </c>
      <c r="G237" s="10">
        <v>10.0</v>
      </c>
      <c r="I237" s="10" t="s">
        <v>22</v>
      </c>
      <c r="J237" s="9" t="str">
        <f t="shared" si="28"/>
        <v>No</v>
      </c>
      <c r="K237" s="9" t="str">
        <f t="shared" si="26"/>
        <v/>
      </c>
      <c r="L237" s="9" t="str">
        <f t="shared" si="29"/>
        <v/>
      </c>
      <c r="M237" s="9"/>
      <c r="O237" s="9"/>
    </row>
    <row r="238" ht="15.75" customHeight="1">
      <c r="A238" s="9" t="str">
        <f>IFERROR(__xludf.DUMMYFUNCTION("IF(B238="""","""",RIGHT(REGEXREPLACE(B238&amp;"""",""[^0-9]"",""""),9))"),"774003014")</f>
        <v>774003014</v>
      </c>
      <c r="B238" s="48">
        <v>7.74003014E8</v>
      </c>
      <c r="C238" s="10" t="s">
        <v>332</v>
      </c>
      <c r="D238" s="10" t="s">
        <v>34</v>
      </c>
      <c r="E238" s="13">
        <v>46226.0</v>
      </c>
      <c r="F238" s="10" t="s">
        <v>21</v>
      </c>
      <c r="I238" s="10" t="s">
        <v>22</v>
      </c>
      <c r="J238" s="9" t="str">
        <f t="shared" si="28"/>
        <v>No</v>
      </c>
      <c r="K238" s="9" t="str">
        <f t="shared" si="26"/>
        <v/>
      </c>
      <c r="L238" s="9" t="str">
        <f t="shared" si="29"/>
        <v/>
      </c>
      <c r="M238" s="9"/>
      <c r="O238" s="9"/>
    </row>
    <row r="239" ht="15.75" customHeight="1">
      <c r="A239" s="9" t="str">
        <f>IFERROR(__xludf.DUMMYFUNCTION("IF(B239="""","""",RIGHT(REGEXREPLACE(B239&amp;"""",""[^0-9]"",""""),9))"),"769165220")</f>
        <v>769165220</v>
      </c>
      <c r="B239" s="48">
        <v>7.6916522E8</v>
      </c>
      <c r="C239" s="10" t="s">
        <v>333</v>
      </c>
      <c r="D239" s="10" t="s">
        <v>120</v>
      </c>
      <c r="E239" s="13">
        <v>46226.0</v>
      </c>
      <c r="F239" s="10" t="s">
        <v>198</v>
      </c>
      <c r="I239" s="10" t="s">
        <v>22</v>
      </c>
      <c r="J239" s="9" t="str">
        <f t="shared" si="28"/>
        <v>No</v>
      </c>
      <c r="K239" s="9" t="str">
        <f t="shared" si="26"/>
        <v/>
      </c>
      <c r="L239" s="9" t="str">
        <f t="shared" si="29"/>
        <v/>
      </c>
      <c r="M239" s="9"/>
      <c r="O239" s="9"/>
    </row>
    <row r="240" ht="15.75" customHeight="1">
      <c r="A240" s="9" t="str">
        <f>IFERROR(__xludf.DUMMYFUNCTION("IF(B240="""","""",RIGHT(REGEXREPLACE(B240&amp;"""",""[^0-9]"",""""),9))"),"774960552")</f>
        <v>774960552</v>
      </c>
      <c r="B240" s="48">
        <v>7.74960552E8</v>
      </c>
      <c r="C240" s="10" t="s">
        <v>334</v>
      </c>
      <c r="D240" s="10" t="s">
        <v>69</v>
      </c>
      <c r="E240" s="13">
        <v>46226.0</v>
      </c>
      <c r="F240" s="10" t="s">
        <v>21</v>
      </c>
      <c r="G240" s="10">
        <v>11.0</v>
      </c>
      <c r="I240" s="10" t="s">
        <v>22</v>
      </c>
      <c r="J240" s="9" t="str">
        <f t="shared" si="28"/>
        <v>No</v>
      </c>
      <c r="K240" s="9" t="str">
        <f t="shared" si="26"/>
        <v/>
      </c>
      <c r="L240" s="9" t="str">
        <f t="shared" si="29"/>
        <v/>
      </c>
      <c r="M240" s="9"/>
      <c r="O240" s="9"/>
    </row>
    <row r="241" ht="15.75" customHeight="1">
      <c r="A241" s="9" t="str">
        <f>IFERROR(__xludf.DUMMYFUNCTION("IF(B241="""","""",RIGHT(REGEXREPLACE(B241&amp;"""",""[^0-9]"",""""),9))"),"719025054")</f>
        <v>719025054</v>
      </c>
      <c r="B241" s="48">
        <v>7.19025054E8</v>
      </c>
      <c r="C241" s="10" t="s">
        <v>335</v>
      </c>
      <c r="D241" s="10" t="s">
        <v>34</v>
      </c>
      <c r="E241" s="13">
        <v>46226.0</v>
      </c>
      <c r="F241" s="10" t="s">
        <v>35</v>
      </c>
      <c r="G241" s="10">
        <v>11.0</v>
      </c>
      <c r="I241" s="10" t="s">
        <v>22</v>
      </c>
      <c r="J241" s="9" t="str">
        <f t="shared" si="28"/>
        <v>No</v>
      </c>
      <c r="K241" s="9" t="str">
        <f t="shared" si="26"/>
        <v/>
      </c>
      <c r="L241" s="9" t="str">
        <f t="shared" si="29"/>
        <v/>
      </c>
      <c r="M241" s="9"/>
      <c r="O241" s="9"/>
    </row>
    <row r="242" ht="15.75" customHeight="1">
      <c r="A242" s="9" t="str">
        <f>IFERROR(__xludf.DUMMYFUNCTION("IF(B242="""","""",RIGHT(REGEXREPLACE(B242&amp;"""",""[^0-9]"",""""),9))"),"751188604")</f>
        <v>751188604</v>
      </c>
      <c r="B242" s="48">
        <v>7.51188604E8</v>
      </c>
      <c r="C242" s="10" t="s">
        <v>336</v>
      </c>
      <c r="D242" s="10" t="s">
        <v>120</v>
      </c>
      <c r="E242" s="13">
        <v>46226.0</v>
      </c>
      <c r="F242" s="10" t="s">
        <v>35</v>
      </c>
      <c r="G242" s="10">
        <v>11.0</v>
      </c>
      <c r="I242" s="10" t="s">
        <v>22</v>
      </c>
      <c r="J242" s="9" t="str">
        <f t="shared" si="28"/>
        <v>No</v>
      </c>
      <c r="K242" s="9" t="str">
        <f t="shared" si="26"/>
        <v/>
      </c>
      <c r="L242" s="9" t="str">
        <f t="shared" si="29"/>
        <v/>
      </c>
      <c r="M242" s="9"/>
      <c r="O242" s="9"/>
    </row>
    <row r="243" ht="15.75" customHeight="1">
      <c r="A243" s="9" t="str">
        <f>IFERROR(__xludf.DUMMYFUNCTION("IF(B243="""","""",RIGHT(REGEXREPLACE(B243&amp;"""",""[^0-9]"",""""),9))"),"777113260")</f>
        <v>777113260</v>
      </c>
      <c r="B243" s="48">
        <v>7.7711326E8</v>
      </c>
      <c r="C243" s="10" t="s">
        <v>337</v>
      </c>
      <c r="D243" s="10" t="s">
        <v>50</v>
      </c>
      <c r="E243" s="13">
        <v>46226.0</v>
      </c>
      <c r="F243" s="10" t="s">
        <v>21</v>
      </c>
      <c r="I243" s="10" t="s">
        <v>22</v>
      </c>
      <c r="J243" s="9" t="str">
        <f t="shared" si="28"/>
        <v>No</v>
      </c>
      <c r="K243" s="9" t="str">
        <f t="shared" si="26"/>
        <v/>
      </c>
      <c r="L243" s="9" t="str">
        <f t="shared" si="29"/>
        <v/>
      </c>
      <c r="M243" s="9"/>
      <c r="O243" s="9"/>
    </row>
    <row r="244" ht="15.75" customHeight="1">
      <c r="A244" s="9" t="str">
        <f>IFERROR(__xludf.DUMMYFUNCTION("IF(B244="""","""",RIGHT(REGEXREPLACE(B244&amp;"""",""[^0-9]"",""""),9))"),"771837312")</f>
        <v>771837312</v>
      </c>
      <c r="B244" s="48">
        <v>7.71837312E8</v>
      </c>
      <c r="C244" s="10" t="s">
        <v>338</v>
      </c>
      <c r="D244" s="10" t="s">
        <v>69</v>
      </c>
      <c r="E244" s="13">
        <v>46226.0</v>
      </c>
      <c r="F244" s="10" t="s">
        <v>21</v>
      </c>
      <c r="I244" s="10" t="s">
        <v>22</v>
      </c>
      <c r="J244" s="9" t="str">
        <f t="shared" si="28"/>
        <v>No</v>
      </c>
      <c r="K244" s="9" t="str">
        <f t="shared" si="26"/>
        <v/>
      </c>
      <c r="L244" s="9" t="str">
        <f t="shared" si="29"/>
        <v/>
      </c>
      <c r="M244" s="9"/>
      <c r="O244" s="9"/>
    </row>
    <row r="245" ht="15.75" customHeight="1">
      <c r="A245" s="9" t="str">
        <f>IFERROR(__xludf.DUMMYFUNCTION("IF(B245="""","""",RIGHT(REGEXREPLACE(B245&amp;"""",""[^0-9]"",""""),9))"),"772971608")</f>
        <v>772971608</v>
      </c>
      <c r="B245" s="48">
        <v>7.72971608E8</v>
      </c>
      <c r="C245" s="10" t="s">
        <v>339</v>
      </c>
      <c r="D245" s="10" t="s">
        <v>50</v>
      </c>
      <c r="E245" s="13">
        <v>46226.0</v>
      </c>
      <c r="F245" s="10" t="s">
        <v>35</v>
      </c>
      <c r="G245" s="10">
        <v>11.0</v>
      </c>
      <c r="I245" s="10" t="s">
        <v>22</v>
      </c>
      <c r="J245" s="9" t="str">
        <f t="shared" si="28"/>
        <v>No</v>
      </c>
      <c r="K245" s="9" t="str">
        <f t="shared" si="26"/>
        <v/>
      </c>
      <c r="L245" s="9" t="str">
        <f t="shared" si="29"/>
        <v/>
      </c>
      <c r="M245" s="9"/>
      <c r="O245" s="9"/>
    </row>
    <row r="246" ht="15.75" customHeight="1">
      <c r="A246" s="9" t="str">
        <f>IFERROR(__xludf.DUMMYFUNCTION("IF(B246="""","""",RIGHT(REGEXREPLACE(B246&amp;"""",""[^0-9]"",""""),9))"),"772748742")</f>
        <v>772748742</v>
      </c>
      <c r="B246" s="48">
        <v>9.4772748742E10</v>
      </c>
      <c r="C246" s="10" t="s">
        <v>340</v>
      </c>
      <c r="D246" s="10" t="s">
        <v>44</v>
      </c>
      <c r="E246" s="13">
        <v>46226.0</v>
      </c>
      <c r="F246" s="10" t="s">
        <v>21</v>
      </c>
      <c r="G246" s="10">
        <v>11.0</v>
      </c>
      <c r="I246" s="10" t="s">
        <v>22</v>
      </c>
      <c r="J246" s="9" t="str">
        <f t="shared" si="28"/>
        <v>No</v>
      </c>
      <c r="K246" s="9" t="str">
        <f t="shared" si="26"/>
        <v/>
      </c>
      <c r="L246" s="9" t="str">
        <f t="shared" si="29"/>
        <v/>
      </c>
      <c r="M246" s="9"/>
      <c r="O246" s="9"/>
    </row>
    <row r="247" ht="15.75" customHeight="1">
      <c r="A247" s="9" t="str">
        <f>IFERROR(__xludf.DUMMYFUNCTION("IF(B247="""","""",RIGHT(REGEXREPLACE(B247&amp;"""",""[^0-9]"",""""),9))"),"715124888")</f>
        <v>715124888</v>
      </c>
      <c r="B247" s="48">
        <v>7.15124888E8</v>
      </c>
      <c r="C247" s="10" t="s">
        <v>341</v>
      </c>
      <c r="D247" s="10" t="s">
        <v>34</v>
      </c>
      <c r="E247" s="13">
        <v>46226.0</v>
      </c>
      <c r="F247" s="10" t="s">
        <v>113</v>
      </c>
      <c r="H247" s="10" t="s">
        <v>342</v>
      </c>
      <c r="I247" s="10" t="s">
        <v>22</v>
      </c>
      <c r="J247" s="9" t="str">
        <f t="shared" si="28"/>
        <v>No</v>
      </c>
      <c r="K247" s="9" t="str">
        <f t="shared" si="26"/>
        <v/>
      </c>
      <c r="L247" s="9" t="str">
        <f t="shared" si="29"/>
        <v/>
      </c>
      <c r="M247" s="9"/>
      <c r="O247" s="9"/>
    </row>
    <row r="248" ht="15.75" customHeight="1">
      <c r="A248" s="9" t="str">
        <f>IFERROR(__xludf.DUMMYFUNCTION("IF(B248="""","""",RIGHT(REGEXREPLACE(B248&amp;"""",""[^0-9]"",""""),9))"),"772295961")</f>
        <v>772295961</v>
      </c>
      <c r="B248" s="48">
        <v>7.72295961E8</v>
      </c>
      <c r="C248" s="10" t="s">
        <v>343</v>
      </c>
      <c r="D248" s="10" t="s">
        <v>120</v>
      </c>
      <c r="E248" s="13">
        <v>46226.0</v>
      </c>
      <c r="F248" s="10" t="s">
        <v>35</v>
      </c>
      <c r="G248" s="10">
        <v>10.0</v>
      </c>
      <c r="I248" s="10" t="s">
        <v>22</v>
      </c>
      <c r="J248" s="9" t="str">
        <f t="shared" si="28"/>
        <v>No</v>
      </c>
      <c r="K248" s="9" t="str">
        <f t="shared" si="26"/>
        <v/>
      </c>
      <c r="L248" s="9" t="str">
        <f t="shared" si="29"/>
        <v/>
      </c>
      <c r="M248" s="9"/>
      <c r="O248" s="9"/>
    </row>
    <row r="249" ht="15.75" customHeight="1">
      <c r="A249" s="9" t="str">
        <f>IFERROR(__xludf.DUMMYFUNCTION("IF(B249="""","""",RIGHT(REGEXREPLACE(B249&amp;"""",""[^0-9]"",""""),9))"),"769414175")</f>
        <v>769414175</v>
      </c>
      <c r="B249" s="48">
        <v>7.69414175E8</v>
      </c>
      <c r="C249" s="10" t="s">
        <v>344</v>
      </c>
      <c r="D249" s="10" t="s">
        <v>69</v>
      </c>
      <c r="E249" s="13">
        <v>46226.0</v>
      </c>
      <c r="F249" s="10" t="s">
        <v>35</v>
      </c>
      <c r="G249" s="10">
        <v>8.0</v>
      </c>
      <c r="I249" s="10" t="s">
        <v>22</v>
      </c>
      <c r="J249" s="9" t="str">
        <f t="shared" si="28"/>
        <v>No</v>
      </c>
      <c r="K249" s="9" t="str">
        <f t="shared" si="26"/>
        <v/>
      </c>
      <c r="L249" s="9" t="str">
        <f t="shared" si="29"/>
        <v/>
      </c>
      <c r="M249" s="9"/>
      <c r="O249" s="9"/>
    </row>
    <row r="250" ht="15.75" customHeight="1">
      <c r="A250" s="9" t="str">
        <f>IFERROR(__xludf.DUMMYFUNCTION("IF(B250="""","""",RIGHT(REGEXREPLACE(B250&amp;"""",""[^0-9]"",""""),9))"),"753325779")</f>
        <v>753325779</v>
      </c>
      <c r="B250" s="10">
        <v>9.4753325779E10</v>
      </c>
      <c r="C250" s="10" t="s">
        <v>329</v>
      </c>
      <c r="D250" s="10" t="s">
        <v>20</v>
      </c>
      <c r="E250" s="13">
        <v>46226.0</v>
      </c>
      <c r="F250" s="9"/>
      <c r="G250" s="9"/>
      <c r="H250" s="9"/>
      <c r="I250" s="10" t="s">
        <v>22</v>
      </c>
      <c r="J250" s="9" t="str">
        <f t="shared" si="28"/>
        <v>Yes - see Previous F-Code</v>
      </c>
      <c r="K250" s="9" t="str">
        <f t="shared" si="26"/>
        <v>DUPLICATE - CHECK</v>
      </c>
      <c r="L250" s="9" t="str">
        <f t="shared" si="29"/>
        <v>F70214</v>
      </c>
      <c r="M250" s="9"/>
      <c r="N250" s="9"/>
      <c r="O250" s="9"/>
      <c r="P250" s="9"/>
    </row>
    <row r="251" ht="15.75" customHeight="1">
      <c r="A251" s="9" t="str">
        <f>IFERROR(__xludf.DUMMYFUNCTION("IF(B251="""","""",RIGHT(REGEXREPLACE(B251&amp;"""",""[^0-9]"",""""),9))"),"788436709")</f>
        <v>788436709</v>
      </c>
      <c r="B251" s="48">
        <v>7.88436709E8</v>
      </c>
      <c r="C251" s="10" t="s">
        <v>345</v>
      </c>
      <c r="D251" s="10" t="s">
        <v>34</v>
      </c>
      <c r="E251" s="13">
        <v>46226.0</v>
      </c>
      <c r="F251" s="10" t="s">
        <v>21</v>
      </c>
      <c r="I251" s="10" t="s">
        <v>22</v>
      </c>
      <c r="J251" s="9" t="str">
        <f t="shared" si="28"/>
        <v>No</v>
      </c>
      <c r="K251" s="9" t="str">
        <f t="shared" si="26"/>
        <v/>
      </c>
      <c r="L251" s="9" t="str">
        <f t="shared" si="29"/>
        <v/>
      </c>
      <c r="M251" s="9"/>
      <c r="O251" s="9"/>
    </row>
    <row r="252" ht="15.75" customHeight="1">
      <c r="A252" s="9" t="str">
        <f>IFERROR(__xludf.DUMMYFUNCTION("IF(B252="""","""",RIGHT(REGEXREPLACE(B252&amp;"""",""[^0-9]"",""""),9))"),"768023174")</f>
        <v>768023174</v>
      </c>
      <c r="B252" s="10">
        <v>7.68023174E8</v>
      </c>
      <c r="C252" s="10" t="s">
        <v>346</v>
      </c>
      <c r="D252" s="10" t="s">
        <v>44</v>
      </c>
      <c r="E252" s="13">
        <v>46226.0</v>
      </c>
      <c r="F252" s="10" t="s">
        <v>21</v>
      </c>
      <c r="I252" s="10" t="s">
        <v>22</v>
      </c>
      <c r="J252" s="9" t="str">
        <f t="shared" si="28"/>
        <v>No</v>
      </c>
      <c r="K252" s="9" t="str">
        <f t="shared" si="26"/>
        <v/>
      </c>
      <c r="L252" s="9" t="str">
        <f t="shared" si="29"/>
        <v/>
      </c>
      <c r="M252" s="9"/>
      <c r="O252" s="9"/>
    </row>
    <row r="253" ht="15.75" customHeight="1">
      <c r="A253" s="9" t="str">
        <f>IFERROR(__xludf.DUMMYFUNCTION("IF(B253="""","""",RIGHT(REGEXREPLACE(B253&amp;"""",""[^0-9]"",""""),9))"),"713291642")</f>
        <v>713291642</v>
      </c>
      <c r="B253" s="48">
        <v>7.13291642E8</v>
      </c>
      <c r="C253" s="10" t="s">
        <v>347</v>
      </c>
      <c r="D253" s="10" t="s">
        <v>50</v>
      </c>
      <c r="E253" s="13">
        <v>46226.0</v>
      </c>
      <c r="F253" s="10" t="s">
        <v>35</v>
      </c>
      <c r="G253" s="10">
        <v>11.0</v>
      </c>
      <c r="I253" s="10" t="s">
        <v>22</v>
      </c>
      <c r="J253" s="9" t="str">
        <f t="shared" si="28"/>
        <v>No</v>
      </c>
      <c r="K253" s="9" t="str">
        <f t="shared" si="26"/>
        <v/>
      </c>
      <c r="L253" s="9" t="str">
        <f t="shared" si="29"/>
        <v/>
      </c>
      <c r="M253" s="9"/>
      <c r="O253" s="9"/>
    </row>
    <row r="254" ht="15.75" customHeight="1">
      <c r="A254" s="9" t="str">
        <f>IFERROR(__xludf.DUMMYFUNCTION("IF(B254="""","""",RIGHT(REGEXREPLACE(B254&amp;"""",""[^0-9]"",""""),9))"),"703617976")</f>
        <v>703617976</v>
      </c>
      <c r="B254" s="10">
        <v>7.03617976E8</v>
      </c>
      <c r="C254" s="10" t="s">
        <v>348</v>
      </c>
      <c r="D254" s="10" t="s">
        <v>20</v>
      </c>
      <c r="E254" s="13">
        <v>46226.0</v>
      </c>
      <c r="F254" s="10" t="s">
        <v>35</v>
      </c>
      <c r="G254" s="10">
        <v>8.0</v>
      </c>
      <c r="I254" s="10" t="s">
        <v>22</v>
      </c>
      <c r="J254" s="9" t="str">
        <f t="shared" si="28"/>
        <v>No</v>
      </c>
      <c r="K254" s="9" t="str">
        <f t="shared" si="26"/>
        <v/>
      </c>
      <c r="L254" s="9" t="str">
        <f t="shared" si="29"/>
        <v/>
      </c>
      <c r="M254" s="9"/>
      <c r="O254" s="9"/>
    </row>
    <row r="255" ht="15.75" customHeight="1">
      <c r="A255" s="9" t="str">
        <f>IFERROR(__xludf.DUMMYFUNCTION("IF(B255="""","""",RIGHT(REGEXREPLACE(B255&amp;"""",""[^0-9]"",""""),9))"),"766144471")</f>
        <v>766144471</v>
      </c>
      <c r="B255" s="48">
        <v>7.66144471E8</v>
      </c>
      <c r="C255" s="10" t="s">
        <v>349</v>
      </c>
      <c r="D255" s="10" t="s">
        <v>69</v>
      </c>
      <c r="E255" s="13">
        <v>46226.0</v>
      </c>
      <c r="F255" s="10" t="s">
        <v>35</v>
      </c>
      <c r="G255" s="10">
        <v>11.0</v>
      </c>
      <c r="I255" s="10" t="s">
        <v>22</v>
      </c>
      <c r="J255" s="9" t="str">
        <f t="shared" si="28"/>
        <v>No</v>
      </c>
      <c r="K255" s="9" t="str">
        <f t="shared" si="26"/>
        <v/>
      </c>
      <c r="L255" s="9" t="str">
        <f t="shared" si="29"/>
        <v/>
      </c>
      <c r="M255" s="9"/>
      <c r="O255" s="9"/>
    </row>
    <row r="256" ht="15.75" customHeight="1">
      <c r="A256" s="9" t="str">
        <f>IFERROR(__xludf.DUMMYFUNCTION("IF(B256="""","""",RIGHT(REGEXREPLACE(B256&amp;"""",""[^0-9]"",""""),9))"),"789506216")</f>
        <v>789506216</v>
      </c>
      <c r="B256" s="48">
        <v>7.89506216E8</v>
      </c>
      <c r="C256" s="10" t="s">
        <v>350</v>
      </c>
      <c r="D256" s="10" t="s">
        <v>34</v>
      </c>
      <c r="E256" s="13">
        <v>46226.0</v>
      </c>
      <c r="F256" s="10" t="s">
        <v>35</v>
      </c>
      <c r="G256" s="10">
        <v>11.0</v>
      </c>
      <c r="I256" s="10" t="s">
        <v>22</v>
      </c>
      <c r="J256" s="9" t="str">
        <f t="shared" si="28"/>
        <v>No</v>
      </c>
      <c r="K256" s="9" t="str">
        <f t="shared" si="26"/>
        <v/>
      </c>
      <c r="L256" s="9" t="str">
        <f t="shared" si="29"/>
        <v/>
      </c>
      <c r="M256" s="9"/>
      <c r="O256" s="9"/>
    </row>
    <row r="257" ht="15.75" customHeight="1">
      <c r="A257" s="9" t="str">
        <f>IFERROR(__xludf.DUMMYFUNCTION("IF(B257="""","""",RIGHT(REGEXREPLACE(B257&amp;"""",""[^0-9]"",""""),9))"),"702362873")</f>
        <v>702362873</v>
      </c>
      <c r="B257" s="48">
        <v>7.02362873E8</v>
      </c>
      <c r="C257" s="10" t="s">
        <v>351</v>
      </c>
      <c r="D257" s="10" t="s">
        <v>50</v>
      </c>
      <c r="E257" s="13">
        <v>46226.0</v>
      </c>
      <c r="F257" s="10" t="s">
        <v>35</v>
      </c>
      <c r="G257" s="10">
        <v>11.0</v>
      </c>
      <c r="I257" s="10" t="s">
        <v>22</v>
      </c>
      <c r="J257" s="9" t="str">
        <f t="shared" si="28"/>
        <v>No</v>
      </c>
      <c r="K257" s="9" t="str">
        <f t="shared" si="26"/>
        <v/>
      </c>
      <c r="L257" s="9" t="str">
        <f t="shared" si="29"/>
        <v/>
      </c>
      <c r="M257" s="9"/>
      <c r="O257" s="9"/>
    </row>
    <row r="258" ht="15.75" customHeight="1">
      <c r="A258" s="9" t="str">
        <f>IFERROR(__xludf.DUMMYFUNCTION("IF(B258="""","""",RIGHT(REGEXREPLACE(B258&amp;"""",""[^0-9]"",""""),9))"),"781109561")</f>
        <v>781109561</v>
      </c>
      <c r="B258" s="48">
        <v>7.81109561E8</v>
      </c>
      <c r="C258" s="10" t="s">
        <v>352</v>
      </c>
      <c r="D258" s="10" t="s">
        <v>120</v>
      </c>
      <c r="E258" s="13">
        <v>46226.0</v>
      </c>
      <c r="F258" s="10" t="s">
        <v>35</v>
      </c>
      <c r="G258" s="10">
        <v>10.0</v>
      </c>
      <c r="I258" s="10" t="s">
        <v>22</v>
      </c>
      <c r="J258" s="9" t="str">
        <f t="shared" si="28"/>
        <v>No</v>
      </c>
      <c r="K258" s="9" t="str">
        <f t="shared" si="26"/>
        <v/>
      </c>
      <c r="L258" s="9" t="str">
        <f t="shared" si="29"/>
        <v/>
      </c>
      <c r="M258" s="9"/>
      <c r="O258" s="9"/>
    </row>
    <row r="259" ht="15.75" customHeight="1">
      <c r="A259" s="9" t="str">
        <f>IFERROR(__xludf.DUMMYFUNCTION("IF(B259="""","""",RIGHT(REGEXREPLACE(B259&amp;"""",""[^0-9]"",""""),9))"),"703447831")</f>
        <v>703447831</v>
      </c>
      <c r="B259" s="48">
        <v>7.03447831E8</v>
      </c>
      <c r="C259" s="10" t="s">
        <v>353</v>
      </c>
      <c r="D259" s="10" t="s">
        <v>69</v>
      </c>
      <c r="E259" s="13">
        <v>46226.0</v>
      </c>
      <c r="F259" s="10" t="s">
        <v>21</v>
      </c>
      <c r="G259" s="10">
        <v>11.0</v>
      </c>
      <c r="I259" s="10" t="s">
        <v>22</v>
      </c>
      <c r="J259" s="9" t="str">
        <f t="shared" si="28"/>
        <v>No</v>
      </c>
      <c r="K259" s="9" t="str">
        <f t="shared" si="26"/>
        <v/>
      </c>
      <c r="L259" s="9" t="str">
        <f t="shared" si="29"/>
        <v/>
      </c>
      <c r="M259" s="9"/>
      <c r="O259" s="9"/>
    </row>
    <row r="260" ht="15.75" customHeight="1">
      <c r="A260" s="9" t="str">
        <f>IFERROR(__xludf.DUMMYFUNCTION("IF(B260="""","""",RIGHT(REGEXREPLACE(B260&amp;"""",""[^0-9]"",""""),9))"),"712149713")</f>
        <v>712149713</v>
      </c>
      <c r="B260" s="10">
        <v>7.12149713E8</v>
      </c>
      <c r="C260" s="10" t="s">
        <v>354</v>
      </c>
      <c r="D260" s="10" t="s">
        <v>20</v>
      </c>
      <c r="E260" s="13">
        <v>46226.0</v>
      </c>
      <c r="F260" s="10" t="s">
        <v>21</v>
      </c>
      <c r="I260" s="10" t="s">
        <v>22</v>
      </c>
      <c r="J260" s="9" t="str">
        <f t="shared" si="28"/>
        <v>No</v>
      </c>
      <c r="K260" s="9" t="str">
        <f t="shared" si="26"/>
        <v/>
      </c>
      <c r="L260" s="9" t="str">
        <f t="shared" si="29"/>
        <v/>
      </c>
      <c r="M260" s="9"/>
      <c r="O260" s="9"/>
    </row>
    <row r="261" ht="15.75" customHeight="1">
      <c r="A261" s="9" t="str">
        <f>IFERROR(__xludf.DUMMYFUNCTION("IF(B261="""","""",RIGHT(REGEXREPLACE(B261&amp;"""",""[^0-9]"",""""),9))"),"771650119")</f>
        <v>771650119</v>
      </c>
      <c r="B261" s="10">
        <v>7.71650119E8</v>
      </c>
      <c r="C261" s="10" t="s">
        <v>355</v>
      </c>
      <c r="D261" s="10" t="s">
        <v>20</v>
      </c>
      <c r="E261" s="13">
        <v>46226.0</v>
      </c>
      <c r="F261" s="10" t="s">
        <v>35</v>
      </c>
      <c r="G261" s="10">
        <v>11.0</v>
      </c>
      <c r="I261" s="10" t="s">
        <v>22</v>
      </c>
      <c r="J261" s="9" t="str">
        <f t="shared" si="28"/>
        <v>No</v>
      </c>
      <c r="K261" s="9" t="str">
        <f t="shared" si="26"/>
        <v/>
      </c>
      <c r="L261" s="9" t="str">
        <f t="shared" si="29"/>
        <v/>
      </c>
      <c r="M261" s="9"/>
      <c r="O261" s="9"/>
    </row>
    <row r="262" ht="15.75" customHeight="1">
      <c r="A262" s="9" t="str">
        <f>IFERROR(__xludf.DUMMYFUNCTION("IF(B262="""","""",RIGHT(REGEXREPLACE(B262&amp;"""",""[^0-9]"",""""),9))"),"750119409")</f>
        <v>750119409</v>
      </c>
      <c r="B262" s="10">
        <v>7.50119409E8</v>
      </c>
      <c r="C262" s="10" t="s">
        <v>356</v>
      </c>
      <c r="D262" s="10" t="s">
        <v>44</v>
      </c>
      <c r="E262" s="13">
        <v>46226.0</v>
      </c>
      <c r="F262" s="10" t="s">
        <v>21</v>
      </c>
      <c r="I262" s="10" t="s">
        <v>22</v>
      </c>
      <c r="J262" s="9" t="str">
        <f t="shared" si="28"/>
        <v>No</v>
      </c>
      <c r="K262" s="9" t="str">
        <f t="shared" si="26"/>
        <v/>
      </c>
      <c r="L262" s="9" t="str">
        <f t="shared" si="29"/>
        <v/>
      </c>
      <c r="M262" s="9"/>
      <c r="O262" s="9"/>
    </row>
    <row r="263" ht="15.75" customHeight="1">
      <c r="A263" s="9" t="str">
        <f>IFERROR(__xludf.DUMMYFUNCTION("IF(B263="""","""",RIGHT(REGEXREPLACE(B263&amp;"""",""[^0-9]"",""""),9))"),"717566424")</f>
        <v>717566424</v>
      </c>
      <c r="B263" s="48">
        <v>7.17566424E8</v>
      </c>
      <c r="C263" s="10" t="s">
        <v>357</v>
      </c>
      <c r="D263" s="10" t="s">
        <v>50</v>
      </c>
      <c r="E263" s="13">
        <v>46226.0</v>
      </c>
      <c r="F263" s="10" t="s">
        <v>21</v>
      </c>
      <c r="G263" s="10">
        <v>10.0</v>
      </c>
      <c r="I263" s="10" t="s">
        <v>22</v>
      </c>
      <c r="J263" s="9" t="str">
        <f t="shared" si="28"/>
        <v>No</v>
      </c>
      <c r="K263" s="9" t="str">
        <f t="shared" si="26"/>
        <v/>
      </c>
      <c r="L263" s="9" t="str">
        <f t="shared" si="29"/>
        <v/>
      </c>
      <c r="M263" s="9"/>
      <c r="O263" s="9"/>
    </row>
    <row r="264" ht="15.75" customHeight="1">
      <c r="A264" s="9" t="str">
        <f>IFERROR(__xludf.DUMMYFUNCTION("IF(B264="""","""",RIGHT(REGEXREPLACE(B264&amp;"""",""[^0-9]"",""""),9))"),"716321203")</f>
        <v>716321203</v>
      </c>
      <c r="B264" s="48">
        <v>7.16321203E8</v>
      </c>
      <c r="C264" s="10" t="s">
        <v>358</v>
      </c>
      <c r="D264" s="10" t="s">
        <v>34</v>
      </c>
      <c r="E264" s="13">
        <v>46226.0</v>
      </c>
      <c r="F264" s="10" t="s">
        <v>35</v>
      </c>
      <c r="G264" s="10">
        <v>10.0</v>
      </c>
      <c r="I264" s="10" t="s">
        <v>22</v>
      </c>
      <c r="J264" s="9" t="str">
        <f t="shared" si="28"/>
        <v>No</v>
      </c>
      <c r="K264" s="9" t="str">
        <f t="shared" si="26"/>
        <v/>
      </c>
      <c r="L264" s="9" t="str">
        <f t="shared" si="29"/>
        <v/>
      </c>
      <c r="M264" s="9"/>
      <c r="O264" s="9"/>
    </row>
    <row r="265" ht="15.75" customHeight="1">
      <c r="A265" s="9" t="str">
        <f>IFERROR(__xludf.DUMMYFUNCTION("IF(B265="""","""",RIGHT(REGEXREPLACE(B265&amp;"""",""[^0-9]"",""""),9))"),"766677055")</f>
        <v>766677055</v>
      </c>
      <c r="B265" s="48">
        <v>7.66677055E8</v>
      </c>
      <c r="C265" s="10" t="s">
        <v>359</v>
      </c>
      <c r="D265" s="10" t="s">
        <v>69</v>
      </c>
      <c r="E265" s="13">
        <v>46226.0</v>
      </c>
      <c r="F265" s="10" t="s">
        <v>35</v>
      </c>
      <c r="G265" s="10">
        <v>11.0</v>
      </c>
      <c r="I265" s="10" t="s">
        <v>22</v>
      </c>
      <c r="J265" s="9" t="str">
        <f t="shared" si="28"/>
        <v>No</v>
      </c>
      <c r="K265" s="9" t="str">
        <f t="shared" si="26"/>
        <v/>
      </c>
      <c r="L265" s="9" t="str">
        <f t="shared" si="29"/>
        <v/>
      </c>
      <c r="M265" s="9"/>
      <c r="O265" s="9"/>
    </row>
    <row r="266" ht="15.75" customHeight="1">
      <c r="A266" s="9" t="str">
        <f>IFERROR(__xludf.DUMMYFUNCTION("IF(B266="""","""",RIGHT(REGEXREPLACE(B266&amp;"""",""[^0-9]"",""""),9))"),"741970631")</f>
        <v>741970631</v>
      </c>
      <c r="B266" s="48">
        <v>7.41970631E8</v>
      </c>
      <c r="C266" s="10" t="s">
        <v>360</v>
      </c>
      <c r="D266" s="10" t="s">
        <v>120</v>
      </c>
      <c r="E266" s="13">
        <v>46226.0</v>
      </c>
      <c r="F266" s="10" t="s">
        <v>21</v>
      </c>
      <c r="I266" s="10" t="s">
        <v>22</v>
      </c>
      <c r="J266" s="9" t="str">
        <f t="shared" si="28"/>
        <v>No</v>
      </c>
      <c r="K266" s="9" t="str">
        <f t="shared" si="26"/>
        <v/>
      </c>
      <c r="L266" s="9" t="str">
        <f t="shared" si="29"/>
        <v/>
      </c>
      <c r="M266" s="9"/>
      <c r="O266" s="9"/>
    </row>
    <row r="267" ht="15.75" customHeight="1">
      <c r="A267" s="9" t="str">
        <f>IFERROR(__xludf.DUMMYFUNCTION("IF(B267="""","""",RIGHT(REGEXREPLACE(B267&amp;"""",""[^0-9]"",""""),9))"),"771815100")</f>
        <v>771815100</v>
      </c>
      <c r="B267" s="10">
        <v>7.718151E8</v>
      </c>
      <c r="C267" s="10" t="s">
        <v>361</v>
      </c>
      <c r="D267" s="10" t="s">
        <v>20</v>
      </c>
      <c r="E267" s="13">
        <v>46226.0</v>
      </c>
      <c r="F267" s="10" t="s">
        <v>35</v>
      </c>
      <c r="G267" s="10">
        <v>11.0</v>
      </c>
      <c r="I267" s="10" t="s">
        <v>22</v>
      </c>
      <c r="J267" s="9" t="str">
        <f t="shared" si="28"/>
        <v>No</v>
      </c>
      <c r="K267" s="9" t="str">
        <f t="shared" si="26"/>
        <v/>
      </c>
      <c r="L267" s="9" t="str">
        <f t="shared" si="29"/>
        <v/>
      </c>
      <c r="M267" s="9"/>
      <c r="O267" s="9"/>
    </row>
    <row r="268" ht="15.75" customHeight="1">
      <c r="A268" s="9" t="str">
        <f>IFERROR(__xludf.DUMMYFUNCTION("IF(B268="""","""",RIGHT(REGEXREPLACE(B268&amp;"""",""[^0-9]"",""""),9))"),"769643880")</f>
        <v>769643880</v>
      </c>
      <c r="B268" s="48">
        <v>7.6964388E8</v>
      </c>
      <c r="C268" s="10" t="s">
        <v>362</v>
      </c>
      <c r="D268" s="10" t="s">
        <v>50</v>
      </c>
      <c r="E268" s="13">
        <v>46226.0</v>
      </c>
      <c r="F268" s="10" t="s">
        <v>35</v>
      </c>
      <c r="G268" s="10">
        <v>11.0</v>
      </c>
      <c r="I268" s="10" t="s">
        <v>22</v>
      </c>
      <c r="J268" s="9" t="str">
        <f t="shared" si="28"/>
        <v>No</v>
      </c>
      <c r="K268" s="9" t="str">
        <f t="shared" si="26"/>
        <v/>
      </c>
      <c r="L268" s="9" t="str">
        <f t="shared" si="29"/>
        <v/>
      </c>
      <c r="M268" s="9"/>
      <c r="O268" s="9"/>
    </row>
    <row r="269" ht="15.75" customHeight="1">
      <c r="A269" s="9" t="str">
        <f>IFERROR(__xludf.DUMMYFUNCTION("IF(B269="""","""",RIGHT(REGEXREPLACE(B269&amp;"""",""[^0-9]"",""""),9))"),"718053527")</f>
        <v>718053527</v>
      </c>
      <c r="B269" s="48">
        <v>7.18053527E8</v>
      </c>
      <c r="C269" s="10" t="s">
        <v>363</v>
      </c>
      <c r="D269" s="10" t="s">
        <v>44</v>
      </c>
      <c r="E269" s="13">
        <v>46226.0</v>
      </c>
      <c r="F269" s="10" t="s">
        <v>21</v>
      </c>
      <c r="G269" s="10">
        <v>11.0</v>
      </c>
      <c r="I269" s="10" t="s">
        <v>22</v>
      </c>
      <c r="J269" s="9" t="str">
        <f t="shared" si="28"/>
        <v>No</v>
      </c>
      <c r="K269" s="9" t="str">
        <f t="shared" si="26"/>
        <v/>
      </c>
      <c r="L269" s="9" t="str">
        <f t="shared" si="29"/>
        <v/>
      </c>
      <c r="M269" s="9"/>
      <c r="O269" s="9"/>
    </row>
    <row r="270" ht="15.75" customHeight="1">
      <c r="A270" s="9" t="str">
        <f>IFERROR(__xludf.DUMMYFUNCTION("IF(B270="""","""",RIGHT(REGEXREPLACE(B270&amp;"""",""[^0-9]"",""""),9))"),"727817036")</f>
        <v>727817036</v>
      </c>
      <c r="B270" s="48">
        <v>7.27817036E8</v>
      </c>
      <c r="C270" s="10" t="s">
        <v>364</v>
      </c>
      <c r="D270" s="10" t="s">
        <v>120</v>
      </c>
      <c r="E270" s="13">
        <v>46226.0</v>
      </c>
      <c r="F270" s="10" t="s">
        <v>198</v>
      </c>
      <c r="I270" s="10" t="s">
        <v>22</v>
      </c>
      <c r="J270" s="9" t="str">
        <f t="shared" si="28"/>
        <v>No</v>
      </c>
      <c r="K270" s="9" t="str">
        <f t="shared" si="26"/>
        <v/>
      </c>
      <c r="L270" s="9" t="str">
        <f t="shared" si="29"/>
        <v/>
      </c>
      <c r="M270" s="9"/>
      <c r="O270" s="9"/>
    </row>
    <row r="271" ht="15.75" customHeight="1">
      <c r="A271" s="9" t="str">
        <f>IFERROR(__xludf.DUMMYFUNCTION("IF(B271="""","""",RIGHT(REGEXREPLACE(B271&amp;"""",""[^0-9]"",""""),9))"),"778221376")</f>
        <v>778221376</v>
      </c>
      <c r="B271" s="48">
        <v>7.78221376E8</v>
      </c>
      <c r="C271" s="10" t="s">
        <v>365</v>
      </c>
      <c r="D271" s="10" t="s">
        <v>34</v>
      </c>
      <c r="E271" s="13">
        <v>46226.0</v>
      </c>
      <c r="F271" s="10" t="s">
        <v>35</v>
      </c>
      <c r="G271" s="10">
        <v>11.0</v>
      </c>
      <c r="I271" s="10" t="s">
        <v>22</v>
      </c>
      <c r="J271" s="9" t="str">
        <f t="shared" si="28"/>
        <v>No</v>
      </c>
      <c r="K271" s="9" t="str">
        <f t="shared" si="26"/>
        <v/>
      </c>
      <c r="L271" s="9" t="str">
        <f t="shared" si="29"/>
        <v/>
      </c>
      <c r="M271" s="9"/>
      <c r="O271" s="9"/>
    </row>
    <row r="272" ht="15.75" customHeight="1">
      <c r="A272" s="9" t="str">
        <f>IFERROR(__xludf.DUMMYFUNCTION("IF(B272="""","""",RIGHT(REGEXREPLACE(B272&amp;"""",""[^0-9]"",""""),9))"),"779517401")</f>
        <v>779517401</v>
      </c>
      <c r="B272" s="48">
        <v>7.79517401E8</v>
      </c>
      <c r="C272" s="10" t="s">
        <v>366</v>
      </c>
      <c r="D272" s="10" t="s">
        <v>69</v>
      </c>
      <c r="E272" s="13">
        <v>46226.0</v>
      </c>
      <c r="F272" s="10" t="s">
        <v>198</v>
      </c>
      <c r="G272" s="10">
        <v>11.0</v>
      </c>
      <c r="I272" s="10" t="s">
        <v>22</v>
      </c>
      <c r="J272" s="9" t="str">
        <f t="shared" si="28"/>
        <v>No</v>
      </c>
      <c r="K272" s="9" t="str">
        <f t="shared" si="26"/>
        <v/>
      </c>
      <c r="L272" s="9" t="str">
        <f t="shared" si="29"/>
        <v/>
      </c>
      <c r="M272" s="9"/>
      <c r="O272" s="9"/>
    </row>
    <row r="273" ht="15.75" customHeight="1">
      <c r="A273" s="9" t="str">
        <f>IFERROR(__xludf.DUMMYFUNCTION("IF(B273="""","""",RIGHT(REGEXREPLACE(B273&amp;"""",""[^0-9]"",""""),9))"),"715873024")</f>
        <v>715873024</v>
      </c>
      <c r="B273" s="48">
        <v>7.15873024E8</v>
      </c>
      <c r="C273" s="10" t="s">
        <v>367</v>
      </c>
      <c r="D273" s="10" t="s">
        <v>120</v>
      </c>
      <c r="E273" s="13">
        <v>46226.0</v>
      </c>
      <c r="F273" s="10" t="s">
        <v>173</v>
      </c>
      <c r="G273" s="10">
        <v>10.0</v>
      </c>
      <c r="I273" s="10" t="s">
        <v>22</v>
      </c>
      <c r="J273" s="9" t="str">
        <f t="shared" si="28"/>
        <v>No</v>
      </c>
      <c r="K273" s="9" t="str">
        <f t="shared" si="26"/>
        <v/>
      </c>
      <c r="L273" s="9" t="str">
        <f t="shared" si="29"/>
        <v/>
      </c>
      <c r="M273" s="9"/>
      <c r="O273" s="9"/>
    </row>
    <row r="274" ht="15.75" customHeight="1">
      <c r="A274" s="9" t="str">
        <f>IFERROR(__xludf.DUMMYFUNCTION("IF(B274="""","""",RIGHT(REGEXREPLACE(B274&amp;"""",""[^0-9]"",""""),9))"),"704080323")</f>
        <v>704080323</v>
      </c>
      <c r="B274" s="49">
        <v>7.04080323E8</v>
      </c>
      <c r="C274" s="10" t="s">
        <v>368</v>
      </c>
      <c r="D274" s="10" t="s">
        <v>44</v>
      </c>
      <c r="E274" s="13">
        <v>46226.0</v>
      </c>
      <c r="F274" s="10" t="s">
        <v>35</v>
      </c>
      <c r="G274" s="10">
        <v>11.0</v>
      </c>
      <c r="I274" s="10" t="s">
        <v>22</v>
      </c>
      <c r="J274" s="9" t="str">
        <f t="shared" si="28"/>
        <v>No</v>
      </c>
      <c r="K274" s="9" t="str">
        <f t="shared" si="26"/>
        <v/>
      </c>
      <c r="L274" s="9" t="str">
        <f t="shared" si="29"/>
        <v/>
      </c>
      <c r="M274" s="9"/>
      <c r="O274" s="9"/>
    </row>
    <row r="275" ht="15.75" customHeight="1">
      <c r="A275" s="9" t="str">
        <f>IFERROR(__xludf.DUMMYFUNCTION("IF(B275="""","""",RIGHT(REGEXREPLACE(B275&amp;"""",""[^0-9]"",""""),9))"),"777327854")</f>
        <v>777327854</v>
      </c>
      <c r="B275" s="48">
        <v>7.77327854E8</v>
      </c>
      <c r="C275" s="10" t="s">
        <v>369</v>
      </c>
      <c r="D275" s="10" t="s">
        <v>69</v>
      </c>
      <c r="E275" s="13">
        <v>46226.0</v>
      </c>
      <c r="F275" s="10" t="s">
        <v>35</v>
      </c>
      <c r="G275" s="10">
        <v>10.0</v>
      </c>
      <c r="I275" s="10" t="s">
        <v>22</v>
      </c>
      <c r="J275" s="9" t="str">
        <f t="shared" si="28"/>
        <v>No</v>
      </c>
      <c r="K275" s="9" t="str">
        <f t="shared" si="26"/>
        <v/>
      </c>
      <c r="L275" s="9" t="str">
        <f t="shared" si="29"/>
        <v/>
      </c>
      <c r="M275" s="9"/>
      <c r="O275" s="9"/>
    </row>
    <row r="276" ht="15.75" customHeight="1">
      <c r="A276" s="9" t="str">
        <f>IFERROR(__xludf.DUMMYFUNCTION("IF(B276="""","""",RIGHT(REGEXREPLACE(B276&amp;"""",""[^0-9]"",""""),9))"),"775280091")</f>
        <v>775280091</v>
      </c>
      <c r="B276" s="48">
        <v>7.75280091E8</v>
      </c>
      <c r="C276" s="10" t="s">
        <v>370</v>
      </c>
      <c r="D276" s="10" t="s">
        <v>50</v>
      </c>
      <c r="E276" s="13">
        <v>46226.0</v>
      </c>
      <c r="F276" s="10" t="s">
        <v>21</v>
      </c>
      <c r="G276" s="10">
        <v>11.0</v>
      </c>
      <c r="I276" s="10" t="s">
        <v>22</v>
      </c>
      <c r="J276" s="9" t="str">
        <f t="shared" si="28"/>
        <v>No</v>
      </c>
      <c r="K276" s="9" t="str">
        <f t="shared" si="26"/>
        <v/>
      </c>
      <c r="L276" s="9" t="str">
        <f t="shared" si="29"/>
        <v/>
      </c>
      <c r="M276" s="9"/>
      <c r="O276" s="9"/>
    </row>
    <row r="277" ht="15.75" customHeight="1">
      <c r="A277" s="9" t="str">
        <f>IFERROR(__xludf.DUMMYFUNCTION("IF(B277="""","""",RIGHT(REGEXREPLACE(B277&amp;"""",""[^0-9]"",""""),9))"),"760039503")</f>
        <v>760039503</v>
      </c>
      <c r="B277" s="10">
        <v>7.60039503E8</v>
      </c>
      <c r="C277" s="10" t="s">
        <v>371</v>
      </c>
      <c r="D277" s="10" t="s">
        <v>20</v>
      </c>
      <c r="E277" s="13">
        <v>46226.0</v>
      </c>
      <c r="F277" s="10" t="s">
        <v>35</v>
      </c>
      <c r="G277" s="10">
        <v>11.0</v>
      </c>
      <c r="I277" s="10" t="s">
        <v>22</v>
      </c>
      <c r="J277" s="9" t="str">
        <f t="shared" si="28"/>
        <v>No</v>
      </c>
      <c r="K277" s="9" t="str">
        <f t="shared" si="26"/>
        <v/>
      </c>
      <c r="L277" s="9" t="str">
        <f t="shared" si="29"/>
        <v/>
      </c>
      <c r="M277" s="9"/>
      <c r="O277" s="9"/>
    </row>
    <row r="278" ht="15.75" customHeight="1">
      <c r="A278" s="9" t="str">
        <f>IFERROR(__xludf.DUMMYFUNCTION("IF(B278="""","""",RIGHT(REGEXREPLACE(B278&amp;"""",""[^0-9]"",""""),9))"),"766989691")</f>
        <v>766989691</v>
      </c>
      <c r="B278" s="48">
        <v>7.66989691E8</v>
      </c>
      <c r="C278" s="10" t="s">
        <v>372</v>
      </c>
      <c r="D278" s="10" t="s">
        <v>34</v>
      </c>
      <c r="E278" s="13">
        <v>46226.0</v>
      </c>
      <c r="F278" s="10" t="s">
        <v>35</v>
      </c>
      <c r="G278" s="10">
        <v>11.0</v>
      </c>
      <c r="I278" s="10" t="s">
        <v>22</v>
      </c>
      <c r="J278" s="9" t="str">
        <f t="shared" si="28"/>
        <v>No</v>
      </c>
      <c r="K278" s="9" t="str">
        <f t="shared" si="26"/>
        <v/>
      </c>
      <c r="L278" s="9" t="str">
        <f t="shared" si="29"/>
        <v/>
      </c>
      <c r="M278" s="9"/>
      <c r="O278" s="9"/>
    </row>
    <row r="279" ht="15.75" customHeight="1">
      <c r="A279" s="9" t="str">
        <f>IFERROR(__xludf.DUMMYFUNCTION("IF(B279="""","""",RIGHT(REGEXREPLACE(B279&amp;"""",""[^0-9]"",""""),9))"),"778241843")</f>
        <v>778241843</v>
      </c>
      <c r="B279" s="48">
        <v>9.4778241843E10</v>
      </c>
      <c r="C279" s="10" t="s">
        <v>373</v>
      </c>
      <c r="D279" s="10" t="s">
        <v>20</v>
      </c>
      <c r="E279" s="13">
        <v>46226.0</v>
      </c>
      <c r="F279" s="10" t="s">
        <v>21</v>
      </c>
      <c r="G279" s="10">
        <v>11.0</v>
      </c>
      <c r="H279" s="10" t="s">
        <v>238</v>
      </c>
      <c r="I279" s="10" t="s">
        <v>22</v>
      </c>
      <c r="J279" s="9" t="str">
        <f t="shared" si="28"/>
        <v>No</v>
      </c>
      <c r="K279" s="9" t="str">
        <f t="shared" si="26"/>
        <v/>
      </c>
      <c r="L279" s="9" t="str">
        <f t="shared" si="29"/>
        <v/>
      </c>
      <c r="M279" s="9"/>
      <c r="O279" s="9"/>
    </row>
    <row r="280" ht="15.75" customHeight="1">
      <c r="A280" s="9" t="str">
        <f>IFERROR(__xludf.DUMMYFUNCTION("IF(B280="""","""",RIGHT(REGEXREPLACE(B280&amp;"""",""[^0-9]"",""""),9))"),"778145494")</f>
        <v>778145494</v>
      </c>
      <c r="B280" s="48">
        <v>7.78145494E8</v>
      </c>
      <c r="C280" s="10" t="s">
        <v>374</v>
      </c>
      <c r="D280" s="10" t="s">
        <v>50</v>
      </c>
      <c r="E280" s="13">
        <v>46226.0</v>
      </c>
      <c r="F280" s="10" t="s">
        <v>35</v>
      </c>
      <c r="G280" s="10">
        <v>11.0</v>
      </c>
      <c r="H280" s="10" t="s">
        <v>238</v>
      </c>
      <c r="I280" s="10" t="s">
        <v>22</v>
      </c>
      <c r="J280" s="9" t="str">
        <f t="shared" si="28"/>
        <v>No</v>
      </c>
      <c r="K280" s="9" t="str">
        <f t="shared" si="26"/>
        <v/>
      </c>
      <c r="L280" s="9" t="str">
        <f t="shared" si="29"/>
        <v/>
      </c>
      <c r="M280" s="9"/>
      <c r="O280" s="9"/>
    </row>
    <row r="281" ht="15.75" customHeight="1">
      <c r="A281" s="9" t="str">
        <f>IFERROR(__xludf.DUMMYFUNCTION("IF(B281="""","""",RIGHT(REGEXREPLACE(B281&amp;"""",""[^0-9]"",""""),9))"),"713777306")</f>
        <v>713777306</v>
      </c>
      <c r="B281" s="48">
        <v>7.13777306E8</v>
      </c>
      <c r="C281" s="10" t="s">
        <v>375</v>
      </c>
      <c r="D281" s="10" t="s">
        <v>120</v>
      </c>
      <c r="E281" s="13">
        <v>46226.0</v>
      </c>
      <c r="F281" s="10" t="s">
        <v>173</v>
      </c>
      <c r="G281" s="10">
        <v>9.0</v>
      </c>
      <c r="I281" s="10" t="s">
        <v>22</v>
      </c>
      <c r="J281" s="9" t="str">
        <f t="shared" si="28"/>
        <v>No</v>
      </c>
      <c r="K281" s="9" t="str">
        <f t="shared" si="26"/>
        <v/>
      </c>
      <c r="L281" s="9" t="str">
        <f t="shared" si="29"/>
        <v/>
      </c>
      <c r="M281" s="9"/>
      <c r="O281" s="9"/>
    </row>
    <row r="282" ht="15.75" customHeight="1">
      <c r="A282" s="9" t="str">
        <f>IFERROR(__xludf.DUMMYFUNCTION("IF(B282="""","""",RIGHT(REGEXREPLACE(B282&amp;"""",""[^0-9]"",""""),9))"),"779469628")</f>
        <v>779469628</v>
      </c>
      <c r="B282" s="48">
        <v>7.79469628E8</v>
      </c>
      <c r="C282" s="10" t="s">
        <v>376</v>
      </c>
      <c r="D282" s="10" t="s">
        <v>44</v>
      </c>
      <c r="E282" s="13">
        <v>46226.0</v>
      </c>
      <c r="F282" s="10" t="s">
        <v>35</v>
      </c>
      <c r="G282" s="10">
        <v>11.0</v>
      </c>
      <c r="I282" s="10" t="s">
        <v>22</v>
      </c>
      <c r="J282" s="9" t="str">
        <f t="shared" si="28"/>
        <v>No</v>
      </c>
      <c r="K282" s="9" t="str">
        <f t="shared" si="26"/>
        <v/>
      </c>
      <c r="L282" s="9" t="str">
        <f t="shared" si="29"/>
        <v/>
      </c>
      <c r="M282" s="9"/>
      <c r="O282" s="9"/>
    </row>
    <row r="283" ht="15.75" customHeight="1">
      <c r="A283" s="9" t="str">
        <f>IFERROR(__xludf.DUMMYFUNCTION("IF(B283="""","""",RIGHT(REGEXREPLACE(B283&amp;"""",""[^0-9]"",""""),9))"),"719403140")</f>
        <v>719403140</v>
      </c>
      <c r="B283" s="48">
        <v>9.471940314E10</v>
      </c>
      <c r="C283" s="10" t="s">
        <v>377</v>
      </c>
      <c r="D283" s="10" t="s">
        <v>20</v>
      </c>
      <c r="E283" s="13">
        <v>46226.0</v>
      </c>
      <c r="F283" s="10" t="s">
        <v>35</v>
      </c>
      <c r="G283" s="10">
        <v>11.0</v>
      </c>
      <c r="I283" s="10" t="s">
        <v>22</v>
      </c>
      <c r="J283" s="9" t="str">
        <f t="shared" si="28"/>
        <v>No</v>
      </c>
      <c r="K283" s="9" t="str">
        <f t="shared" si="26"/>
        <v/>
      </c>
      <c r="L283" s="9" t="str">
        <f t="shared" si="29"/>
        <v/>
      </c>
      <c r="M283" s="9"/>
      <c r="O283" s="9"/>
    </row>
    <row r="284" ht="15.75" customHeight="1">
      <c r="A284" s="9" t="str">
        <f>IFERROR(__xludf.DUMMYFUNCTION("IF(B284="""","""",RIGHT(REGEXREPLACE(B284&amp;"""",""[^0-9]"",""""),9))"),"715989562")</f>
        <v>715989562</v>
      </c>
      <c r="B284" s="48">
        <v>7.15989562E8</v>
      </c>
      <c r="C284" s="10" t="s">
        <v>378</v>
      </c>
      <c r="D284" s="10" t="s">
        <v>34</v>
      </c>
      <c r="E284" s="13">
        <v>46226.0</v>
      </c>
      <c r="F284" s="10" t="s">
        <v>35</v>
      </c>
      <c r="G284" s="10">
        <v>11.0</v>
      </c>
      <c r="I284" s="10" t="s">
        <v>22</v>
      </c>
      <c r="J284" s="9" t="str">
        <f t="shared" si="28"/>
        <v>No</v>
      </c>
      <c r="K284" s="9" t="str">
        <f t="shared" si="26"/>
        <v/>
      </c>
      <c r="L284" s="9" t="str">
        <f t="shared" si="29"/>
        <v/>
      </c>
      <c r="M284" s="9"/>
      <c r="O284" s="9"/>
    </row>
    <row r="285" ht="15.75" customHeight="1">
      <c r="A285" s="9" t="str">
        <f>IFERROR(__xludf.DUMMYFUNCTION("IF(B285="""","""",RIGHT(REGEXREPLACE(B285&amp;"""",""[^0-9]"",""""),9))"),"763208767")</f>
        <v>763208767</v>
      </c>
      <c r="B285" s="48">
        <v>9.4763208767E10</v>
      </c>
      <c r="C285" s="10" t="s">
        <v>379</v>
      </c>
      <c r="D285" s="10" t="s">
        <v>20</v>
      </c>
      <c r="E285" s="13">
        <v>46226.0</v>
      </c>
      <c r="F285" s="10" t="s">
        <v>35</v>
      </c>
      <c r="G285" s="10">
        <v>11.0</v>
      </c>
      <c r="I285" s="10" t="s">
        <v>22</v>
      </c>
      <c r="J285" s="9" t="str">
        <f t="shared" si="28"/>
        <v>No</v>
      </c>
      <c r="K285" s="9" t="str">
        <f t="shared" si="26"/>
        <v/>
      </c>
      <c r="L285" s="9" t="str">
        <f t="shared" si="29"/>
        <v/>
      </c>
      <c r="M285" s="9"/>
      <c r="O285" s="9"/>
    </row>
    <row r="286" ht="15.75" customHeight="1">
      <c r="A286" s="9" t="str">
        <f>IFERROR(__xludf.DUMMYFUNCTION("IF(B286="""","""",RIGHT(REGEXREPLACE(B286&amp;"""",""[^0-9]"",""""),9))"),"741381348")</f>
        <v>741381348</v>
      </c>
      <c r="B286" s="48">
        <v>7.41381348E8</v>
      </c>
      <c r="C286" s="10" t="s">
        <v>380</v>
      </c>
      <c r="D286" s="10" t="s">
        <v>50</v>
      </c>
      <c r="E286" s="13">
        <v>46226.0</v>
      </c>
      <c r="F286" s="10" t="s">
        <v>198</v>
      </c>
      <c r="I286" s="10" t="s">
        <v>22</v>
      </c>
      <c r="J286" s="9" t="str">
        <f t="shared" si="28"/>
        <v>No</v>
      </c>
      <c r="K286" s="9" t="str">
        <f t="shared" si="26"/>
        <v/>
      </c>
      <c r="L286" s="9" t="str">
        <f t="shared" si="29"/>
        <v/>
      </c>
      <c r="M286" s="9"/>
      <c r="O286" s="9"/>
    </row>
    <row r="287" ht="15.75" customHeight="1">
      <c r="A287" s="9" t="str">
        <f>IFERROR(__xludf.DUMMYFUNCTION("IF(B287="""","""",RIGHT(REGEXREPLACE(B287&amp;"""",""[^0-9]"",""""),9))"),"705589657")</f>
        <v>705589657</v>
      </c>
      <c r="B287" s="48">
        <v>7.05589657E8</v>
      </c>
      <c r="C287" s="10" t="s">
        <v>381</v>
      </c>
      <c r="D287" s="10" t="s">
        <v>44</v>
      </c>
      <c r="E287" s="13">
        <v>46226.0</v>
      </c>
      <c r="F287" s="10" t="s">
        <v>35</v>
      </c>
      <c r="G287" s="10">
        <v>11.0</v>
      </c>
      <c r="I287" s="10" t="s">
        <v>22</v>
      </c>
      <c r="J287" s="9" t="str">
        <f t="shared" si="28"/>
        <v>No</v>
      </c>
      <c r="K287" s="9" t="str">
        <f t="shared" si="26"/>
        <v/>
      </c>
      <c r="L287" s="9" t="str">
        <f t="shared" si="29"/>
        <v/>
      </c>
      <c r="M287" s="9"/>
      <c r="O287" s="9"/>
    </row>
    <row r="288" ht="15.75" customHeight="1">
      <c r="A288" s="9" t="str">
        <f>IFERROR(__xludf.DUMMYFUNCTION("IF(B288="""","""",RIGHT(REGEXREPLACE(B288&amp;"""",""[^0-9]"",""""),9))"),"770023853")</f>
        <v>770023853</v>
      </c>
      <c r="B288" s="48">
        <v>7.70023853E8</v>
      </c>
      <c r="C288" s="10" t="s">
        <v>382</v>
      </c>
      <c r="D288" s="10" t="s">
        <v>34</v>
      </c>
      <c r="E288" s="13">
        <v>46226.0</v>
      </c>
      <c r="F288" s="10" t="s">
        <v>113</v>
      </c>
      <c r="I288" s="10" t="s">
        <v>22</v>
      </c>
      <c r="J288" s="9" t="str">
        <f t="shared" si="28"/>
        <v>No</v>
      </c>
      <c r="K288" s="9" t="str">
        <f t="shared" si="26"/>
        <v/>
      </c>
      <c r="L288" s="9" t="str">
        <f t="shared" si="29"/>
        <v/>
      </c>
      <c r="M288" s="9"/>
      <c r="O288" s="9"/>
    </row>
    <row r="289" ht="15.75" customHeight="1">
      <c r="A289" s="9" t="str">
        <f>IFERROR(__xludf.DUMMYFUNCTION("IF(B289="""","""",RIGHT(REGEXREPLACE(B289&amp;"""",""[^0-9]"",""""),9))"),"788588397")</f>
        <v>788588397</v>
      </c>
      <c r="B289" s="48">
        <v>7.88588397E8</v>
      </c>
      <c r="C289" s="10" t="s">
        <v>383</v>
      </c>
      <c r="D289" s="10" t="s">
        <v>69</v>
      </c>
      <c r="E289" s="13">
        <v>46226.0</v>
      </c>
      <c r="F289" s="10" t="s">
        <v>35</v>
      </c>
      <c r="G289" s="10">
        <v>10.0</v>
      </c>
      <c r="I289" s="10" t="s">
        <v>22</v>
      </c>
      <c r="J289" s="9" t="str">
        <f t="shared" si="28"/>
        <v>No</v>
      </c>
      <c r="K289" s="9" t="str">
        <f t="shared" si="26"/>
        <v/>
      </c>
      <c r="L289" s="9" t="str">
        <f t="shared" si="29"/>
        <v/>
      </c>
      <c r="M289" s="9"/>
      <c r="O289" s="9"/>
    </row>
    <row r="290" ht="15.75" customHeight="1">
      <c r="A290" s="9" t="str">
        <f>IFERROR(__xludf.DUMMYFUNCTION("IF(B290="""","""",RIGHT(REGEXREPLACE(B290&amp;"""",""[^0-9]"",""""),9))"),"711567300")</f>
        <v>711567300</v>
      </c>
      <c r="B290" s="48">
        <v>7.115673E8</v>
      </c>
      <c r="C290" s="10" t="s">
        <v>384</v>
      </c>
      <c r="D290" s="10" t="s">
        <v>50</v>
      </c>
      <c r="E290" s="13">
        <v>46226.0</v>
      </c>
      <c r="F290" s="10" t="s">
        <v>35</v>
      </c>
      <c r="G290" s="10">
        <v>11.0</v>
      </c>
      <c r="I290" s="10" t="s">
        <v>22</v>
      </c>
      <c r="J290" s="9" t="str">
        <f t="shared" si="28"/>
        <v>No</v>
      </c>
      <c r="K290" s="9" t="str">
        <f t="shared" si="26"/>
        <v/>
      </c>
      <c r="L290" s="9" t="str">
        <f t="shared" si="29"/>
        <v/>
      </c>
      <c r="M290" s="9"/>
      <c r="O290" s="9"/>
    </row>
    <row r="291" ht="15.75" customHeight="1">
      <c r="A291" s="9" t="str">
        <f>IFERROR(__xludf.DUMMYFUNCTION("IF(B291="""","""",RIGHT(REGEXREPLACE(B291&amp;"""",""[^0-9]"",""""),9))"),"776466821")</f>
        <v>776466821</v>
      </c>
      <c r="B291" s="48">
        <v>7.76466821E8</v>
      </c>
      <c r="C291" s="10" t="s">
        <v>385</v>
      </c>
      <c r="D291" s="10" t="s">
        <v>34</v>
      </c>
      <c r="E291" s="13">
        <v>46226.0</v>
      </c>
      <c r="F291" s="10" t="s">
        <v>21</v>
      </c>
      <c r="I291" s="10" t="s">
        <v>22</v>
      </c>
      <c r="J291" s="9" t="str">
        <f t="shared" si="28"/>
        <v>No</v>
      </c>
      <c r="K291" s="9" t="str">
        <f t="shared" si="26"/>
        <v/>
      </c>
      <c r="L291" s="9" t="str">
        <f t="shared" si="29"/>
        <v/>
      </c>
      <c r="M291" s="9"/>
      <c r="O291" s="9"/>
    </row>
    <row r="292" ht="15.75" customHeight="1">
      <c r="A292" s="9" t="str">
        <f>IFERROR(__xludf.DUMMYFUNCTION("IF(B292="""","""",RIGHT(REGEXREPLACE(B292&amp;"""",""[^0-9]"",""""),9))"),"777173771")</f>
        <v>777173771</v>
      </c>
      <c r="B292" s="48">
        <v>7.77173771E8</v>
      </c>
      <c r="C292" s="10" t="s">
        <v>386</v>
      </c>
      <c r="D292" s="10" t="s">
        <v>120</v>
      </c>
      <c r="E292" s="13">
        <v>46226.0</v>
      </c>
      <c r="F292" s="10" t="s">
        <v>21</v>
      </c>
      <c r="I292" s="10" t="s">
        <v>22</v>
      </c>
      <c r="J292" s="9" t="str">
        <f t="shared" si="28"/>
        <v>No</v>
      </c>
      <c r="K292" s="9" t="str">
        <f t="shared" si="26"/>
        <v/>
      </c>
      <c r="L292" s="9" t="str">
        <f t="shared" si="29"/>
        <v/>
      </c>
      <c r="M292" s="9"/>
      <c r="O292" s="9"/>
    </row>
    <row r="293" ht="15.75" customHeight="1">
      <c r="A293" s="9" t="str">
        <f>IFERROR(__xludf.DUMMYFUNCTION("IF(B293="""","""",RIGHT(REGEXREPLACE(B293&amp;"""",""[^0-9]"",""""),9))"),"726969558")</f>
        <v>726969558</v>
      </c>
      <c r="B293" s="10">
        <v>9.4726969558E10</v>
      </c>
      <c r="C293" s="10" t="s">
        <v>387</v>
      </c>
      <c r="D293" s="10" t="s">
        <v>20</v>
      </c>
      <c r="E293" s="13">
        <v>46226.0</v>
      </c>
      <c r="F293" s="10" t="s">
        <v>198</v>
      </c>
      <c r="I293" s="10" t="s">
        <v>22</v>
      </c>
      <c r="J293" s="9" t="str">
        <f t="shared" si="28"/>
        <v>No</v>
      </c>
      <c r="K293" s="9" t="str">
        <f t="shared" si="26"/>
        <v/>
      </c>
      <c r="L293" s="9" t="str">
        <f t="shared" si="29"/>
        <v/>
      </c>
      <c r="M293" s="9"/>
      <c r="O293" s="9"/>
    </row>
    <row r="294" ht="15.75" customHeight="1">
      <c r="A294" s="9" t="str">
        <f>IFERROR(__xludf.DUMMYFUNCTION("IF(B294="""","""",RIGHT(REGEXREPLACE(B294&amp;"""",""[^0-9]"",""""),9))"),"778636753")</f>
        <v>778636753</v>
      </c>
      <c r="B294" s="48">
        <v>7.78636753E8</v>
      </c>
      <c r="C294" s="10" t="s">
        <v>388</v>
      </c>
      <c r="D294" s="10" t="s">
        <v>44</v>
      </c>
      <c r="E294" s="13">
        <v>46226.0</v>
      </c>
      <c r="F294" s="10" t="s">
        <v>35</v>
      </c>
      <c r="G294" s="10">
        <v>11.0</v>
      </c>
      <c r="I294" s="10" t="s">
        <v>22</v>
      </c>
      <c r="J294" s="9" t="str">
        <f t="shared" si="28"/>
        <v>No</v>
      </c>
      <c r="K294" s="9" t="str">
        <f t="shared" si="26"/>
        <v/>
      </c>
      <c r="L294" s="9" t="str">
        <f t="shared" si="29"/>
        <v/>
      </c>
      <c r="M294" s="9"/>
      <c r="O294" s="9"/>
    </row>
    <row r="295" ht="15.75" customHeight="1">
      <c r="A295" s="9" t="str">
        <f>IFERROR(__xludf.DUMMYFUNCTION("IF(B295="""","""",RIGHT(REGEXREPLACE(B295&amp;"""",""[^0-9]"",""""),9))"),"721906613")</f>
        <v>721906613</v>
      </c>
      <c r="B295" s="10">
        <v>7.21906613E8</v>
      </c>
      <c r="C295" s="10" t="s">
        <v>389</v>
      </c>
      <c r="D295" s="10" t="s">
        <v>20</v>
      </c>
      <c r="E295" s="13">
        <v>46226.0</v>
      </c>
      <c r="F295" s="10" t="s">
        <v>35</v>
      </c>
      <c r="G295" s="10">
        <v>11.0</v>
      </c>
      <c r="I295" s="10" t="s">
        <v>22</v>
      </c>
      <c r="J295" s="9" t="str">
        <f t="shared" si="28"/>
        <v>No</v>
      </c>
      <c r="K295" s="9" t="str">
        <f t="shared" si="26"/>
        <v/>
      </c>
      <c r="L295" s="9" t="str">
        <f t="shared" si="29"/>
        <v/>
      </c>
      <c r="M295" s="9"/>
      <c r="O295" s="9"/>
    </row>
    <row r="296" ht="15.75" customHeight="1">
      <c r="A296" s="9" t="str">
        <f>IFERROR(__xludf.DUMMYFUNCTION("IF(B296="""","""",RIGHT(REGEXREPLACE(B296&amp;"""",""[^0-9]"",""""),9))"),"716363463")</f>
        <v>716363463</v>
      </c>
      <c r="B296" s="48">
        <v>7.16363463E8</v>
      </c>
      <c r="C296" s="10" t="s">
        <v>390</v>
      </c>
      <c r="D296" s="10" t="s">
        <v>34</v>
      </c>
      <c r="E296" s="13">
        <v>46226.0</v>
      </c>
      <c r="F296" s="10" t="s">
        <v>145</v>
      </c>
      <c r="I296" s="10" t="s">
        <v>22</v>
      </c>
      <c r="J296" s="9" t="str">
        <f t="shared" si="28"/>
        <v>No</v>
      </c>
      <c r="K296" s="9" t="str">
        <f t="shared" si="26"/>
        <v/>
      </c>
      <c r="L296" s="9" t="str">
        <f t="shared" si="29"/>
        <v/>
      </c>
      <c r="M296" s="9"/>
      <c r="O296" s="9"/>
    </row>
    <row r="297" ht="15.75" customHeight="1">
      <c r="A297" s="9" t="str">
        <f>IFERROR(__xludf.DUMMYFUNCTION("IF(B297="""","""",RIGHT(REGEXREPLACE(B297&amp;"""",""[^0-9]"",""""),9))"),"777622815")</f>
        <v>777622815</v>
      </c>
      <c r="B297" s="48">
        <v>7.77622815E8</v>
      </c>
      <c r="C297" s="10" t="s">
        <v>391</v>
      </c>
      <c r="D297" s="10" t="s">
        <v>120</v>
      </c>
      <c r="E297" s="13">
        <v>46226.0</v>
      </c>
      <c r="F297" s="10" t="s">
        <v>21</v>
      </c>
      <c r="I297" s="10" t="s">
        <v>22</v>
      </c>
      <c r="J297" s="9" t="str">
        <f t="shared" si="28"/>
        <v>No</v>
      </c>
      <c r="K297" s="9" t="str">
        <f t="shared" si="26"/>
        <v/>
      </c>
      <c r="L297" s="9" t="str">
        <f t="shared" si="29"/>
        <v/>
      </c>
      <c r="M297" s="9"/>
      <c r="O297" s="9"/>
    </row>
    <row r="298" ht="15.75" customHeight="1">
      <c r="A298" s="9" t="str">
        <f>IFERROR(__xludf.DUMMYFUNCTION("IF(B298="""","""",RIGHT(REGEXREPLACE(B298&amp;"""",""[^0-9]"",""""),9))"),"701583509")</f>
        <v>701583509</v>
      </c>
      <c r="B298" s="10">
        <v>7.01583509E8</v>
      </c>
      <c r="C298" s="10" t="s">
        <v>392</v>
      </c>
      <c r="D298" s="10" t="s">
        <v>20</v>
      </c>
      <c r="E298" s="13">
        <v>46226.0</v>
      </c>
      <c r="F298" s="10" t="s">
        <v>198</v>
      </c>
      <c r="I298" s="10" t="s">
        <v>22</v>
      </c>
      <c r="J298" s="9" t="str">
        <f t="shared" si="28"/>
        <v>No</v>
      </c>
      <c r="K298" s="9" t="str">
        <f t="shared" si="26"/>
        <v/>
      </c>
      <c r="L298" s="9" t="str">
        <f t="shared" si="29"/>
        <v/>
      </c>
      <c r="M298" s="9"/>
      <c r="O298" s="9"/>
    </row>
    <row r="299" ht="15.75" customHeight="1">
      <c r="A299" s="9" t="str">
        <f>IFERROR(__xludf.DUMMYFUNCTION("IF(B299="""","""",RIGHT(REGEXREPLACE(B299&amp;"""",""[^0-9]"",""""),9))"),"764341617")</f>
        <v>764341617</v>
      </c>
      <c r="B299" s="48">
        <v>7.64341617E8</v>
      </c>
      <c r="C299" s="10" t="s">
        <v>393</v>
      </c>
      <c r="D299" s="10" t="s">
        <v>50</v>
      </c>
      <c r="E299" s="13">
        <v>46226.0</v>
      </c>
      <c r="F299" s="10" t="s">
        <v>21</v>
      </c>
      <c r="I299" s="10" t="s">
        <v>22</v>
      </c>
      <c r="J299" s="9" t="str">
        <f t="shared" si="28"/>
        <v>No</v>
      </c>
      <c r="K299" s="9" t="str">
        <f t="shared" si="26"/>
        <v/>
      </c>
      <c r="L299" s="9" t="str">
        <f t="shared" si="29"/>
        <v/>
      </c>
      <c r="M299" s="9"/>
      <c r="O299" s="9"/>
    </row>
    <row r="300" ht="15.75" customHeight="1">
      <c r="A300" s="9" t="str">
        <f>IFERROR(__xludf.DUMMYFUNCTION("IF(B300="""","""",RIGHT(REGEXREPLACE(B300&amp;"""",""[^0-9]"",""""),9))"),"705615315")</f>
        <v>705615315</v>
      </c>
      <c r="B300" s="48">
        <v>7.05615315E8</v>
      </c>
      <c r="C300" s="10" t="s">
        <v>394</v>
      </c>
      <c r="D300" s="10" t="s">
        <v>69</v>
      </c>
      <c r="E300" s="13">
        <v>46226.0</v>
      </c>
      <c r="F300" s="9"/>
      <c r="G300" s="10">
        <v>11.0</v>
      </c>
      <c r="H300" s="9"/>
      <c r="I300" s="10" t="s">
        <v>22</v>
      </c>
      <c r="J300" s="9" t="str">
        <f t="shared" si="28"/>
        <v>No</v>
      </c>
      <c r="K300" s="9" t="str">
        <f t="shared" si="26"/>
        <v/>
      </c>
      <c r="L300" s="9" t="str">
        <f t="shared" si="29"/>
        <v/>
      </c>
      <c r="M300" s="9"/>
      <c r="N300" s="9"/>
      <c r="O300" s="9"/>
      <c r="P300" s="9"/>
    </row>
    <row r="301" ht="15.75" customHeight="1">
      <c r="A301" s="9" t="str">
        <f>IFERROR(__xludf.DUMMYFUNCTION("IF(B301="""","""",RIGHT(REGEXREPLACE(B301&amp;"""",""[^0-9]"",""""),9))"),"779088721")</f>
        <v>779088721</v>
      </c>
      <c r="B301" s="48">
        <v>7.79088721E8</v>
      </c>
      <c r="C301" s="10" t="s">
        <v>395</v>
      </c>
      <c r="D301" s="10" t="s">
        <v>34</v>
      </c>
      <c r="E301" s="13">
        <v>46226.0</v>
      </c>
      <c r="F301" s="10" t="s">
        <v>21</v>
      </c>
      <c r="G301" s="10">
        <v>11.0</v>
      </c>
      <c r="I301" s="10" t="s">
        <v>22</v>
      </c>
      <c r="J301" s="9" t="str">
        <f t="shared" si="28"/>
        <v>No</v>
      </c>
      <c r="K301" s="9" t="str">
        <f t="shared" si="26"/>
        <v/>
      </c>
      <c r="L301" s="9" t="str">
        <f t="shared" si="29"/>
        <v/>
      </c>
      <c r="M301" s="9"/>
      <c r="O301" s="9"/>
    </row>
    <row r="302" ht="15.75" customHeight="1">
      <c r="A302" s="9" t="str">
        <f>IFERROR(__xludf.DUMMYFUNCTION("IF(B302="""","""",RIGHT(REGEXREPLACE(B302&amp;"""",""[^0-9]"",""""),9))"),"706965476")</f>
        <v>706965476</v>
      </c>
      <c r="B302" s="48">
        <v>7.06965476E8</v>
      </c>
      <c r="C302" s="10" t="s">
        <v>396</v>
      </c>
      <c r="D302" s="10" t="s">
        <v>50</v>
      </c>
      <c r="E302" s="13">
        <v>46226.0</v>
      </c>
      <c r="F302" s="10" t="s">
        <v>35</v>
      </c>
      <c r="G302" s="10">
        <v>11.0</v>
      </c>
      <c r="I302" s="10" t="s">
        <v>22</v>
      </c>
      <c r="J302" s="9" t="str">
        <f t="shared" si="28"/>
        <v>No</v>
      </c>
      <c r="K302" s="9" t="str">
        <f t="shared" si="26"/>
        <v/>
      </c>
      <c r="L302" s="9" t="str">
        <f t="shared" si="29"/>
        <v/>
      </c>
      <c r="M302" s="9"/>
      <c r="O302" s="9"/>
    </row>
    <row r="303" ht="15.75" customHeight="1">
      <c r="A303" s="9" t="str">
        <f>IFERROR(__xludf.DUMMYFUNCTION("IF(B303="""","""",RIGHT(REGEXREPLACE(B303&amp;"""",""[^0-9]"",""""),9))"),"712612026")</f>
        <v>712612026</v>
      </c>
      <c r="B303" s="10">
        <v>7.12612026E8</v>
      </c>
      <c r="C303" s="10" t="s">
        <v>397</v>
      </c>
      <c r="D303" s="10" t="s">
        <v>20</v>
      </c>
      <c r="E303" s="13">
        <v>46226.0</v>
      </c>
      <c r="F303" s="10" t="s">
        <v>35</v>
      </c>
      <c r="G303" s="10">
        <v>7.0</v>
      </c>
      <c r="I303" s="10" t="s">
        <v>22</v>
      </c>
      <c r="J303" s="9" t="str">
        <f t="shared" si="28"/>
        <v>No</v>
      </c>
      <c r="K303" s="9" t="str">
        <f t="shared" si="26"/>
        <v/>
      </c>
      <c r="L303" s="9" t="str">
        <f t="shared" si="29"/>
        <v/>
      </c>
      <c r="M303" s="9"/>
      <c r="O303" s="9"/>
    </row>
    <row r="304" ht="15.75" customHeight="1">
      <c r="A304" s="9" t="str">
        <f>IFERROR(__xludf.DUMMYFUNCTION("IF(B304="""","""",RIGHT(REGEXREPLACE(B304&amp;"""",""[^0-9]"",""""),9))"),"715300896")</f>
        <v>715300896</v>
      </c>
      <c r="B304" s="48">
        <v>7.15300896E8</v>
      </c>
      <c r="C304" s="10" t="s">
        <v>398</v>
      </c>
      <c r="D304" s="10" t="s">
        <v>120</v>
      </c>
      <c r="E304" s="13">
        <v>46226.0</v>
      </c>
      <c r="F304" s="10" t="s">
        <v>35</v>
      </c>
      <c r="G304" s="10">
        <v>11.0</v>
      </c>
      <c r="I304" s="10" t="s">
        <v>22</v>
      </c>
      <c r="J304" s="9" t="str">
        <f t="shared" si="28"/>
        <v>No</v>
      </c>
      <c r="K304" s="9" t="str">
        <f t="shared" si="26"/>
        <v/>
      </c>
      <c r="L304" s="9" t="str">
        <f t="shared" si="29"/>
        <v/>
      </c>
      <c r="M304" s="9"/>
      <c r="O304" s="9"/>
    </row>
    <row r="305" ht="15.75" customHeight="1">
      <c r="A305" s="9" t="str">
        <f>IFERROR(__xludf.DUMMYFUNCTION("IF(B305="""","""",RIGHT(REGEXREPLACE(B305&amp;"""",""[^0-9]"",""""),9))"),"756363380")</f>
        <v>756363380</v>
      </c>
      <c r="B305" s="10">
        <v>7.5636338E8</v>
      </c>
      <c r="C305" s="10" t="s">
        <v>399</v>
      </c>
      <c r="D305" s="10" t="s">
        <v>44</v>
      </c>
      <c r="E305" s="13">
        <v>46226.0</v>
      </c>
      <c r="F305" s="10" t="s">
        <v>21</v>
      </c>
      <c r="G305" s="10">
        <v>11.0</v>
      </c>
      <c r="I305" s="10" t="s">
        <v>22</v>
      </c>
      <c r="J305" s="9" t="str">
        <f t="shared" si="28"/>
        <v>No</v>
      </c>
      <c r="K305" s="9" t="str">
        <f t="shared" si="26"/>
        <v/>
      </c>
      <c r="L305" s="9" t="str">
        <f t="shared" si="29"/>
        <v/>
      </c>
      <c r="M305" s="9"/>
      <c r="O305" s="9"/>
    </row>
    <row r="306" ht="15.75" customHeight="1">
      <c r="A306" s="9" t="str">
        <f>IFERROR(__xludf.DUMMYFUNCTION("IF(B306="""","""",RIGHT(REGEXREPLACE(B306&amp;"""",""[^0-9]"",""""),9))"),"778174188")</f>
        <v>778174188</v>
      </c>
      <c r="B306" s="48">
        <v>7.78174188E8</v>
      </c>
      <c r="C306" s="10" t="s">
        <v>400</v>
      </c>
      <c r="D306" s="10" t="s">
        <v>34</v>
      </c>
      <c r="E306" s="13">
        <v>46226.0</v>
      </c>
      <c r="F306" s="10" t="s">
        <v>21</v>
      </c>
      <c r="G306" s="10">
        <v>11.0</v>
      </c>
      <c r="I306" s="10" t="s">
        <v>22</v>
      </c>
      <c r="J306" s="9" t="str">
        <f t="shared" si="28"/>
        <v>No</v>
      </c>
      <c r="K306" s="9" t="str">
        <f t="shared" si="26"/>
        <v/>
      </c>
      <c r="L306" s="9" t="str">
        <f t="shared" si="29"/>
        <v/>
      </c>
      <c r="M306" s="9"/>
      <c r="O306" s="9"/>
    </row>
    <row r="307" ht="15.75" customHeight="1">
      <c r="A307" s="9" t="str">
        <f>IFERROR(__xludf.DUMMYFUNCTION("IF(B307="""","""",RIGHT(REGEXREPLACE(B307&amp;"""",""[^0-9]"",""""),9))"),"715988021")</f>
        <v>715988021</v>
      </c>
      <c r="B307" s="48">
        <v>7.15988021E8</v>
      </c>
      <c r="C307" s="10" t="s">
        <v>401</v>
      </c>
      <c r="D307" s="10" t="s">
        <v>69</v>
      </c>
      <c r="E307" s="13">
        <v>46226.0</v>
      </c>
      <c r="F307" s="10" t="s">
        <v>198</v>
      </c>
      <c r="G307" s="10">
        <v>11.0</v>
      </c>
      <c r="I307" s="10" t="s">
        <v>22</v>
      </c>
      <c r="J307" s="9" t="str">
        <f t="shared" si="28"/>
        <v>No</v>
      </c>
      <c r="K307" s="9" t="str">
        <f t="shared" si="26"/>
        <v/>
      </c>
      <c r="L307" s="9" t="str">
        <f t="shared" si="29"/>
        <v/>
      </c>
      <c r="M307" s="9"/>
      <c r="O307" s="9"/>
    </row>
    <row r="308" ht="15.75" customHeight="1">
      <c r="A308" s="9" t="str">
        <f>IFERROR(__xludf.DUMMYFUNCTION("IF(B308="""","""",RIGHT(REGEXREPLACE(B308&amp;"""",""[^0-9]"",""""),9))"),"767648885")</f>
        <v>767648885</v>
      </c>
      <c r="B308" s="48">
        <v>7.67648885E8</v>
      </c>
      <c r="C308" s="10" t="s">
        <v>402</v>
      </c>
      <c r="D308" s="10" t="s">
        <v>50</v>
      </c>
      <c r="E308" s="13">
        <v>46226.0</v>
      </c>
      <c r="F308" s="10" t="s">
        <v>21</v>
      </c>
      <c r="G308" s="10">
        <v>10.0</v>
      </c>
      <c r="I308" s="10" t="s">
        <v>22</v>
      </c>
      <c r="J308" s="9" t="str">
        <f t="shared" si="28"/>
        <v>No</v>
      </c>
      <c r="K308" s="9" t="str">
        <f t="shared" si="26"/>
        <v/>
      </c>
      <c r="L308" s="9" t="str">
        <f t="shared" si="29"/>
        <v/>
      </c>
      <c r="M308" s="9"/>
      <c r="O308" s="9"/>
    </row>
    <row r="309" ht="15.75" customHeight="1">
      <c r="A309" s="9" t="str">
        <f>IFERROR(__xludf.DUMMYFUNCTION("IF(B309="""","""",RIGHT(REGEXREPLACE(B309&amp;"""",""[^0-9]"",""""),9))"),"711528934")</f>
        <v>711528934</v>
      </c>
      <c r="B309" s="48">
        <v>7.11528934E8</v>
      </c>
      <c r="C309" s="10" t="s">
        <v>403</v>
      </c>
      <c r="D309" s="10" t="s">
        <v>44</v>
      </c>
      <c r="E309" s="13">
        <v>46226.0</v>
      </c>
      <c r="F309" s="10" t="s">
        <v>35</v>
      </c>
      <c r="G309" s="10">
        <v>10.0</v>
      </c>
      <c r="I309" s="10" t="s">
        <v>22</v>
      </c>
      <c r="J309" s="9" t="str">
        <f t="shared" si="28"/>
        <v>No</v>
      </c>
      <c r="K309" s="9" t="str">
        <f t="shared" si="26"/>
        <v/>
      </c>
      <c r="L309" s="9" t="str">
        <f t="shared" si="29"/>
        <v/>
      </c>
      <c r="M309" s="9"/>
      <c r="O309" s="9"/>
    </row>
    <row r="310" ht="15.75" customHeight="1">
      <c r="A310" s="9" t="str">
        <f>IFERROR(__xludf.DUMMYFUNCTION("IF(B310="""","""",RIGHT(REGEXREPLACE(B310&amp;"""",""[^0-9]"",""""),9))"),"771309810")</f>
        <v>771309810</v>
      </c>
      <c r="B310" s="48">
        <v>7.7130981E8</v>
      </c>
      <c r="C310" s="10" t="s">
        <v>404</v>
      </c>
      <c r="D310" s="10" t="s">
        <v>34</v>
      </c>
      <c r="E310" s="13">
        <v>46226.0</v>
      </c>
      <c r="F310" s="10" t="s">
        <v>21</v>
      </c>
      <c r="G310" s="10">
        <v>9.0</v>
      </c>
      <c r="I310" s="10" t="s">
        <v>22</v>
      </c>
      <c r="J310" s="9" t="str">
        <f t="shared" si="28"/>
        <v>No</v>
      </c>
      <c r="K310" s="9" t="str">
        <f t="shared" si="26"/>
        <v/>
      </c>
      <c r="L310" s="9" t="str">
        <f t="shared" si="29"/>
        <v/>
      </c>
      <c r="M310" s="9"/>
      <c r="O310" s="9"/>
    </row>
    <row r="311" ht="15.75" customHeight="1">
      <c r="A311" s="9" t="str">
        <f>IFERROR(__xludf.DUMMYFUNCTION("IF(B311="""","""",RIGHT(REGEXREPLACE(B311&amp;"""",""[^0-9]"",""""),9))"),"778347522")</f>
        <v>778347522</v>
      </c>
      <c r="B311" s="48">
        <v>7.78347522E8</v>
      </c>
      <c r="C311" s="10" t="s">
        <v>405</v>
      </c>
      <c r="D311" s="10" t="s">
        <v>50</v>
      </c>
      <c r="E311" s="13">
        <v>46226.0</v>
      </c>
      <c r="F311" s="10" t="s">
        <v>35</v>
      </c>
      <c r="G311" s="10">
        <v>11.0</v>
      </c>
      <c r="I311" s="10" t="s">
        <v>22</v>
      </c>
      <c r="J311" s="9" t="str">
        <f t="shared" si="28"/>
        <v>No</v>
      </c>
      <c r="K311" s="9" t="str">
        <f t="shared" si="26"/>
        <v/>
      </c>
      <c r="L311" s="9" t="str">
        <f t="shared" si="29"/>
        <v/>
      </c>
      <c r="M311" s="9"/>
      <c r="O311" s="9"/>
    </row>
    <row r="312" ht="15.75" customHeight="1">
      <c r="A312" s="9" t="str">
        <f>IFERROR(__xludf.DUMMYFUNCTION("IF(B312="""","""",RIGHT(REGEXREPLACE(B312&amp;"""",""[^0-9]"",""""),9))"),"779754160")</f>
        <v>779754160</v>
      </c>
      <c r="B312" s="48">
        <v>7.7975416E8</v>
      </c>
      <c r="C312" s="10" t="s">
        <v>406</v>
      </c>
      <c r="D312" s="10" t="s">
        <v>69</v>
      </c>
      <c r="E312" s="13">
        <v>46226.0</v>
      </c>
      <c r="F312" s="10" t="s">
        <v>198</v>
      </c>
      <c r="G312" s="10">
        <v>10.0</v>
      </c>
      <c r="I312" s="10" t="s">
        <v>22</v>
      </c>
      <c r="J312" s="9" t="str">
        <f t="shared" si="28"/>
        <v>No</v>
      </c>
      <c r="K312" s="9" t="str">
        <f t="shared" si="26"/>
        <v/>
      </c>
      <c r="L312" s="9" t="str">
        <f t="shared" si="29"/>
        <v/>
      </c>
      <c r="M312" s="9"/>
      <c r="O312" s="9"/>
    </row>
    <row r="313" ht="15.75" customHeight="1">
      <c r="A313" s="9" t="str">
        <f>IFERROR(__xludf.DUMMYFUNCTION("IF(B313="""","""",RIGHT(REGEXREPLACE(B313&amp;"""",""[^0-9]"",""""),9))"),"774445188")</f>
        <v>774445188</v>
      </c>
      <c r="B313" s="48">
        <v>9.4774445188E10</v>
      </c>
      <c r="C313" s="10" t="s">
        <v>407</v>
      </c>
      <c r="D313" s="10" t="s">
        <v>20</v>
      </c>
      <c r="E313" s="13">
        <v>46226.0</v>
      </c>
      <c r="F313" s="10" t="s">
        <v>21</v>
      </c>
      <c r="I313" s="10" t="s">
        <v>22</v>
      </c>
      <c r="J313" s="9" t="str">
        <f t="shared" si="28"/>
        <v>No</v>
      </c>
      <c r="K313" s="9" t="str">
        <f t="shared" si="26"/>
        <v/>
      </c>
      <c r="L313" s="9" t="str">
        <f t="shared" si="29"/>
        <v/>
      </c>
      <c r="M313" s="9"/>
      <c r="O313" s="9"/>
    </row>
    <row r="314" ht="15.75" customHeight="1">
      <c r="A314" s="9" t="str">
        <f>IFERROR(__xludf.DUMMYFUNCTION("IF(B314="""","""",RIGHT(REGEXREPLACE(B314&amp;"""",""[^0-9]"",""""),9))"),"763897803")</f>
        <v>763897803</v>
      </c>
      <c r="B314" s="48">
        <v>7.63897803E8</v>
      </c>
      <c r="C314" s="10" t="s">
        <v>408</v>
      </c>
      <c r="D314" s="10" t="s">
        <v>34</v>
      </c>
      <c r="E314" s="13">
        <v>46226.0</v>
      </c>
      <c r="F314" s="10" t="s">
        <v>21</v>
      </c>
      <c r="I314" s="10" t="s">
        <v>22</v>
      </c>
      <c r="J314" s="9" t="str">
        <f t="shared" si="28"/>
        <v>No</v>
      </c>
      <c r="K314" s="9" t="str">
        <f t="shared" si="26"/>
        <v/>
      </c>
      <c r="L314" s="9" t="str">
        <f t="shared" si="29"/>
        <v/>
      </c>
      <c r="M314" s="9"/>
      <c r="O314" s="9"/>
    </row>
    <row r="315" ht="15.75" customHeight="1">
      <c r="A315" s="9" t="str">
        <f>IFERROR(__xludf.DUMMYFUNCTION("IF(B315="""","""",RIGHT(REGEXREPLACE(B315&amp;"""",""[^0-9]"",""""),9))"),"776000497")</f>
        <v>776000497</v>
      </c>
      <c r="B315" s="48">
        <v>7.76000497E8</v>
      </c>
      <c r="C315" s="10" t="s">
        <v>409</v>
      </c>
      <c r="D315" s="10" t="s">
        <v>44</v>
      </c>
      <c r="E315" s="13">
        <v>46226.0</v>
      </c>
      <c r="F315" s="10" t="s">
        <v>21</v>
      </c>
      <c r="G315" s="10">
        <v>11.0</v>
      </c>
      <c r="I315" s="10" t="s">
        <v>22</v>
      </c>
      <c r="J315" s="9" t="str">
        <f t="shared" si="28"/>
        <v>No</v>
      </c>
      <c r="K315" s="9" t="str">
        <f t="shared" si="26"/>
        <v/>
      </c>
      <c r="L315" s="9" t="str">
        <f t="shared" si="29"/>
        <v/>
      </c>
      <c r="M315" s="9"/>
      <c r="O315" s="9"/>
    </row>
    <row r="316" ht="15.75" customHeight="1">
      <c r="A316" s="9" t="str">
        <f>IFERROR(__xludf.DUMMYFUNCTION("IF(B316="""","""",RIGHT(REGEXREPLACE(B316&amp;"""",""[^0-9]"",""""),9))"),"707569558")</f>
        <v>707569558</v>
      </c>
      <c r="B316" s="48">
        <v>7.07569558E8</v>
      </c>
      <c r="C316" s="10" t="s">
        <v>410</v>
      </c>
      <c r="D316" s="10" t="s">
        <v>120</v>
      </c>
      <c r="E316" s="13">
        <v>46226.0</v>
      </c>
      <c r="F316" s="10" t="s">
        <v>35</v>
      </c>
      <c r="G316" s="10">
        <v>10.0</v>
      </c>
      <c r="H316" s="10" t="s">
        <v>411</v>
      </c>
      <c r="I316" s="10" t="s">
        <v>22</v>
      </c>
      <c r="J316" s="9" t="str">
        <f t="shared" si="28"/>
        <v>No</v>
      </c>
      <c r="K316" s="9" t="str">
        <f t="shared" si="26"/>
        <v/>
      </c>
      <c r="L316" s="9" t="str">
        <f t="shared" si="29"/>
        <v/>
      </c>
      <c r="M316" s="9"/>
      <c r="O316" s="9"/>
    </row>
    <row r="317" ht="15.75" customHeight="1">
      <c r="A317" s="9" t="str">
        <f>IFERROR(__xludf.DUMMYFUNCTION("IF(B317="""","""",RIGHT(REGEXREPLACE(B317&amp;"""",""[^0-9]"",""""),9))"),"770715119")</f>
        <v>770715119</v>
      </c>
      <c r="B317" s="48">
        <v>9.4770715119E10</v>
      </c>
      <c r="C317" s="10" t="s">
        <v>412</v>
      </c>
      <c r="D317" s="10" t="s">
        <v>20</v>
      </c>
      <c r="E317" s="13">
        <v>46226.0</v>
      </c>
      <c r="F317" s="10" t="s">
        <v>35</v>
      </c>
      <c r="G317" s="10">
        <v>11.0</v>
      </c>
      <c r="H317" s="10" t="s">
        <v>413</v>
      </c>
      <c r="I317" s="10" t="s">
        <v>22</v>
      </c>
      <c r="J317" s="9" t="str">
        <f t="shared" si="28"/>
        <v>No</v>
      </c>
      <c r="K317" s="9" t="str">
        <f t="shared" si="26"/>
        <v/>
      </c>
      <c r="L317" s="9" t="str">
        <f t="shared" si="29"/>
        <v/>
      </c>
      <c r="M317" s="9"/>
      <c r="O317" s="9"/>
    </row>
    <row r="318" ht="15.75" customHeight="1">
      <c r="A318" s="9" t="str">
        <f>IFERROR(__xludf.DUMMYFUNCTION("IF(B318="""","""",RIGHT(REGEXREPLACE(B318&amp;"""",""[^0-9]"",""""),9))"),"773968629")</f>
        <v>773968629</v>
      </c>
      <c r="B318" s="48">
        <v>7.73968629E8</v>
      </c>
      <c r="C318" s="10" t="s">
        <v>414</v>
      </c>
      <c r="D318" s="10" t="s">
        <v>69</v>
      </c>
      <c r="E318" s="13">
        <v>46226.0</v>
      </c>
      <c r="F318" s="10" t="s">
        <v>21</v>
      </c>
      <c r="G318" s="10">
        <v>11.0</v>
      </c>
      <c r="I318" s="10" t="s">
        <v>22</v>
      </c>
      <c r="J318" s="9" t="str">
        <f t="shared" si="28"/>
        <v>No</v>
      </c>
      <c r="K318" s="9" t="str">
        <f t="shared" si="26"/>
        <v/>
      </c>
      <c r="L318" s="9" t="str">
        <f t="shared" si="29"/>
        <v/>
      </c>
      <c r="M318" s="9"/>
      <c r="O318" s="9"/>
    </row>
    <row r="319" ht="15.75" customHeight="1">
      <c r="A319" s="9" t="str">
        <f>IFERROR(__xludf.DUMMYFUNCTION("IF(B319="""","""",RIGHT(REGEXREPLACE(B319&amp;"""",""[^0-9]"",""""),9))"),"710674755")</f>
        <v>710674755</v>
      </c>
      <c r="B319" s="48">
        <v>7.10674755E8</v>
      </c>
      <c r="C319" s="10" t="s">
        <v>415</v>
      </c>
      <c r="D319" s="10" t="s">
        <v>34</v>
      </c>
      <c r="E319" s="13">
        <v>46226.0</v>
      </c>
      <c r="F319" s="10" t="s">
        <v>21</v>
      </c>
      <c r="I319" s="10" t="s">
        <v>22</v>
      </c>
      <c r="J319" s="9" t="str">
        <f t="shared" si="28"/>
        <v>No</v>
      </c>
      <c r="K319" s="9" t="str">
        <f t="shared" si="26"/>
        <v/>
      </c>
      <c r="L319" s="9" t="str">
        <f t="shared" si="29"/>
        <v/>
      </c>
      <c r="M319" s="9"/>
      <c r="O319" s="9"/>
    </row>
    <row r="320" ht="15.75" customHeight="1">
      <c r="A320" s="9" t="str">
        <f>IFERROR(__xludf.DUMMYFUNCTION("IF(B320="""","""",RIGHT(REGEXREPLACE(B320&amp;"""",""[^0-9]"",""""),9))"),"762315192")</f>
        <v>762315192</v>
      </c>
      <c r="B320" s="48">
        <v>7.62315192E8</v>
      </c>
      <c r="C320" s="10" t="s">
        <v>416</v>
      </c>
      <c r="D320" s="10" t="s">
        <v>50</v>
      </c>
      <c r="E320" s="13">
        <v>46226.0</v>
      </c>
      <c r="F320" s="10" t="s">
        <v>35</v>
      </c>
      <c r="G320" s="10">
        <v>11.0</v>
      </c>
      <c r="I320" s="10" t="s">
        <v>22</v>
      </c>
      <c r="J320" s="9" t="str">
        <f t="shared" si="28"/>
        <v>No</v>
      </c>
      <c r="K320" s="9" t="str">
        <f t="shared" si="26"/>
        <v/>
      </c>
      <c r="L320" s="9" t="str">
        <f t="shared" si="29"/>
        <v/>
      </c>
      <c r="M320" s="9"/>
      <c r="O320" s="9"/>
    </row>
    <row r="321" ht="15.75" customHeight="1">
      <c r="A321" s="9" t="str">
        <f>IFERROR(__xludf.DUMMYFUNCTION("IF(B321="""","""",RIGHT(REGEXREPLACE(B321&amp;"""",""[^0-9]"",""""),9))"),"701913717")</f>
        <v>701913717</v>
      </c>
      <c r="B321" s="48">
        <v>9.4701913717E10</v>
      </c>
      <c r="C321" s="10" t="s">
        <v>417</v>
      </c>
      <c r="D321" s="10" t="s">
        <v>44</v>
      </c>
      <c r="E321" s="13">
        <v>46226.0</v>
      </c>
      <c r="F321" s="10" t="s">
        <v>35</v>
      </c>
      <c r="G321" s="10">
        <v>11.0</v>
      </c>
      <c r="H321" s="10" t="s">
        <v>418</v>
      </c>
      <c r="I321" s="10" t="s">
        <v>22</v>
      </c>
      <c r="J321" s="9" t="str">
        <f t="shared" si="28"/>
        <v>No</v>
      </c>
      <c r="K321" s="9" t="str">
        <f t="shared" si="26"/>
        <v/>
      </c>
      <c r="L321" s="9" t="str">
        <f t="shared" si="29"/>
        <v/>
      </c>
      <c r="M321" s="9"/>
      <c r="O321" s="9"/>
    </row>
    <row r="322" ht="15.75" customHeight="1">
      <c r="A322" s="9" t="str">
        <f>IFERROR(__xludf.DUMMYFUNCTION("IF(B322="""","""",RIGHT(REGEXREPLACE(B322&amp;"""",""[^0-9]"",""""),9))"),"707600064")</f>
        <v>707600064</v>
      </c>
      <c r="B322" s="48">
        <v>7.07600064E8</v>
      </c>
      <c r="C322" s="10" t="s">
        <v>419</v>
      </c>
      <c r="D322" s="10" t="s">
        <v>34</v>
      </c>
      <c r="E322" s="13">
        <v>46226.0</v>
      </c>
      <c r="F322" s="10" t="s">
        <v>21</v>
      </c>
      <c r="I322" s="10" t="s">
        <v>22</v>
      </c>
      <c r="J322" s="9" t="str">
        <f t="shared" si="28"/>
        <v>No</v>
      </c>
      <c r="K322" s="9" t="str">
        <f t="shared" si="26"/>
        <v/>
      </c>
      <c r="L322" s="9" t="str">
        <f t="shared" si="29"/>
        <v/>
      </c>
      <c r="M322" s="9"/>
      <c r="O322" s="9"/>
    </row>
    <row r="323" ht="15.75" customHeight="1">
      <c r="A323" s="9" t="str">
        <f>IFERROR(__xludf.DUMMYFUNCTION("IF(B323="""","""",RIGHT(REGEXREPLACE(B323&amp;"""",""[^0-9]"",""""),9))"),"701013169")</f>
        <v>701013169</v>
      </c>
      <c r="B323" s="48">
        <v>9.4701013169E10</v>
      </c>
      <c r="C323" s="10" t="s">
        <v>420</v>
      </c>
      <c r="D323" s="10" t="s">
        <v>20</v>
      </c>
      <c r="E323" s="13">
        <v>46226.0</v>
      </c>
      <c r="F323" s="10" t="s">
        <v>35</v>
      </c>
      <c r="G323" s="10">
        <v>6.0</v>
      </c>
      <c r="I323" s="10" t="s">
        <v>22</v>
      </c>
      <c r="J323" s="9" t="str">
        <f t="shared" si="28"/>
        <v>No</v>
      </c>
      <c r="K323" s="9" t="str">
        <f t="shared" si="26"/>
        <v/>
      </c>
      <c r="L323" s="9" t="str">
        <f t="shared" si="29"/>
        <v/>
      </c>
      <c r="M323" s="9"/>
      <c r="O323" s="9"/>
    </row>
    <row r="324" ht="15.75" customHeight="1">
      <c r="A324" s="9" t="str">
        <f>IFERROR(__xludf.DUMMYFUNCTION("IF(B324="""","""",RIGHT(REGEXREPLACE(B324&amp;"""",""[^0-9]"",""""),9))"),"766433982")</f>
        <v>766433982</v>
      </c>
      <c r="B324" s="48">
        <v>9.4766433982E10</v>
      </c>
      <c r="C324" s="10" t="s">
        <v>421</v>
      </c>
      <c r="D324" s="10" t="s">
        <v>44</v>
      </c>
      <c r="E324" s="13">
        <v>46226.0</v>
      </c>
      <c r="F324" s="10" t="s">
        <v>35</v>
      </c>
      <c r="G324" s="10">
        <v>11.0</v>
      </c>
      <c r="I324" s="10" t="s">
        <v>22</v>
      </c>
      <c r="J324" s="9" t="str">
        <f t="shared" si="28"/>
        <v>No</v>
      </c>
      <c r="K324" s="9" t="str">
        <f t="shared" si="26"/>
        <v/>
      </c>
      <c r="L324" s="9" t="str">
        <f t="shared" si="29"/>
        <v/>
      </c>
      <c r="M324" s="9"/>
      <c r="O324" s="9"/>
    </row>
    <row r="325" ht="15.75" customHeight="1">
      <c r="A325" s="9" t="str">
        <f>IFERROR(__xludf.DUMMYFUNCTION("IF(B325="""","""",RIGHT(REGEXREPLACE(B325&amp;"""",""[^0-9]"",""""),9))"),"761741259")</f>
        <v>761741259</v>
      </c>
      <c r="B325" s="48">
        <v>7.61741259E8</v>
      </c>
      <c r="C325" s="10" t="s">
        <v>422</v>
      </c>
      <c r="D325" s="10" t="s">
        <v>69</v>
      </c>
      <c r="E325" s="13">
        <v>46226.0</v>
      </c>
      <c r="F325" s="10" t="s">
        <v>35</v>
      </c>
      <c r="G325" s="10" t="s">
        <v>423</v>
      </c>
      <c r="I325" s="10" t="s">
        <v>22</v>
      </c>
      <c r="J325" s="9" t="str">
        <f t="shared" si="28"/>
        <v>No</v>
      </c>
      <c r="K325" s="9" t="str">
        <f t="shared" si="26"/>
        <v/>
      </c>
      <c r="L325" s="9" t="str">
        <f t="shared" si="29"/>
        <v/>
      </c>
      <c r="M325" s="9"/>
      <c r="O325" s="9"/>
    </row>
    <row r="326" ht="15.75" customHeight="1">
      <c r="A326" s="9" t="str">
        <f>IFERROR(__xludf.DUMMYFUNCTION("IF(B326="""","""",RIGHT(REGEXREPLACE(B326&amp;"""",""[^0-9]"",""""),9))"),"778743154")</f>
        <v>778743154</v>
      </c>
      <c r="B326" s="48">
        <v>7.78743154E8</v>
      </c>
      <c r="C326" s="10" t="s">
        <v>424</v>
      </c>
      <c r="D326" s="10" t="s">
        <v>120</v>
      </c>
      <c r="E326" s="13">
        <v>46226.0</v>
      </c>
      <c r="F326" s="10" t="s">
        <v>35</v>
      </c>
      <c r="G326" s="10">
        <v>11.0</v>
      </c>
      <c r="I326" s="10" t="s">
        <v>22</v>
      </c>
      <c r="J326" s="9" t="str">
        <f t="shared" si="28"/>
        <v>No</v>
      </c>
      <c r="K326" s="9" t="str">
        <f t="shared" si="26"/>
        <v/>
      </c>
      <c r="L326" s="9" t="str">
        <f t="shared" si="29"/>
        <v/>
      </c>
      <c r="M326" s="9"/>
      <c r="O326" s="9"/>
    </row>
    <row r="327" ht="15.75" customHeight="1">
      <c r="A327" s="9" t="str">
        <f>IFERROR(__xludf.DUMMYFUNCTION("IF(B327="""","""",RIGHT(REGEXREPLACE(B327&amp;"""",""[^0-9]"",""""),9))"),"776329422")</f>
        <v>776329422</v>
      </c>
      <c r="B327" s="48">
        <v>7.76329422E8</v>
      </c>
      <c r="C327" s="10" t="s">
        <v>425</v>
      </c>
      <c r="D327" s="10" t="s">
        <v>34</v>
      </c>
      <c r="E327" s="13">
        <v>46226.0</v>
      </c>
      <c r="F327" s="10" t="s">
        <v>35</v>
      </c>
      <c r="G327" s="10">
        <v>11.0</v>
      </c>
      <c r="I327" s="10" t="s">
        <v>22</v>
      </c>
      <c r="J327" s="9" t="str">
        <f t="shared" si="28"/>
        <v>No</v>
      </c>
      <c r="K327" s="9" t="str">
        <f t="shared" si="26"/>
        <v/>
      </c>
      <c r="L327" s="9" t="str">
        <f t="shared" si="29"/>
        <v/>
      </c>
      <c r="M327" s="9"/>
      <c r="O327" s="9"/>
    </row>
    <row r="328" ht="15.75" customHeight="1">
      <c r="A328" s="9" t="str">
        <f>IFERROR(__xludf.DUMMYFUNCTION("IF(B328="""","""",RIGHT(REGEXREPLACE(B328&amp;"""",""[^0-9]"",""""),9))"),"779535568")</f>
        <v>779535568</v>
      </c>
      <c r="B328" s="48">
        <v>7.79535568E8</v>
      </c>
      <c r="C328" s="10" t="s">
        <v>426</v>
      </c>
      <c r="D328" s="10" t="s">
        <v>50</v>
      </c>
      <c r="E328" s="13">
        <v>46226.0</v>
      </c>
      <c r="F328" s="10" t="s">
        <v>35</v>
      </c>
      <c r="G328" s="10">
        <v>9.0</v>
      </c>
      <c r="I328" s="10" t="s">
        <v>22</v>
      </c>
      <c r="J328" s="9" t="str">
        <f t="shared" si="28"/>
        <v>No</v>
      </c>
      <c r="K328" s="9" t="str">
        <f t="shared" si="26"/>
        <v/>
      </c>
      <c r="L328" s="9" t="str">
        <f t="shared" si="29"/>
        <v/>
      </c>
      <c r="M328" s="9"/>
      <c r="O328" s="9"/>
    </row>
    <row r="329" ht="15.75" customHeight="1">
      <c r="A329" s="9" t="str">
        <f>IFERROR(__xludf.DUMMYFUNCTION("IF(B329="""","""",RIGHT(REGEXREPLACE(B329&amp;"""",""[^0-9]"",""""),9))"),"741691504")</f>
        <v>741691504</v>
      </c>
      <c r="B329" s="48">
        <v>9.4741691504E10</v>
      </c>
      <c r="C329" s="10" t="s">
        <v>427</v>
      </c>
      <c r="D329" s="10" t="s">
        <v>44</v>
      </c>
      <c r="E329" s="13">
        <v>46226.0</v>
      </c>
      <c r="F329" s="10" t="s">
        <v>35</v>
      </c>
      <c r="G329" s="10">
        <v>11.0</v>
      </c>
      <c r="I329" s="10" t="s">
        <v>22</v>
      </c>
      <c r="J329" s="9" t="str">
        <f t="shared" si="28"/>
        <v>No</v>
      </c>
      <c r="K329" s="9" t="str">
        <f t="shared" si="26"/>
        <v/>
      </c>
      <c r="L329" s="9" t="str">
        <f t="shared" si="29"/>
        <v/>
      </c>
      <c r="M329" s="9"/>
      <c r="O329" s="9"/>
    </row>
    <row r="330" ht="15.75" customHeight="1">
      <c r="A330" s="9" t="str">
        <f>IFERROR(__xludf.DUMMYFUNCTION("IF(B330="""","""",RIGHT(REGEXREPLACE(B330&amp;"""",""[^0-9]"",""""),9))"),"784485814")</f>
        <v>784485814</v>
      </c>
      <c r="B330" s="48">
        <v>7.84485814E8</v>
      </c>
      <c r="C330" s="10" t="s">
        <v>428</v>
      </c>
      <c r="D330" s="10" t="s">
        <v>50</v>
      </c>
      <c r="E330" s="13">
        <v>46226.0</v>
      </c>
      <c r="F330" s="10" t="s">
        <v>35</v>
      </c>
      <c r="G330" s="10">
        <v>11.0</v>
      </c>
      <c r="I330" s="10" t="s">
        <v>22</v>
      </c>
      <c r="J330" s="9" t="str">
        <f t="shared" si="28"/>
        <v>No</v>
      </c>
      <c r="K330" s="9" t="str">
        <f t="shared" si="26"/>
        <v/>
      </c>
      <c r="L330" s="9" t="str">
        <f t="shared" si="29"/>
        <v/>
      </c>
      <c r="M330" s="9"/>
      <c r="O330" s="9"/>
    </row>
    <row r="331" ht="15.75" customHeight="1">
      <c r="A331" s="9" t="str">
        <f>IFERROR(__xludf.DUMMYFUNCTION("IF(B331="""","""",RIGHT(REGEXREPLACE(B331&amp;"""",""[^0-9]"",""""),9))"),"763133249")</f>
        <v>763133249</v>
      </c>
      <c r="B331" s="48">
        <v>7.63133249E8</v>
      </c>
      <c r="C331" s="10" t="s">
        <v>429</v>
      </c>
      <c r="D331" s="10" t="s">
        <v>34</v>
      </c>
      <c r="E331" s="13">
        <v>46226.0</v>
      </c>
      <c r="F331" s="10" t="s">
        <v>35</v>
      </c>
      <c r="G331" s="10">
        <v>11.0</v>
      </c>
      <c r="I331" s="10" t="s">
        <v>22</v>
      </c>
      <c r="J331" s="9" t="str">
        <f t="shared" si="28"/>
        <v>No</v>
      </c>
      <c r="K331" s="9" t="str">
        <f t="shared" si="26"/>
        <v/>
      </c>
      <c r="L331" s="9" t="str">
        <f t="shared" si="29"/>
        <v/>
      </c>
      <c r="M331" s="9"/>
      <c r="O331" s="9"/>
    </row>
    <row r="332" ht="15.75" customHeight="1">
      <c r="A332" s="9" t="str">
        <f>IFERROR(__xludf.DUMMYFUNCTION("IF(B332="""","""",RIGHT(REGEXREPLACE(B332&amp;"""",""[^0-9]"",""""),9))"),"761555250")</f>
        <v>761555250</v>
      </c>
      <c r="B332" s="48">
        <v>9.476155525E10</v>
      </c>
      <c r="C332" s="10" t="s">
        <v>430</v>
      </c>
      <c r="D332" s="10" t="s">
        <v>20</v>
      </c>
      <c r="E332" s="13">
        <v>46226.0</v>
      </c>
      <c r="F332" s="10" t="s">
        <v>35</v>
      </c>
      <c r="G332" s="10">
        <v>11.0</v>
      </c>
      <c r="H332" s="10" t="s">
        <v>431</v>
      </c>
      <c r="I332" s="10" t="s">
        <v>22</v>
      </c>
      <c r="J332" s="9" t="str">
        <f t="shared" si="28"/>
        <v>No</v>
      </c>
      <c r="K332" s="9" t="str">
        <f t="shared" si="26"/>
        <v/>
      </c>
      <c r="L332" s="9" t="str">
        <f t="shared" si="29"/>
        <v/>
      </c>
      <c r="M332" s="9"/>
      <c r="O332" s="9"/>
    </row>
    <row r="333" ht="15.75" customHeight="1">
      <c r="A333" s="9" t="str">
        <f>IFERROR(__xludf.DUMMYFUNCTION("IF(B333="""","""",RIGHT(REGEXREPLACE(B333&amp;"""",""[^0-9]"",""""),9))"),"710956158")</f>
        <v>710956158</v>
      </c>
      <c r="B333" s="48">
        <v>7.10956158E8</v>
      </c>
      <c r="C333" s="10" t="s">
        <v>432</v>
      </c>
      <c r="D333" s="10" t="s">
        <v>69</v>
      </c>
      <c r="E333" s="13">
        <v>46226.0</v>
      </c>
      <c r="F333" s="10" t="s">
        <v>35</v>
      </c>
      <c r="G333" s="10">
        <v>10.0</v>
      </c>
      <c r="I333" s="10" t="s">
        <v>22</v>
      </c>
      <c r="J333" s="9" t="str">
        <f t="shared" si="28"/>
        <v>No</v>
      </c>
      <c r="K333" s="9" t="str">
        <f t="shared" si="26"/>
        <v/>
      </c>
      <c r="L333" s="9" t="str">
        <f t="shared" si="29"/>
        <v/>
      </c>
      <c r="M333" s="9"/>
      <c r="O333" s="9"/>
    </row>
    <row r="334" ht="15.75" customHeight="1">
      <c r="A334" s="9" t="str">
        <f>IFERROR(__xludf.DUMMYFUNCTION("IF(B334="""","""",RIGHT(REGEXREPLACE(B334&amp;"""",""[^0-9]"",""""),9))"),"764975276")</f>
        <v>764975276</v>
      </c>
      <c r="B334" s="48">
        <v>7.64975276E8</v>
      </c>
      <c r="C334" s="10" t="s">
        <v>433</v>
      </c>
      <c r="D334" s="10" t="s">
        <v>120</v>
      </c>
      <c r="E334" s="13">
        <v>46226.0</v>
      </c>
      <c r="F334" s="10" t="s">
        <v>21</v>
      </c>
      <c r="G334" s="10">
        <v>11.0</v>
      </c>
      <c r="I334" s="10" t="s">
        <v>22</v>
      </c>
      <c r="J334" s="9" t="str">
        <f t="shared" si="28"/>
        <v>No</v>
      </c>
      <c r="K334" s="9" t="str">
        <f t="shared" si="26"/>
        <v/>
      </c>
      <c r="L334" s="9" t="str">
        <f t="shared" si="29"/>
        <v/>
      </c>
      <c r="M334" s="9"/>
      <c r="O334" s="9"/>
    </row>
    <row r="335" ht="15.75" customHeight="1">
      <c r="A335" s="9" t="str">
        <f>IFERROR(__xludf.DUMMYFUNCTION("IF(B335="""","""",RIGHT(REGEXREPLACE(B335&amp;"""",""[^0-9]"",""""),9))"),"703076540")</f>
        <v>703076540</v>
      </c>
      <c r="B335" s="48">
        <v>7.0307654E8</v>
      </c>
      <c r="C335" s="10" t="s">
        <v>434</v>
      </c>
      <c r="D335" s="10" t="s">
        <v>50</v>
      </c>
      <c r="E335" s="13">
        <v>46226.0</v>
      </c>
      <c r="F335" s="10" t="s">
        <v>171</v>
      </c>
      <c r="I335" s="10" t="s">
        <v>22</v>
      </c>
      <c r="J335" s="9" t="str">
        <f t="shared" si="28"/>
        <v>No</v>
      </c>
      <c r="K335" s="9" t="str">
        <f t="shared" si="26"/>
        <v/>
      </c>
      <c r="L335" s="9" t="str">
        <f t="shared" si="29"/>
        <v/>
      </c>
      <c r="M335" s="9"/>
      <c r="O335" s="9"/>
    </row>
    <row r="336" ht="15.75" customHeight="1">
      <c r="A336" s="9" t="str">
        <f>IFERROR(__xludf.DUMMYFUNCTION("IF(B336="""","""",RIGHT(REGEXREPLACE(B336&amp;"""",""[^0-9]"",""""),9))"),"762110416")</f>
        <v>762110416</v>
      </c>
      <c r="B336" s="48">
        <v>9.4762110416E10</v>
      </c>
      <c r="C336" s="10" t="s">
        <v>435</v>
      </c>
      <c r="D336" s="10" t="s">
        <v>20</v>
      </c>
      <c r="E336" s="13">
        <v>46226.0</v>
      </c>
      <c r="F336" s="10" t="s">
        <v>35</v>
      </c>
      <c r="G336" s="10">
        <v>11.0</v>
      </c>
      <c r="I336" s="10" t="s">
        <v>22</v>
      </c>
      <c r="J336" s="9" t="str">
        <f t="shared" si="28"/>
        <v>No</v>
      </c>
      <c r="K336" s="9" t="str">
        <f t="shared" si="26"/>
        <v/>
      </c>
      <c r="L336" s="9" t="str">
        <f t="shared" si="29"/>
        <v/>
      </c>
      <c r="M336" s="9"/>
      <c r="O336" s="9"/>
    </row>
    <row r="337" ht="15.75" customHeight="1">
      <c r="A337" s="9" t="str">
        <f>IFERROR(__xludf.DUMMYFUNCTION("IF(B337="""","""",RIGHT(REGEXREPLACE(B337&amp;"""",""[^0-9]"",""""),9))"),"766077996")</f>
        <v>766077996</v>
      </c>
      <c r="B337" s="48">
        <v>7.66077996E8</v>
      </c>
      <c r="C337" s="10" t="s">
        <v>436</v>
      </c>
      <c r="D337" s="10" t="s">
        <v>50</v>
      </c>
      <c r="E337" s="13">
        <v>46226.0</v>
      </c>
      <c r="F337" s="10" t="s">
        <v>35</v>
      </c>
      <c r="G337" s="10">
        <v>11.0</v>
      </c>
      <c r="I337" s="10" t="s">
        <v>22</v>
      </c>
      <c r="J337" s="9" t="str">
        <f t="shared" si="28"/>
        <v>No</v>
      </c>
      <c r="K337" s="9" t="str">
        <f t="shared" si="26"/>
        <v/>
      </c>
      <c r="L337" s="9" t="str">
        <f t="shared" si="29"/>
        <v/>
      </c>
      <c r="M337" s="9"/>
      <c r="O337" s="9"/>
    </row>
    <row r="338" ht="15.75" customHeight="1">
      <c r="A338" s="9" t="str">
        <f>IFERROR(__xludf.DUMMYFUNCTION("IF(B338="""","""",RIGHT(REGEXREPLACE(B338&amp;"""",""[^0-9]"",""""),9))"),"743890845")</f>
        <v>743890845</v>
      </c>
      <c r="B338" s="48">
        <v>7.43890845E8</v>
      </c>
      <c r="C338" s="10" t="s">
        <v>437</v>
      </c>
      <c r="D338" s="10" t="s">
        <v>34</v>
      </c>
      <c r="E338" s="13">
        <v>46226.0</v>
      </c>
      <c r="F338" s="10" t="s">
        <v>21</v>
      </c>
      <c r="I338" s="10" t="s">
        <v>22</v>
      </c>
      <c r="J338" s="9" t="str">
        <f t="shared" si="28"/>
        <v>No</v>
      </c>
      <c r="K338" s="9" t="str">
        <f t="shared" si="26"/>
        <v/>
      </c>
      <c r="L338" s="9" t="str">
        <f t="shared" si="29"/>
        <v/>
      </c>
      <c r="M338" s="9"/>
      <c r="O338" s="9"/>
    </row>
    <row r="339" ht="15.75" customHeight="1">
      <c r="A339" s="9" t="str">
        <f>IFERROR(__xludf.DUMMYFUNCTION("IF(B339="""","""",RIGHT(REGEXREPLACE(B339&amp;"""",""[^0-9]"",""""),9))"),"717783036")</f>
        <v>717783036</v>
      </c>
      <c r="B339" s="48">
        <v>7.17783036E8</v>
      </c>
      <c r="C339" s="10" t="s">
        <v>438</v>
      </c>
      <c r="D339" s="10" t="s">
        <v>69</v>
      </c>
      <c r="E339" s="13">
        <v>46226.0</v>
      </c>
      <c r="F339" s="10" t="s">
        <v>198</v>
      </c>
      <c r="I339" s="10" t="s">
        <v>22</v>
      </c>
      <c r="J339" s="9" t="str">
        <f t="shared" si="28"/>
        <v>No</v>
      </c>
      <c r="K339" s="9" t="str">
        <f t="shared" si="26"/>
        <v/>
      </c>
      <c r="L339" s="9" t="str">
        <f t="shared" si="29"/>
        <v/>
      </c>
      <c r="M339" s="9"/>
      <c r="O339" s="9"/>
    </row>
    <row r="340" ht="15.75" customHeight="1">
      <c r="A340" s="9" t="str">
        <f>IFERROR(__xludf.DUMMYFUNCTION("IF(B340="""","""",RIGHT(REGEXREPLACE(B340&amp;"""",""[^0-9]"",""""),9))"),"775074236")</f>
        <v>775074236</v>
      </c>
      <c r="B340" s="48">
        <v>9.4775074236E10</v>
      </c>
      <c r="C340" s="10" t="s">
        <v>439</v>
      </c>
      <c r="D340" s="10" t="s">
        <v>20</v>
      </c>
      <c r="E340" s="13">
        <v>46226.0</v>
      </c>
      <c r="F340" s="10" t="s">
        <v>113</v>
      </c>
      <c r="G340" s="10">
        <v>10.0</v>
      </c>
      <c r="I340" s="10" t="s">
        <v>22</v>
      </c>
      <c r="J340" s="9" t="str">
        <f t="shared" si="28"/>
        <v>No</v>
      </c>
      <c r="K340" s="9" t="str">
        <f t="shared" si="26"/>
        <v/>
      </c>
      <c r="L340" s="9" t="str">
        <f t="shared" si="29"/>
        <v/>
      </c>
      <c r="M340" s="9"/>
      <c r="O340" s="9"/>
    </row>
    <row r="341" ht="15.75" customHeight="1">
      <c r="A341" s="9" t="str">
        <f>IFERROR(__xludf.DUMMYFUNCTION("IF(B341="""","""",RIGHT(REGEXREPLACE(B341&amp;"""",""[^0-9]"",""""),9))"),"768724892")</f>
        <v>768724892</v>
      </c>
      <c r="B341" s="48">
        <v>7.68724892E8</v>
      </c>
      <c r="C341" s="10" t="s">
        <v>440</v>
      </c>
      <c r="D341" s="10" t="s">
        <v>120</v>
      </c>
      <c r="E341" s="13">
        <v>46226.0</v>
      </c>
      <c r="F341" s="10" t="s">
        <v>113</v>
      </c>
      <c r="I341" s="10" t="s">
        <v>22</v>
      </c>
      <c r="J341" s="9" t="str">
        <f t="shared" si="28"/>
        <v>No</v>
      </c>
      <c r="K341" s="9" t="str">
        <f t="shared" si="26"/>
        <v/>
      </c>
      <c r="L341" s="9" t="str">
        <f t="shared" si="29"/>
        <v/>
      </c>
      <c r="M341" s="9"/>
      <c r="O341" s="9"/>
    </row>
    <row r="342" ht="15.75" customHeight="1">
      <c r="A342" s="9" t="str">
        <f>IFERROR(__xludf.DUMMYFUNCTION("IF(B342="""","""",RIGHT(REGEXREPLACE(B342&amp;"""",""[^0-9]"",""""),9))"),"768978537")</f>
        <v>768978537</v>
      </c>
      <c r="B342" s="48">
        <v>9.4768978537E10</v>
      </c>
      <c r="C342" s="10" t="s">
        <v>441</v>
      </c>
      <c r="D342" s="10" t="s">
        <v>44</v>
      </c>
      <c r="E342" s="13">
        <v>46226.0</v>
      </c>
      <c r="F342" s="10" t="s">
        <v>35</v>
      </c>
      <c r="G342" s="10">
        <v>11.0</v>
      </c>
      <c r="I342" s="10" t="s">
        <v>22</v>
      </c>
      <c r="J342" s="9" t="str">
        <f t="shared" si="28"/>
        <v>No</v>
      </c>
      <c r="K342" s="9" t="str">
        <f t="shared" si="26"/>
        <v/>
      </c>
      <c r="L342" s="9" t="str">
        <f t="shared" si="29"/>
        <v/>
      </c>
      <c r="M342" s="9"/>
      <c r="O342" s="9"/>
    </row>
    <row r="343" ht="15.75" customHeight="1">
      <c r="A343" s="9" t="str">
        <f>IFERROR(__xludf.DUMMYFUNCTION("IF(B343="""","""",RIGHT(REGEXREPLACE(B343&amp;"""",""[^0-9]"",""""),9))"),"702580064")</f>
        <v>702580064</v>
      </c>
      <c r="B343" s="48">
        <v>7.02580064E8</v>
      </c>
      <c r="C343" s="10" t="s">
        <v>442</v>
      </c>
      <c r="D343" s="10" t="s">
        <v>34</v>
      </c>
      <c r="E343" s="13">
        <v>46226.0</v>
      </c>
      <c r="F343" s="10" t="s">
        <v>145</v>
      </c>
      <c r="G343" s="10">
        <v>11.0</v>
      </c>
      <c r="I343" s="10" t="s">
        <v>22</v>
      </c>
      <c r="J343" s="9" t="str">
        <f t="shared" si="28"/>
        <v>No</v>
      </c>
      <c r="K343" s="9" t="str">
        <f t="shared" si="26"/>
        <v/>
      </c>
      <c r="L343" s="9" t="str">
        <f t="shared" si="29"/>
        <v/>
      </c>
      <c r="M343" s="9"/>
      <c r="O343" s="9"/>
    </row>
    <row r="344" ht="15.75" customHeight="1">
      <c r="A344" s="9" t="str">
        <f>IFERROR(__xludf.DUMMYFUNCTION("IF(B344="""","""",RIGHT(REGEXREPLACE(B344&amp;"""",""[^0-9]"",""""),9))"),"719434806")</f>
        <v>719434806</v>
      </c>
      <c r="B344" s="48">
        <v>9.4719434806E10</v>
      </c>
      <c r="C344" s="10" t="s">
        <v>443</v>
      </c>
      <c r="D344" s="10" t="s">
        <v>20</v>
      </c>
      <c r="E344" s="13">
        <v>46226.0</v>
      </c>
      <c r="F344" s="10" t="s">
        <v>21</v>
      </c>
      <c r="I344" s="10" t="s">
        <v>22</v>
      </c>
      <c r="J344" s="9" t="str">
        <f t="shared" si="28"/>
        <v>No</v>
      </c>
      <c r="K344" s="9" t="str">
        <f t="shared" si="26"/>
        <v/>
      </c>
      <c r="L344" s="9" t="str">
        <f t="shared" si="29"/>
        <v/>
      </c>
      <c r="M344" s="9"/>
      <c r="O344" s="9"/>
    </row>
    <row r="345" ht="15.75" customHeight="1">
      <c r="A345" s="9" t="str">
        <f>IFERROR(__xludf.DUMMYFUNCTION("IF(B345="""","""",RIGHT(REGEXREPLACE(B345&amp;"""",""[^0-9]"",""""),9))"),"776195346")</f>
        <v>776195346</v>
      </c>
      <c r="B345" s="48">
        <v>7.76195346E8</v>
      </c>
      <c r="C345" s="10" t="s">
        <v>444</v>
      </c>
      <c r="D345" s="10" t="s">
        <v>69</v>
      </c>
      <c r="E345" s="13">
        <v>46226.0</v>
      </c>
      <c r="F345" s="10" t="s">
        <v>113</v>
      </c>
      <c r="G345" s="10">
        <v>11.0</v>
      </c>
      <c r="I345" s="10" t="s">
        <v>22</v>
      </c>
      <c r="J345" s="9" t="str">
        <f t="shared" si="28"/>
        <v>No</v>
      </c>
      <c r="K345" s="9" t="str">
        <f t="shared" si="26"/>
        <v/>
      </c>
      <c r="L345" s="9" t="str">
        <f t="shared" si="29"/>
        <v/>
      </c>
      <c r="M345" s="9"/>
      <c r="O345" s="9"/>
    </row>
    <row r="346" ht="15.75" customHeight="1">
      <c r="A346" s="9" t="str">
        <f>IFERROR(__xludf.DUMMYFUNCTION("IF(B346="""","""",RIGHT(REGEXREPLACE(B346&amp;"""",""[^0-9]"",""""),9))"),"769403839")</f>
        <v>769403839</v>
      </c>
      <c r="B346" s="48">
        <v>7.69403839E8</v>
      </c>
      <c r="C346" s="10" t="s">
        <v>445</v>
      </c>
      <c r="D346" s="10" t="s">
        <v>120</v>
      </c>
      <c r="E346" s="13">
        <v>46226.0</v>
      </c>
      <c r="F346" s="10" t="s">
        <v>35</v>
      </c>
      <c r="G346" s="10">
        <v>11.0</v>
      </c>
      <c r="I346" s="10" t="s">
        <v>22</v>
      </c>
      <c r="J346" s="9" t="str">
        <f t="shared" si="28"/>
        <v>No</v>
      </c>
      <c r="K346" s="9" t="str">
        <f t="shared" si="26"/>
        <v/>
      </c>
      <c r="L346" s="9" t="str">
        <f t="shared" si="29"/>
        <v/>
      </c>
      <c r="M346" s="9"/>
      <c r="O346" s="9"/>
    </row>
    <row r="347" ht="15.75" customHeight="1">
      <c r="A347" s="9" t="str">
        <f>IFERROR(__xludf.DUMMYFUNCTION("IF(B347="""","""",RIGHT(REGEXREPLACE(B347&amp;"""",""[^0-9]"",""""),9))"),"766052655")</f>
        <v>766052655</v>
      </c>
      <c r="B347" s="48">
        <v>9.4766052655E10</v>
      </c>
      <c r="C347" s="10" t="s">
        <v>446</v>
      </c>
      <c r="D347" s="10" t="s">
        <v>44</v>
      </c>
      <c r="E347" s="13">
        <v>46226.0</v>
      </c>
      <c r="F347" s="10" t="s">
        <v>35</v>
      </c>
      <c r="G347" s="10">
        <v>11.0</v>
      </c>
      <c r="I347" s="10" t="s">
        <v>22</v>
      </c>
      <c r="J347" s="9" t="str">
        <f t="shared" si="28"/>
        <v>No</v>
      </c>
      <c r="K347" s="9" t="str">
        <f t="shared" si="26"/>
        <v/>
      </c>
      <c r="L347" s="9" t="str">
        <f t="shared" si="29"/>
        <v/>
      </c>
      <c r="M347" s="9"/>
      <c r="O347" s="9"/>
    </row>
    <row r="348" ht="15.75" customHeight="1">
      <c r="A348" s="9" t="str">
        <f>IFERROR(__xludf.DUMMYFUNCTION("IF(B348="""","""",RIGHT(REGEXREPLACE(B348&amp;"""",""[^0-9]"",""""),9))"),"775892364")</f>
        <v>775892364</v>
      </c>
      <c r="B348" s="48">
        <v>7.75892364E8</v>
      </c>
      <c r="C348" s="10" t="s">
        <v>447</v>
      </c>
      <c r="D348" s="10" t="s">
        <v>34</v>
      </c>
      <c r="E348" s="13">
        <v>46226.0</v>
      </c>
      <c r="F348" s="10" t="s">
        <v>35</v>
      </c>
      <c r="G348" s="10">
        <v>11.0</v>
      </c>
      <c r="I348" s="10" t="s">
        <v>22</v>
      </c>
      <c r="J348" s="9" t="str">
        <f t="shared" si="28"/>
        <v>No</v>
      </c>
      <c r="K348" s="9" t="str">
        <f t="shared" si="26"/>
        <v/>
      </c>
      <c r="L348" s="9" t="str">
        <f t="shared" si="29"/>
        <v/>
      </c>
      <c r="M348" s="9"/>
      <c r="O348" s="9"/>
    </row>
    <row r="349" ht="15.75" customHeight="1">
      <c r="A349" s="9" t="str">
        <f>IFERROR(__xludf.DUMMYFUNCTION("IF(B349="""","""",RIGHT(REGEXREPLACE(B349&amp;"""",""[^0-9]"",""""),9))"),"762492800")</f>
        <v>762492800</v>
      </c>
      <c r="B349" s="48">
        <v>7.624928E8</v>
      </c>
      <c r="C349" s="10" t="s">
        <v>448</v>
      </c>
      <c r="D349" s="10" t="s">
        <v>69</v>
      </c>
      <c r="E349" s="13">
        <v>46226.0</v>
      </c>
      <c r="F349" s="10" t="s">
        <v>113</v>
      </c>
      <c r="I349" s="10" t="s">
        <v>22</v>
      </c>
      <c r="J349" s="9" t="str">
        <f t="shared" si="28"/>
        <v>No</v>
      </c>
      <c r="K349" s="9" t="str">
        <f t="shared" si="26"/>
        <v/>
      </c>
      <c r="L349" s="9" t="str">
        <f t="shared" si="29"/>
        <v/>
      </c>
      <c r="M349" s="9"/>
      <c r="O349" s="9"/>
    </row>
    <row r="350" ht="15.75" customHeight="1">
      <c r="A350" s="9" t="str">
        <f>IFERROR(__xludf.DUMMYFUNCTION("IF(B350="""","""",RIGHT(REGEXREPLACE(B350&amp;"""",""[^0-9]"",""""),9))"),"712309746")</f>
        <v>712309746</v>
      </c>
      <c r="B350" s="48">
        <v>7.12309746E8</v>
      </c>
      <c r="C350" s="10" t="s">
        <v>449</v>
      </c>
      <c r="D350" s="10" t="s">
        <v>34</v>
      </c>
      <c r="E350" s="13">
        <v>46226.0</v>
      </c>
      <c r="F350" s="10" t="s">
        <v>35</v>
      </c>
      <c r="G350" s="10">
        <v>11.0</v>
      </c>
      <c r="I350" s="10" t="s">
        <v>22</v>
      </c>
      <c r="J350" s="9" t="str">
        <f t="shared" si="28"/>
        <v>No</v>
      </c>
      <c r="K350" s="9" t="str">
        <f t="shared" si="26"/>
        <v/>
      </c>
      <c r="L350" s="9" t="str">
        <f t="shared" si="29"/>
        <v/>
      </c>
      <c r="M350" s="9"/>
      <c r="O350" s="9"/>
    </row>
    <row r="351" ht="15.75" customHeight="1">
      <c r="A351" s="9" t="str">
        <f>IFERROR(__xludf.DUMMYFUNCTION("IF(B351="""","""",RIGHT(REGEXREPLACE(B351&amp;"""",""[^0-9]"",""""),9))"),"750146632")</f>
        <v>750146632</v>
      </c>
      <c r="B351" s="48">
        <v>9.4750146632E10</v>
      </c>
      <c r="C351" s="10" t="s">
        <v>450</v>
      </c>
      <c r="D351" s="10" t="s">
        <v>44</v>
      </c>
      <c r="E351" s="13">
        <v>46226.0</v>
      </c>
      <c r="F351" s="10" t="s">
        <v>35</v>
      </c>
      <c r="G351" s="10">
        <v>11.0</v>
      </c>
      <c r="I351" s="10" t="s">
        <v>22</v>
      </c>
      <c r="J351" s="9" t="str">
        <f t="shared" si="28"/>
        <v>No</v>
      </c>
      <c r="K351" s="9" t="str">
        <f t="shared" si="26"/>
        <v/>
      </c>
      <c r="L351" s="9" t="str">
        <f t="shared" si="29"/>
        <v/>
      </c>
      <c r="M351" s="9"/>
      <c r="O351" s="9"/>
    </row>
    <row r="352" ht="15.75" customHeight="1">
      <c r="A352" s="9" t="str">
        <f>IFERROR(__xludf.DUMMYFUNCTION("IF(B352="""","""",RIGHT(REGEXREPLACE(B352&amp;"""",""[^0-9]"",""""),9))"),"768787847")</f>
        <v>768787847</v>
      </c>
      <c r="B352" s="48">
        <v>9.4768787847E10</v>
      </c>
      <c r="C352" s="10" t="s">
        <v>451</v>
      </c>
      <c r="D352" s="10" t="s">
        <v>20</v>
      </c>
      <c r="E352" s="13">
        <v>46226.0</v>
      </c>
      <c r="F352" s="10" t="s">
        <v>35</v>
      </c>
      <c r="G352" s="10">
        <v>11.0</v>
      </c>
      <c r="H352" s="10" t="s">
        <v>452</v>
      </c>
      <c r="I352" s="10" t="s">
        <v>22</v>
      </c>
      <c r="J352" s="9" t="str">
        <f t="shared" si="28"/>
        <v>No</v>
      </c>
      <c r="K352" s="9" t="str">
        <f t="shared" si="26"/>
        <v/>
      </c>
      <c r="L352" s="9" t="str">
        <f t="shared" si="29"/>
        <v/>
      </c>
      <c r="M352" s="9"/>
      <c r="O352" s="9"/>
    </row>
    <row r="353" ht="15.75" customHeight="1">
      <c r="A353" s="9" t="str">
        <f>IFERROR(__xludf.DUMMYFUNCTION("IF(B353="""","""",RIGHT(REGEXREPLACE(B353&amp;"""",""[^0-9]"",""""),9))"),"783623694")</f>
        <v>783623694</v>
      </c>
      <c r="B353" s="48">
        <v>7.83623694E8</v>
      </c>
      <c r="C353" s="10" t="s">
        <v>453</v>
      </c>
      <c r="D353" s="10" t="s">
        <v>120</v>
      </c>
      <c r="E353" s="13">
        <v>46226.0</v>
      </c>
      <c r="F353" s="10" t="s">
        <v>35</v>
      </c>
      <c r="G353" s="10">
        <v>10.0</v>
      </c>
      <c r="I353" s="10" t="s">
        <v>22</v>
      </c>
      <c r="J353" s="9" t="str">
        <f t="shared" si="28"/>
        <v>No</v>
      </c>
      <c r="K353" s="9" t="str">
        <f t="shared" si="26"/>
        <v/>
      </c>
      <c r="L353" s="9" t="str">
        <f t="shared" si="29"/>
        <v/>
      </c>
      <c r="M353" s="9"/>
      <c r="O353" s="9"/>
    </row>
    <row r="354" ht="15.75" customHeight="1">
      <c r="A354" s="9" t="str">
        <f>IFERROR(__xludf.DUMMYFUNCTION("IF(B354="""","""",RIGHT(REGEXREPLACE(B354&amp;"""",""[^0-9]"",""""),9))"),"776548531")</f>
        <v>776548531</v>
      </c>
      <c r="B354" s="48">
        <v>7.76548531E8</v>
      </c>
      <c r="C354" s="10" t="s">
        <v>454</v>
      </c>
      <c r="D354" s="10" t="s">
        <v>50</v>
      </c>
      <c r="E354" s="13">
        <v>46226.0</v>
      </c>
      <c r="F354" s="10" t="s">
        <v>21</v>
      </c>
      <c r="G354" s="10">
        <v>11.0</v>
      </c>
      <c r="I354" s="10" t="s">
        <v>22</v>
      </c>
      <c r="J354" s="9" t="str">
        <f t="shared" si="28"/>
        <v>No</v>
      </c>
      <c r="K354" s="9" t="str">
        <f t="shared" si="26"/>
        <v/>
      </c>
      <c r="L354" s="9" t="str">
        <f t="shared" si="29"/>
        <v/>
      </c>
      <c r="M354" s="9"/>
      <c r="O354" s="9"/>
    </row>
    <row r="355" ht="15.75" customHeight="1">
      <c r="A355" s="9" t="str">
        <f>IFERROR(__xludf.DUMMYFUNCTION("IF(B355="""","""",RIGHT(REGEXREPLACE(B355&amp;"""",""[^0-9]"",""""),9))"),"770727099")</f>
        <v>770727099</v>
      </c>
      <c r="B355" s="48">
        <v>7.70727099E8</v>
      </c>
      <c r="C355" s="10" t="s">
        <v>455</v>
      </c>
      <c r="D355" s="10" t="s">
        <v>69</v>
      </c>
      <c r="E355" s="13">
        <v>46226.0</v>
      </c>
      <c r="F355" s="10" t="s">
        <v>35</v>
      </c>
      <c r="G355" s="10">
        <v>11.0</v>
      </c>
      <c r="I355" s="10" t="s">
        <v>22</v>
      </c>
      <c r="J355" s="9" t="str">
        <f t="shared" si="28"/>
        <v>No</v>
      </c>
      <c r="K355" s="9" t="str">
        <f t="shared" si="26"/>
        <v/>
      </c>
      <c r="L355" s="9" t="str">
        <f t="shared" si="29"/>
        <v/>
      </c>
      <c r="M355" s="9"/>
      <c r="O355" s="9"/>
    </row>
    <row r="356" ht="15.75" customHeight="1">
      <c r="A356" s="9" t="str">
        <f>IFERROR(__xludf.DUMMYFUNCTION("IF(B356="""","""",RIGHT(REGEXREPLACE(B356&amp;"""",""[^0-9]"",""""),9))"),"777870412")</f>
        <v>777870412</v>
      </c>
      <c r="B356" s="48">
        <v>7.77870412E8</v>
      </c>
      <c r="C356" s="10" t="s">
        <v>456</v>
      </c>
      <c r="D356" s="10" t="s">
        <v>50</v>
      </c>
      <c r="E356" s="13">
        <v>46226.0</v>
      </c>
      <c r="F356" s="10" t="s">
        <v>171</v>
      </c>
      <c r="I356" s="10" t="s">
        <v>22</v>
      </c>
      <c r="J356" s="9" t="str">
        <f t="shared" si="28"/>
        <v>No</v>
      </c>
      <c r="K356" s="9" t="str">
        <f t="shared" si="26"/>
        <v/>
      </c>
      <c r="L356" s="9" t="str">
        <f t="shared" si="29"/>
        <v/>
      </c>
      <c r="M356" s="9"/>
      <c r="O356" s="9"/>
    </row>
    <row r="357" ht="15.75" customHeight="1">
      <c r="A357" s="9" t="str">
        <f>IFERROR(__xludf.DUMMYFUNCTION("IF(B357="""","""",RIGHT(REGEXREPLACE(B357&amp;"""",""[^0-9]"",""""),9))"),"773361531")</f>
        <v>773361531</v>
      </c>
      <c r="B357" s="48">
        <v>7.73361531E8</v>
      </c>
      <c r="C357" s="10" t="s">
        <v>457</v>
      </c>
      <c r="D357" s="10" t="s">
        <v>34</v>
      </c>
      <c r="E357" s="13">
        <v>46226.0</v>
      </c>
      <c r="F357" s="10" t="s">
        <v>35</v>
      </c>
      <c r="G357" s="10">
        <v>11.0</v>
      </c>
      <c r="I357" s="10" t="s">
        <v>22</v>
      </c>
      <c r="J357" s="9" t="str">
        <f t="shared" si="28"/>
        <v>No</v>
      </c>
      <c r="K357" s="9" t="str">
        <f t="shared" si="26"/>
        <v/>
      </c>
      <c r="L357" s="9" t="str">
        <f t="shared" si="29"/>
        <v/>
      </c>
      <c r="M357" s="9"/>
      <c r="O357" s="9"/>
    </row>
    <row r="358" ht="15.75" customHeight="1">
      <c r="A358" s="9" t="str">
        <f>IFERROR(__xludf.DUMMYFUNCTION("IF(B358="""","""",RIGHT(REGEXREPLACE(B358&amp;"""",""[^0-9]"",""""),9))"),"717262325")</f>
        <v>717262325</v>
      </c>
      <c r="B358" s="48">
        <v>7.17262325E8</v>
      </c>
      <c r="C358" s="10" t="s">
        <v>458</v>
      </c>
      <c r="D358" s="10" t="s">
        <v>50</v>
      </c>
      <c r="E358" s="13">
        <v>46226.0</v>
      </c>
      <c r="F358" s="10" t="s">
        <v>35</v>
      </c>
      <c r="G358" s="10">
        <v>11.0</v>
      </c>
      <c r="I358" s="10" t="s">
        <v>22</v>
      </c>
      <c r="J358" s="9" t="str">
        <f t="shared" si="28"/>
        <v>No</v>
      </c>
      <c r="K358" s="9" t="str">
        <f t="shared" si="26"/>
        <v/>
      </c>
      <c r="L358" s="9" t="str">
        <f t="shared" si="29"/>
        <v/>
      </c>
      <c r="M358" s="9"/>
      <c r="O358" s="9"/>
    </row>
    <row r="359" ht="15.75" customHeight="1">
      <c r="A359" s="9" t="str">
        <f>IFERROR(__xludf.DUMMYFUNCTION("IF(B359="""","""",RIGHT(REGEXREPLACE(B359&amp;"""",""[^0-9]"",""""),9))"),"761908893")</f>
        <v>761908893</v>
      </c>
      <c r="B359" s="48">
        <v>9.4761908893E10</v>
      </c>
      <c r="C359" s="10" t="s">
        <v>459</v>
      </c>
      <c r="D359" s="10" t="s">
        <v>20</v>
      </c>
      <c r="E359" s="13">
        <v>46226.0</v>
      </c>
      <c r="F359" s="10" t="s">
        <v>21</v>
      </c>
      <c r="H359" s="10" t="s">
        <v>238</v>
      </c>
      <c r="I359" s="10" t="s">
        <v>22</v>
      </c>
      <c r="J359" s="9" t="str">
        <f t="shared" si="28"/>
        <v>No</v>
      </c>
      <c r="K359" s="9" t="str">
        <f t="shared" si="26"/>
        <v/>
      </c>
      <c r="L359" s="9" t="str">
        <f t="shared" si="29"/>
        <v/>
      </c>
      <c r="M359" s="9"/>
      <c r="O359" s="9"/>
    </row>
    <row r="360" ht="15.75" customHeight="1">
      <c r="A360" s="9" t="str">
        <f>IFERROR(__xludf.DUMMYFUNCTION("IF(B360="""","""",RIGHT(REGEXREPLACE(B360&amp;"""",""[^0-9]"",""""),9))"),"776058848")</f>
        <v>776058848</v>
      </c>
      <c r="B360" s="48">
        <v>7.76058848E8</v>
      </c>
      <c r="C360" s="10" t="s">
        <v>460</v>
      </c>
      <c r="D360" s="10" t="s">
        <v>120</v>
      </c>
      <c r="E360" s="13">
        <v>46226.0</v>
      </c>
      <c r="F360" s="10" t="s">
        <v>35</v>
      </c>
      <c r="I360" s="10" t="s">
        <v>22</v>
      </c>
      <c r="J360" s="9" t="str">
        <f t="shared" si="28"/>
        <v>No</v>
      </c>
      <c r="K360" s="9" t="str">
        <f t="shared" si="26"/>
        <v/>
      </c>
      <c r="L360" s="9" t="str">
        <f t="shared" si="29"/>
        <v/>
      </c>
      <c r="M360" s="9"/>
      <c r="O360" s="9"/>
    </row>
    <row r="361" ht="15.75" customHeight="1">
      <c r="A361" s="9" t="str">
        <f>IFERROR(__xludf.DUMMYFUNCTION("IF(B361="""","""",RIGHT(REGEXREPLACE(B361&amp;"""",""[^0-9]"",""""),9))"),"778191622")</f>
        <v>778191622</v>
      </c>
      <c r="B361" s="48">
        <v>9.4778191622E10</v>
      </c>
      <c r="C361" s="10" t="s">
        <v>461</v>
      </c>
      <c r="D361" s="10" t="s">
        <v>44</v>
      </c>
      <c r="E361" s="13">
        <v>46226.0</v>
      </c>
      <c r="F361" s="10" t="s">
        <v>35</v>
      </c>
      <c r="G361" s="10">
        <v>11.0</v>
      </c>
      <c r="I361" s="10" t="s">
        <v>22</v>
      </c>
      <c r="J361" s="9" t="str">
        <f t="shared" si="28"/>
        <v>No</v>
      </c>
      <c r="K361" s="9" t="str">
        <f t="shared" si="26"/>
        <v/>
      </c>
      <c r="L361" s="9" t="str">
        <f t="shared" si="29"/>
        <v/>
      </c>
      <c r="M361" s="9"/>
      <c r="O361" s="9"/>
    </row>
    <row r="362" ht="15.75" customHeight="1">
      <c r="A362" s="9" t="str">
        <f>IFERROR(__xludf.DUMMYFUNCTION("IF(B362="""","""",RIGHT(REGEXREPLACE(B362&amp;"""",""[^0-9]"",""""),9))"),"766567161")</f>
        <v>766567161</v>
      </c>
      <c r="B362" s="82">
        <v>7.66567161E8</v>
      </c>
      <c r="C362" s="10" t="s">
        <v>462</v>
      </c>
      <c r="D362" s="10" t="s">
        <v>34</v>
      </c>
      <c r="E362" s="13">
        <v>46226.0</v>
      </c>
      <c r="F362" s="10" t="s">
        <v>145</v>
      </c>
      <c r="I362" s="10" t="s">
        <v>22</v>
      </c>
      <c r="J362" s="9" t="str">
        <f t="shared" si="28"/>
        <v>No</v>
      </c>
      <c r="K362" s="9" t="str">
        <f t="shared" si="26"/>
        <v/>
      </c>
      <c r="L362" s="9" t="str">
        <f t="shared" si="29"/>
        <v/>
      </c>
      <c r="M362" s="9"/>
      <c r="O362" s="9"/>
    </row>
    <row r="363" ht="15.75" customHeight="1">
      <c r="A363" s="9" t="str">
        <f>IFERROR(__xludf.DUMMYFUNCTION("IF(B363="""","""",RIGHT(REGEXREPLACE(B363&amp;"""",""[^0-9]"",""""),9))"),"719607513")</f>
        <v>719607513</v>
      </c>
      <c r="B363" s="48">
        <v>7.19607513E8</v>
      </c>
      <c r="C363" s="10" t="s">
        <v>463</v>
      </c>
      <c r="D363" s="10" t="s">
        <v>69</v>
      </c>
      <c r="E363" s="13">
        <v>46226.0</v>
      </c>
      <c r="F363" s="10" t="s">
        <v>35</v>
      </c>
      <c r="G363" s="10">
        <v>11.0</v>
      </c>
      <c r="I363" s="10" t="s">
        <v>22</v>
      </c>
      <c r="J363" s="9" t="str">
        <f t="shared" si="28"/>
        <v>No</v>
      </c>
      <c r="K363" s="9" t="str">
        <f t="shared" si="26"/>
        <v/>
      </c>
      <c r="L363" s="9" t="str">
        <f t="shared" si="29"/>
        <v/>
      </c>
      <c r="M363" s="9"/>
      <c r="O363" s="9"/>
    </row>
    <row r="364" ht="15.75" customHeight="1">
      <c r="A364" s="9" t="str">
        <f>IFERROR(__xludf.DUMMYFUNCTION("IF(B364="""","""",RIGHT(REGEXREPLACE(B364&amp;"""",""[^0-9]"",""""),9))"),"770808129")</f>
        <v>770808129</v>
      </c>
      <c r="B364" s="48">
        <v>7.70808129E8</v>
      </c>
      <c r="C364" s="10" t="s">
        <v>464</v>
      </c>
      <c r="D364" s="10" t="s">
        <v>50</v>
      </c>
      <c r="E364" s="13">
        <v>46226.0</v>
      </c>
      <c r="F364" s="10" t="s">
        <v>171</v>
      </c>
      <c r="I364" s="10" t="s">
        <v>22</v>
      </c>
      <c r="J364" s="9" t="str">
        <f t="shared" si="28"/>
        <v>No</v>
      </c>
      <c r="K364" s="9" t="str">
        <f t="shared" si="26"/>
        <v/>
      </c>
      <c r="L364" s="9" t="str">
        <f t="shared" si="29"/>
        <v/>
      </c>
      <c r="M364" s="9"/>
      <c r="O364" s="9"/>
    </row>
    <row r="365" ht="15.75" customHeight="1">
      <c r="A365" s="9" t="str">
        <f>IFERROR(__xludf.DUMMYFUNCTION("IF(B365="""","""",RIGHT(REGEXREPLACE(B365&amp;"""",""[^0-9]"",""""),9))"),"771821551")</f>
        <v>771821551</v>
      </c>
      <c r="B365" s="48">
        <v>7.71821551E8</v>
      </c>
      <c r="C365" s="10" t="s">
        <v>465</v>
      </c>
      <c r="D365" s="10" t="s">
        <v>120</v>
      </c>
      <c r="E365" s="13">
        <v>46226.0</v>
      </c>
      <c r="F365" s="10" t="s">
        <v>35</v>
      </c>
      <c r="H365" s="10" t="s">
        <v>466</v>
      </c>
      <c r="I365" s="10" t="s">
        <v>22</v>
      </c>
      <c r="J365" s="9" t="str">
        <f t="shared" si="28"/>
        <v>No</v>
      </c>
      <c r="K365" s="9" t="str">
        <f t="shared" si="26"/>
        <v/>
      </c>
      <c r="L365" s="9" t="str">
        <f t="shared" si="29"/>
        <v/>
      </c>
      <c r="M365" s="9"/>
      <c r="O365" s="9"/>
    </row>
    <row r="366" ht="15.75" customHeight="1">
      <c r="A366" s="9" t="str">
        <f>IFERROR(__xludf.DUMMYFUNCTION("IF(B366="""","""",RIGHT(REGEXREPLACE(B366&amp;"""",""[^0-9]"",""""),9))"),"766570925")</f>
        <v>766570925</v>
      </c>
      <c r="B366" s="48">
        <v>7.66570925E8</v>
      </c>
      <c r="C366" s="10" t="s">
        <v>467</v>
      </c>
      <c r="D366" s="10" t="s">
        <v>34</v>
      </c>
      <c r="E366" s="13">
        <v>46226.0</v>
      </c>
      <c r="F366" s="10" t="s">
        <v>35</v>
      </c>
      <c r="G366" s="10">
        <v>11.0</v>
      </c>
      <c r="I366" s="10" t="s">
        <v>22</v>
      </c>
      <c r="J366" s="9" t="str">
        <f t="shared" si="28"/>
        <v>No</v>
      </c>
      <c r="K366" s="9" t="str">
        <f t="shared" si="26"/>
        <v/>
      </c>
      <c r="L366" s="9" t="str">
        <f t="shared" si="29"/>
        <v/>
      </c>
      <c r="M366" s="9"/>
      <c r="O366" s="9"/>
    </row>
    <row r="367" ht="15.75" customHeight="1">
      <c r="A367" s="9" t="str">
        <f>IFERROR(__xludf.DUMMYFUNCTION("IF(B367="""","""",RIGHT(REGEXREPLACE(B367&amp;"""",""[^0-9]"",""""),9))"),"707434255")</f>
        <v>707434255</v>
      </c>
      <c r="B367" s="48">
        <v>7.07434255E8</v>
      </c>
      <c r="C367" s="10" t="s">
        <v>468</v>
      </c>
      <c r="D367" s="10" t="s">
        <v>50</v>
      </c>
      <c r="E367" s="13">
        <v>46226.0</v>
      </c>
      <c r="F367" s="10" t="s">
        <v>35</v>
      </c>
      <c r="G367" s="10">
        <v>11.0</v>
      </c>
      <c r="I367" s="10" t="s">
        <v>22</v>
      </c>
      <c r="J367" s="9" t="str">
        <f t="shared" si="28"/>
        <v>No</v>
      </c>
      <c r="K367" s="9" t="str">
        <f t="shared" si="26"/>
        <v/>
      </c>
      <c r="L367" s="9" t="str">
        <f t="shared" si="29"/>
        <v/>
      </c>
      <c r="M367" s="9"/>
      <c r="O367" s="9"/>
    </row>
    <row r="368" ht="15.75" customHeight="1">
      <c r="A368" s="9" t="str">
        <f>IFERROR(__xludf.DUMMYFUNCTION("IF(B368="""","""",RIGHT(REGEXREPLACE(B368&amp;"""",""[^0-9]"",""""),9))"),"781376330")</f>
        <v>781376330</v>
      </c>
      <c r="B368" s="48">
        <v>9.478137633E10</v>
      </c>
      <c r="C368" s="10" t="s">
        <v>469</v>
      </c>
      <c r="D368" s="10" t="s">
        <v>20</v>
      </c>
      <c r="E368" s="13">
        <v>46226.0</v>
      </c>
      <c r="F368" s="10" t="s">
        <v>198</v>
      </c>
      <c r="I368" s="10" t="s">
        <v>22</v>
      </c>
      <c r="J368" s="9" t="str">
        <f t="shared" si="28"/>
        <v>No</v>
      </c>
      <c r="K368" s="9" t="str">
        <f t="shared" si="26"/>
        <v/>
      </c>
      <c r="L368" s="9" t="str">
        <f t="shared" si="29"/>
        <v/>
      </c>
      <c r="M368" s="9"/>
      <c r="O368" s="9"/>
    </row>
    <row r="369" ht="15.75" customHeight="1">
      <c r="A369" s="9" t="str">
        <f>IFERROR(__xludf.DUMMYFUNCTION("IF(B369="""","""",RIGHT(REGEXREPLACE(B369&amp;"""",""[^0-9]"",""""),9))"),"714303627")</f>
        <v>714303627</v>
      </c>
      <c r="B369" s="48">
        <v>7.14303627E8</v>
      </c>
      <c r="C369" s="10" t="s">
        <v>470</v>
      </c>
      <c r="D369" s="10" t="s">
        <v>69</v>
      </c>
      <c r="E369" s="13">
        <v>46226.0</v>
      </c>
      <c r="F369" s="10" t="s">
        <v>113</v>
      </c>
      <c r="G369" s="10">
        <v>11.0</v>
      </c>
      <c r="I369" s="10" t="s">
        <v>22</v>
      </c>
      <c r="J369" s="9" t="str">
        <f t="shared" si="28"/>
        <v>No</v>
      </c>
      <c r="K369" s="9" t="str">
        <f t="shared" si="26"/>
        <v/>
      </c>
      <c r="L369" s="9" t="str">
        <f t="shared" si="29"/>
        <v/>
      </c>
      <c r="M369" s="9"/>
      <c r="O369" s="9"/>
    </row>
    <row r="370" ht="15.75" customHeight="1">
      <c r="A370" s="9" t="str">
        <f>IFERROR(__xludf.DUMMYFUNCTION("IF(B370="""","""",RIGHT(REGEXREPLACE(B370&amp;"""",""[^0-9]"",""""),9))"),"771377883")</f>
        <v>771377883</v>
      </c>
      <c r="B370" s="48">
        <v>9.4771377883E10</v>
      </c>
      <c r="C370" s="10" t="s">
        <v>471</v>
      </c>
      <c r="D370" s="10" t="s">
        <v>44</v>
      </c>
      <c r="E370" s="13">
        <v>46226.0</v>
      </c>
      <c r="F370" s="10" t="s">
        <v>35</v>
      </c>
      <c r="G370" s="10">
        <v>11.0</v>
      </c>
      <c r="I370" s="10" t="s">
        <v>22</v>
      </c>
      <c r="J370" s="9" t="str">
        <f t="shared" si="28"/>
        <v>No</v>
      </c>
      <c r="K370" s="9" t="str">
        <f t="shared" si="26"/>
        <v/>
      </c>
      <c r="L370" s="9" t="str">
        <f t="shared" si="29"/>
        <v/>
      </c>
      <c r="M370" s="9"/>
      <c r="O370" s="9"/>
    </row>
    <row r="371" ht="15.75" customHeight="1">
      <c r="A371" s="9" t="str">
        <f>IFERROR(__xludf.DUMMYFUNCTION("IF(B371="""","""",RIGHT(REGEXREPLACE(B371&amp;"""",""[^0-9]"",""""),9))"),"782017268")</f>
        <v>782017268</v>
      </c>
      <c r="B371" s="48">
        <v>9.4782017268E10</v>
      </c>
      <c r="C371" s="10" t="s">
        <v>472</v>
      </c>
      <c r="D371" s="10" t="s">
        <v>20</v>
      </c>
      <c r="E371" s="13">
        <v>46226.0</v>
      </c>
      <c r="F371" s="10" t="s">
        <v>113</v>
      </c>
      <c r="H371" s="10" t="s">
        <v>238</v>
      </c>
      <c r="I371" s="10" t="s">
        <v>22</v>
      </c>
      <c r="J371" s="9" t="str">
        <f t="shared" si="28"/>
        <v>No</v>
      </c>
      <c r="K371" s="9" t="str">
        <f t="shared" si="26"/>
        <v/>
      </c>
      <c r="L371" s="9" t="str">
        <f t="shared" si="29"/>
        <v/>
      </c>
      <c r="M371" s="9"/>
      <c r="O371" s="9"/>
    </row>
    <row r="372" ht="15.75" customHeight="1">
      <c r="A372" s="9" t="str">
        <f>IFERROR(__xludf.DUMMYFUNCTION("IF(B372="""","""",RIGHT(REGEXREPLACE(B372&amp;"""",""[^0-9]"",""""),9))"),"740692522")</f>
        <v>740692522</v>
      </c>
      <c r="B372" s="48">
        <v>7.40692522E8</v>
      </c>
      <c r="C372" s="10" t="s">
        <v>473</v>
      </c>
      <c r="D372" s="10" t="s">
        <v>34</v>
      </c>
      <c r="E372" s="13">
        <v>46226.0</v>
      </c>
      <c r="F372" s="10" t="s">
        <v>145</v>
      </c>
      <c r="I372" s="10" t="s">
        <v>22</v>
      </c>
      <c r="J372" s="9" t="str">
        <f t="shared" si="28"/>
        <v>No</v>
      </c>
      <c r="K372" s="9" t="str">
        <f t="shared" si="26"/>
        <v/>
      </c>
      <c r="L372" s="9" t="str">
        <f t="shared" si="29"/>
        <v/>
      </c>
      <c r="M372" s="9"/>
      <c r="O372" s="9"/>
    </row>
    <row r="373" ht="15.75" customHeight="1">
      <c r="A373" s="9" t="str">
        <f>IFERROR(__xludf.DUMMYFUNCTION("IF(B373="""","""",RIGHT(REGEXREPLACE(B373&amp;"""",""[^0-9]"",""""),9))"),"770376560")</f>
        <v>770376560</v>
      </c>
      <c r="B373" s="48">
        <v>7.7037656E8</v>
      </c>
      <c r="C373" s="10" t="s">
        <v>474</v>
      </c>
      <c r="D373" s="10" t="s">
        <v>50</v>
      </c>
      <c r="E373" s="13">
        <v>46226.0</v>
      </c>
      <c r="F373" s="10" t="s">
        <v>35</v>
      </c>
      <c r="G373" s="10">
        <v>11.0</v>
      </c>
      <c r="I373" s="10" t="s">
        <v>22</v>
      </c>
      <c r="J373" s="9" t="str">
        <f t="shared" si="28"/>
        <v>No</v>
      </c>
      <c r="K373" s="9" t="str">
        <f t="shared" si="26"/>
        <v/>
      </c>
      <c r="L373" s="9" t="str">
        <f t="shared" si="29"/>
        <v/>
      </c>
      <c r="M373" s="9"/>
      <c r="O373" s="9"/>
    </row>
    <row r="374" ht="15.75" customHeight="1">
      <c r="A374" s="9" t="str">
        <f>IFERROR(__xludf.DUMMYFUNCTION("IF(B374="""","""",RIGHT(REGEXREPLACE(B374&amp;"""",""[^0-9]"",""""),9))"),"773225097")</f>
        <v>773225097</v>
      </c>
      <c r="B374" s="48">
        <v>7.73225097E8</v>
      </c>
      <c r="C374" s="10" t="s">
        <v>475</v>
      </c>
      <c r="D374" s="10" t="s">
        <v>69</v>
      </c>
      <c r="E374" s="13">
        <v>46226.0</v>
      </c>
      <c r="F374" s="10" t="s">
        <v>35</v>
      </c>
      <c r="G374" s="10">
        <v>11.0</v>
      </c>
      <c r="I374" s="10" t="s">
        <v>22</v>
      </c>
      <c r="J374" s="9" t="str">
        <f t="shared" si="28"/>
        <v>No</v>
      </c>
      <c r="K374" s="9" t="str">
        <f t="shared" si="26"/>
        <v/>
      </c>
      <c r="L374" s="9" t="str">
        <f t="shared" si="29"/>
        <v/>
      </c>
      <c r="M374" s="9"/>
      <c r="O374" s="9"/>
    </row>
    <row r="375" ht="15.75" customHeight="1">
      <c r="A375" s="9" t="str">
        <f>IFERROR(__xludf.DUMMYFUNCTION("IF(B375="""","""",RIGHT(REGEXREPLACE(B375&amp;"""",""[^0-9]"",""""),9))"),"779729776")</f>
        <v>779729776</v>
      </c>
      <c r="B375" s="48">
        <v>7.79729776E8</v>
      </c>
      <c r="C375" s="10" t="s">
        <v>476</v>
      </c>
      <c r="D375" s="10" t="s">
        <v>120</v>
      </c>
      <c r="E375" s="13">
        <v>46226.0</v>
      </c>
      <c r="F375" s="10" t="s">
        <v>35</v>
      </c>
      <c r="G375" s="10">
        <v>11.0</v>
      </c>
      <c r="I375" s="10" t="s">
        <v>22</v>
      </c>
      <c r="J375" s="9" t="str">
        <f t="shared" si="28"/>
        <v>No</v>
      </c>
      <c r="K375" s="9" t="str">
        <f t="shared" si="26"/>
        <v/>
      </c>
      <c r="L375" s="9" t="str">
        <f t="shared" si="29"/>
        <v/>
      </c>
      <c r="M375" s="9"/>
      <c r="O375" s="9"/>
    </row>
    <row r="376" ht="15.75" customHeight="1">
      <c r="A376" s="9" t="str">
        <f>IFERROR(__xludf.DUMMYFUNCTION("IF(B376="""","""",RIGHT(REGEXREPLACE(B376&amp;"""",""[^0-9]"",""""),9))"),"779403219")</f>
        <v>779403219</v>
      </c>
      <c r="B376" s="10">
        <v>7.79403219E8</v>
      </c>
      <c r="C376" s="10" t="s">
        <v>477</v>
      </c>
      <c r="D376" s="10" t="s">
        <v>20</v>
      </c>
      <c r="E376" s="13">
        <v>46226.0</v>
      </c>
      <c r="F376" s="10" t="s">
        <v>21</v>
      </c>
      <c r="I376" s="10" t="s">
        <v>22</v>
      </c>
      <c r="J376" s="9" t="str">
        <f t="shared" si="28"/>
        <v>No</v>
      </c>
      <c r="K376" s="9" t="str">
        <f t="shared" si="26"/>
        <v/>
      </c>
      <c r="L376" s="9" t="str">
        <f t="shared" si="29"/>
        <v/>
      </c>
      <c r="M376" s="9"/>
      <c r="O376" s="9"/>
    </row>
    <row r="377" ht="15.75" customHeight="1">
      <c r="A377" s="9" t="str">
        <f>IFERROR(__xludf.DUMMYFUNCTION("IF(B377="""","""",RIGHT(REGEXREPLACE(B377&amp;"""",""[^0-9]"",""""),9))"),"770207984")</f>
        <v>770207984</v>
      </c>
      <c r="B377" s="48">
        <v>7.70207984E8</v>
      </c>
      <c r="C377" s="10" t="s">
        <v>478</v>
      </c>
      <c r="D377" s="10" t="s">
        <v>34</v>
      </c>
      <c r="E377" s="13">
        <v>46226.0</v>
      </c>
      <c r="F377" s="10" t="s">
        <v>35</v>
      </c>
      <c r="G377" s="10">
        <v>11.0</v>
      </c>
      <c r="I377" s="10" t="s">
        <v>22</v>
      </c>
      <c r="J377" s="9" t="str">
        <f t="shared" si="28"/>
        <v>No</v>
      </c>
      <c r="K377" s="9" t="str">
        <f t="shared" si="26"/>
        <v/>
      </c>
      <c r="L377" s="9" t="str">
        <f t="shared" si="29"/>
        <v/>
      </c>
      <c r="M377" s="9"/>
      <c r="O377" s="9"/>
    </row>
    <row r="378" ht="15.75" customHeight="1">
      <c r="A378" s="9" t="str">
        <f>IFERROR(__xludf.DUMMYFUNCTION("IF(B378="""","""",RIGHT(REGEXREPLACE(B378&amp;"""",""[^0-9]"",""""),9))"),"713494825")</f>
        <v>713494825</v>
      </c>
      <c r="B378" s="48">
        <v>7.13494825E8</v>
      </c>
      <c r="C378" s="10" t="s">
        <v>479</v>
      </c>
      <c r="D378" s="10" t="s">
        <v>50</v>
      </c>
      <c r="E378" s="13">
        <v>46226.0</v>
      </c>
      <c r="F378" s="10" t="s">
        <v>35</v>
      </c>
      <c r="G378" s="10">
        <v>11.0</v>
      </c>
      <c r="I378" s="10" t="s">
        <v>22</v>
      </c>
      <c r="J378" s="9" t="str">
        <f t="shared" si="28"/>
        <v>No</v>
      </c>
      <c r="K378" s="9" t="str">
        <f t="shared" si="26"/>
        <v/>
      </c>
      <c r="L378" s="9" t="str">
        <f t="shared" si="29"/>
        <v/>
      </c>
      <c r="M378" s="9"/>
      <c r="O378" s="9"/>
    </row>
    <row r="379" ht="15.75" customHeight="1">
      <c r="A379" s="9" t="str">
        <f>IFERROR(__xludf.DUMMYFUNCTION("IF(B379="""","""",RIGHT(REGEXREPLACE(B379&amp;"""",""[^0-9]"",""""),9))"),"714252917")</f>
        <v>714252917</v>
      </c>
      <c r="B379" s="48">
        <v>9.4714252917E10</v>
      </c>
      <c r="C379" s="10" t="s">
        <v>480</v>
      </c>
      <c r="D379" s="10" t="s">
        <v>44</v>
      </c>
      <c r="E379" s="13">
        <v>46226.0</v>
      </c>
      <c r="F379" s="10" t="s">
        <v>35</v>
      </c>
      <c r="G379" s="10">
        <v>11.0</v>
      </c>
      <c r="H379" s="10" t="s">
        <v>418</v>
      </c>
      <c r="I379" s="10" t="s">
        <v>22</v>
      </c>
      <c r="J379" s="9" t="str">
        <f t="shared" si="28"/>
        <v>No</v>
      </c>
      <c r="K379" s="9" t="str">
        <f t="shared" si="26"/>
        <v/>
      </c>
      <c r="L379" s="9" t="str">
        <f t="shared" si="29"/>
        <v/>
      </c>
      <c r="M379" s="9"/>
      <c r="O379" s="9"/>
    </row>
    <row r="380" ht="15.75" customHeight="1">
      <c r="A380" s="9" t="str">
        <f>IFERROR(__xludf.DUMMYFUNCTION("IF(B380="""","""",RIGHT(REGEXREPLACE(B380&amp;"""",""[^0-9]"",""""),9))"),"713489044")</f>
        <v>713489044</v>
      </c>
      <c r="B380" s="48">
        <v>7.13489044E8</v>
      </c>
      <c r="C380" s="10" t="s">
        <v>481</v>
      </c>
      <c r="D380" s="10" t="s">
        <v>34</v>
      </c>
      <c r="E380" s="13">
        <v>46226.0</v>
      </c>
      <c r="F380" s="10" t="s">
        <v>21</v>
      </c>
      <c r="I380" s="10" t="s">
        <v>22</v>
      </c>
      <c r="J380" s="9" t="str">
        <f t="shared" si="28"/>
        <v>No</v>
      </c>
      <c r="K380" s="9" t="str">
        <f t="shared" si="26"/>
        <v/>
      </c>
      <c r="L380" s="9" t="str">
        <f t="shared" si="29"/>
        <v/>
      </c>
      <c r="M380" s="9"/>
      <c r="O380" s="9"/>
    </row>
    <row r="381" ht="15.75" customHeight="1">
      <c r="A381" s="9" t="str">
        <f>IFERROR(__xludf.DUMMYFUNCTION("IF(B381="""","""",RIGHT(REGEXREPLACE(B381&amp;"""",""[^0-9]"",""""),9))"),"707771787")</f>
        <v>707771787</v>
      </c>
      <c r="B381" s="48">
        <v>7.07771787E8</v>
      </c>
      <c r="C381" s="10" t="s">
        <v>482</v>
      </c>
      <c r="D381" s="10" t="s">
        <v>69</v>
      </c>
      <c r="E381" s="13">
        <v>46226.0</v>
      </c>
      <c r="F381" s="10" t="s">
        <v>35</v>
      </c>
      <c r="G381" s="10">
        <v>11.0</v>
      </c>
      <c r="I381" s="10" t="s">
        <v>22</v>
      </c>
      <c r="J381" s="9" t="str">
        <f t="shared" si="28"/>
        <v>No</v>
      </c>
      <c r="K381" s="9" t="str">
        <f t="shared" si="26"/>
        <v/>
      </c>
      <c r="L381" s="9" t="str">
        <f t="shared" si="29"/>
        <v/>
      </c>
      <c r="M381" s="9"/>
      <c r="O381" s="9"/>
    </row>
    <row r="382" ht="15.75" customHeight="1">
      <c r="A382" s="9" t="str">
        <f>IFERROR(__xludf.DUMMYFUNCTION("IF(B382="""","""",RIGHT(REGEXREPLACE(B382&amp;"""",""[^0-9]"",""""),9))"),"763517312")</f>
        <v>763517312</v>
      </c>
      <c r="B382" s="48">
        <v>7.63517312E8</v>
      </c>
      <c r="C382" s="10" t="s">
        <v>483</v>
      </c>
      <c r="D382" s="10" t="s">
        <v>50</v>
      </c>
      <c r="E382" s="13">
        <v>46226.0</v>
      </c>
      <c r="F382" s="10" t="s">
        <v>35</v>
      </c>
      <c r="G382" s="10">
        <v>11.0</v>
      </c>
      <c r="H382" s="10" t="s">
        <v>238</v>
      </c>
      <c r="I382" s="10" t="s">
        <v>22</v>
      </c>
      <c r="J382" s="9" t="str">
        <f t="shared" si="28"/>
        <v>No</v>
      </c>
      <c r="K382" s="9" t="str">
        <f t="shared" si="26"/>
        <v/>
      </c>
      <c r="L382" s="9" t="str">
        <f t="shared" si="29"/>
        <v/>
      </c>
      <c r="M382" s="9"/>
      <c r="O382" s="9"/>
    </row>
    <row r="383" ht="15.75" customHeight="1">
      <c r="A383" s="9" t="str">
        <f>IFERROR(__xludf.DUMMYFUNCTION("IF(B383="""","""",RIGHT(REGEXREPLACE(B383&amp;"""",""[^0-9]"",""""),9))"),"712089901")</f>
        <v>712089901</v>
      </c>
      <c r="B383" s="48">
        <v>7.12089901E8</v>
      </c>
      <c r="C383" s="10" t="s">
        <v>484</v>
      </c>
      <c r="D383" s="10" t="s">
        <v>120</v>
      </c>
      <c r="E383" s="13">
        <v>46226.0</v>
      </c>
      <c r="F383" s="10" t="s">
        <v>35</v>
      </c>
      <c r="G383" s="10">
        <v>10.0</v>
      </c>
      <c r="I383" s="10" t="s">
        <v>22</v>
      </c>
      <c r="J383" s="9" t="str">
        <f t="shared" si="28"/>
        <v>No</v>
      </c>
      <c r="K383" s="9" t="str">
        <f t="shared" si="26"/>
        <v/>
      </c>
      <c r="L383" s="9" t="str">
        <f t="shared" si="29"/>
        <v/>
      </c>
      <c r="M383" s="9"/>
      <c r="O383" s="9"/>
    </row>
    <row r="384" ht="15.75" customHeight="1">
      <c r="A384" s="9" t="str">
        <f>IFERROR(__xludf.DUMMYFUNCTION("IF(B384="""","""",RIGHT(REGEXREPLACE(B384&amp;"""",""[^0-9]"",""""),9))"),"777676527")</f>
        <v>777676527</v>
      </c>
      <c r="B384" s="48">
        <v>7.77676527E8</v>
      </c>
      <c r="C384" s="10" t="s">
        <v>485</v>
      </c>
      <c r="D384" s="10" t="s">
        <v>50</v>
      </c>
      <c r="E384" s="13">
        <v>46226.0</v>
      </c>
      <c r="F384" s="10" t="s">
        <v>21</v>
      </c>
      <c r="G384" s="10">
        <v>11.0</v>
      </c>
      <c r="I384" s="10" t="s">
        <v>22</v>
      </c>
      <c r="J384" s="9" t="str">
        <f t="shared" si="28"/>
        <v>No</v>
      </c>
      <c r="K384" s="9" t="str">
        <f t="shared" si="26"/>
        <v/>
      </c>
      <c r="L384" s="9" t="str">
        <f t="shared" si="29"/>
        <v/>
      </c>
      <c r="M384" s="9"/>
      <c r="O384" s="9"/>
    </row>
    <row r="385" ht="15.75" customHeight="1">
      <c r="A385" s="9" t="str">
        <f>IFERROR(__xludf.DUMMYFUNCTION("IF(B385="""","""",RIGHT(REGEXREPLACE(B385&amp;"""",""[^0-9]"",""""),9))"),"779212577")</f>
        <v>779212577</v>
      </c>
      <c r="B385" s="48">
        <v>7.79212577E8</v>
      </c>
      <c r="C385" s="10" t="s">
        <v>486</v>
      </c>
      <c r="D385" s="10" t="s">
        <v>34</v>
      </c>
      <c r="E385" s="13">
        <v>46226.0</v>
      </c>
      <c r="F385" s="10" t="s">
        <v>35</v>
      </c>
      <c r="G385" s="10">
        <v>11.0</v>
      </c>
      <c r="I385" s="10" t="s">
        <v>22</v>
      </c>
      <c r="J385" s="9" t="str">
        <f t="shared" si="28"/>
        <v>No</v>
      </c>
      <c r="K385" s="9" t="str">
        <f t="shared" si="26"/>
        <v/>
      </c>
      <c r="L385" s="9" t="str">
        <f t="shared" si="29"/>
        <v/>
      </c>
      <c r="M385" s="9"/>
      <c r="O385" s="9"/>
    </row>
    <row r="386" ht="15.75" customHeight="1">
      <c r="A386" s="9" t="str">
        <f>IFERROR(__xludf.DUMMYFUNCTION("IF(B386="""","""",RIGHT(REGEXREPLACE(B386&amp;"""",""[^0-9]"",""""),9))"),"768300014")</f>
        <v>768300014</v>
      </c>
      <c r="B386" s="48">
        <v>7.68300014E8</v>
      </c>
      <c r="C386" s="10" t="s">
        <v>487</v>
      </c>
      <c r="D386" s="10" t="s">
        <v>50</v>
      </c>
      <c r="E386" s="13">
        <v>46226.0</v>
      </c>
      <c r="F386" s="10" t="s">
        <v>35</v>
      </c>
      <c r="G386" s="10">
        <v>11.0</v>
      </c>
      <c r="I386" s="10" t="s">
        <v>22</v>
      </c>
      <c r="J386" s="9" t="str">
        <f t="shared" si="28"/>
        <v>No</v>
      </c>
      <c r="K386" s="9" t="str">
        <f t="shared" si="26"/>
        <v/>
      </c>
      <c r="L386" s="9" t="str">
        <f t="shared" si="29"/>
        <v/>
      </c>
      <c r="M386" s="9"/>
      <c r="O386" s="9"/>
    </row>
    <row r="387" ht="15.75" customHeight="1">
      <c r="A387" s="9" t="str">
        <f>IFERROR(__xludf.DUMMYFUNCTION("IF(B387="""","""",RIGHT(REGEXREPLACE(B387&amp;"""",""[^0-9]"",""""),9))"),"713520304")</f>
        <v>713520304</v>
      </c>
      <c r="B387" s="10">
        <v>7.13520304E8</v>
      </c>
      <c r="C387" s="10" t="s">
        <v>488</v>
      </c>
      <c r="D387" s="10" t="s">
        <v>20</v>
      </c>
      <c r="E387" s="13">
        <v>46226.0</v>
      </c>
      <c r="F387" s="10" t="s">
        <v>35</v>
      </c>
      <c r="G387" s="10">
        <v>11.0</v>
      </c>
      <c r="I387" s="10" t="s">
        <v>22</v>
      </c>
      <c r="J387" s="9" t="str">
        <f t="shared" si="28"/>
        <v>No</v>
      </c>
      <c r="K387" s="9" t="str">
        <f t="shared" si="26"/>
        <v/>
      </c>
      <c r="L387" s="9" t="str">
        <f t="shared" si="29"/>
        <v/>
      </c>
      <c r="M387" s="9"/>
      <c r="O387" s="9"/>
    </row>
    <row r="388" ht="15.75" customHeight="1">
      <c r="A388" s="9" t="str">
        <f>IFERROR(__xludf.DUMMYFUNCTION("IF(B388="""","""",RIGHT(REGEXREPLACE(B388&amp;"""",""[^0-9]"",""""),9))"),"768733012")</f>
        <v>768733012</v>
      </c>
      <c r="B388" s="48">
        <v>7.68733012E8</v>
      </c>
      <c r="C388" s="10" t="s">
        <v>489</v>
      </c>
      <c r="D388" s="10" t="s">
        <v>69</v>
      </c>
      <c r="E388" s="13">
        <v>46226.0</v>
      </c>
      <c r="F388" s="10" t="s">
        <v>35</v>
      </c>
      <c r="G388" s="10">
        <v>11.0</v>
      </c>
      <c r="I388" s="10" t="s">
        <v>22</v>
      </c>
      <c r="J388" s="9" t="str">
        <f t="shared" si="28"/>
        <v>No</v>
      </c>
      <c r="K388" s="9" t="str">
        <f t="shared" si="26"/>
        <v/>
      </c>
      <c r="L388" s="9" t="str">
        <f t="shared" si="29"/>
        <v/>
      </c>
      <c r="M388" s="9"/>
      <c r="O388" s="9"/>
    </row>
    <row r="389" ht="15.75" customHeight="1">
      <c r="A389" s="9" t="str">
        <f>IFERROR(__xludf.DUMMYFUNCTION("IF(B389="""","""",RIGHT(REGEXREPLACE(B389&amp;"""",""[^0-9]"",""""),9))"),"779735045")</f>
        <v>779735045</v>
      </c>
      <c r="B389" s="48">
        <v>7.79735045E8</v>
      </c>
      <c r="C389" s="10" t="s">
        <v>490</v>
      </c>
      <c r="D389" s="10" t="s">
        <v>44</v>
      </c>
      <c r="E389" s="13">
        <v>46226.0</v>
      </c>
      <c r="F389" s="10" t="s">
        <v>21</v>
      </c>
      <c r="I389" s="10" t="s">
        <v>22</v>
      </c>
      <c r="J389" s="9" t="str">
        <f t="shared" si="28"/>
        <v>No</v>
      </c>
      <c r="K389" s="9" t="str">
        <f t="shared" si="26"/>
        <v/>
      </c>
      <c r="L389" s="9" t="str">
        <f t="shared" si="29"/>
        <v/>
      </c>
      <c r="M389" s="9"/>
      <c r="O389" s="9"/>
    </row>
    <row r="390" ht="15.75" customHeight="1">
      <c r="A390" s="9" t="str">
        <f>IFERROR(__xludf.DUMMYFUNCTION("IF(B390="""","""",RIGHT(REGEXREPLACE(B390&amp;"""",""[^0-9]"",""""),9))"),"769099487")</f>
        <v>769099487</v>
      </c>
      <c r="B390" s="48">
        <v>7.69099487E8</v>
      </c>
      <c r="C390" s="10" t="s">
        <v>491</v>
      </c>
      <c r="D390" s="10" t="s">
        <v>34</v>
      </c>
      <c r="E390" s="13">
        <v>46226.0</v>
      </c>
      <c r="F390" s="10" t="s">
        <v>21</v>
      </c>
      <c r="G390" s="10">
        <v>11.0</v>
      </c>
      <c r="I390" s="10" t="s">
        <v>22</v>
      </c>
      <c r="J390" s="9" t="str">
        <f t="shared" si="28"/>
        <v>No</v>
      </c>
      <c r="K390" s="9" t="str">
        <f t="shared" si="26"/>
        <v/>
      </c>
      <c r="L390" s="9" t="str">
        <f t="shared" si="29"/>
        <v/>
      </c>
      <c r="M390" s="9"/>
      <c r="O390" s="9"/>
    </row>
    <row r="391" ht="15.75" customHeight="1">
      <c r="A391" s="9" t="str">
        <f>IFERROR(__xludf.DUMMYFUNCTION("IF(B391="""","""",RIGHT(REGEXREPLACE(B391&amp;"""",""[^0-9]"",""""),9))"),"725518976")</f>
        <v>725518976</v>
      </c>
      <c r="B391" s="48">
        <v>7.25518976E8</v>
      </c>
      <c r="C391" s="10" t="s">
        <v>492</v>
      </c>
      <c r="D391" s="10" t="s">
        <v>120</v>
      </c>
      <c r="E391" s="13">
        <v>46226.0</v>
      </c>
      <c r="F391" s="10" t="s">
        <v>145</v>
      </c>
      <c r="I391" s="10" t="s">
        <v>22</v>
      </c>
      <c r="J391" s="9" t="str">
        <f t="shared" si="28"/>
        <v>No</v>
      </c>
      <c r="K391" s="9" t="str">
        <f t="shared" si="26"/>
        <v/>
      </c>
      <c r="L391" s="9" t="str">
        <f t="shared" si="29"/>
        <v/>
      </c>
      <c r="M391" s="9"/>
      <c r="O391" s="9"/>
    </row>
    <row r="392" ht="15.75" customHeight="1">
      <c r="A392" s="9" t="str">
        <f>IFERROR(__xludf.DUMMYFUNCTION("IF(B392="""","""",RIGHT(REGEXREPLACE(B392&amp;"""",""[^0-9]"",""""),9))"),"782017268")</f>
        <v>782017268</v>
      </c>
      <c r="B392" s="48">
        <v>9.4782017268E10</v>
      </c>
      <c r="C392" s="10" t="s">
        <v>472</v>
      </c>
      <c r="D392" s="10" t="s">
        <v>20</v>
      </c>
      <c r="E392" s="13">
        <v>46226.0</v>
      </c>
      <c r="F392" s="10" t="s">
        <v>21</v>
      </c>
      <c r="I392" s="10" t="s">
        <v>22</v>
      </c>
      <c r="J392" s="9" t="str">
        <f t="shared" si="28"/>
        <v>Yes - see Previous F-Code</v>
      </c>
      <c r="K392" s="9" t="str">
        <f t="shared" si="26"/>
        <v>DUPLICATE - CHECK</v>
      </c>
      <c r="L392" s="9" t="str">
        <f t="shared" si="29"/>
        <v>F70344</v>
      </c>
      <c r="M392" s="9"/>
      <c r="O392" s="9"/>
    </row>
    <row r="393" ht="15.75" customHeight="1">
      <c r="A393" s="9" t="str">
        <f>IFERROR(__xludf.DUMMYFUNCTION("IF(B393="""","""",RIGHT(REGEXREPLACE(B393&amp;"""",""[^0-9]"",""""),9))"),"778605773")</f>
        <v>778605773</v>
      </c>
      <c r="B393" s="48">
        <v>9.4778605773E10</v>
      </c>
      <c r="C393" s="10" t="s">
        <v>493</v>
      </c>
      <c r="D393" s="10" t="s">
        <v>44</v>
      </c>
      <c r="E393" s="13">
        <v>46226.0</v>
      </c>
      <c r="F393" s="10" t="s">
        <v>35</v>
      </c>
      <c r="G393" s="10">
        <v>11.0</v>
      </c>
      <c r="H393" s="10" t="s">
        <v>494</v>
      </c>
      <c r="I393" s="10" t="s">
        <v>22</v>
      </c>
      <c r="J393" s="9" t="str">
        <f t="shared" si="28"/>
        <v>No</v>
      </c>
      <c r="K393" s="9" t="str">
        <f t="shared" si="26"/>
        <v/>
      </c>
      <c r="L393" s="9" t="str">
        <f t="shared" si="29"/>
        <v/>
      </c>
      <c r="M393" s="9"/>
      <c r="O393" s="9"/>
    </row>
    <row r="394" ht="15.75" customHeight="1">
      <c r="A394" s="9" t="str">
        <f>IFERROR(__xludf.DUMMYFUNCTION("IF(B394="""","""",RIGHT(REGEXREPLACE(B394&amp;"""",""[^0-9]"",""""),9))"),"776970776")</f>
        <v>776970776</v>
      </c>
      <c r="B394" s="48">
        <v>7.76970776E8</v>
      </c>
      <c r="C394" s="10" t="s">
        <v>495</v>
      </c>
      <c r="D394" s="10" t="s">
        <v>50</v>
      </c>
      <c r="E394" s="13">
        <v>46226.0</v>
      </c>
      <c r="F394" s="10" t="s">
        <v>35</v>
      </c>
      <c r="G394" s="10">
        <v>11.0</v>
      </c>
      <c r="I394" s="10" t="s">
        <v>22</v>
      </c>
      <c r="J394" s="9" t="str">
        <f t="shared" si="28"/>
        <v>No</v>
      </c>
      <c r="K394" s="9" t="str">
        <f t="shared" si="26"/>
        <v/>
      </c>
      <c r="L394" s="9" t="str">
        <f t="shared" si="29"/>
        <v/>
      </c>
      <c r="M394" s="9"/>
      <c r="O394" s="9"/>
    </row>
    <row r="395" ht="15.75" customHeight="1">
      <c r="A395" s="9" t="str">
        <f>IFERROR(__xludf.DUMMYFUNCTION("IF(B395="""","""",RIGHT(REGEXREPLACE(B395&amp;"""",""[^0-9]"",""""),9))"),"775331326")</f>
        <v>775331326</v>
      </c>
      <c r="B395" s="48">
        <v>7.75331326E8</v>
      </c>
      <c r="C395" s="10" t="s">
        <v>496</v>
      </c>
      <c r="D395" s="10" t="s">
        <v>34</v>
      </c>
      <c r="E395" s="13">
        <v>46226.0</v>
      </c>
      <c r="F395" s="10" t="s">
        <v>21</v>
      </c>
      <c r="I395" s="10" t="s">
        <v>22</v>
      </c>
      <c r="J395" s="9" t="str">
        <f t="shared" si="28"/>
        <v>No</v>
      </c>
      <c r="K395" s="9" t="str">
        <f t="shared" si="26"/>
        <v/>
      </c>
      <c r="L395" s="9" t="str">
        <f t="shared" si="29"/>
        <v/>
      </c>
      <c r="M395" s="9"/>
      <c r="O395" s="9"/>
    </row>
    <row r="396" ht="15.75" customHeight="1">
      <c r="A396" s="9" t="str">
        <f>IFERROR(__xludf.DUMMYFUNCTION("IF(B396="""","""",RIGHT(REGEXREPLACE(B396&amp;"""",""[^0-9]"",""""),9))"),"778338974")</f>
        <v>778338974</v>
      </c>
      <c r="B396" s="48">
        <v>7.78338974E8</v>
      </c>
      <c r="C396" s="10" t="s">
        <v>497</v>
      </c>
      <c r="D396" s="10" t="s">
        <v>69</v>
      </c>
      <c r="E396" s="13">
        <v>46226.0</v>
      </c>
      <c r="F396" s="10" t="s">
        <v>35</v>
      </c>
      <c r="G396" s="10">
        <v>11.0</v>
      </c>
      <c r="I396" s="10" t="s">
        <v>22</v>
      </c>
      <c r="J396" s="9" t="str">
        <f t="shared" si="28"/>
        <v>No</v>
      </c>
      <c r="K396" s="9" t="str">
        <f t="shared" si="26"/>
        <v/>
      </c>
      <c r="L396" s="9" t="str">
        <f t="shared" si="29"/>
        <v/>
      </c>
      <c r="M396" s="9"/>
      <c r="O396" s="9"/>
    </row>
    <row r="397" ht="15.75" customHeight="1">
      <c r="A397" s="9" t="str">
        <f>IFERROR(__xludf.DUMMYFUNCTION("IF(B397="""","""",RIGHT(REGEXREPLACE(B397&amp;"""",""[^0-9]"",""""),9))"),"716841067")</f>
        <v>716841067</v>
      </c>
      <c r="B397" s="48">
        <v>7.16841067E8</v>
      </c>
      <c r="C397" s="10" t="s">
        <v>498</v>
      </c>
      <c r="D397" s="10" t="s">
        <v>120</v>
      </c>
      <c r="E397" s="13">
        <v>46226.0</v>
      </c>
      <c r="F397" s="10" t="s">
        <v>21</v>
      </c>
      <c r="I397" s="10" t="s">
        <v>22</v>
      </c>
      <c r="J397" s="9" t="str">
        <f t="shared" si="28"/>
        <v>No</v>
      </c>
      <c r="K397" s="9" t="str">
        <f t="shared" si="26"/>
        <v/>
      </c>
      <c r="L397" s="9" t="str">
        <f t="shared" si="29"/>
        <v/>
      </c>
      <c r="M397" s="9"/>
      <c r="O397" s="9"/>
    </row>
    <row r="398" ht="15.75" customHeight="1">
      <c r="A398" s="9" t="str">
        <f>IFERROR(__xludf.DUMMYFUNCTION("IF(B398="""","""",RIGHT(REGEXREPLACE(B398&amp;"""",""[^0-9]"",""""),9))"),"777542136")</f>
        <v>777542136</v>
      </c>
      <c r="B398" s="48">
        <v>9.4777542136E10</v>
      </c>
      <c r="C398" s="10" t="s">
        <v>499</v>
      </c>
      <c r="D398" s="10" t="s">
        <v>44</v>
      </c>
      <c r="E398" s="13">
        <v>46226.0</v>
      </c>
      <c r="F398" s="10" t="s">
        <v>198</v>
      </c>
      <c r="G398" s="10">
        <v>11.0</v>
      </c>
      <c r="I398" s="10" t="s">
        <v>22</v>
      </c>
      <c r="J398" s="9" t="str">
        <f t="shared" si="28"/>
        <v>No</v>
      </c>
      <c r="K398" s="9" t="str">
        <f t="shared" si="26"/>
        <v/>
      </c>
      <c r="L398" s="9" t="str">
        <f t="shared" si="29"/>
        <v/>
      </c>
      <c r="M398" s="9"/>
      <c r="O398" s="9"/>
    </row>
    <row r="399" ht="15.75" customHeight="1">
      <c r="A399" s="9" t="str">
        <f>IFERROR(__xludf.DUMMYFUNCTION("IF(B399="""","""",RIGHT(REGEXREPLACE(B399&amp;"""",""[^0-9]"",""""),9))"),"768516096")</f>
        <v>768516096</v>
      </c>
      <c r="B399" s="48">
        <v>9.4768516096E10</v>
      </c>
      <c r="C399" s="10" t="s">
        <v>500</v>
      </c>
      <c r="D399" s="10" t="s">
        <v>20</v>
      </c>
      <c r="E399" s="13">
        <v>46226.0</v>
      </c>
      <c r="F399" s="10" t="s">
        <v>35</v>
      </c>
      <c r="G399" s="10">
        <v>11.0</v>
      </c>
      <c r="I399" s="10" t="s">
        <v>22</v>
      </c>
      <c r="J399" s="9" t="str">
        <f t="shared" si="28"/>
        <v>No</v>
      </c>
      <c r="K399" s="9" t="str">
        <f t="shared" si="26"/>
        <v/>
      </c>
      <c r="L399" s="9" t="str">
        <f t="shared" si="29"/>
        <v/>
      </c>
      <c r="M399" s="9"/>
      <c r="O399" s="9"/>
    </row>
    <row r="400" ht="15.75" customHeight="1">
      <c r="A400" s="9" t="str">
        <f>IFERROR(__xludf.DUMMYFUNCTION("IF(B400="""","""",RIGHT(REGEXREPLACE(B400&amp;"""",""[^0-9]"",""""),9))"),"779017088")</f>
        <v>779017088</v>
      </c>
      <c r="B400" s="48">
        <v>7.79017088E8</v>
      </c>
      <c r="C400" s="10" t="s">
        <v>501</v>
      </c>
      <c r="D400" s="10" t="s">
        <v>50</v>
      </c>
      <c r="E400" s="13">
        <v>46226.0</v>
      </c>
      <c r="F400" s="10" t="s">
        <v>21</v>
      </c>
      <c r="G400" s="10">
        <v>11.0</v>
      </c>
      <c r="I400" s="10" t="s">
        <v>22</v>
      </c>
      <c r="J400" s="9" t="str">
        <f t="shared" si="28"/>
        <v>No</v>
      </c>
      <c r="K400" s="9" t="str">
        <f t="shared" si="26"/>
        <v/>
      </c>
      <c r="L400" s="9" t="str">
        <f t="shared" si="29"/>
        <v/>
      </c>
      <c r="M400" s="9"/>
      <c r="O400" s="9"/>
    </row>
    <row r="401" ht="15.75" customHeight="1">
      <c r="A401" s="9" t="str">
        <f>IFERROR(__xludf.DUMMYFUNCTION("IF(B401="""","""",RIGHT(REGEXREPLACE(B401&amp;"""",""[^0-9]"",""""),9))"),"703353321")</f>
        <v>703353321</v>
      </c>
      <c r="B401" s="48">
        <v>7.03353321E8</v>
      </c>
      <c r="C401" s="10" t="s">
        <v>502</v>
      </c>
      <c r="D401" s="10" t="s">
        <v>120</v>
      </c>
      <c r="E401" s="13">
        <v>46226.0</v>
      </c>
      <c r="F401" s="10" t="s">
        <v>21</v>
      </c>
      <c r="I401" s="10" t="s">
        <v>22</v>
      </c>
      <c r="J401" s="9" t="str">
        <f t="shared" si="28"/>
        <v>No</v>
      </c>
      <c r="K401" s="9" t="str">
        <f t="shared" si="26"/>
        <v/>
      </c>
      <c r="L401" s="9" t="str">
        <f t="shared" si="29"/>
        <v/>
      </c>
      <c r="M401" s="9"/>
      <c r="O401" s="9"/>
    </row>
    <row r="402" ht="15.75" customHeight="1">
      <c r="A402" s="9" t="str">
        <f>IFERROR(__xludf.DUMMYFUNCTION("IF(B402="""","""",RIGHT(REGEXREPLACE(B402&amp;"""",""[^0-9]"",""""),9))"),"759054472")</f>
        <v>759054472</v>
      </c>
      <c r="B402" s="48">
        <v>7.59054472E8</v>
      </c>
      <c r="C402" s="10" t="s">
        <v>503</v>
      </c>
      <c r="D402" s="10" t="s">
        <v>69</v>
      </c>
      <c r="E402" s="13">
        <v>46226.0</v>
      </c>
      <c r="F402" s="10" t="s">
        <v>35</v>
      </c>
      <c r="G402" s="10">
        <v>11.0</v>
      </c>
      <c r="I402" s="10" t="s">
        <v>22</v>
      </c>
      <c r="J402" s="9" t="str">
        <f t="shared" si="28"/>
        <v>No</v>
      </c>
      <c r="K402" s="9" t="str">
        <f t="shared" si="26"/>
        <v/>
      </c>
      <c r="L402" s="9" t="str">
        <f t="shared" si="29"/>
        <v/>
      </c>
      <c r="M402" s="9"/>
      <c r="O402" s="9"/>
    </row>
    <row r="403" ht="15.75" customHeight="1">
      <c r="A403" s="9" t="str">
        <f>IFERROR(__xludf.DUMMYFUNCTION("IF(B403="""","""",RIGHT(REGEXREPLACE(B403&amp;"""",""[^0-9]"",""""),9))"),"757496859")</f>
        <v>757496859</v>
      </c>
      <c r="B403" s="48">
        <v>9.4757496859E10</v>
      </c>
      <c r="C403" s="10" t="s">
        <v>504</v>
      </c>
      <c r="D403" s="10" t="s">
        <v>20</v>
      </c>
      <c r="E403" s="13">
        <v>46226.0</v>
      </c>
      <c r="F403" s="10" t="s">
        <v>35</v>
      </c>
      <c r="G403" s="10">
        <v>11.0</v>
      </c>
      <c r="I403" s="10" t="s">
        <v>22</v>
      </c>
      <c r="J403" s="9" t="str">
        <f t="shared" si="28"/>
        <v>No</v>
      </c>
      <c r="K403" s="9" t="str">
        <f t="shared" si="26"/>
        <v/>
      </c>
      <c r="L403" s="9" t="str">
        <f t="shared" si="29"/>
        <v/>
      </c>
      <c r="M403" s="9"/>
      <c r="O403" s="9"/>
    </row>
    <row r="404" ht="15.75" customHeight="1">
      <c r="A404" s="9" t="str">
        <f>IFERROR(__xludf.DUMMYFUNCTION("IF(B404="""","""",RIGHT(REGEXREPLACE(B404&amp;"""",""[^0-9]"",""""),9))"),"778241121")</f>
        <v>778241121</v>
      </c>
      <c r="B404" s="48">
        <v>7.78241121E8</v>
      </c>
      <c r="C404" s="10" t="s">
        <v>505</v>
      </c>
      <c r="D404" s="10" t="s">
        <v>50</v>
      </c>
      <c r="E404" s="13">
        <v>46226.0</v>
      </c>
      <c r="F404" s="10" t="s">
        <v>35</v>
      </c>
      <c r="G404" s="10">
        <v>11.0</v>
      </c>
      <c r="I404" s="10" t="s">
        <v>22</v>
      </c>
      <c r="J404" s="9" t="str">
        <f t="shared" si="28"/>
        <v>No</v>
      </c>
      <c r="K404" s="9" t="str">
        <f t="shared" si="26"/>
        <v/>
      </c>
      <c r="L404" s="9" t="str">
        <f t="shared" si="29"/>
        <v/>
      </c>
      <c r="M404" s="9"/>
      <c r="O404" s="9"/>
    </row>
    <row r="405" ht="15.75" customHeight="1">
      <c r="A405" s="9" t="str">
        <f>IFERROR(__xludf.DUMMYFUNCTION("IF(B405="""","""",RIGHT(REGEXREPLACE(B405&amp;"""",""[^0-9]"",""""),9))"),"775617240")</f>
        <v>775617240</v>
      </c>
      <c r="B405" s="48">
        <v>7.7561724E8</v>
      </c>
      <c r="C405" s="10" t="s">
        <v>506</v>
      </c>
      <c r="D405" s="10" t="s">
        <v>69</v>
      </c>
      <c r="E405" s="13">
        <v>46226.0</v>
      </c>
      <c r="F405" s="10" t="s">
        <v>113</v>
      </c>
      <c r="G405" s="10">
        <v>11.0</v>
      </c>
      <c r="I405" s="10" t="s">
        <v>22</v>
      </c>
      <c r="J405" s="9" t="str">
        <f t="shared" si="28"/>
        <v>No</v>
      </c>
      <c r="K405" s="9" t="str">
        <f t="shared" si="26"/>
        <v/>
      </c>
      <c r="L405" s="9" t="str">
        <f t="shared" si="29"/>
        <v/>
      </c>
      <c r="M405" s="9"/>
      <c r="O405" s="9"/>
    </row>
    <row r="406" ht="15.75" customHeight="1">
      <c r="A406" s="9" t="str">
        <f>IFERROR(__xludf.DUMMYFUNCTION("IF(B406="""","""",RIGHT(REGEXREPLACE(B406&amp;"""",""[^0-9]"",""""),9))"),"775244883")</f>
        <v>775244883</v>
      </c>
      <c r="B406" s="48">
        <v>9.4775244883E10</v>
      </c>
      <c r="C406" s="10" t="s">
        <v>506</v>
      </c>
      <c r="D406" s="10" t="s">
        <v>20</v>
      </c>
      <c r="E406" s="13">
        <v>46226.0</v>
      </c>
      <c r="F406" s="10" t="s">
        <v>198</v>
      </c>
      <c r="I406" s="10" t="s">
        <v>22</v>
      </c>
      <c r="J406" s="9" t="str">
        <f t="shared" si="28"/>
        <v>No</v>
      </c>
      <c r="K406" s="9" t="str">
        <f t="shared" si="26"/>
        <v/>
      </c>
      <c r="L406" s="9" t="str">
        <f t="shared" si="29"/>
        <v/>
      </c>
      <c r="M406" s="9"/>
      <c r="O406" s="9"/>
    </row>
    <row r="407" ht="15.75" customHeight="1">
      <c r="A407" s="9" t="str">
        <f>IFERROR(__xludf.DUMMYFUNCTION("IF(B407="""","""",RIGHT(REGEXREPLACE(B407&amp;"""",""[^0-9]"",""""),9))"),"761863777")</f>
        <v>761863777</v>
      </c>
      <c r="B407" s="48">
        <v>7.61863777E8</v>
      </c>
      <c r="C407" s="10" t="s">
        <v>507</v>
      </c>
      <c r="D407" s="10" t="s">
        <v>120</v>
      </c>
      <c r="E407" s="13">
        <v>46226.0</v>
      </c>
      <c r="F407" s="10" t="s">
        <v>198</v>
      </c>
      <c r="I407" s="10" t="s">
        <v>22</v>
      </c>
      <c r="J407" s="9" t="str">
        <f t="shared" si="28"/>
        <v>No</v>
      </c>
      <c r="K407" s="9" t="str">
        <f t="shared" si="26"/>
        <v/>
      </c>
      <c r="L407" s="9" t="str">
        <f t="shared" si="29"/>
        <v/>
      </c>
      <c r="M407" s="9"/>
      <c r="O407" s="9"/>
    </row>
    <row r="408" ht="15.75" customHeight="1">
      <c r="A408" s="9" t="str">
        <f>IFERROR(__xludf.DUMMYFUNCTION("IF(B408="""","""",RIGHT(REGEXREPLACE(B408&amp;"""",""[^0-9]"",""""),9))"),"775041165")</f>
        <v>775041165</v>
      </c>
      <c r="B408" s="48">
        <v>7.75041165E8</v>
      </c>
      <c r="C408" s="10" t="s">
        <v>508</v>
      </c>
      <c r="D408" s="10" t="s">
        <v>50</v>
      </c>
      <c r="E408" s="13">
        <v>46226.0</v>
      </c>
      <c r="F408" s="10" t="s">
        <v>21</v>
      </c>
      <c r="G408" s="10">
        <v>11.0</v>
      </c>
      <c r="I408" s="10" t="s">
        <v>22</v>
      </c>
      <c r="J408" s="9" t="str">
        <f t="shared" si="28"/>
        <v>No</v>
      </c>
      <c r="K408" s="9" t="str">
        <f t="shared" si="26"/>
        <v/>
      </c>
      <c r="L408" s="9" t="str">
        <f t="shared" si="29"/>
        <v/>
      </c>
      <c r="M408" s="9"/>
      <c r="O408" s="9"/>
    </row>
    <row r="409" ht="15.75" customHeight="1">
      <c r="A409" s="9" t="str">
        <f>IFERROR(__xludf.DUMMYFUNCTION("IF(B409="""","""",RIGHT(REGEXREPLACE(B409&amp;"""",""[^0-9]"",""""),9))"),"765268413")</f>
        <v>765268413</v>
      </c>
      <c r="B409" s="48">
        <v>9.4765268413E10</v>
      </c>
      <c r="C409" s="10" t="s">
        <v>509</v>
      </c>
      <c r="D409" s="10" t="s">
        <v>44</v>
      </c>
      <c r="E409" s="13">
        <v>46226.0</v>
      </c>
      <c r="F409" s="10" t="s">
        <v>35</v>
      </c>
      <c r="G409" s="10">
        <v>11.0</v>
      </c>
      <c r="I409" s="10" t="s">
        <v>22</v>
      </c>
      <c r="J409" s="9" t="str">
        <f t="shared" si="28"/>
        <v>No</v>
      </c>
      <c r="K409" s="9" t="str">
        <f t="shared" si="26"/>
        <v/>
      </c>
      <c r="L409" s="9" t="str">
        <f t="shared" si="29"/>
        <v/>
      </c>
      <c r="M409" s="9"/>
      <c r="O409" s="9"/>
    </row>
    <row r="410" ht="15.75" customHeight="1">
      <c r="A410" s="9" t="str">
        <f>IFERROR(__xludf.DUMMYFUNCTION("IF(B410="""","""",RIGHT(REGEXREPLACE(B410&amp;"""",""[^0-9]"",""""),9))"),"741945023")</f>
        <v>741945023</v>
      </c>
      <c r="B410" s="48">
        <v>7.41945023E8</v>
      </c>
      <c r="C410" s="10" t="s">
        <v>510</v>
      </c>
      <c r="D410" s="10" t="s">
        <v>34</v>
      </c>
      <c r="E410" s="13">
        <v>46226.0</v>
      </c>
      <c r="F410" s="10" t="s">
        <v>35</v>
      </c>
      <c r="G410" s="10">
        <v>11.0</v>
      </c>
      <c r="I410" s="10" t="s">
        <v>22</v>
      </c>
      <c r="J410" s="9" t="str">
        <f t="shared" si="28"/>
        <v>No</v>
      </c>
      <c r="K410" s="9" t="str">
        <f t="shared" si="26"/>
        <v/>
      </c>
      <c r="L410" s="9" t="str">
        <f t="shared" si="29"/>
        <v/>
      </c>
      <c r="M410" s="9"/>
      <c r="O410" s="9"/>
    </row>
    <row r="411" ht="15.75" customHeight="1">
      <c r="A411" s="9" t="str">
        <f>IFERROR(__xludf.DUMMYFUNCTION("IF(B411="""","""",RIGHT(REGEXREPLACE(B411&amp;"""",""[^0-9]"",""""),9))"),"775258370")</f>
        <v>775258370</v>
      </c>
      <c r="B411" s="48">
        <v>7.7525837E8</v>
      </c>
      <c r="C411" s="10" t="s">
        <v>511</v>
      </c>
      <c r="D411" s="10" t="s">
        <v>50</v>
      </c>
      <c r="E411" s="13">
        <v>46226.0</v>
      </c>
      <c r="F411" s="10" t="s">
        <v>35</v>
      </c>
      <c r="G411" s="10">
        <v>10.0</v>
      </c>
      <c r="I411" s="10" t="s">
        <v>22</v>
      </c>
      <c r="J411" s="9" t="str">
        <f t="shared" si="28"/>
        <v>No</v>
      </c>
      <c r="K411" s="9" t="str">
        <f t="shared" si="26"/>
        <v/>
      </c>
      <c r="L411" s="9" t="str">
        <f t="shared" si="29"/>
        <v/>
      </c>
      <c r="M411" s="9"/>
      <c r="O411" s="9"/>
    </row>
    <row r="412" ht="15.75" customHeight="1">
      <c r="A412" s="9" t="str">
        <f>IFERROR(__xludf.DUMMYFUNCTION("IF(B412="""","""",RIGHT(REGEXREPLACE(B412&amp;"""",""[^0-9]"",""""),9))"),"778353137")</f>
        <v>778353137</v>
      </c>
      <c r="B412" s="48">
        <v>7.78353137E8</v>
      </c>
      <c r="C412" s="10" t="s">
        <v>512</v>
      </c>
      <c r="D412" s="10" t="s">
        <v>69</v>
      </c>
      <c r="E412" s="13">
        <v>46226.0</v>
      </c>
      <c r="F412" s="10" t="s">
        <v>35</v>
      </c>
      <c r="G412" s="10">
        <v>11.0</v>
      </c>
      <c r="I412" s="10" t="s">
        <v>22</v>
      </c>
      <c r="J412" s="9" t="str">
        <f t="shared" si="28"/>
        <v>No</v>
      </c>
      <c r="K412" s="9" t="str">
        <f t="shared" si="26"/>
        <v/>
      </c>
      <c r="L412" s="9" t="str">
        <f t="shared" si="29"/>
        <v/>
      </c>
      <c r="M412" s="9"/>
      <c r="O412" s="9"/>
    </row>
    <row r="413" ht="15.75" customHeight="1">
      <c r="D413" s="9"/>
      <c r="F413" s="9"/>
      <c r="I413" s="10" t="s">
        <v>22</v>
      </c>
      <c r="M413" s="9"/>
      <c r="O413" s="9"/>
    </row>
    <row r="414" ht="15.75" customHeight="1">
      <c r="A414" s="9" t="str">
        <f>IFERROR(__xludf.DUMMYFUNCTION("IF(B414="""","""",RIGHT(REGEXREPLACE(B414&amp;"""",""[^0-9]"",""""),9))"),"770349567")</f>
        <v>770349567</v>
      </c>
      <c r="B414" s="48">
        <v>7.70349567E8</v>
      </c>
      <c r="C414" s="10" t="s">
        <v>513</v>
      </c>
      <c r="D414" s="10" t="s">
        <v>34</v>
      </c>
      <c r="E414" s="13">
        <v>46226.0</v>
      </c>
      <c r="F414" s="10" t="s">
        <v>35</v>
      </c>
      <c r="G414" s="10">
        <v>11.0</v>
      </c>
      <c r="I414" s="10" t="s">
        <v>22</v>
      </c>
      <c r="J414" s="9" t="str">
        <f t="shared" ref="J414:J1280" si="30">IF(COUNTIF($A$2:A413,A414)&gt;0,"Yes - see Previous F-Code","No")</f>
        <v>No</v>
      </c>
      <c r="K414" s="9" t="str">
        <f t="shared" ref="K414:K1280" si="31">IF(COUNTIFS($A$2:A414,A414,$I$2:I414,I414)&gt;1,"DUPLICATE - CHECK","")</f>
        <v/>
      </c>
      <c r="L414" s="9" t="str">
        <f t="shared" ref="L414:L1280" si="32">IF(COUNTIF($A$2:A413,A414)&gt;0,INDEX($C$2:C413,MATCH(A414,$A$2:A413,0)),"")</f>
        <v/>
      </c>
      <c r="M414" s="9"/>
      <c r="O414" s="9"/>
    </row>
    <row r="415" ht="15.75" customHeight="1">
      <c r="A415" s="9" t="str">
        <f>IFERROR(__xludf.DUMMYFUNCTION("IF(B415="""","""",RIGHT(REGEXREPLACE(B415&amp;"""",""[^0-9]"",""""),9))"),"779342802")</f>
        <v>779342802</v>
      </c>
      <c r="B415" s="48">
        <v>7.79342802E8</v>
      </c>
      <c r="C415" s="10" t="s">
        <v>514</v>
      </c>
      <c r="D415" s="10" t="s">
        <v>50</v>
      </c>
      <c r="E415" s="13">
        <v>46226.0</v>
      </c>
      <c r="F415" s="10" t="s">
        <v>35</v>
      </c>
      <c r="G415" s="10">
        <v>11.0</v>
      </c>
      <c r="I415" s="10" t="s">
        <v>22</v>
      </c>
      <c r="J415" s="9" t="str">
        <f t="shared" si="30"/>
        <v>No</v>
      </c>
      <c r="K415" s="9" t="str">
        <f t="shared" si="31"/>
        <v/>
      </c>
      <c r="L415" s="9" t="str">
        <f t="shared" si="32"/>
        <v/>
      </c>
      <c r="M415" s="9"/>
      <c r="O415" s="9"/>
    </row>
    <row r="416" ht="15.75" customHeight="1">
      <c r="A416" s="9" t="str">
        <f>IFERROR(__xludf.DUMMYFUNCTION("IF(B416="""","""",RIGHT(REGEXREPLACE(B416&amp;"""",""[^0-9]"",""""),9))"),"771818236")</f>
        <v>771818236</v>
      </c>
      <c r="B416" s="48">
        <v>7.71818236E8</v>
      </c>
      <c r="C416" s="10" t="s">
        <v>515</v>
      </c>
      <c r="D416" s="10" t="s">
        <v>34</v>
      </c>
      <c r="E416" s="13">
        <v>46226.0</v>
      </c>
      <c r="F416" s="10" t="s">
        <v>35</v>
      </c>
      <c r="G416" s="10">
        <v>11.0</v>
      </c>
      <c r="I416" s="10" t="s">
        <v>22</v>
      </c>
      <c r="J416" s="9" t="str">
        <f t="shared" si="30"/>
        <v>No</v>
      </c>
      <c r="K416" s="9" t="str">
        <f t="shared" si="31"/>
        <v/>
      </c>
      <c r="L416" s="9" t="str">
        <f t="shared" si="32"/>
        <v/>
      </c>
      <c r="M416" s="9"/>
      <c r="O416" s="9"/>
    </row>
    <row r="417" ht="15.75" customHeight="1">
      <c r="A417" s="9" t="str">
        <f>IFERROR(__xludf.DUMMYFUNCTION("IF(B417="""","""",RIGHT(REGEXREPLACE(B417&amp;"""",""[^0-9]"",""""),9))"),"714792920")</f>
        <v>714792920</v>
      </c>
      <c r="B417" s="48">
        <v>9.471479292E10</v>
      </c>
      <c r="C417" s="10" t="s">
        <v>516</v>
      </c>
      <c r="D417" s="10" t="s">
        <v>20</v>
      </c>
      <c r="E417" s="13">
        <v>46226.0</v>
      </c>
      <c r="F417" s="10" t="s">
        <v>198</v>
      </c>
      <c r="I417" s="10" t="s">
        <v>22</v>
      </c>
      <c r="J417" s="9" t="str">
        <f t="shared" si="30"/>
        <v>No</v>
      </c>
      <c r="K417" s="9" t="str">
        <f t="shared" si="31"/>
        <v/>
      </c>
      <c r="L417" s="9" t="str">
        <f t="shared" si="32"/>
        <v/>
      </c>
      <c r="M417" s="9"/>
      <c r="O417" s="9"/>
    </row>
    <row r="418" ht="15.75" customHeight="1">
      <c r="A418" s="9" t="str">
        <f>IFERROR(__xludf.DUMMYFUNCTION("IF(B418="""","""",RIGHT(REGEXREPLACE(B418&amp;"""",""[^0-9]"",""""),9))"),"701515926")</f>
        <v>701515926</v>
      </c>
      <c r="B418" s="48">
        <v>7.01515926E8</v>
      </c>
      <c r="C418" s="10" t="s">
        <v>517</v>
      </c>
      <c r="D418" s="10" t="s">
        <v>50</v>
      </c>
      <c r="E418" s="13">
        <v>46226.0</v>
      </c>
      <c r="F418" s="10" t="s">
        <v>35</v>
      </c>
      <c r="G418" s="10">
        <v>11.0</v>
      </c>
      <c r="I418" s="10" t="s">
        <v>22</v>
      </c>
      <c r="J418" s="9" t="str">
        <f t="shared" si="30"/>
        <v>No</v>
      </c>
      <c r="K418" s="9" t="str">
        <f t="shared" si="31"/>
        <v/>
      </c>
      <c r="L418" s="9" t="str">
        <f t="shared" si="32"/>
        <v/>
      </c>
      <c r="M418" s="9"/>
      <c r="O418" s="9"/>
    </row>
    <row r="419" ht="15.75" customHeight="1">
      <c r="A419" s="9" t="str">
        <f>IFERROR(__xludf.DUMMYFUNCTION("IF(B419="""","""",RIGHT(REGEXREPLACE(B419&amp;"""",""[^0-9]"",""""),9))"),"702012336")</f>
        <v>702012336</v>
      </c>
      <c r="B419" s="48">
        <v>9.4702012336E10</v>
      </c>
      <c r="C419" s="10" t="s">
        <v>518</v>
      </c>
      <c r="D419" s="10" t="s">
        <v>44</v>
      </c>
      <c r="E419" s="13">
        <v>46226.0</v>
      </c>
      <c r="F419" s="10" t="s">
        <v>35</v>
      </c>
      <c r="G419" s="10">
        <v>8.0</v>
      </c>
      <c r="I419" s="10" t="s">
        <v>22</v>
      </c>
      <c r="J419" s="9" t="str">
        <f t="shared" si="30"/>
        <v>No</v>
      </c>
      <c r="K419" s="9" t="str">
        <f t="shared" si="31"/>
        <v/>
      </c>
      <c r="L419" s="9" t="str">
        <f t="shared" si="32"/>
        <v/>
      </c>
      <c r="M419" s="9"/>
      <c r="O419" s="9"/>
    </row>
    <row r="420" ht="15.75" customHeight="1">
      <c r="A420" s="9" t="str">
        <f>IFERROR(__xludf.DUMMYFUNCTION("IF(B420="""","""",RIGHT(REGEXREPLACE(B420&amp;"""",""[^0-9]"",""""),9))"),"779858209")</f>
        <v>779858209</v>
      </c>
      <c r="B420" s="48">
        <v>7.79858209E8</v>
      </c>
      <c r="C420" s="10" t="s">
        <v>519</v>
      </c>
      <c r="D420" s="10" t="s">
        <v>50</v>
      </c>
      <c r="E420" s="13">
        <v>46226.0</v>
      </c>
      <c r="F420" s="10" t="s">
        <v>35</v>
      </c>
      <c r="G420" s="10">
        <v>11.0</v>
      </c>
      <c r="I420" s="10" t="s">
        <v>22</v>
      </c>
      <c r="J420" s="9" t="str">
        <f t="shared" si="30"/>
        <v>No</v>
      </c>
      <c r="K420" s="9" t="str">
        <f t="shared" si="31"/>
        <v/>
      </c>
      <c r="L420" s="9" t="str">
        <f t="shared" si="32"/>
        <v/>
      </c>
      <c r="M420" s="9"/>
      <c r="O420" s="9"/>
    </row>
    <row r="421" ht="15.75" customHeight="1">
      <c r="A421" s="9" t="str">
        <f>IFERROR(__xludf.DUMMYFUNCTION("IF(B421="""","""",RIGHT(REGEXREPLACE(B421&amp;"""",""[^0-9]"",""""),9))"),"716474758")</f>
        <v>716474758</v>
      </c>
      <c r="B421" s="48">
        <v>7.16474758E8</v>
      </c>
      <c r="C421" s="10" t="s">
        <v>520</v>
      </c>
      <c r="D421" s="10" t="s">
        <v>120</v>
      </c>
      <c r="E421" s="13">
        <v>46226.0</v>
      </c>
      <c r="F421" s="10" t="s">
        <v>35</v>
      </c>
      <c r="I421" s="10" t="s">
        <v>22</v>
      </c>
      <c r="J421" s="9" t="str">
        <f t="shared" si="30"/>
        <v>No</v>
      </c>
      <c r="K421" s="9" t="str">
        <f t="shared" si="31"/>
        <v/>
      </c>
      <c r="L421" s="9" t="str">
        <f t="shared" si="32"/>
        <v/>
      </c>
      <c r="M421" s="9"/>
      <c r="O421" s="9"/>
    </row>
    <row r="422" ht="15.75" customHeight="1">
      <c r="A422" s="9" t="str">
        <f>IFERROR(__xludf.DUMMYFUNCTION("IF(B422="""","""",RIGHT(REGEXREPLACE(B422&amp;"""",""[^0-9]"",""""),9))"),"704071219")</f>
        <v>704071219</v>
      </c>
      <c r="B422" s="48">
        <v>7.04071219E8</v>
      </c>
      <c r="C422" s="10" t="s">
        <v>521</v>
      </c>
      <c r="D422" s="10" t="s">
        <v>50</v>
      </c>
      <c r="E422" s="13">
        <v>46226.0</v>
      </c>
      <c r="F422" s="10" t="s">
        <v>198</v>
      </c>
      <c r="G422" s="10">
        <v>11.0</v>
      </c>
      <c r="I422" s="10" t="s">
        <v>22</v>
      </c>
      <c r="J422" s="9" t="str">
        <f t="shared" si="30"/>
        <v>No</v>
      </c>
      <c r="K422" s="9" t="str">
        <f t="shared" si="31"/>
        <v/>
      </c>
      <c r="L422" s="9" t="str">
        <f t="shared" si="32"/>
        <v/>
      </c>
      <c r="M422" s="9"/>
      <c r="O422" s="9"/>
    </row>
    <row r="423" ht="15.75" customHeight="1">
      <c r="A423" s="9" t="str">
        <f>IFERROR(__xludf.DUMMYFUNCTION("IF(B423="""","""",RIGHT(REGEXREPLACE(B423&amp;"""",""[^0-9]"",""""),9))"),"711390610")</f>
        <v>711390610</v>
      </c>
      <c r="B423" s="48">
        <v>7.1139061E8</v>
      </c>
      <c r="C423" s="10" t="s">
        <v>522</v>
      </c>
      <c r="D423" s="10" t="s">
        <v>34</v>
      </c>
      <c r="E423" s="13">
        <v>46226.0</v>
      </c>
      <c r="F423" s="10" t="s">
        <v>35</v>
      </c>
      <c r="G423" s="10">
        <v>10.0</v>
      </c>
      <c r="I423" s="10" t="s">
        <v>22</v>
      </c>
      <c r="J423" s="9" t="str">
        <f t="shared" si="30"/>
        <v>No</v>
      </c>
      <c r="K423" s="9" t="str">
        <f t="shared" si="31"/>
        <v/>
      </c>
      <c r="L423" s="9" t="str">
        <f t="shared" si="32"/>
        <v/>
      </c>
      <c r="M423" s="9"/>
      <c r="O423" s="9"/>
    </row>
    <row r="424" ht="15.75" customHeight="1">
      <c r="A424" s="9" t="str">
        <f>IFERROR(__xludf.DUMMYFUNCTION("IF(B424="""","""",RIGHT(REGEXREPLACE(B424&amp;"""",""[^0-9]"",""""),9))"),"779793448")</f>
        <v>779793448</v>
      </c>
      <c r="B424" s="48">
        <v>7.79793448E8</v>
      </c>
      <c r="C424" s="10" t="s">
        <v>524</v>
      </c>
      <c r="D424" s="10" t="s">
        <v>69</v>
      </c>
      <c r="E424" s="13">
        <v>46226.0</v>
      </c>
      <c r="F424" s="10" t="s">
        <v>35</v>
      </c>
      <c r="G424" s="10">
        <v>10.0</v>
      </c>
      <c r="I424" s="10" t="s">
        <v>22</v>
      </c>
      <c r="J424" s="9" t="str">
        <f t="shared" si="30"/>
        <v>No</v>
      </c>
      <c r="K424" s="9" t="str">
        <f t="shared" si="31"/>
        <v/>
      </c>
      <c r="L424" s="9" t="str">
        <f t="shared" si="32"/>
        <v/>
      </c>
      <c r="M424" s="9"/>
      <c r="O424" s="9"/>
    </row>
    <row r="425" ht="15.75" customHeight="1">
      <c r="A425" s="9" t="str">
        <f>IFERROR(__xludf.DUMMYFUNCTION("IF(B425="""","""",RIGHT(REGEXREPLACE(B425&amp;"""",""[^0-9]"",""""),9))"),"716861424")</f>
        <v>716861424</v>
      </c>
      <c r="B425" s="48">
        <v>7.16861424E8</v>
      </c>
      <c r="C425" s="10" t="s">
        <v>524</v>
      </c>
      <c r="D425" s="10" t="s">
        <v>69</v>
      </c>
      <c r="E425" s="13">
        <v>46226.0</v>
      </c>
      <c r="F425" s="10" t="s">
        <v>21</v>
      </c>
      <c r="G425" s="10">
        <v>11.0</v>
      </c>
      <c r="I425" s="10" t="s">
        <v>22</v>
      </c>
      <c r="J425" s="9" t="str">
        <f t="shared" si="30"/>
        <v>No</v>
      </c>
      <c r="K425" s="9" t="str">
        <f t="shared" si="31"/>
        <v/>
      </c>
      <c r="L425" s="9" t="str">
        <f t="shared" si="32"/>
        <v/>
      </c>
      <c r="M425" s="9"/>
      <c r="O425" s="9"/>
    </row>
    <row r="426" ht="15.75" customHeight="1">
      <c r="A426" s="9" t="str">
        <f>IFERROR(__xludf.DUMMYFUNCTION("IF(B426="""","""",RIGHT(REGEXREPLACE(B426&amp;"""",""[^0-9]"",""""),9))"),"717985191")</f>
        <v>717985191</v>
      </c>
      <c r="B426" s="48">
        <v>9.4717985191E10</v>
      </c>
      <c r="C426" s="10" t="s">
        <v>525</v>
      </c>
      <c r="D426" s="10" t="s">
        <v>20</v>
      </c>
      <c r="E426" s="13">
        <v>46226.0</v>
      </c>
      <c r="F426" s="10" t="s">
        <v>21</v>
      </c>
      <c r="I426" s="10" t="s">
        <v>22</v>
      </c>
      <c r="J426" s="9" t="str">
        <f t="shared" si="30"/>
        <v>No</v>
      </c>
      <c r="K426" s="9" t="str">
        <f t="shared" si="31"/>
        <v/>
      </c>
      <c r="L426" s="9" t="str">
        <f t="shared" si="32"/>
        <v/>
      </c>
      <c r="M426" s="9"/>
      <c r="O426" s="9"/>
    </row>
    <row r="427" ht="15.75" customHeight="1">
      <c r="A427" s="9" t="str">
        <f>IFERROR(__xludf.DUMMYFUNCTION("IF(B427="""","""",RIGHT(REGEXREPLACE(B427&amp;"""",""[^0-9]"",""""),9))"),"740143038")</f>
        <v>740143038</v>
      </c>
      <c r="B427" s="48">
        <v>9.4740143038E10</v>
      </c>
      <c r="C427" s="10" t="s">
        <v>526</v>
      </c>
      <c r="D427" s="10" t="s">
        <v>20</v>
      </c>
      <c r="E427" s="13">
        <v>46226.0</v>
      </c>
      <c r="F427" s="10" t="s">
        <v>21</v>
      </c>
      <c r="I427" s="10" t="s">
        <v>22</v>
      </c>
      <c r="J427" s="9" t="str">
        <f t="shared" si="30"/>
        <v>No</v>
      </c>
      <c r="K427" s="9" t="str">
        <f t="shared" si="31"/>
        <v/>
      </c>
      <c r="L427" s="9" t="str">
        <f t="shared" si="32"/>
        <v/>
      </c>
      <c r="M427" s="9"/>
      <c r="O427" s="9"/>
    </row>
    <row r="428" ht="15.75" customHeight="1">
      <c r="A428" s="9" t="str">
        <f>IFERROR(__xludf.DUMMYFUNCTION("IF(B428="""","""",RIGHT(REGEXREPLACE(B428&amp;"""",""[^0-9]"",""""),9))"),"718227840")</f>
        <v>718227840</v>
      </c>
      <c r="B428" s="48">
        <v>7.1822784E8</v>
      </c>
      <c r="C428" s="10" t="s">
        <v>527</v>
      </c>
      <c r="D428" s="10" t="s">
        <v>50</v>
      </c>
      <c r="E428" s="13">
        <v>46226.0</v>
      </c>
      <c r="F428" s="10" t="s">
        <v>35</v>
      </c>
      <c r="G428" s="10">
        <v>11.0</v>
      </c>
      <c r="I428" s="10" t="s">
        <v>22</v>
      </c>
      <c r="J428" s="9" t="str">
        <f t="shared" si="30"/>
        <v>No</v>
      </c>
      <c r="K428" s="9" t="str">
        <f t="shared" si="31"/>
        <v/>
      </c>
      <c r="L428" s="9" t="str">
        <f t="shared" si="32"/>
        <v/>
      </c>
      <c r="M428" s="9"/>
      <c r="O428" s="9"/>
    </row>
    <row r="429" ht="15.75" customHeight="1">
      <c r="A429" s="9" t="str">
        <f>IFERROR(__xludf.DUMMYFUNCTION("IF(B429="""","""",RIGHT(REGEXREPLACE(B429&amp;"""",""[^0-9]"",""""),9))"),"772724935")</f>
        <v>772724935</v>
      </c>
      <c r="B429" s="48">
        <v>7.72724935E8</v>
      </c>
      <c r="C429" s="10" t="s">
        <v>528</v>
      </c>
      <c r="D429" s="10" t="s">
        <v>50</v>
      </c>
      <c r="E429" s="13">
        <v>46226.0</v>
      </c>
      <c r="F429" s="10" t="s">
        <v>35</v>
      </c>
      <c r="G429" s="10">
        <v>11.0</v>
      </c>
      <c r="I429" s="10" t="s">
        <v>22</v>
      </c>
      <c r="J429" s="9" t="str">
        <f t="shared" si="30"/>
        <v>No</v>
      </c>
      <c r="K429" s="9" t="str">
        <f t="shared" si="31"/>
        <v/>
      </c>
      <c r="L429" s="9" t="str">
        <f t="shared" si="32"/>
        <v/>
      </c>
      <c r="M429" s="9"/>
      <c r="O429" s="9"/>
    </row>
    <row r="430" ht="15.75" customHeight="1">
      <c r="A430" s="9" t="str">
        <f>IFERROR(__xludf.DUMMYFUNCTION("IF(B430="""","""",RIGHT(REGEXREPLACE(B430&amp;"""",""[^0-9]"",""""),9))"),"718672769")</f>
        <v>718672769</v>
      </c>
      <c r="B430" s="48">
        <v>7.18672769E8</v>
      </c>
      <c r="C430" s="10" t="s">
        <v>529</v>
      </c>
      <c r="D430" s="10" t="s">
        <v>34</v>
      </c>
      <c r="E430" s="13">
        <v>46226.0</v>
      </c>
      <c r="F430" s="10" t="s">
        <v>21</v>
      </c>
      <c r="I430" s="10" t="s">
        <v>22</v>
      </c>
      <c r="J430" s="9" t="str">
        <f t="shared" si="30"/>
        <v>No</v>
      </c>
      <c r="K430" s="9" t="str">
        <f t="shared" si="31"/>
        <v/>
      </c>
      <c r="L430" s="9" t="str">
        <f t="shared" si="32"/>
        <v/>
      </c>
      <c r="M430" s="9"/>
      <c r="O430" s="9"/>
    </row>
    <row r="431" ht="15.75" customHeight="1">
      <c r="A431" s="9" t="str">
        <f>IFERROR(__xludf.DUMMYFUNCTION("IF(B431="""","""",RIGHT(REGEXREPLACE(B431&amp;"""",""[^0-9]"",""""),9))"),"778985748")</f>
        <v>778985748</v>
      </c>
      <c r="B431" s="48">
        <v>9.4778985748E10</v>
      </c>
      <c r="C431" s="10" t="s">
        <v>530</v>
      </c>
      <c r="D431" s="10" t="s">
        <v>20</v>
      </c>
      <c r="E431" s="13">
        <v>46226.0</v>
      </c>
      <c r="F431" s="10" t="s">
        <v>21</v>
      </c>
      <c r="I431" s="10" t="s">
        <v>22</v>
      </c>
      <c r="J431" s="9" t="str">
        <f t="shared" si="30"/>
        <v>No</v>
      </c>
      <c r="K431" s="9" t="str">
        <f t="shared" si="31"/>
        <v/>
      </c>
      <c r="L431" s="9" t="str">
        <f t="shared" si="32"/>
        <v/>
      </c>
      <c r="M431" s="9"/>
      <c r="O431" s="9"/>
    </row>
    <row r="432" ht="15.75" customHeight="1">
      <c r="A432" s="9" t="str">
        <f>IFERROR(__xludf.DUMMYFUNCTION("IF(B432="""","""",RIGHT(REGEXREPLACE(B432&amp;"""",""[^0-9]"",""""),9))"),"703550792")</f>
        <v>703550792</v>
      </c>
      <c r="B432" s="48">
        <v>9.4703550792E10</v>
      </c>
      <c r="C432" s="10" t="s">
        <v>531</v>
      </c>
      <c r="D432" s="10" t="s">
        <v>20</v>
      </c>
      <c r="E432" s="13">
        <v>46226.0</v>
      </c>
      <c r="F432" s="10" t="s">
        <v>35</v>
      </c>
      <c r="G432" s="10">
        <v>10.0</v>
      </c>
      <c r="H432" s="10" t="s">
        <v>532</v>
      </c>
      <c r="I432" s="10" t="s">
        <v>22</v>
      </c>
      <c r="J432" s="9" t="str">
        <f t="shared" si="30"/>
        <v>No</v>
      </c>
      <c r="K432" s="9" t="str">
        <f t="shared" si="31"/>
        <v/>
      </c>
      <c r="L432" s="9" t="str">
        <f t="shared" si="32"/>
        <v/>
      </c>
      <c r="M432" s="9"/>
      <c r="O432" s="9"/>
    </row>
    <row r="433" ht="15.75" customHeight="1">
      <c r="A433" s="9" t="str">
        <f>IFERROR(__xludf.DUMMYFUNCTION("IF(B433="""","""",RIGHT(REGEXREPLACE(B433&amp;"""",""[^0-9]"",""""),9))"),"763806614")</f>
        <v>763806614</v>
      </c>
      <c r="B433" s="48">
        <v>7.63806614E8</v>
      </c>
      <c r="C433" s="10" t="s">
        <v>533</v>
      </c>
      <c r="D433" s="10" t="s">
        <v>50</v>
      </c>
      <c r="E433" s="13">
        <v>46226.0</v>
      </c>
      <c r="F433" s="10" t="s">
        <v>35</v>
      </c>
      <c r="G433" s="10">
        <v>11.0</v>
      </c>
      <c r="I433" s="10" t="s">
        <v>22</v>
      </c>
      <c r="J433" s="9" t="str">
        <f t="shared" si="30"/>
        <v>No</v>
      </c>
      <c r="K433" s="9" t="str">
        <f t="shared" si="31"/>
        <v/>
      </c>
      <c r="L433" s="9" t="str">
        <f t="shared" si="32"/>
        <v/>
      </c>
      <c r="M433" s="9"/>
      <c r="O433" s="9"/>
    </row>
    <row r="434" ht="15.75" customHeight="1">
      <c r="A434" s="9" t="str">
        <f>IFERROR(__xludf.DUMMYFUNCTION("IF(B434="""","""",RIGHT(REGEXREPLACE(B434&amp;"""",""[^0-9]"",""""),9))"),"751556264")</f>
        <v>751556264</v>
      </c>
      <c r="B434" s="48">
        <v>7.51556264E8</v>
      </c>
      <c r="C434" s="10" t="s">
        <v>534</v>
      </c>
      <c r="D434" s="10" t="s">
        <v>34</v>
      </c>
      <c r="E434" s="13">
        <v>46226.0</v>
      </c>
      <c r="F434" s="10" t="s">
        <v>171</v>
      </c>
      <c r="H434" s="10" t="s">
        <v>535</v>
      </c>
      <c r="I434" s="10" t="s">
        <v>22</v>
      </c>
      <c r="J434" s="9" t="str">
        <f t="shared" si="30"/>
        <v>No</v>
      </c>
      <c r="K434" s="9" t="str">
        <f t="shared" si="31"/>
        <v/>
      </c>
      <c r="L434" s="9" t="str">
        <f t="shared" si="32"/>
        <v/>
      </c>
      <c r="M434" s="9"/>
      <c r="O434" s="9"/>
    </row>
    <row r="435" ht="15.75" customHeight="1">
      <c r="A435" s="9" t="str">
        <f>IFERROR(__xludf.DUMMYFUNCTION("IF(B435="""","""",RIGHT(REGEXREPLACE(B435&amp;"""",""[^0-9]"",""""),9))"),"779401791")</f>
        <v>779401791</v>
      </c>
      <c r="B435" s="48">
        <v>7.79401791E8</v>
      </c>
      <c r="C435" s="10" t="s">
        <v>536</v>
      </c>
      <c r="D435" s="10" t="s">
        <v>69</v>
      </c>
      <c r="E435" s="13">
        <v>46226.0</v>
      </c>
      <c r="F435" s="10" t="s">
        <v>21</v>
      </c>
      <c r="I435" s="10" t="s">
        <v>22</v>
      </c>
      <c r="J435" s="9" t="str">
        <f t="shared" si="30"/>
        <v>No</v>
      </c>
      <c r="K435" s="9" t="str">
        <f t="shared" si="31"/>
        <v/>
      </c>
      <c r="L435" s="9" t="str">
        <f t="shared" si="32"/>
        <v/>
      </c>
      <c r="M435" s="9"/>
      <c r="O435" s="9"/>
    </row>
    <row r="436" ht="15.75" customHeight="1">
      <c r="A436" s="9" t="str">
        <f>IFERROR(__xludf.DUMMYFUNCTION("IF(B436="""","""",RIGHT(REGEXREPLACE(B436&amp;"""",""[^0-9]"",""""),9))"),"769995215")</f>
        <v>769995215</v>
      </c>
      <c r="B436" s="10">
        <v>9.4769995215E10</v>
      </c>
      <c r="C436" s="10" t="s">
        <v>537</v>
      </c>
      <c r="D436" s="10" t="s">
        <v>44</v>
      </c>
      <c r="E436" s="13">
        <v>46226.0</v>
      </c>
      <c r="F436" s="10" t="s">
        <v>21</v>
      </c>
      <c r="G436" s="10">
        <v>11.0</v>
      </c>
      <c r="I436" s="10" t="s">
        <v>22</v>
      </c>
      <c r="J436" s="9" t="str">
        <f t="shared" si="30"/>
        <v>No</v>
      </c>
      <c r="K436" s="9" t="str">
        <f t="shared" si="31"/>
        <v/>
      </c>
      <c r="L436" s="9" t="str">
        <f t="shared" si="32"/>
        <v/>
      </c>
      <c r="M436" s="9"/>
      <c r="O436" s="9"/>
    </row>
    <row r="437" ht="15.75" customHeight="1">
      <c r="A437" s="9" t="str">
        <f>IFERROR(__xludf.DUMMYFUNCTION("IF(B437="""","""",RIGHT(REGEXREPLACE(B437&amp;"""",""[^0-9]"",""""),9))"),"783136223")</f>
        <v>783136223</v>
      </c>
      <c r="B437" s="48">
        <v>9.4783136223E10</v>
      </c>
      <c r="C437" s="10" t="s">
        <v>539</v>
      </c>
      <c r="D437" s="10" t="s">
        <v>20</v>
      </c>
      <c r="E437" s="13">
        <v>46226.0</v>
      </c>
      <c r="F437" s="10" t="s">
        <v>35</v>
      </c>
      <c r="G437" s="10">
        <v>11.0</v>
      </c>
      <c r="H437" s="10" t="s">
        <v>540</v>
      </c>
      <c r="I437" s="10" t="s">
        <v>22</v>
      </c>
      <c r="J437" s="9" t="str">
        <f t="shared" si="30"/>
        <v>No</v>
      </c>
      <c r="K437" s="9" t="str">
        <f t="shared" si="31"/>
        <v/>
      </c>
      <c r="L437" s="9" t="str">
        <f t="shared" si="32"/>
        <v/>
      </c>
      <c r="M437" s="9"/>
      <c r="O437" s="9"/>
    </row>
    <row r="438" ht="15.75" customHeight="1">
      <c r="A438" s="9" t="str">
        <f>IFERROR(__xludf.DUMMYFUNCTION("IF(B438="""","""",RIGHT(REGEXREPLACE(B438&amp;"""",""[^0-9]"",""""),9))"),"756009959")</f>
        <v>756009959</v>
      </c>
      <c r="B438" s="10">
        <v>7.56009959E8</v>
      </c>
      <c r="C438" s="10" t="s">
        <v>543</v>
      </c>
      <c r="D438" s="10" t="s">
        <v>120</v>
      </c>
      <c r="E438" s="13">
        <v>46226.0</v>
      </c>
      <c r="F438" s="10" t="s">
        <v>35</v>
      </c>
      <c r="H438" s="10" t="s">
        <v>547</v>
      </c>
      <c r="I438" s="10" t="s">
        <v>22</v>
      </c>
      <c r="J438" s="9" t="str">
        <f t="shared" si="30"/>
        <v>No</v>
      </c>
      <c r="K438" s="9" t="str">
        <f t="shared" si="31"/>
        <v/>
      </c>
      <c r="L438" s="9" t="str">
        <f t="shared" si="32"/>
        <v/>
      </c>
      <c r="M438" s="9"/>
      <c r="O438" s="9"/>
    </row>
    <row r="439" ht="15.75" customHeight="1">
      <c r="A439" s="9" t="str">
        <f>IFERROR(__xludf.DUMMYFUNCTION("IF(B439="""","""",RIGHT(REGEXREPLACE(B439&amp;"""",""[^0-9]"",""""),9))"),"776812432")</f>
        <v>776812432</v>
      </c>
      <c r="B439" s="48">
        <v>7.76812432E8</v>
      </c>
      <c r="C439" s="10" t="s">
        <v>549</v>
      </c>
      <c r="D439" s="10" t="s">
        <v>34</v>
      </c>
      <c r="E439" s="13">
        <v>46226.0</v>
      </c>
      <c r="F439" s="10" t="s">
        <v>21</v>
      </c>
      <c r="I439" s="10" t="s">
        <v>22</v>
      </c>
      <c r="J439" s="9" t="str">
        <f t="shared" si="30"/>
        <v>No</v>
      </c>
      <c r="K439" s="9" t="str">
        <f t="shared" si="31"/>
        <v/>
      </c>
      <c r="L439" s="9" t="str">
        <f t="shared" si="32"/>
        <v/>
      </c>
      <c r="M439" s="9"/>
      <c r="O439" s="9"/>
    </row>
    <row r="440" ht="15.75" customHeight="1">
      <c r="A440" s="9" t="str">
        <f>IFERROR(__xludf.DUMMYFUNCTION("IF(B440="""","""",RIGHT(REGEXREPLACE(B440&amp;"""",""[^0-9]"",""""),9))"),"759071029")</f>
        <v>759071029</v>
      </c>
      <c r="B440" s="48">
        <v>7.59071029E8</v>
      </c>
      <c r="C440" s="10" t="s">
        <v>550</v>
      </c>
      <c r="D440" s="10" t="s">
        <v>69</v>
      </c>
      <c r="E440" s="13">
        <v>46226.0</v>
      </c>
      <c r="F440" s="10" t="s">
        <v>21</v>
      </c>
      <c r="G440" s="10">
        <v>11.0</v>
      </c>
      <c r="I440" s="10" t="s">
        <v>22</v>
      </c>
      <c r="J440" s="9" t="str">
        <f t="shared" si="30"/>
        <v>No</v>
      </c>
      <c r="K440" s="9" t="str">
        <f t="shared" si="31"/>
        <v/>
      </c>
      <c r="L440" s="9" t="str">
        <f t="shared" si="32"/>
        <v/>
      </c>
      <c r="M440" s="9"/>
      <c r="O440" s="9"/>
    </row>
    <row r="441" ht="15.75" customHeight="1">
      <c r="A441" s="9" t="str">
        <f>IFERROR(__xludf.DUMMYFUNCTION("IF(B441="""","""",RIGHT(REGEXREPLACE(B441&amp;"""",""[^0-9]"",""""),9))"),"769995215")</f>
        <v>769995215</v>
      </c>
      <c r="B441" s="48">
        <v>9.4769995215E10</v>
      </c>
      <c r="C441" s="10" t="s">
        <v>537</v>
      </c>
      <c r="D441" s="10" t="s">
        <v>20</v>
      </c>
      <c r="E441" s="13">
        <v>46226.0</v>
      </c>
      <c r="F441" s="10" t="s">
        <v>551</v>
      </c>
      <c r="I441" s="10" t="s">
        <v>22</v>
      </c>
      <c r="J441" s="9" t="str">
        <f t="shared" si="30"/>
        <v>Yes - see Previous F-Code</v>
      </c>
      <c r="K441" s="9" t="str">
        <f t="shared" si="31"/>
        <v>DUPLICATE - CHECK</v>
      </c>
      <c r="L441" s="9" t="str">
        <f t="shared" si="32"/>
        <v>F70405</v>
      </c>
      <c r="M441" s="9"/>
      <c r="O441" s="9"/>
    </row>
    <row r="442" ht="15.75" customHeight="1">
      <c r="A442" s="9" t="str">
        <f>IFERROR(__xludf.DUMMYFUNCTION("IF(B442="""","""",RIGHT(REGEXREPLACE(B442&amp;"""",""[^0-9]"",""""),9))"),"779404497")</f>
        <v>779404497</v>
      </c>
      <c r="B442" s="48">
        <v>7.79404497E8</v>
      </c>
      <c r="C442" s="10" t="s">
        <v>552</v>
      </c>
      <c r="D442" s="10" t="s">
        <v>120</v>
      </c>
      <c r="E442" s="13">
        <v>46226.0</v>
      </c>
      <c r="F442" s="10" t="s">
        <v>145</v>
      </c>
      <c r="I442" s="10" t="s">
        <v>22</v>
      </c>
      <c r="J442" s="9" t="str">
        <f t="shared" si="30"/>
        <v>No</v>
      </c>
      <c r="K442" s="9" t="str">
        <f t="shared" si="31"/>
        <v/>
      </c>
      <c r="L442" s="9" t="str">
        <f t="shared" si="32"/>
        <v/>
      </c>
      <c r="M442" s="9"/>
      <c r="O442" s="9"/>
    </row>
    <row r="443" ht="15.75" customHeight="1">
      <c r="A443" s="9" t="str">
        <f>IFERROR(__xludf.DUMMYFUNCTION("IF(B443="""","""",RIGHT(REGEXREPLACE(B443&amp;"""",""[^0-9]"",""""),9))"),"725068358")</f>
        <v>725068358</v>
      </c>
      <c r="B443" s="48">
        <v>7.25068358E8</v>
      </c>
      <c r="C443" s="10" t="s">
        <v>553</v>
      </c>
      <c r="D443" s="10" t="s">
        <v>50</v>
      </c>
      <c r="E443" s="13">
        <v>46226.0</v>
      </c>
      <c r="F443" s="10" t="s">
        <v>35</v>
      </c>
      <c r="G443" s="10">
        <v>11.0</v>
      </c>
      <c r="I443" s="10" t="s">
        <v>22</v>
      </c>
      <c r="J443" s="9" t="str">
        <f t="shared" si="30"/>
        <v>No</v>
      </c>
      <c r="K443" s="9" t="str">
        <f t="shared" si="31"/>
        <v/>
      </c>
      <c r="L443" s="9" t="str">
        <f t="shared" si="32"/>
        <v/>
      </c>
      <c r="M443" s="9"/>
      <c r="O443" s="9"/>
    </row>
    <row r="444" ht="15.75" customHeight="1">
      <c r="A444" s="9" t="str">
        <f>IFERROR(__xludf.DUMMYFUNCTION("IF(B444="""","""",RIGHT(REGEXREPLACE(B444&amp;"""",""[^0-9]"",""""),9))"),"725667338")</f>
        <v>725667338</v>
      </c>
      <c r="B444" s="48">
        <v>7.25667338E8</v>
      </c>
      <c r="C444" s="10" t="s">
        <v>554</v>
      </c>
      <c r="D444" s="10" t="s">
        <v>69</v>
      </c>
      <c r="E444" s="13">
        <v>46226.0</v>
      </c>
      <c r="F444" s="10" t="s">
        <v>21</v>
      </c>
      <c r="I444" s="10" t="s">
        <v>22</v>
      </c>
      <c r="J444" s="9" t="str">
        <f t="shared" si="30"/>
        <v>No</v>
      </c>
      <c r="K444" s="9" t="str">
        <f t="shared" si="31"/>
        <v/>
      </c>
      <c r="L444" s="9" t="str">
        <f t="shared" si="32"/>
        <v/>
      </c>
      <c r="M444" s="9"/>
      <c r="O444" s="9"/>
    </row>
    <row r="445" ht="15.75" customHeight="1">
      <c r="A445" s="9" t="str">
        <f>IFERROR(__xludf.DUMMYFUNCTION("IF(B445="""","""",RIGHT(REGEXREPLACE(B445&amp;"""",""[^0-9]"",""""),9))"),"770707114")</f>
        <v>770707114</v>
      </c>
      <c r="B445" s="48">
        <v>7.70707114E8</v>
      </c>
      <c r="C445" s="10" t="s">
        <v>555</v>
      </c>
      <c r="D445" s="10" t="s">
        <v>34</v>
      </c>
      <c r="E445" s="13">
        <v>46226.0</v>
      </c>
      <c r="F445" s="10" t="s">
        <v>145</v>
      </c>
      <c r="I445" s="10" t="s">
        <v>22</v>
      </c>
      <c r="J445" s="9" t="str">
        <f t="shared" si="30"/>
        <v>No</v>
      </c>
      <c r="K445" s="9" t="str">
        <f t="shared" si="31"/>
        <v/>
      </c>
      <c r="L445" s="9" t="str">
        <f t="shared" si="32"/>
        <v/>
      </c>
      <c r="M445" s="9"/>
      <c r="O445" s="9"/>
    </row>
    <row r="446" ht="15.75" customHeight="1">
      <c r="A446" s="9" t="str">
        <f>IFERROR(__xludf.DUMMYFUNCTION("IF(B446="""","""",RIGHT(REGEXREPLACE(B446&amp;"""",""[^0-9]"",""""),9))"),"726893988")</f>
        <v>726893988</v>
      </c>
      <c r="B446" s="48">
        <v>9.4726893988E10</v>
      </c>
      <c r="C446" s="10" t="s">
        <v>556</v>
      </c>
      <c r="D446" s="10" t="s">
        <v>44</v>
      </c>
      <c r="E446" s="13">
        <v>46226.0</v>
      </c>
      <c r="F446" s="10" t="s">
        <v>35</v>
      </c>
      <c r="G446" s="10">
        <v>11.0</v>
      </c>
      <c r="I446" s="10" t="s">
        <v>22</v>
      </c>
      <c r="J446" s="9" t="str">
        <f t="shared" si="30"/>
        <v>No</v>
      </c>
      <c r="K446" s="9" t="str">
        <f t="shared" si="31"/>
        <v/>
      </c>
      <c r="L446" s="9" t="str">
        <f t="shared" si="32"/>
        <v/>
      </c>
      <c r="M446" s="9"/>
      <c r="O446" s="9"/>
    </row>
    <row r="447" ht="15.75" customHeight="1">
      <c r="A447" s="9" t="str">
        <f>IFERROR(__xludf.DUMMYFUNCTION("IF(B447="""","""",RIGHT(REGEXREPLACE(B447&amp;"""",""[^0-9]"",""""),9))"),"779169207")</f>
        <v>779169207</v>
      </c>
      <c r="B447" s="48">
        <v>9.4779169207E10</v>
      </c>
      <c r="C447" s="10" t="s">
        <v>557</v>
      </c>
      <c r="D447" s="10" t="s">
        <v>20</v>
      </c>
      <c r="E447" s="13">
        <v>46226.0</v>
      </c>
      <c r="F447" s="10" t="s">
        <v>113</v>
      </c>
      <c r="I447" s="10" t="s">
        <v>22</v>
      </c>
      <c r="J447" s="9" t="str">
        <f t="shared" si="30"/>
        <v>No</v>
      </c>
      <c r="K447" s="9" t="str">
        <f t="shared" si="31"/>
        <v/>
      </c>
      <c r="L447" s="9" t="str">
        <f t="shared" si="32"/>
        <v/>
      </c>
      <c r="M447" s="9"/>
      <c r="O447" s="9"/>
    </row>
    <row r="448" ht="15.75" customHeight="1">
      <c r="A448" s="9" t="str">
        <f>IFERROR(__xludf.DUMMYFUNCTION("IF(B448="""","""",RIGHT(REGEXREPLACE(B448&amp;"""",""[^0-9]"",""""),9))"),"778647036")</f>
        <v>778647036</v>
      </c>
      <c r="B448" s="48">
        <v>9.4778647036E10</v>
      </c>
      <c r="C448" s="10" t="s">
        <v>558</v>
      </c>
      <c r="D448" s="10" t="s">
        <v>20</v>
      </c>
      <c r="E448" s="13">
        <v>46226.0</v>
      </c>
      <c r="F448" s="10" t="s">
        <v>21</v>
      </c>
      <c r="I448" s="10" t="s">
        <v>22</v>
      </c>
      <c r="J448" s="9" t="str">
        <f t="shared" si="30"/>
        <v>No</v>
      </c>
      <c r="K448" s="9" t="str">
        <f t="shared" si="31"/>
        <v/>
      </c>
      <c r="L448" s="9" t="str">
        <f t="shared" si="32"/>
        <v/>
      </c>
      <c r="M448" s="9"/>
      <c r="O448" s="9"/>
    </row>
    <row r="449" ht="15.75" customHeight="1">
      <c r="A449" s="9" t="str">
        <f>IFERROR(__xludf.DUMMYFUNCTION("IF(B449="""","""",RIGHT(REGEXREPLACE(B449&amp;"""",""[^0-9]"",""""),9))"),"742275029")</f>
        <v>742275029</v>
      </c>
      <c r="B449" s="48">
        <v>7.42275029E8</v>
      </c>
      <c r="C449" s="10" t="s">
        <v>559</v>
      </c>
      <c r="D449" s="10" t="s">
        <v>120</v>
      </c>
      <c r="E449" s="13">
        <v>46226.0</v>
      </c>
      <c r="F449" s="10" t="s">
        <v>21</v>
      </c>
      <c r="I449" s="10" t="s">
        <v>22</v>
      </c>
      <c r="J449" s="9" t="str">
        <f t="shared" si="30"/>
        <v>No</v>
      </c>
      <c r="K449" s="9" t="str">
        <f t="shared" si="31"/>
        <v/>
      </c>
      <c r="L449" s="9" t="str">
        <f t="shared" si="32"/>
        <v/>
      </c>
      <c r="M449" s="9"/>
      <c r="O449" s="9"/>
    </row>
    <row r="450" ht="15.75" customHeight="1">
      <c r="A450" s="9" t="str">
        <f>IFERROR(__xludf.DUMMYFUNCTION("IF(B450="""","""",RIGHT(REGEXREPLACE(B450&amp;"""",""[^0-9]"",""""),9))"),"719145037")</f>
        <v>719145037</v>
      </c>
      <c r="B450" s="48">
        <v>7.19145037E8</v>
      </c>
      <c r="C450" s="10" t="s">
        <v>560</v>
      </c>
      <c r="D450" s="10" t="s">
        <v>50</v>
      </c>
      <c r="E450" s="13">
        <v>46226.0</v>
      </c>
      <c r="F450" s="10" t="s">
        <v>35</v>
      </c>
      <c r="G450" s="10">
        <v>11.0</v>
      </c>
      <c r="I450" s="10" t="s">
        <v>22</v>
      </c>
      <c r="J450" s="9" t="str">
        <f t="shared" si="30"/>
        <v>No</v>
      </c>
      <c r="K450" s="9" t="str">
        <f t="shared" si="31"/>
        <v/>
      </c>
      <c r="L450" s="9" t="str">
        <f t="shared" si="32"/>
        <v/>
      </c>
      <c r="M450" s="9"/>
      <c r="O450" s="9"/>
    </row>
    <row r="451" ht="15.75" customHeight="1">
      <c r="A451" s="9" t="str">
        <f>IFERROR(__xludf.DUMMYFUNCTION("IF(B451="""","""",RIGHT(REGEXREPLACE(B451&amp;"""",""[^0-9]"",""""),9))"),"776850249")</f>
        <v>776850249</v>
      </c>
      <c r="B451" s="48">
        <v>7.76850249E8</v>
      </c>
      <c r="C451" s="10" t="s">
        <v>561</v>
      </c>
      <c r="D451" s="10" t="s">
        <v>34</v>
      </c>
      <c r="E451" s="13">
        <v>46226.0</v>
      </c>
      <c r="F451" s="10" t="s">
        <v>35</v>
      </c>
      <c r="G451" s="10">
        <v>11.0</v>
      </c>
      <c r="I451" s="10" t="s">
        <v>22</v>
      </c>
      <c r="J451" s="9" t="str">
        <f t="shared" si="30"/>
        <v>No</v>
      </c>
      <c r="K451" s="9" t="str">
        <f t="shared" si="31"/>
        <v/>
      </c>
      <c r="L451" s="9" t="str">
        <f t="shared" si="32"/>
        <v/>
      </c>
      <c r="M451" s="9"/>
      <c r="O451" s="9"/>
    </row>
    <row r="452" ht="15.75" customHeight="1">
      <c r="A452" s="9" t="str">
        <f>IFERROR(__xludf.DUMMYFUNCTION("IF(B452="""","""",RIGHT(REGEXREPLACE(B452&amp;"""",""[^0-9]"",""""),9))"),"778760848")</f>
        <v>778760848</v>
      </c>
      <c r="B452" s="48">
        <v>9.4778760848E10</v>
      </c>
      <c r="C452" s="10" t="s">
        <v>562</v>
      </c>
      <c r="D452" s="10" t="s">
        <v>20</v>
      </c>
      <c r="E452" s="13">
        <v>46226.0</v>
      </c>
      <c r="F452" s="10" t="s">
        <v>21</v>
      </c>
      <c r="I452" s="10" t="s">
        <v>22</v>
      </c>
      <c r="J452" s="9" t="str">
        <f t="shared" si="30"/>
        <v>No</v>
      </c>
      <c r="K452" s="9" t="str">
        <f t="shared" si="31"/>
        <v/>
      </c>
      <c r="L452" s="9" t="str">
        <f t="shared" si="32"/>
        <v/>
      </c>
      <c r="M452" s="9"/>
      <c r="O452" s="9"/>
    </row>
    <row r="453" ht="15.75" customHeight="1">
      <c r="A453" s="9" t="str">
        <f>IFERROR(__xludf.DUMMYFUNCTION("IF(B453="""","""",RIGHT(REGEXREPLACE(B453&amp;"""",""[^0-9]"",""""),9))"),"711104009")</f>
        <v>711104009</v>
      </c>
      <c r="B453" s="48">
        <v>9.4711104009E10</v>
      </c>
      <c r="C453" s="10" t="s">
        <v>563</v>
      </c>
      <c r="D453" s="10" t="s">
        <v>44</v>
      </c>
      <c r="E453" s="13">
        <v>46226.0</v>
      </c>
      <c r="F453" s="10" t="s">
        <v>198</v>
      </c>
      <c r="I453" s="10" t="s">
        <v>22</v>
      </c>
      <c r="J453" s="9" t="str">
        <f t="shared" si="30"/>
        <v>No</v>
      </c>
      <c r="K453" s="9" t="str">
        <f t="shared" si="31"/>
        <v/>
      </c>
      <c r="L453" s="9" t="str">
        <f t="shared" si="32"/>
        <v/>
      </c>
      <c r="M453" s="9"/>
      <c r="O453" s="9"/>
    </row>
    <row r="454" ht="15.75" customHeight="1">
      <c r="A454" s="9" t="str">
        <f>IFERROR(__xludf.DUMMYFUNCTION("IF(B454="""","""",RIGHT(REGEXREPLACE(B454&amp;"""",""[^0-9]"",""""),9))"),"753349574")</f>
        <v>753349574</v>
      </c>
      <c r="B454" s="48">
        <v>7.53349574E8</v>
      </c>
      <c r="C454" s="10" t="s">
        <v>564</v>
      </c>
      <c r="D454" s="10" t="s">
        <v>69</v>
      </c>
      <c r="E454" s="13">
        <v>46226.0</v>
      </c>
      <c r="F454" s="10" t="s">
        <v>198</v>
      </c>
      <c r="I454" s="10" t="s">
        <v>22</v>
      </c>
      <c r="J454" s="9" t="str">
        <f t="shared" si="30"/>
        <v>No</v>
      </c>
      <c r="K454" s="9" t="str">
        <f t="shared" si="31"/>
        <v/>
      </c>
      <c r="L454" s="9" t="str">
        <f t="shared" si="32"/>
        <v/>
      </c>
      <c r="M454" s="9"/>
      <c r="O454" s="9"/>
    </row>
    <row r="455" ht="15.75" customHeight="1">
      <c r="A455" s="9" t="str">
        <f>IFERROR(__xludf.DUMMYFUNCTION("IF(B455="""","""",RIGHT(REGEXREPLACE(B455&amp;"""",""[^0-9]"",""""),9))"),"714297973")</f>
        <v>714297973</v>
      </c>
      <c r="B455" s="48">
        <v>7.14297973E8</v>
      </c>
      <c r="C455" s="10" t="s">
        <v>565</v>
      </c>
      <c r="D455" s="10" t="s">
        <v>120</v>
      </c>
      <c r="E455" s="13">
        <v>46226.0</v>
      </c>
      <c r="F455" s="10" t="s">
        <v>198</v>
      </c>
      <c r="I455" s="10" t="s">
        <v>22</v>
      </c>
      <c r="J455" s="9" t="str">
        <f t="shared" si="30"/>
        <v>No</v>
      </c>
      <c r="K455" s="9" t="str">
        <f t="shared" si="31"/>
        <v/>
      </c>
      <c r="L455" s="9" t="str">
        <f t="shared" si="32"/>
        <v/>
      </c>
      <c r="M455" s="9"/>
      <c r="O455" s="9"/>
    </row>
    <row r="456" ht="15.75" customHeight="1">
      <c r="A456" s="9" t="str">
        <f>IFERROR(__xludf.DUMMYFUNCTION("IF(B456="""","""",RIGHT(REGEXREPLACE(B456&amp;"""",""[^0-9]"",""""),9))"),"752847157")</f>
        <v>752847157</v>
      </c>
      <c r="B456" s="48">
        <v>9.4752847157E10</v>
      </c>
      <c r="C456" s="10" t="s">
        <v>566</v>
      </c>
      <c r="D456" s="10" t="s">
        <v>20</v>
      </c>
      <c r="E456" s="13">
        <v>46226.0</v>
      </c>
      <c r="F456" s="10" t="s">
        <v>113</v>
      </c>
      <c r="G456" s="10">
        <v>11.0</v>
      </c>
      <c r="H456" s="10" t="s">
        <v>567</v>
      </c>
      <c r="I456" s="10" t="s">
        <v>22</v>
      </c>
      <c r="J456" s="9" t="str">
        <f t="shared" si="30"/>
        <v>No</v>
      </c>
      <c r="K456" s="9" t="str">
        <f t="shared" si="31"/>
        <v/>
      </c>
      <c r="L456" s="9" t="str">
        <f t="shared" si="32"/>
        <v/>
      </c>
      <c r="M456" s="9"/>
      <c r="O456" s="9"/>
    </row>
    <row r="457" ht="15.75" customHeight="1">
      <c r="A457" s="9" t="str">
        <f>IFERROR(__xludf.DUMMYFUNCTION("IF(B457="""","""",RIGHT(REGEXREPLACE(B457&amp;"""",""[^0-9]"",""""),9))"),"714235597")</f>
        <v>714235597</v>
      </c>
      <c r="B457" s="48">
        <v>7.14235597E8</v>
      </c>
      <c r="C457" s="10" t="s">
        <v>568</v>
      </c>
      <c r="D457" s="10" t="s">
        <v>50</v>
      </c>
      <c r="E457" s="13">
        <v>46226.0</v>
      </c>
      <c r="F457" s="10" t="s">
        <v>35</v>
      </c>
      <c r="G457" s="10">
        <v>11.0</v>
      </c>
      <c r="I457" s="10" t="s">
        <v>22</v>
      </c>
      <c r="J457" s="9" t="str">
        <f t="shared" si="30"/>
        <v>No</v>
      </c>
      <c r="K457" s="9" t="str">
        <f t="shared" si="31"/>
        <v/>
      </c>
      <c r="L457" s="9" t="str">
        <f t="shared" si="32"/>
        <v/>
      </c>
      <c r="M457" s="9"/>
      <c r="O457" s="9"/>
    </row>
    <row r="458" ht="15.75" customHeight="1">
      <c r="A458" s="9" t="str">
        <f>IFERROR(__xludf.DUMMYFUNCTION("IF(B458="""","""",RIGHT(REGEXREPLACE(B458&amp;"""",""[^0-9]"",""""),9))"),"750227065")</f>
        <v>750227065</v>
      </c>
      <c r="B458" s="48">
        <v>9.4750227065E10</v>
      </c>
      <c r="C458" s="10" t="s">
        <v>569</v>
      </c>
      <c r="D458" s="10" t="s">
        <v>44</v>
      </c>
      <c r="E458" s="13">
        <v>46226.0</v>
      </c>
      <c r="F458" s="10" t="s">
        <v>21</v>
      </c>
      <c r="I458" s="10" t="s">
        <v>22</v>
      </c>
      <c r="J458" s="9" t="str">
        <f t="shared" si="30"/>
        <v>No</v>
      </c>
      <c r="K458" s="9" t="str">
        <f t="shared" si="31"/>
        <v/>
      </c>
      <c r="L458" s="9" t="str">
        <f t="shared" si="32"/>
        <v/>
      </c>
      <c r="M458" s="9"/>
      <c r="O458" s="9"/>
    </row>
    <row r="459" ht="15.75" customHeight="1">
      <c r="A459" s="9" t="str">
        <f>IFERROR(__xludf.DUMMYFUNCTION("IF(B459="""","""",RIGHT(REGEXREPLACE(B459&amp;"""",""[^0-9]"",""""),9))"),"767032441")</f>
        <v>767032441</v>
      </c>
      <c r="B459" s="48">
        <v>7.67032441E8</v>
      </c>
      <c r="C459" s="10" t="s">
        <v>570</v>
      </c>
      <c r="D459" s="10" t="s">
        <v>69</v>
      </c>
      <c r="E459" s="13">
        <v>46226.0</v>
      </c>
      <c r="F459" s="10" t="s">
        <v>145</v>
      </c>
      <c r="G459" s="10">
        <v>11.0</v>
      </c>
      <c r="I459" s="10" t="s">
        <v>22</v>
      </c>
      <c r="J459" s="9" t="str">
        <f t="shared" si="30"/>
        <v>No</v>
      </c>
      <c r="K459" s="9" t="str">
        <f t="shared" si="31"/>
        <v/>
      </c>
      <c r="L459" s="9" t="str">
        <f t="shared" si="32"/>
        <v/>
      </c>
      <c r="M459" s="9"/>
      <c r="O459" s="9"/>
    </row>
    <row r="460" ht="15.75" customHeight="1">
      <c r="A460" s="9" t="str">
        <f>IFERROR(__xludf.DUMMYFUNCTION("IF(B460="""","""",RIGHT(REGEXREPLACE(B460&amp;"""",""[^0-9]"",""""),9))"),"774200314")</f>
        <v>774200314</v>
      </c>
      <c r="B460" s="48">
        <v>9.4774200314E10</v>
      </c>
      <c r="C460" s="10" t="s">
        <v>571</v>
      </c>
      <c r="D460" s="10" t="s">
        <v>20</v>
      </c>
      <c r="E460" s="13">
        <v>46226.0</v>
      </c>
      <c r="F460" s="10" t="s">
        <v>572</v>
      </c>
      <c r="H460" s="10" t="s">
        <v>573</v>
      </c>
      <c r="I460" s="10" t="s">
        <v>22</v>
      </c>
      <c r="J460" s="9" t="str">
        <f t="shared" si="30"/>
        <v>No</v>
      </c>
      <c r="K460" s="9" t="str">
        <f t="shared" si="31"/>
        <v/>
      </c>
      <c r="L460" s="9" t="str">
        <f t="shared" si="32"/>
        <v/>
      </c>
      <c r="M460" s="9"/>
      <c r="O460" s="9"/>
    </row>
    <row r="461" ht="15.75" customHeight="1">
      <c r="A461" s="9" t="str">
        <f>IFERROR(__xludf.DUMMYFUNCTION("IF(B461="""","""",RIGHT(REGEXREPLACE(B461&amp;"""",""[^0-9]"",""""),9))"),"761368326")</f>
        <v>761368326</v>
      </c>
      <c r="B461" s="48">
        <v>7.61368326E8</v>
      </c>
      <c r="C461" s="10" t="s">
        <v>574</v>
      </c>
      <c r="D461" s="10" t="s">
        <v>34</v>
      </c>
      <c r="E461" s="13">
        <v>46226.0</v>
      </c>
      <c r="F461" s="10" t="s">
        <v>35</v>
      </c>
      <c r="G461" s="10">
        <v>11.0</v>
      </c>
      <c r="I461" s="10" t="s">
        <v>22</v>
      </c>
      <c r="J461" s="9" t="str">
        <f t="shared" si="30"/>
        <v>No</v>
      </c>
      <c r="K461" s="9" t="str">
        <f t="shared" si="31"/>
        <v/>
      </c>
      <c r="L461" s="9" t="str">
        <f t="shared" si="32"/>
        <v/>
      </c>
      <c r="M461" s="9"/>
      <c r="O461" s="9"/>
    </row>
    <row r="462" ht="15.75" customHeight="1">
      <c r="A462" s="9" t="str">
        <f>IFERROR(__xludf.DUMMYFUNCTION("IF(B462="""","""",RIGHT(REGEXREPLACE(B462&amp;"""",""[^0-9]"",""""),9))"),"714563956")</f>
        <v>714563956</v>
      </c>
      <c r="B462" s="48">
        <v>7.14563956E8</v>
      </c>
      <c r="C462" s="10" t="s">
        <v>575</v>
      </c>
      <c r="D462" s="10" t="s">
        <v>50</v>
      </c>
      <c r="E462" s="13">
        <v>46226.0</v>
      </c>
      <c r="F462" s="10" t="s">
        <v>35</v>
      </c>
      <c r="G462" s="10">
        <v>6.0</v>
      </c>
      <c r="I462" s="10" t="s">
        <v>22</v>
      </c>
      <c r="J462" s="9" t="str">
        <f t="shared" si="30"/>
        <v>No</v>
      </c>
      <c r="K462" s="9" t="str">
        <f t="shared" si="31"/>
        <v/>
      </c>
      <c r="L462" s="9" t="str">
        <f t="shared" si="32"/>
        <v/>
      </c>
      <c r="M462" s="9"/>
      <c r="O462" s="9"/>
    </row>
    <row r="463" ht="15.75" customHeight="1">
      <c r="A463" s="9" t="str">
        <f>IFERROR(__xludf.DUMMYFUNCTION("IF(B463="""","""",RIGHT(REGEXREPLACE(B463&amp;"""",""[^0-9]"",""""),9))"),"787164247")</f>
        <v>787164247</v>
      </c>
      <c r="B463" s="48">
        <v>9.4787164247E10</v>
      </c>
      <c r="C463" s="10" t="s">
        <v>576</v>
      </c>
      <c r="D463" s="10" t="s">
        <v>20</v>
      </c>
      <c r="E463" s="13">
        <v>46226.0</v>
      </c>
      <c r="F463" s="10" t="s">
        <v>198</v>
      </c>
      <c r="I463" s="10" t="s">
        <v>22</v>
      </c>
      <c r="J463" s="9" t="str">
        <f t="shared" si="30"/>
        <v>No</v>
      </c>
      <c r="K463" s="9" t="str">
        <f t="shared" si="31"/>
        <v/>
      </c>
      <c r="L463" s="9" t="str">
        <f t="shared" si="32"/>
        <v/>
      </c>
      <c r="M463" s="9"/>
      <c r="O463" s="9"/>
    </row>
    <row r="464" ht="15.75" customHeight="1">
      <c r="A464" s="9" t="str">
        <f>IFERROR(__xludf.DUMMYFUNCTION("IF(B464="""","""",RIGHT(REGEXREPLACE(B464&amp;"""",""[^0-9]"",""""),9))"),"774040016")</f>
        <v>774040016</v>
      </c>
      <c r="B464" s="48">
        <v>7.74040016E8</v>
      </c>
      <c r="C464" s="10" t="s">
        <v>577</v>
      </c>
      <c r="D464" s="10" t="s">
        <v>120</v>
      </c>
      <c r="E464" s="13">
        <v>46226.0</v>
      </c>
      <c r="F464" s="10" t="s">
        <v>35</v>
      </c>
      <c r="G464" s="10">
        <v>11.0</v>
      </c>
      <c r="I464" s="10" t="s">
        <v>22</v>
      </c>
      <c r="J464" s="9" t="str">
        <f t="shared" si="30"/>
        <v>No</v>
      </c>
      <c r="K464" s="9" t="str">
        <f t="shared" si="31"/>
        <v/>
      </c>
      <c r="L464" s="9" t="str">
        <f t="shared" si="32"/>
        <v/>
      </c>
      <c r="M464" s="9"/>
      <c r="O464" s="9"/>
    </row>
    <row r="465" ht="15.75" customHeight="1">
      <c r="A465" s="9" t="str">
        <f>IFERROR(__xludf.DUMMYFUNCTION("IF(B465="""","""",RIGHT(REGEXREPLACE(B465&amp;"""",""[^0-9]"",""""),9))"),"718300939")</f>
        <v>718300939</v>
      </c>
      <c r="B465" s="48">
        <v>7.18300939E8</v>
      </c>
      <c r="C465" s="10" t="s">
        <v>578</v>
      </c>
      <c r="D465" s="10" t="s">
        <v>69</v>
      </c>
      <c r="E465" s="13">
        <v>46226.0</v>
      </c>
      <c r="F465" s="10" t="s">
        <v>21</v>
      </c>
      <c r="G465" s="10">
        <v>10.0</v>
      </c>
      <c r="I465" s="10" t="s">
        <v>22</v>
      </c>
      <c r="J465" s="9" t="str">
        <f t="shared" si="30"/>
        <v>No</v>
      </c>
      <c r="K465" s="9" t="str">
        <f t="shared" si="31"/>
        <v/>
      </c>
      <c r="L465" s="9" t="str">
        <f t="shared" si="32"/>
        <v/>
      </c>
      <c r="M465" s="9"/>
      <c r="O465" s="9"/>
    </row>
    <row r="466" ht="15.75" customHeight="1">
      <c r="A466" s="9" t="str">
        <f>IFERROR(__xludf.DUMMYFUNCTION("IF(B466="""","""",RIGHT(REGEXREPLACE(B466&amp;"""",""[^0-9]"",""""),9))"),"712744217")</f>
        <v>712744217</v>
      </c>
      <c r="B466" s="10">
        <v>7.12744217E8</v>
      </c>
      <c r="C466" s="10" t="s">
        <v>579</v>
      </c>
      <c r="D466" s="10" t="s">
        <v>69</v>
      </c>
      <c r="E466" s="13">
        <v>46226.0</v>
      </c>
      <c r="F466" s="10" t="s">
        <v>145</v>
      </c>
      <c r="G466" s="10">
        <v>10.0</v>
      </c>
      <c r="I466" s="10" t="s">
        <v>22</v>
      </c>
      <c r="J466" s="9" t="str">
        <f t="shared" si="30"/>
        <v>No</v>
      </c>
      <c r="K466" s="9" t="str">
        <f t="shared" si="31"/>
        <v/>
      </c>
      <c r="L466" s="9" t="str">
        <f t="shared" si="32"/>
        <v/>
      </c>
      <c r="M466" s="9"/>
      <c r="O466" s="9"/>
    </row>
    <row r="467" ht="15.75" customHeight="1">
      <c r="A467" s="9" t="str">
        <f>IFERROR(__xludf.DUMMYFUNCTION("IF(B467="""","""",RIGHT(REGEXREPLACE(B467&amp;"""",""[^0-9]"",""""),9))"),"775948574")</f>
        <v>775948574</v>
      </c>
      <c r="B467" s="48">
        <v>7.75948574E8</v>
      </c>
      <c r="C467" s="10" t="s">
        <v>580</v>
      </c>
      <c r="D467" s="10" t="s">
        <v>50</v>
      </c>
      <c r="E467" s="13">
        <v>46226.0</v>
      </c>
      <c r="F467" s="10" t="s">
        <v>35</v>
      </c>
      <c r="G467" s="10">
        <v>11.0</v>
      </c>
      <c r="I467" s="10" t="s">
        <v>22</v>
      </c>
      <c r="J467" s="9" t="str">
        <f t="shared" si="30"/>
        <v>No</v>
      </c>
      <c r="K467" s="9" t="str">
        <f t="shared" si="31"/>
        <v/>
      </c>
      <c r="L467" s="9" t="str">
        <f t="shared" si="32"/>
        <v/>
      </c>
      <c r="M467" s="9"/>
      <c r="O467" s="9"/>
    </row>
    <row r="468" ht="15.75" customHeight="1">
      <c r="A468" s="9" t="str">
        <f>IFERROR(__xludf.DUMMYFUNCTION("IF(B468="""","""",RIGHT(REGEXREPLACE(B468&amp;"""",""[^0-9]"",""""),9))"),"765906507")</f>
        <v>765906507</v>
      </c>
      <c r="B468" s="48">
        <v>9.4765906507E10</v>
      </c>
      <c r="C468" s="10" t="s">
        <v>581</v>
      </c>
      <c r="D468" s="10" t="s">
        <v>20</v>
      </c>
      <c r="E468" s="13">
        <v>46226.0</v>
      </c>
      <c r="F468" s="10" t="s">
        <v>21</v>
      </c>
      <c r="I468" s="10" t="s">
        <v>22</v>
      </c>
      <c r="J468" s="9" t="str">
        <f t="shared" si="30"/>
        <v>No</v>
      </c>
      <c r="K468" s="9" t="str">
        <f t="shared" si="31"/>
        <v/>
      </c>
      <c r="L468" s="9" t="str">
        <f t="shared" si="32"/>
        <v/>
      </c>
      <c r="M468" s="9"/>
      <c r="O468" s="9"/>
    </row>
    <row r="469" ht="15.75" customHeight="1">
      <c r="A469" s="9" t="str">
        <f>IFERROR(__xludf.DUMMYFUNCTION("IF(B469="""","""",RIGHT(REGEXREPLACE(B469&amp;"""",""[^0-9]"",""""),9))"),"713974312")</f>
        <v>713974312</v>
      </c>
      <c r="B469" s="48">
        <v>7.13974312E8</v>
      </c>
      <c r="C469" s="10" t="s">
        <v>582</v>
      </c>
      <c r="D469" s="10" t="s">
        <v>34</v>
      </c>
      <c r="E469" s="13">
        <v>46226.0</v>
      </c>
      <c r="F469" s="10" t="s">
        <v>35</v>
      </c>
      <c r="G469" s="10">
        <v>10.0</v>
      </c>
      <c r="I469" s="10" t="s">
        <v>22</v>
      </c>
      <c r="J469" s="9" t="str">
        <f t="shared" si="30"/>
        <v>No</v>
      </c>
      <c r="K469" s="9" t="str">
        <f t="shared" si="31"/>
        <v/>
      </c>
      <c r="L469" s="9" t="str">
        <f t="shared" si="32"/>
        <v/>
      </c>
      <c r="M469" s="9"/>
      <c r="O469" s="9"/>
    </row>
    <row r="470" ht="15.75" customHeight="1">
      <c r="A470" s="9" t="str">
        <f>IFERROR(__xludf.DUMMYFUNCTION("IF(B470="""","""",RIGHT(REGEXREPLACE(B470&amp;"""",""[^0-9]"",""""),9))"),"716338169")</f>
        <v>716338169</v>
      </c>
      <c r="B470" s="48">
        <v>7.16338169E8</v>
      </c>
      <c r="C470" s="10" t="s">
        <v>583</v>
      </c>
      <c r="D470" s="10" t="s">
        <v>50</v>
      </c>
      <c r="E470" s="13">
        <v>46226.0</v>
      </c>
      <c r="F470" s="10" t="s">
        <v>198</v>
      </c>
      <c r="G470" s="10">
        <v>11.0</v>
      </c>
      <c r="I470" s="10" t="s">
        <v>22</v>
      </c>
      <c r="J470" s="9" t="str">
        <f t="shared" si="30"/>
        <v>No</v>
      </c>
      <c r="K470" s="9" t="str">
        <f t="shared" si="31"/>
        <v/>
      </c>
      <c r="L470" s="9" t="str">
        <f t="shared" si="32"/>
        <v/>
      </c>
      <c r="M470" s="9"/>
      <c r="O470" s="9"/>
    </row>
    <row r="471" ht="15.75" customHeight="1">
      <c r="A471" s="9" t="str">
        <f>IFERROR(__xludf.DUMMYFUNCTION("IF(B471="""","""",RIGHT(REGEXREPLACE(B471&amp;"""",""[^0-9]"",""""),9))"),"761515622")</f>
        <v>761515622</v>
      </c>
      <c r="B471" s="48">
        <v>9.4761515622E10</v>
      </c>
      <c r="C471" s="10" t="s">
        <v>584</v>
      </c>
      <c r="D471" s="10" t="s">
        <v>20</v>
      </c>
      <c r="E471" s="13">
        <v>46226.0</v>
      </c>
      <c r="F471" s="10" t="s">
        <v>21</v>
      </c>
      <c r="I471" s="10" t="s">
        <v>22</v>
      </c>
      <c r="J471" s="9" t="str">
        <f t="shared" si="30"/>
        <v>No</v>
      </c>
      <c r="K471" s="9" t="str">
        <f t="shared" si="31"/>
        <v/>
      </c>
      <c r="L471" s="9" t="str">
        <f t="shared" si="32"/>
        <v/>
      </c>
      <c r="M471" s="9"/>
      <c r="O471" s="9"/>
    </row>
    <row r="472" ht="15.75" customHeight="1">
      <c r="A472" s="9" t="str">
        <f>IFERROR(__xludf.DUMMYFUNCTION("IF(B472="""","""",RIGHT(REGEXREPLACE(B472&amp;"""",""[^0-9]"",""""),9))"),"714433948")</f>
        <v>714433948</v>
      </c>
      <c r="B472" s="48">
        <v>7.14433948E8</v>
      </c>
      <c r="C472" s="10" t="s">
        <v>585</v>
      </c>
      <c r="D472" s="10" t="s">
        <v>120</v>
      </c>
      <c r="E472" s="13">
        <v>46226.0</v>
      </c>
      <c r="F472" s="10" t="s">
        <v>21</v>
      </c>
      <c r="I472" s="10" t="s">
        <v>22</v>
      </c>
      <c r="J472" s="9" t="str">
        <f t="shared" si="30"/>
        <v>No</v>
      </c>
      <c r="K472" s="9" t="str">
        <f t="shared" si="31"/>
        <v/>
      </c>
      <c r="L472" s="9" t="str">
        <f t="shared" si="32"/>
        <v/>
      </c>
      <c r="M472" s="9"/>
      <c r="O472" s="9"/>
    </row>
    <row r="473" ht="15.75" customHeight="1">
      <c r="A473" s="9" t="str">
        <f>IFERROR(__xludf.DUMMYFUNCTION("IF(B473="""","""",RIGHT(REGEXREPLACE(B473&amp;"""",""[^0-9]"",""""),9))"),"777993494")</f>
        <v>777993494</v>
      </c>
      <c r="B473" s="48">
        <v>7.77993494E8</v>
      </c>
      <c r="C473" s="10" t="s">
        <v>586</v>
      </c>
      <c r="D473" s="10" t="s">
        <v>69</v>
      </c>
      <c r="E473" s="13">
        <v>46226.0</v>
      </c>
      <c r="F473" s="10" t="s">
        <v>35</v>
      </c>
      <c r="G473" s="10">
        <v>11.0</v>
      </c>
      <c r="I473" s="10" t="s">
        <v>22</v>
      </c>
      <c r="J473" s="9" t="str">
        <f t="shared" si="30"/>
        <v>No</v>
      </c>
      <c r="K473" s="9" t="str">
        <f t="shared" si="31"/>
        <v/>
      </c>
      <c r="L473" s="9" t="str">
        <f t="shared" si="32"/>
        <v/>
      </c>
      <c r="M473" s="9"/>
      <c r="O473" s="9"/>
    </row>
    <row r="474" ht="15.75" customHeight="1">
      <c r="A474" s="9" t="str">
        <f>IFERROR(__xludf.DUMMYFUNCTION("IF(B474="""","""",RIGHT(REGEXREPLACE(B474&amp;"""",""[^0-9]"",""""),9))"),"705605666")</f>
        <v>705605666</v>
      </c>
      <c r="B474" s="48">
        <v>7.05605666E8</v>
      </c>
      <c r="C474" s="10" t="s">
        <v>587</v>
      </c>
      <c r="D474" s="10" t="s">
        <v>34</v>
      </c>
      <c r="E474" s="13">
        <v>46226.0</v>
      </c>
      <c r="F474" s="10" t="s">
        <v>21</v>
      </c>
      <c r="I474" s="10" t="s">
        <v>22</v>
      </c>
      <c r="J474" s="9" t="str">
        <f t="shared" si="30"/>
        <v>No</v>
      </c>
      <c r="K474" s="9" t="str">
        <f t="shared" si="31"/>
        <v/>
      </c>
      <c r="L474" s="9" t="str">
        <f t="shared" si="32"/>
        <v/>
      </c>
      <c r="M474" s="9"/>
      <c r="O474" s="9"/>
    </row>
    <row r="475" ht="15.75" customHeight="1">
      <c r="A475" s="9" t="str">
        <f>IFERROR(__xludf.DUMMYFUNCTION("IF(B475="""","""",RIGHT(REGEXREPLACE(B475&amp;"""",""[^0-9]"",""""),9))"),"716361471")</f>
        <v>716361471</v>
      </c>
      <c r="B475" s="48">
        <v>7.16361471E8</v>
      </c>
      <c r="C475" s="10" t="s">
        <v>588</v>
      </c>
      <c r="D475" s="10" t="s">
        <v>34</v>
      </c>
      <c r="E475" s="13">
        <v>46226.0</v>
      </c>
      <c r="F475" s="10" t="s">
        <v>35</v>
      </c>
      <c r="G475" s="10">
        <v>11.0</v>
      </c>
      <c r="I475" s="10" t="s">
        <v>22</v>
      </c>
      <c r="J475" s="9" t="str">
        <f t="shared" si="30"/>
        <v>No</v>
      </c>
      <c r="K475" s="9" t="str">
        <f t="shared" si="31"/>
        <v/>
      </c>
      <c r="L475" s="9" t="str">
        <f t="shared" si="32"/>
        <v/>
      </c>
      <c r="M475" s="9"/>
      <c r="O475" s="9"/>
    </row>
    <row r="476" ht="15.75" customHeight="1">
      <c r="A476" s="9" t="str">
        <f>IFERROR(__xludf.DUMMYFUNCTION("IF(B476="""","""",RIGHT(REGEXREPLACE(B476&amp;"""",""[^0-9]"",""""),9))"),"771008110")</f>
        <v>771008110</v>
      </c>
      <c r="B476" s="48">
        <v>9.477100811E10</v>
      </c>
      <c r="C476" s="10" t="s">
        <v>589</v>
      </c>
      <c r="D476" s="10" t="s">
        <v>20</v>
      </c>
      <c r="E476" s="13">
        <v>46226.0</v>
      </c>
      <c r="F476" s="10" t="s">
        <v>35</v>
      </c>
      <c r="G476" s="10">
        <v>11.0</v>
      </c>
      <c r="I476" s="10" t="s">
        <v>22</v>
      </c>
      <c r="J476" s="9" t="str">
        <f t="shared" si="30"/>
        <v>No</v>
      </c>
      <c r="K476" s="9" t="str">
        <f t="shared" si="31"/>
        <v/>
      </c>
      <c r="L476" s="9" t="str">
        <f t="shared" si="32"/>
        <v/>
      </c>
      <c r="M476" s="9"/>
      <c r="O476" s="9"/>
    </row>
    <row r="477" ht="15.75" customHeight="1">
      <c r="A477" s="9" t="str">
        <f>IFERROR(__xludf.DUMMYFUNCTION("IF(B477="""","""",RIGHT(REGEXREPLACE(B477&amp;"""",""[^0-9]"",""""),9))"),"761059088")</f>
        <v>761059088</v>
      </c>
      <c r="B477" s="48">
        <v>7.61059088E8</v>
      </c>
      <c r="C477" s="10" t="s">
        <v>590</v>
      </c>
      <c r="D477" s="10" t="s">
        <v>120</v>
      </c>
      <c r="E477" s="13">
        <v>46226.0</v>
      </c>
      <c r="F477" s="10" t="s">
        <v>35</v>
      </c>
      <c r="G477" s="10">
        <v>11.0</v>
      </c>
      <c r="I477" s="10" t="s">
        <v>22</v>
      </c>
      <c r="J477" s="9" t="str">
        <f t="shared" si="30"/>
        <v>No</v>
      </c>
      <c r="K477" s="9" t="str">
        <f t="shared" si="31"/>
        <v/>
      </c>
      <c r="L477" s="9" t="str">
        <f t="shared" si="32"/>
        <v/>
      </c>
      <c r="M477" s="9"/>
      <c r="O477" s="9"/>
    </row>
    <row r="478" ht="15.75" customHeight="1">
      <c r="A478" s="9" t="str">
        <f>IFERROR(__xludf.DUMMYFUNCTION("IF(B478="""","""",RIGHT(REGEXREPLACE(B478&amp;"""",""[^0-9]"",""""),9))"),"779556690")</f>
        <v>779556690</v>
      </c>
      <c r="B478" s="48">
        <v>7.7955669E8</v>
      </c>
      <c r="C478" s="10" t="s">
        <v>591</v>
      </c>
      <c r="D478" s="10" t="s">
        <v>69</v>
      </c>
      <c r="E478" s="13">
        <v>46227.0</v>
      </c>
      <c r="F478" s="10" t="s">
        <v>21</v>
      </c>
      <c r="G478" s="10">
        <v>11.0</v>
      </c>
      <c r="H478" s="10" t="s">
        <v>592</v>
      </c>
      <c r="I478" s="10" t="s">
        <v>22</v>
      </c>
      <c r="J478" s="9" t="str">
        <f t="shared" si="30"/>
        <v>No</v>
      </c>
      <c r="K478" s="9" t="str">
        <f t="shared" si="31"/>
        <v/>
      </c>
      <c r="L478" s="9" t="str">
        <f t="shared" si="32"/>
        <v/>
      </c>
      <c r="M478" s="9"/>
      <c r="O478" s="9"/>
    </row>
    <row r="479" ht="15.75" customHeight="1">
      <c r="A479" s="9" t="str">
        <f>IFERROR(__xludf.DUMMYFUNCTION("IF(B479="""","""",RIGHT(REGEXREPLACE(B479&amp;"""",""[^0-9]"",""""),9))"),"703615126")</f>
        <v>703615126</v>
      </c>
      <c r="B479" s="48">
        <v>7.03615126E8</v>
      </c>
      <c r="C479" s="10" t="s">
        <v>593</v>
      </c>
      <c r="D479" s="10" t="s">
        <v>50</v>
      </c>
      <c r="E479" s="13">
        <v>46227.0</v>
      </c>
      <c r="F479" s="10" t="s">
        <v>35</v>
      </c>
      <c r="G479" s="10">
        <v>9.0</v>
      </c>
      <c r="H479" s="10" t="s">
        <v>594</v>
      </c>
      <c r="I479" s="10" t="s">
        <v>22</v>
      </c>
      <c r="J479" s="9" t="str">
        <f t="shared" si="30"/>
        <v>No</v>
      </c>
      <c r="K479" s="9" t="str">
        <f t="shared" si="31"/>
        <v/>
      </c>
      <c r="L479" s="9" t="str">
        <f t="shared" si="32"/>
        <v/>
      </c>
      <c r="M479" s="9"/>
      <c r="O479" s="9"/>
    </row>
    <row r="480" ht="15.75" customHeight="1">
      <c r="A480" s="9" t="str">
        <f>IFERROR(__xludf.DUMMYFUNCTION("IF(B480="""","""",RIGHT(REGEXREPLACE(B480&amp;"""",""[^0-9]"",""""),9))"),"720358476")</f>
        <v>720358476</v>
      </c>
      <c r="B480" s="48">
        <v>7.20358476E8</v>
      </c>
      <c r="C480" s="10" t="s">
        <v>595</v>
      </c>
      <c r="D480" s="10" t="s">
        <v>97</v>
      </c>
      <c r="E480" s="13">
        <v>46227.0</v>
      </c>
      <c r="F480" s="10" t="s">
        <v>35</v>
      </c>
      <c r="G480" s="10">
        <v>10.0</v>
      </c>
      <c r="I480" s="10" t="s">
        <v>22</v>
      </c>
      <c r="J480" s="9" t="str">
        <f t="shared" si="30"/>
        <v>No</v>
      </c>
      <c r="K480" s="9" t="str">
        <f t="shared" si="31"/>
        <v/>
      </c>
      <c r="L480" s="9" t="str">
        <f t="shared" si="32"/>
        <v/>
      </c>
      <c r="M480" s="9"/>
      <c r="O480" s="9"/>
    </row>
    <row r="481" ht="15.75" customHeight="1">
      <c r="A481" s="9" t="str">
        <f>IFERROR(__xludf.DUMMYFUNCTION("IF(B481="""","""",RIGHT(REGEXREPLACE(B481&amp;"""",""[^0-9]"",""""),9))"),"762071537")</f>
        <v>762071537</v>
      </c>
      <c r="B481" s="48">
        <v>7.62071537E8</v>
      </c>
      <c r="C481" s="10" t="s">
        <v>596</v>
      </c>
      <c r="D481" s="10" t="s">
        <v>69</v>
      </c>
      <c r="E481" s="13">
        <v>46227.0</v>
      </c>
      <c r="F481" s="10" t="s">
        <v>35</v>
      </c>
      <c r="G481" s="10">
        <v>11.0</v>
      </c>
      <c r="I481" s="10" t="s">
        <v>22</v>
      </c>
      <c r="J481" s="9" t="str">
        <f t="shared" si="30"/>
        <v>No</v>
      </c>
      <c r="K481" s="9" t="str">
        <f t="shared" si="31"/>
        <v/>
      </c>
      <c r="L481" s="9" t="str">
        <f t="shared" si="32"/>
        <v/>
      </c>
      <c r="M481" s="9"/>
      <c r="O481" s="9"/>
    </row>
    <row r="482" ht="15.75" customHeight="1">
      <c r="A482" s="9" t="str">
        <f>IFERROR(__xludf.DUMMYFUNCTION("IF(B482="""","""",RIGHT(REGEXREPLACE(B482&amp;"""",""[^0-9]"",""""),9))"),"782926132")</f>
        <v>782926132</v>
      </c>
      <c r="B482" s="48">
        <v>7.82926132E8</v>
      </c>
      <c r="C482" s="10" t="s">
        <v>597</v>
      </c>
      <c r="D482" s="10" t="s">
        <v>50</v>
      </c>
      <c r="E482" s="13">
        <v>46227.0</v>
      </c>
      <c r="F482" s="10" t="s">
        <v>35</v>
      </c>
      <c r="G482" s="10">
        <v>11.0</v>
      </c>
      <c r="H482" s="10" t="s">
        <v>238</v>
      </c>
      <c r="I482" s="10" t="s">
        <v>22</v>
      </c>
      <c r="J482" s="9" t="str">
        <f t="shared" si="30"/>
        <v>No</v>
      </c>
      <c r="K482" s="9" t="str">
        <f t="shared" si="31"/>
        <v/>
      </c>
      <c r="L482" s="9" t="str">
        <f t="shared" si="32"/>
        <v/>
      </c>
      <c r="M482" s="9"/>
      <c r="O482" s="9"/>
    </row>
    <row r="483" ht="15.75" customHeight="1">
      <c r="A483" s="9" t="str">
        <f>IFERROR(__xludf.DUMMYFUNCTION("IF(B483="""","""",RIGHT(REGEXREPLACE(B483&amp;"""",""[^0-9]"",""""),9))"),"752343649")</f>
        <v>752343649</v>
      </c>
      <c r="B483" s="48">
        <v>7.52343649E8</v>
      </c>
      <c r="C483" s="10" t="s">
        <v>598</v>
      </c>
      <c r="D483" s="10" t="s">
        <v>97</v>
      </c>
      <c r="E483" s="13">
        <v>46227.0</v>
      </c>
      <c r="F483" s="10" t="s">
        <v>35</v>
      </c>
      <c r="G483" s="10">
        <v>11.0</v>
      </c>
      <c r="I483" s="10" t="s">
        <v>22</v>
      </c>
      <c r="J483" s="9" t="str">
        <f t="shared" si="30"/>
        <v>No</v>
      </c>
      <c r="K483" s="9" t="str">
        <f t="shared" si="31"/>
        <v/>
      </c>
      <c r="L483" s="9" t="str">
        <f t="shared" si="32"/>
        <v/>
      </c>
      <c r="M483" s="9"/>
      <c r="O483" s="9"/>
    </row>
    <row r="484" ht="15.75" customHeight="1">
      <c r="A484" s="9" t="str">
        <f>IFERROR(__xludf.DUMMYFUNCTION("IF(B484="""","""",RIGHT(REGEXREPLACE(B484&amp;"""",""[^0-9]"",""""),9))"),"712849376")</f>
        <v>712849376</v>
      </c>
      <c r="B484" s="48">
        <v>7.12849376E8</v>
      </c>
      <c r="C484" s="10" t="s">
        <v>599</v>
      </c>
      <c r="D484" s="10" t="s">
        <v>69</v>
      </c>
      <c r="E484" s="13">
        <v>46227.0</v>
      </c>
      <c r="F484" s="10" t="s">
        <v>35</v>
      </c>
      <c r="G484" s="10">
        <v>10.0</v>
      </c>
      <c r="H484" s="10" t="s">
        <v>600</v>
      </c>
      <c r="I484" s="10" t="s">
        <v>22</v>
      </c>
      <c r="J484" s="9" t="str">
        <f t="shared" si="30"/>
        <v>No</v>
      </c>
      <c r="K484" s="9" t="str">
        <f t="shared" si="31"/>
        <v/>
      </c>
      <c r="L484" s="9" t="str">
        <f t="shared" si="32"/>
        <v/>
      </c>
      <c r="M484" s="9"/>
      <c r="O484" s="9"/>
    </row>
    <row r="485" ht="15.75" customHeight="1">
      <c r="A485" s="9" t="str">
        <f>IFERROR(__xludf.DUMMYFUNCTION("IF(B485="""","""",RIGHT(REGEXREPLACE(B485&amp;"""",""[^0-9]"",""""),9))"),"772309296")</f>
        <v>772309296</v>
      </c>
      <c r="B485" s="48">
        <v>7.72309296E8</v>
      </c>
      <c r="C485" s="10" t="s">
        <v>601</v>
      </c>
      <c r="D485" s="10" t="s">
        <v>120</v>
      </c>
      <c r="E485" s="13">
        <v>46227.0</v>
      </c>
      <c r="F485" s="10" t="s">
        <v>35</v>
      </c>
      <c r="G485" s="10">
        <v>11.0</v>
      </c>
      <c r="I485" s="10" t="s">
        <v>22</v>
      </c>
      <c r="J485" s="9" t="str">
        <f t="shared" si="30"/>
        <v>No</v>
      </c>
      <c r="K485" s="9" t="str">
        <f t="shared" si="31"/>
        <v/>
      </c>
      <c r="L485" s="9" t="str">
        <f t="shared" si="32"/>
        <v/>
      </c>
      <c r="M485" s="9"/>
      <c r="O485" s="9"/>
    </row>
    <row r="486" ht="15.75" customHeight="1">
      <c r="A486" s="9" t="str">
        <f>IFERROR(__xludf.DUMMYFUNCTION("IF(B486="""","""",RIGHT(REGEXREPLACE(B486&amp;"""",""[^0-9]"",""""),9))"),"701239633")</f>
        <v>701239633</v>
      </c>
      <c r="B486" s="48">
        <v>7.01239633E8</v>
      </c>
      <c r="C486" s="10" t="s">
        <v>602</v>
      </c>
      <c r="D486" s="10" t="s">
        <v>50</v>
      </c>
      <c r="E486" s="13">
        <v>46227.0</v>
      </c>
      <c r="F486" s="10" t="s">
        <v>35</v>
      </c>
      <c r="G486" s="10">
        <v>11.0</v>
      </c>
      <c r="I486" s="10" t="s">
        <v>22</v>
      </c>
      <c r="J486" s="9" t="str">
        <f t="shared" si="30"/>
        <v>No</v>
      </c>
      <c r="K486" s="9" t="str">
        <f t="shared" si="31"/>
        <v/>
      </c>
      <c r="L486" s="9" t="str">
        <f t="shared" si="32"/>
        <v/>
      </c>
      <c r="M486" s="9"/>
      <c r="O486" s="9"/>
    </row>
    <row r="487" ht="15.75" customHeight="1">
      <c r="A487" s="9" t="str">
        <f>IFERROR(__xludf.DUMMYFUNCTION("IF(B487="""","""",RIGHT(REGEXREPLACE(B487&amp;"""",""[^0-9]"",""""),9))"),"771984875")</f>
        <v>771984875</v>
      </c>
      <c r="B487" s="48">
        <v>7.71984875E8</v>
      </c>
      <c r="C487" s="10" t="s">
        <v>603</v>
      </c>
      <c r="D487" s="10" t="s">
        <v>120</v>
      </c>
      <c r="E487" s="13">
        <v>46227.0</v>
      </c>
      <c r="F487" s="10" t="s">
        <v>604</v>
      </c>
      <c r="G487" s="10">
        <v>10.0</v>
      </c>
      <c r="I487" s="10" t="s">
        <v>22</v>
      </c>
      <c r="J487" s="9" t="str">
        <f t="shared" si="30"/>
        <v>No</v>
      </c>
      <c r="K487" s="9" t="str">
        <f t="shared" si="31"/>
        <v/>
      </c>
      <c r="L487" s="9" t="str">
        <f t="shared" si="32"/>
        <v/>
      </c>
      <c r="M487" s="9"/>
      <c r="O487" s="9"/>
    </row>
    <row r="488" ht="15.75" customHeight="1">
      <c r="A488" s="9" t="str">
        <f>IFERROR(__xludf.DUMMYFUNCTION("IF(B488="""","""",RIGHT(REGEXREPLACE(B488&amp;"""",""[^0-9]"",""""),9))"),"753239466")</f>
        <v>753239466</v>
      </c>
      <c r="B488" s="48">
        <v>7.53239466E8</v>
      </c>
      <c r="C488" s="10" t="s">
        <v>605</v>
      </c>
      <c r="D488" s="10" t="s">
        <v>69</v>
      </c>
      <c r="E488" s="13">
        <v>46227.0</v>
      </c>
      <c r="F488" s="10" t="s">
        <v>21</v>
      </c>
      <c r="H488" s="10" t="s">
        <v>606</v>
      </c>
      <c r="I488" s="10" t="s">
        <v>22</v>
      </c>
      <c r="J488" s="9" t="str">
        <f t="shared" si="30"/>
        <v>No</v>
      </c>
      <c r="K488" s="9" t="str">
        <f t="shared" si="31"/>
        <v/>
      </c>
      <c r="L488" s="9" t="str">
        <f t="shared" si="32"/>
        <v/>
      </c>
      <c r="M488" s="9"/>
      <c r="O488" s="9"/>
    </row>
    <row r="489" ht="15.75" customHeight="1">
      <c r="A489" s="9" t="str">
        <f>IFERROR(__xludf.DUMMYFUNCTION("IF(B489="""","""",RIGHT(REGEXREPLACE(B489&amp;"""",""[^0-9]"",""""),9))"),"717383926")</f>
        <v>717383926</v>
      </c>
      <c r="B489" s="48">
        <v>7.17383926E8</v>
      </c>
      <c r="C489" s="10" t="s">
        <v>607</v>
      </c>
      <c r="D489" s="10" t="s">
        <v>97</v>
      </c>
      <c r="E489" s="13">
        <v>46227.0</v>
      </c>
      <c r="F489" s="10" t="s">
        <v>21</v>
      </c>
      <c r="I489" s="10" t="s">
        <v>22</v>
      </c>
      <c r="J489" s="9" t="str">
        <f t="shared" si="30"/>
        <v>No</v>
      </c>
      <c r="K489" s="9" t="str">
        <f t="shared" si="31"/>
        <v/>
      </c>
      <c r="L489" s="9" t="str">
        <f t="shared" si="32"/>
        <v/>
      </c>
      <c r="M489" s="9"/>
      <c r="O489" s="9"/>
    </row>
    <row r="490" ht="15.75" customHeight="1">
      <c r="A490" s="9" t="str">
        <f>IFERROR(__xludf.DUMMYFUNCTION("IF(B490="""","""",RIGHT(REGEXREPLACE(B490&amp;"""",""[^0-9]"",""""),9))"),"753435220")</f>
        <v>753435220</v>
      </c>
      <c r="B490" s="48">
        <v>7.5343522E8</v>
      </c>
      <c r="C490" s="10" t="s">
        <v>608</v>
      </c>
      <c r="D490" s="10" t="s">
        <v>120</v>
      </c>
      <c r="E490" s="13">
        <v>46227.0</v>
      </c>
      <c r="F490" s="10" t="s">
        <v>35</v>
      </c>
      <c r="G490" s="10">
        <v>11.0</v>
      </c>
      <c r="I490" s="10" t="s">
        <v>22</v>
      </c>
      <c r="J490" s="9" t="str">
        <f t="shared" si="30"/>
        <v>No</v>
      </c>
      <c r="K490" s="9" t="str">
        <f t="shared" si="31"/>
        <v/>
      </c>
      <c r="L490" s="9" t="str">
        <f t="shared" si="32"/>
        <v/>
      </c>
      <c r="M490" s="9"/>
      <c r="O490" s="9"/>
    </row>
    <row r="491" ht="15.75" customHeight="1">
      <c r="A491" s="9" t="str">
        <f>IFERROR(__xludf.DUMMYFUNCTION("IF(B491="""","""",RIGHT(REGEXREPLACE(B491&amp;"""",""[^0-9]"",""""),9))"),"702188879")</f>
        <v>702188879</v>
      </c>
      <c r="B491" s="48">
        <v>7.02188879E8</v>
      </c>
      <c r="C491" s="10" t="s">
        <v>609</v>
      </c>
      <c r="D491" s="10" t="s">
        <v>50</v>
      </c>
      <c r="E491" s="13">
        <v>46227.0</v>
      </c>
      <c r="F491" s="10" t="s">
        <v>145</v>
      </c>
      <c r="I491" s="10" t="s">
        <v>22</v>
      </c>
      <c r="J491" s="9" t="str">
        <f t="shared" si="30"/>
        <v>No</v>
      </c>
      <c r="K491" s="9" t="str">
        <f t="shared" si="31"/>
        <v/>
      </c>
      <c r="L491" s="9" t="str">
        <f t="shared" si="32"/>
        <v/>
      </c>
      <c r="M491" s="9"/>
      <c r="O491" s="9"/>
    </row>
    <row r="492" ht="15.75" customHeight="1">
      <c r="A492" s="9" t="str">
        <f>IFERROR(__xludf.DUMMYFUNCTION("IF(B492="""","""",RIGHT(REGEXREPLACE(B492&amp;"""",""[^0-9]"",""""),9))"),"771617046")</f>
        <v>771617046</v>
      </c>
      <c r="B492" s="48">
        <v>7.71617046E8</v>
      </c>
      <c r="C492" s="10" t="s">
        <v>610</v>
      </c>
      <c r="D492" s="10" t="s">
        <v>69</v>
      </c>
      <c r="E492" s="13">
        <v>46227.0</v>
      </c>
      <c r="F492" s="10" t="s">
        <v>35</v>
      </c>
      <c r="G492" s="10">
        <v>10.0</v>
      </c>
      <c r="H492" s="10" t="s">
        <v>611</v>
      </c>
      <c r="I492" s="10" t="s">
        <v>22</v>
      </c>
      <c r="J492" s="9" t="str">
        <f t="shared" si="30"/>
        <v>No</v>
      </c>
      <c r="K492" s="9" t="str">
        <f t="shared" si="31"/>
        <v/>
      </c>
      <c r="L492" s="9" t="str">
        <f t="shared" si="32"/>
        <v/>
      </c>
      <c r="M492" s="9"/>
      <c r="O492" s="9"/>
    </row>
    <row r="493" ht="15.75" customHeight="1">
      <c r="A493" s="9" t="str">
        <f>IFERROR(__xludf.DUMMYFUNCTION("IF(B493="""","""",RIGHT(REGEXREPLACE(B493&amp;"""",""[^0-9]"",""""),9))"),"774463476")</f>
        <v>774463476</v>
      </c>
      <c r="B493" s="48">
        <v>7.74463476E8</v>
      </c>
      <c r="C493" s="10" t="s">
        <v>612</v>
      </c>
      <c r="D493" s="10" t="s">
        <v>50</v>
      </c>
      <c r="E493" s="13">
        <v>46227.0</v>
      </c>
      <c r="F493" s="10" t="s">
        <v>21</v>
      </c>
      <c r="I493" s="10" t="s">
        <v>22</v>
      </c>
      <c r="J493" s="9" t="str">
        <f t="shared" si="30"/>
        <v>No</v>
      </c>
      <c r="K493" s="9" t="str">
        <f t="shared" si="31"/>
        <v/>
      </c>
      <c r="L493" s="9" t="str">
        <f t="shared" si="32"/>
        <v/>
      </c>
      <c r="M493" s="9"/>
      <c r="O493" s="9"/>
    </row>
    <row r="494" ht="15.75" customHeight="1">
      <c r="A494" s="9" t="str">
        <f>IFERROR(__xludf.DUMMYFUNCTION("IF(B494="""","""",RIGHT(REGEXREPLACE(B494&amp;"""",""[^0-9]"",""""),9))"),"767033760")</f>
        <v>767033760</v>
      </c>
      <c r="B494" s="48">
        <v>7.6703376E8</v>
      </c>
      <c r="C494" s="10" t="s">
        <v>613</v>
      </c>
      <c r="D494" s="10" t="s">
        <v>34</v>
      </c>
      <c r="E494" s="13">
        <v>46227.0</v>
      </c>
      <c r="F494" s="10" t="s">
        <v>35</v>
      </c>
      <c r="G494" s="10">
        <v>11.0</v>
      </c>
      <c r="I494" s="10" t="s">
        <v>22</v>
      </c>
      <c r="J494" s="9" t="str">
        <f t="shared" si="30"/>
        <v>No</v>
      </c>
      <c r="K494" s="9" t="str">
        <f t="shared" si="31"/>
        <v/>
      </c>
      <c r="L494" s="9" t="str">
        <f t="shared" si="32"/>
        <v/>
      </c>
      <c r="M494" s="9"/>
      <c r="O494" s="9"/>
    </row>
    <row r="495" ht="15.75" customHeight="1">
      <c r="A495" s="9" t="str">
        <f>IFERROR(__xludf.DUMMYFUNCTION("IF(B495="""","""",RIGHT(REGEXREPLACE(B495&amp;"""",""[^0-9]"",""""),9))"),"783497899")</f>
        <v>783497899</v>
      </c>
      <c r="B495" s="48">
        <v>7.83497899E8</v>
      </c>
      <c r="C495" s="10" t="s">
        <v>614</v>
      </c>
      <c r="D495" s="10" t="s">
        <v>97</v>
      </c>
      <c r="E495" s="13">
        <v>46227.0</v>
      </c>
      <c r="F495" s="10" t="s">
        <v>173</v>
      </c>
      <c r="G495" s="10">
        <v>9.0</v>
      </c>
      <c r="H495" s="10" t="s">
        <v>615</v>
      </c>
      <c r="I495" s="10" t="s">
        <v>22</v>
      </c>
      <c r="J495" s="9" t="str">
        <f t="shared" si="30"/>
        <v>No</v>
      </c>
      <c r="K495" s="9" t="str">
        <f t="shared" si="31"/>
        <v/>
      </c>
      <c r="L495" s="9" t="str">
        <f t="shared" si="32"/>
        <v/>
      </c>
      <c r="M495" s="9"/>
      <c r="O495" s="9"/>
    </row>
    <row r="496" ht="15.75" customHeight="1">
      <c r="A496" s="9" t="str">
        <f>IFERROR(__xludf.DUMMYFUNCTION("IF(B496="""","""",RIGHT(REGEXREPLACE(B496&amp;"""",""[^0-9]"",""""),9))"),"706459034")</f>
        <v>706459034</v>
      </c>
      <c r="B496" s="10">
        <v>7.06459034E8</v>
      </c>
      <c r="C496" s="10" t="s">
        <v>616</v>
      </c>
      <c r="D496" s="10" t="s">
        <v>20</v>
      </c>
      <c r="E496" s="13">
        <v>46227.0</v>
      </c>
      <c r="F496" s="10" t="s">
        <v>21</v>
      </c>
      <c r="I496" s="10" t="s">
        <v>22</v>
      </c>
      <c r="J496" s="9" t="str">
        <f t="shared" si="30"/>
        <v>No</v>
      </c>
      <c r="K496" s="9" t="str">
        <f t="shared" si="31"/>
        <v/>
      </c>
      <c r="L496" s="9" t="str">
        <f t="shared" si="32"/>
        <v/>
      </c>
      <c r="M496" s="9"/>
      <c r="O496" s="9"/>
    </row>
    <row r="497" ht="15.75" customHeight="1">
      <c r="A497" s="9" t="str">
        <f>IFERROR(__xludf.DUMMYFUNCTION("IF(B497="""","""",RIGHT(REGEXREPLACE(B497&amp;"""",""[^0-9]"",""""),9))"),"715511820")</f>
        <v>715511820</v>
      </c>
      <c r="B497" s="48">
        <v>7.1551182E8</v>
      </c>
      <c r="C497" s="10" t="s">
        <v>257</v>
      </c>
      <c r="D497" s="10" t="s">
        <v>120</v>
      </c>
      <c r="E497" s="13">
        <v>46227.0</v>
      </c>
      <c r="F497" s="10" t="s">
        <v>145</v>
      </c>
      <c r="G497" s="10">
        <v>11.0</v>
      </c>
      <c r="I497" s="10" t="s">
        <v>22</v>
      </c>
      <c r="J497" s="9" t="str">
        <f t="shared" si="30"/>
        <v>Yes - see Previous F-Code</v>
      </c>
      <c r="K497" s="9" t="str">
        <f t="shared" si="31"/>
        <v>DUPLICATE - CHECK</v>
      </c>
      <c r="L497" s="9" t="str">
        <f t="shared" si="32"/>
        <v>F70148</v>
      </c>
      <c r="M497" s="9"/>
      <c r="O497" s="9"/>
    </row>
    <row r="498" ht="15.75" customHeight="1">
      <c r="A498" s="9" t="str">
        <f>IFERROR(__xludf.DUMMYFUNCTION("IF(B498="""","""",RIGHT(REGEXREPLACE(B498&amp;"""",""[^0-9]"",""""),9))"),"742974596")</f>
        <v>742974596</v>
      </c>
      <c r="B498" s="48">
        <v>7.42974596E8</v>
      </c>
      <c r="C498" s="10" t="s">
        <v>617</v>
      </c>
      <c r="D498" s="10" t="s">
        <v>50</v>
      </c>
      <c r="E498" s="13">
        <v>46227.0</v>
      </c>
      <c r="F498" s="10" t="s">
        <v>35</v>
      </c>
      <c r="G498" s="10">
        <v>7.0</v>
      </c>
      <c r="H498" s="10" t="s">
        <v>594</v>
      </c>
      <c r="I498" s="10" t="s">
        <v>22</v>
      </c>
      <c r="J498" s="9" t="str">
        <f t="shared" si="30"/>
        <v>No</v>
      </c>
      <c r="K498" s="9" t="str">
        <f t="shared" si="31"/>
        <v/>
      </c>
      <c r="L498" s="9" t="str">
        <f t="shared" si="32"/>
        <v/>
      </c>
      <c r="M498" s="9"/>
      <c r="O498" s="9"/>
    </row>
    <row r="499" ht="15.75" customHeight="1">
      <c r="A499" s="9" t="str">
        <f>IFERROR(__xludf.DUMMYFUNCTION("IF(B499="""","""",RIGHT(REGEXREPLACE(B499&amp;"""",""[^0-9]"",""""),9))"),"742260910")</f>
        <v>742260910</v>
      </c>
      <c r="B499" s="48">
        <v>7.4226091E8</v>
      </c>
      <c r="C499" s="10" t="s">
        <v>618</v>
      </c>
      <c r="D499" s="10" t="s">
        <v>120</v>
      </c>
      <c r="E499" s="13">
        <v>46227.0</v>
      </c>
      <c r="F499" s="10" t="s">
        <v>35</v>
      </c>
      <c r="I499" s="10" t="s">
        <v>22</v>
      </c>
      <c r="J499" s="9" t="str">
        <f t="shared" si="30"/>
        <v>No</v>
      </c>
      <c r="K499" s="9" t="str">
        <f t="shared" si="31"/>
        <v/>
      </c>
      <c r="L499" s="9" t="str">
        <f t="shared" si="32"/>
        <v/>
      </c>
      <c r="M499" s="9"/>
      <c r="O499" s="9"/>
    </row>
    <row r="500" ht="15.75" customHeight="1">
      <c r="A500" s="9" t="str">
        <f>IFERROR(__xludf.DUMMYFUNCTION("IF(B500="""","""",RIGHT(REGEXREPLACE(B500&amp;"""",""[^0-9]"",""""),9))"),"742837013")</f>
        <v>742837013</v>
      </c>
      <c r="B500" s="48">
        <v>7.42837013E8</v>
      </c>
      <c r="C500" s="10" t="s">
        <v>619</v>
      </c>
      <c r="D500" s="10" t="s">
        <v>69</v>
      </c>
      <c r="E500" s="13">
        <v>46227.0</v>
      </c>
      <c r="F500" s="10" t="s">
        <v>35</v>
      </c>
      <c r="G500" s="10">
        <v>10.0</v>
      </c>
      <c r="H500" s="10" t="s">
        <v>611</v>
      </c>
      <c r="I500" s="10" t="s">
        <v>22</v>
      </c>
      <c r="J500" s="9" t="str">
        <f t="shared" si="30"/>
        <v>No</v>
      </c>
      <c r="K500" s="9" t="str">
        <f t="shared" si="31"/>
        <v/>
      </c>
      <c r="L500" s="9" t="str">
        <f t="shared" si="32"/>
        <v/>
      </c>
      <c r="M500" s="9"/>
      <c r="O500" s="9"/>
    </row>
    <row r="501" ht="15.75" customHeight="1">
      <c r="A501" s="9" t="str">
        <f>IFERROR(__xludf.DUMMYFUNCTION("IF(B501="""","""",RIGHT(REGEXREPLACE(B501&amp;"""",""[^0-9]"",""""),9))"),"713150740")</f>
        <v>713150740</v>
      </c>
      <c r="B501" s="10">
        <v>7.1315074E8</v>
      </c>
      <c r="C501" s="10" t="s">
        <v>620</v>
      </c>
      <c r="D501" s="10" t="s">
        <v>20</v>
      </c>
      <c r="E501" s="13">
        <v>46227.0</v>
      </c>
      <c r="F501" s="10" t="s">
        <v>198</v>
      </c>
      <c r="I501" s="10" t="s">
        <v>22</v>
      </c>
      <c r="J501" s="9" t="str">
        <f t="shared" si="30"/>
        <v>No</v>
      </c>
      <c r="K501" s="9" t="str">
        <f t="shared" si="31"/>
        <v/>
      </c>
      <c r="L501" s="9" t="str">
        <f t="shared" si="32"/>
        <v/>
      </c>
      <c r="M501" s="9"/>
      <c r="O501" s="9"/>
    </row>
    <row r="502" ht="15.75" customHeight="1">
      <c r="A502" s="9" t="str">
        <f>IFERROR(__xludf.DUMMYFUNCTION("IF(B502="""","""",RIGHT(REGEXREPLACE(B502&amp;"""",""[^0-9]"",""""),9))"),"702241127")</f>
        <v>702241127</v>
      </c>
      <c r="B502" s="48">
        <v>7.02241127E8</v>
      </c>
      <c r="C502" s="10" t="s">
        <v>621</v>
      </c>
      <c r="D502" s="10" t="s">
        <v>34</v>
      </c>
      <c r="E502" s="13">
        <v>46227.0</v>
      </c>
      <c r="F502" s="10" t="s">
        <v>198</v>
      </c>
      <c r="G502" s="10">
        <v>10.0</v>
      </c>
      <c r="H502" s="10" t="s">
        <v>622</v>
      </c>
      <c r="I502" s="10" t="s">
        <v>22</v>
      </c>
      <c r="J502" s="9" t="str">
        <f t="shared" si="30"/>
        <v>No</v>
      </c>
      <c r="K502" s="9" t="str">
        <f t="shared" si="31"/>
        <v/>
      </c>
      <c r="L502" s="9" t="str">
        <f t="shared" si="32"/>
        <v/>
      </c>
      <c r="M502" s="9"/>
      <c r="O502" s="9"/>
    </row>
    <row r="503" ht="15.75" customHeight="1">
      <c r="A503" s="9" t="str">
        <f>IFERROR(__xludf.DUMMYFUNCTION("IF(B503="""","""",RIGHT(REGEXREPLACE(B503&amp;"""",""[^0-9]"",""""),9))"),"719779858")</f>
        <v>719779858</v>
      </c>
      <c r="B503" s="48">
        <v>7.19779858E8</v>
      </c>
      <c r="C503" s="10" t="s">
        <v>623</v>
      </c>
      <c r="D503" s="10" t="s">
        <v>97</v>
      </c>
      <c r="E503" s="13">
        <v>46227.0</v>
      </c>
      <c r="F503" s="10" t="s">
        <v>35</v>
      </c>
      <c r="G503" s="10">
        <v>10.0</v>
      </c>
      <c r="I503" s="10" t="s">
        <v>22</v>
      </c>
      <c r="J503" s="9" t="str">
        <f t="shared" si="30"/>
        <v>No</v>
      </c>
      <c r="K503" s="9" t="str">
        <f t="shared" si="31"/>
        <v/>
      </c>
      <c r="L503" s="9" t="str">
        <f t="shared" si="32"/>
        <v/>
      </c>
      <c r="M503" s="9"/>
      <c r="O503" s="9"/>
    </row>
    <row r="504" ht="15.75" customHeight="1">
      <c r="A504" s="9" t="str">
        <f>IFERROR(__xludf.DUMMYFUNCTION("IF(B504="""","""",RIGHT(REGEXREPLACE(B504&amp;"""",""[^0-9]"",""""),9))"),"763829582")</f>
        <v>763829582</v>
      </c>
      <c r="B504" s="48">
        <v>7.63829582E8</v>
      </c>
      <c r="C504" s="10" t="s">
        <v>624</v>
      </c>
      <c r="D504" s="10" t="s">
        <v>50</v>
      </c>
      <c r="E504" s="13">
        <v>46227.0</v>
      </c>
      <c r="F504" s="10" t="s">
        <v>113</v>
      </c>
      <c r="H504" s="10" t="s">
        <v>238</v>
      </c>
      <c r="I504" s="10" t="s">
        <v>22</v>
      </c>
      <c r="J504" s="9" t="str">
        <f t="shared" si="30"/>
        <v>No</v>
      </c>
      <c r="K504" s="9" t="str">
        <f t="shared" si="31"/>
        <v/>
      </c>
      <c r="L504" s="9" t="str">
        <f t="shared" si="32"/>
        <v/>
      </c>
      <c r="M504" s="9"/>
      <c r="O504" s="9"/>
    </row>
    <row r="505" ht="15.75" customHeight="1">
      <c r="A505" s="9" t="str">
        <f>IFERROR(__xludf.DUMMYFUNCTION("IF(B505="""","""",RIGHT(REGEXREPLACE(B505&amp;"""",""[^0-9]"",""""),9))"),"760340246")</f>
        <v>760340246</v>
      </c>
      <c r="B505" s="48">
        <v>7.60340246E8</v>
      </c>
      <c r="C505" s="10" t="s">
        <v>625</v>
      </c>
      <c r="D505" s="10" t="s">
        <v>120</v>
      </c>
      <c r="E505" s="13">
        <v>46227.0</v>
      </c>
      <c r="F505" s="10" t="s">
        <v>21</v>
      </c>
      <c r="I505" s="10" t="s">
        <v>22</v>
      </c>
      <c r="J505" s="9" t="str">
        <f t="shared" si="30"/>
        <v>No</v>
      </c>
      <c r="K505" s="9" t="str">
        <f t="shared" si="31"/>
        <v/>
      </c>
      <c r="L505" s="9" t="str">
        <f t="shared" si="32"/>
        <v/>
      </c>
      <c r="M505" s="9"/>
      <c r="O505" s="9"/>
    </row>
    <row r="506" ht="15.75" customHeight="1">
      <c r="A506" s="9" t="str">
        <f>IFERROR(__xludf.DUMMYFUNCTION("IF(B506="""","""",RIGHT(REGEXREPLACE(B506&amp;"""",""[^0-9]"",""""),9))"),"704011922")</f>
        <v>704011922</v>
      </c>
      <c r="B506" s="48">
        <v>7.04011922E8</v>
      </c>
      <c r="C506" s="10" t="s">
        <v>626</v>
      </c>
      <c r="D506" s="10" t="s">
        <v>34</v>
      </c>
      <c r="E506" s="13">
        <v>46227.0</v>
      </c>
      <c r="F506" s="10" t="s">
        <v>35</v>
      </c>
      <c r="G506" s="10">
        <v>9.0</v>
      </c>
      <c r="I506" s="10" t="s">
        <v>22</v>
      </c>
      <c r="J506" s="9" t="str">
        <f t="shared" si="30"/>
        <v>No</v>
      </c>
      <c r="K506" s="9" t="str">
        <f t="shared" si="31"/>
        <v/>
      </c>
      <c r="L506" s="9" t="str">
        <f t="shared" si="32"/>
        <v/>
      </c>
      <c r="M506" s="9"/>
      <c r="O506" s="9"/>
    </row>
    <row r="507" ht="15.75" customHeight="1">
      <c r="A507" s="9" t="str">
        <f>IFERROR(__xludf.DUMMYFUNCTION("IF(B507="""","""",RIGHT(REGEXREPLACE(B507&amp;"""",""[^0-9]"",""""),9))"),"741340108")</f>
        <v>741340108</v>
      </c>
      <c r="B507" s="48">
        <v>7.41340108E8</v>
      </c>
      <c r="C507" s="10" t="s">
        <v>627</v>
      </c>
      <c r="D507" s="10" t="s">
        <v>69</v>
      </c>
      <c r="E507" s="13">
        <v>46227.0</v>
      </c>
      <c r="F507" s="10" t="s">
        <v>145</v>
      </c>
      <c r="I507" s="10" t="s">
        <v>22</v>
      </c>
      <c r="J507" s="9" t="str">
        <f t="shared" si="30"/>
        <v>No</v>
      </c>
      <c r="K507" s="9" t="str">
        <f t="shared" si="31"/>
        <v/>
      </c>
      <c r="L507" s="9" t="str">
        <f t="shared" si="32"/>
        <v/>
      </c>
      <c r="M507" s="9"/>
      <c r="O507" s="9"/>
    </row>
    <row r="508" ht="15.75" customHeight="1">
      <c r="A508" s="9" t="str">
        <f>IFERROR(__xludf.DUMMYFUNCTION("IF(B508="""","""",RIGHT(REGEXREPLACE(B508&amp;"""",""[^0-9]"",""""),9))"),"770402448")</f>
        <v>770402448</v>
      </c>
      <c r="B508" s="48">
        <v>7.70402448E8</v>
      </c>
      <c r="C508" s="10" t="s">
        <v>628</v>
      </c>
      <c r="D508" s="10" t="s">
        <v>50</v>
      </c>
      <c r="E508" s="13">
        <v>46227.0</v>
      </c>
      <c r="F508" s="10" t="s">
        <v>35</v>
      </c>
      <c r="G508" s="10">
        <v>11.0</v>
      </c>
      <c r="I508" s="10" t="s">
        <v>22</v>
      </c>
      <c r="J508" s="9" t="str">
        <f t="shared" si="30"/>
        <v>No</v>
      </c>
      <c r="K508" s="9" t="str">
        <f t="shared" si="31"/>
        <v/>
      </c>
      <c r="L508" s="9" t="str">
        <f t="shared" si="32"/>
        <v/>
      </c>
      <c r="M508" s="9"/>
      <c r="O508" s="9"/>
    </row>
    <row r="509" ht="15.75" customHeight="1">
      <c r="A509" s="9" t="str">
        <f>IFERROR(__xludf.DUMMYFUNCTION("IF(B509="""","""",RIGHT(REGEXREPLACE(B509&amp;"""",""[^0-9]"",""""),9))"),"754474176")</f>
        <v>754474176</v>
      </c>
      <c r="B509" s="48">
        <v>7.54474176E8</v>
      </c>
      <c r="C509" s="10" t="s">
        <v>629</v>
      </c>
      <c r="D509" s="10" t="s">
        <v>97</v>
      </c>
      <c r="E509" s="13">
        <v>46227.0</v>
      </c>
      <c r="F509" s="10" t="s">
        <v>35</v>
      </c>
      <c r="I509" s="10" t="s">
        <v>22</v>
      </c>
      <c r="J509" s="9" t="str">
        <f t="shared" si="30"/>
        <v>No</v>
      </c>
      <c r="K509" s="9" t="str">
        <f t="shared" si="31"/>
        <v/>
      </c>
      <c r="L509" s="9" t="str">
        <f t="shared" si="32"/>
        <v/>
      </c>
      <c r="M509" s="9"/>
      <c r="O509" s="9"/>
    </row>
    <row r="510" ht="15.75" customHeight="1">
      <c r="A510" s="9" t="str">
        <f>IFERROR(__xludf.DUMMYFUNCTION("IF(B510="""","""",RIGHT(REGEXREPLACE(B510&amp;"""",""[^0-9]"",""""),9))"),"706241794")</f>
        <v>706241794</v>
      </c>
      <c r="B510" s="48">
        <v>7.06241794E8</v>
      </c>
      <c r="C510" s="10" t="s">
        <v>630</v>
      </c>
      <c r="D510" s="10" t="s">
        <v>120</v>
      </c>
      <c r="E510" s="13">
        <v>46227.0</v>
      </c>
      <c r="F510" s="10" t="s">
        <v>35</v>
      </c>
      <c r="G510" s="71">
        <v>46275.0</v>
      </c>
      <c r="I510" s="10" t="s">
        <v>22</v>
      </c>
      <c r="J510" s="9" t="str">
        <f t="shared" si="30"/>
        <v>No</v>
      </c>
      <c r="K510" s="9" t="str">
        <f t="shared" si="31"/>
        <v/>
      </c>
      <c r="L510" s="9" t="str">
        <f t="shared" si="32"/>
        <v/>
      </c>
      <c r="M510" s="9"/>
      <c r="O510" s="9"/>
    </row>
    <row r="511" ht="15.75" customHeight="1">
      <c r="A511" s="9" t="str">
        <f>IFERROR(__xludf.DUMMYFUNCTION("IF(B511="""","""",RIGHT(REGEXREPLACE(B511&amp;"""",""[^0-9]"",""""),9))"),"712075669")</f>
        <v>712075669</v>
      </c>
      <c r="B511" s="48">
        <v>7.12075669E8</v>
      </c>
      <c r="C511" s="10" t="s">
        <v>631</v>
      </c>
      <c r="D511" s="10" t="s">
        <v>69</v>
      </c>
      <c r="E511" s="13">
        <v>46227.0</v>
      </c>
      <c r="F511" s="10" t="s">
        <v>35</v>
      </c>
      <c r="G511" s="10">
        <v>11.0</v>
      </c>
      <c r="H511" s="10" t="s">
        <v>632</v>
      </c>
      <c r="I511" s="10" t="s">
        <v>22</v>
      </c>
      <c r="J511" s="9" t="str">
        <f t="shared" si="30"/>
        <v>No</v>
      </c>
      <c r="K511" s="9" t="str">
        <f t="shared" si="31"/>
        <v/>
      </c>
      <c r="L511" s="9" t="str">
        <f t="shared" si="32"/>
        <v/>
      </c>
      <c r="M511" s="9"/>
      <c r="O511" s="9"/>
    </row>
    <row r="512" ht="15.75" customHeight="1">
      <c r="A512" s="9" t="str">
        <f>IFERROR(__xludf.DUMMYFUNCTION("IF(B512="""","""",RIGHT(REGEXREPLACE(B512&amp;"""",""[^0-9]"",""""),9))"),"776900455")</f>
        <v>776900455</v>
      </c>
      <c r="B512" s="48">
        <v>7.76900455E8</v>
      </c>
      <c r="C512" s="10" t="s">
        <v>633</v>
      </c>
      <c r="D512" s="10" t="s">
        <v>34</v>
      </c>
      <c r="E512" s="13">
        <v>46227.0</v>
      </c>
      <c r="F512" s="10" t="s">
        <v>21</v>
      </c>
      <c r="G512" s="10">
        <v>11.0</v>
      </c>
      <c r="H512" s="10" t="s">
        <v>622</v>
      </c>
      <c r="I512" s="10" t="s">
        <v>22</v>
      </c>
      <c r="J512" s="9" t="str">
        <f t="shared" si="30"/>
        <v>No</v>
      </c>
      <c r="K512" s="9" t="str">
        <f t="shared" si="31"/>
        <v/>
      </c>
      <c r="L512" s="9" t="str">
        <f t="shared" si="32"/>
        <v/>
      </c>
      <c r="M512" s="9"/>
      <c r="O512" s="9"/>
    </row>
    <row r="513" ht="15.75" customHeight="1">
      <c r="A513" s="9" t="str">
        <f>IFERROR(__xludf.DUMMYFUNCTION("IF(B513="""","""",RIGHT(REGEXREPLACE(B513&amp;"""",""[^0-9]"",""""),9))"),"765750917")</f>
        <v>765750917</v>
      </c>
      <c r="B513" s="10">
        <v>7.65750917E8</v>
      </c>
      <c r="C513" s="10" t="s">
        <v>634</v>
      </c>
      <c r="D513" s="10" t="s">
        <v>20</v>
      </c>
      <c r="E513" s="13">
        <v>46227.0</v>
      </c>
      <c r="F513" s="10" t="s">
        <v>21</v>
      </c>
      <c r="I513" s="10" t="s">
        <v>22</v>
      </c>
      <c r="J513" s="9" t="str">
        <f t="shared" si="30"/>
        <v>No</v>
      </c>
      <c r="K513" s="9" t="str">
        <f t="shared" si="31"/>
        <v/>
      </c>
      <c r="L513" s="9" t="str">
        <f t="shared" si="32"/>
        <v/>
      </c>
      <c r="M513" s="9"/>
      <c r="O513" s="9"/>
    </row>
    <row r="514" ht="15.75" customHeight="1">
      <c r="A514" s="9" t="str">
        <f>IFERROR(__xludf.DUMMYFUNCTION("IF(B514="""","""",RIGHT(REGEXREPLACE(B514&amp;"""",""[^0-9]"",""""),9))"),"752284659")</f>
        <v>752284659</v>
      </c>
      <c r="B514" s="48">
        <v>7.52284659E8</v>
      </c>
      <c r="C514" s="10" t="s">
        <v>635</v>
      </c>
      <c r="D514" s="10" t="s">
        <v>120</v>
      </c>
      <c r="E514" s="13">
        <v>46227.0</v>
      </c>
      <c r="F514" s="10" t="s">
        <v>35</v>
      </c>
      <c r="G514" s="10">
        <v>11.0</v>
      </c>
      <c r="I514" s="10" t="s">
        <v>22</v>
      </c>
      <c r="J514" s="9" t="str">
        <f t="shared" si="30"/>
        <v>No</v>
      </c>
      <c r="K514" s="9" t="str">
        <f t="shared" si="31"/>
        <v/>
      </c>
      <c r="L514" s="9" t="str">
        <f t="shared" si="32"/>
        <v/>
      </c>
      <c r="M514" s="9"/>
      <c r="O514" s="9"/>
    </row>
    <row r="515" ht="15.75" customHeight="1">
      <c r="A515" s="9" t="str">
        <f>IFERROR(__xludf.DUMMYFUNCTION("IF(B515="""","""",RIGHT(REGEXREPLACE(B515&amp;"""",""[^0-9]"",""""),9))"),"710170897")</f>
        <v>710170897</v>
      </c>
      <c r="B515" s="48">
        <v>7.10170897E8</v>
      </c>
      <c r="C515" s="10" t="s">
        <v>636</v>
      </c>
      <c r="D515" s="10" t="s">
        <v>50</v>
      </c>
      <c r="E515" s="13">
        <v>46227.0</v>
      </c>
      <c r="F515" s="10" t="s">
        <v>35</v>
      </c>
      <c r="G515" s="10">
        <v>11.0</v>
      </c>
      <c r="I515" s="10" t="s">
        <v>22</v>
      </c>
      <c r="J515" s="9" t="str">
        <f t="shared" si="30"/>
        <v>No</v>
      </c>
      <c r="K515" s="9" t="str">
        <f t="shared" si="31"/>
        <v/>
      </c>
      <c r="L515" s="9" t="str">
        <f t="shared" si="32"/>
        <v/>
      </c>
      <c r="M515" s="9"/>
      <c r="O515" s="9"/>
    </row>
    <row r="516" ht="15.75" customHeight="1">
      <c r="A516" s="9" t="str">
        <f>IFERROR(__xludf.DUMMYFUNCTION("IF(B516="""","""",RIGHT(REGEXREPLACE(B516&amp;"""",""[^0-9]"",""""),9))"),"762361156")</f>
        <v>762361156</v>
      </c>
      <c r="B516" s="48">
        <v>7.62361156E8</v>
      </c>
      <c r="C516" s="10" t="s">
        <v>637</v>
      </c>
      <c r="D516" s="10" t="s">
        <v>69</v>
      </c>
      <c r="E516" s="13">
        <v>46227.0</v>
      </c>
      <c r="F516" s="10" t="s">
        <v>198</v>
      </c>
      <c r="H516" s="10" t="s">
        <v>606</v>
      </c>
      <c r="I516" s="10" t="s">
        <v>22</v>
      </c>
      <c r="J516" s="9" t="str">
        <f t="shared" si="30"/>
        <v>No</v>
      </c>
      <c r="K516" s="9" t="str">
        <f t="shared" si="31"/>
        <v/>
      </c>
      <c r="L516" s="9" t="str">
        <f t="shared" si="32"/>
        <v/>
      </c>
      <c r="M516" s="9"/>
      <c r="O516" s="9"/>
    </row>
    <row r="517" ht="15.75" customHeight="1">
      <c r="A517" s="9" t="str">
        <f>IFERROR(__xludf.DUMMYFUNCTION("IF(B517="""","""",RIGHT(REGEXREPLACE(B517&amp;"""",""[^0-9]"",""""),9))"),"755526715")</f>
        <v>755526715</v>
      </c>
      <c r="B517" s="10">
        <v>7.55526715E8</v>
      </c>
      <c r="C517" s="10" t="s">
        <v>638</v>
      </c>
      <c r="D517" s="10" t="s">
        <v>20</v>
      </c>
      <c r="E517" s="13">
        <v>46227.0</v>
      </c>
      <c r="F517" s="10" t="s">
        <v>35</v>
      </c>
      <c r="G517" s="10">
        <v>11.0</v>
      </c>
      <c r="I517" s="10" t="s">
        <v>22</v>
      </c>
      <c r="J517" s="9" t="str">
        <f t="shared" si="30"/>
        <v>No</v>
      </c>
      <c r="K517" s="9" t="str">
        <f t="shared" si="31"/>
        <v/>
      </c>
      <c r="L517" s="9" t="str">
        <f t="shared" si="32"/>
        <v/>
      </c>
      <c r="M517" s="9"/>
      <c r="O517" s="9"/>
    </row>
    <row r="518" ht="15.75" customHeight="1">
      <c r="A518" s="9" t="str">
        <f>IFERROR(__xludf.DUMMYFUNCTION("IF(B518="""","""",RIGHT(REGEXREPLACE(B518&amp;"""",""[^0-9]"",""""),9))"),"710100739")</f>
        <v>710100739</v>
      </c>
      <c r="B518" s="48">
        <v>7.10100739E8</v>
      </c>
      <c r="C518" s="10" t="s">
        <v>639</v>
      </c>
      <c r="D518" s="10" t="s">
        <v>120</v>
      </c>
      <c r="E518" s="13">
        <v>46227.0</v>
      </c>
      <c r="F518" s="10" t="s">
        <v>21</v>
      </c>
      <c r="I518" s="10" t="s">
        <v>22</v>
      </c>
      <c r="J518" s="9" t="str">
        <f t="shared" si="30"/>
        <v>No</v>
      </c>
      <c r="K518" s="9" t="str">
        <f t="shared" si="31"/>
        <v/>
      </c>
      <c r="L518" s="9" t="str">
        <f t="shared" si="32"/>
        <v/>
      </c>
      <c r="M518" s="9"/>
      <c r="O518" s="9"/>
    </row>
    <row r="519" ht="15.75" customHeight="1">
      <c r="A519" s="9" t="str">
        <f>IFERROR(__xludf.DUMMYFUNCTION("IF(B519="""","""",RIGHT(REGEXREPLACE(B519&amp;"""",""[^0-9]"",""""),9))"),"724921995")</f>
        <v>724921995</v>
      </c>
      <c r="B519" s="48">
        <v>7.24921995E8</v>
      </c>
      <c r="C519" s="10" t="s">
        <v>640</v>
      </c>
      <c r="D519" s="10" t="s">
        <v>50</v>
      </c>
      <c r="E519" s="13">
        <v>46227.0</v>
      </c>
      <c r="F519" s="10" t="s">
        <v>21</v>
      </c>
      <c r="I519" s="10" t="s">
        <v>22</v>
      </c>
      <c r="J519" s="9" t="str">
        <f t="shared" si="30"/>
        <v>No</v>
      </c>
      <c r="K519" s="9" t="str">
        <f t="shared" si="31"/>
        <v/>
      </c>
      <c r="L519" s="9" t="str">
        <f t="shared" si="32"/>
        <v/>
      </c>
      <c r="M519" s="9"/>
      <c r="O519" s="9"/>
    </row>
    <row r="520" ht="15.75" customHeight="1">
      <c r="A520" s="9" t="str">
        <f>IFERROR(__xludf.DUMMYFUNCTION("IF(B520="""","""",RIGHT(REGEXREPLACE(B520&amp;"""",""[^0-9]"",""""),9))"),"773751921")</f>
        <v>773751921</v>
      </c>
      <c r="B520" s="10">
        <v>7.73751921E8</v>
      </c>
      <c r="C520" s="10" t="s">
        <v>641</v>
      </c>
      <c r="D520" s="10" t="s">
        <v>20</v>
      </c>
      <c r="E520" s="13">
        <v>46227.0</v>
      </c>
      <c r="F520" s="10" t="s">
        <v>35</v>
      </c>
      <c r="G520" s="10">
        <v>11.0</v>
      </c>
      <c r="I520" s="10" t="s">
        <v>22</v>
      </c>
      <c r="J520" s="9" t="str">
        <f t="shared" si="30"/>
        <v>No</v>
      </c>
      <c r="K520" s="9" t="str">
        <f t="shared" si="31"/>
        <v/>
      </c>
      <c r="L520" s="9" t="str">
        <f t="shared" si="32"/>
        <v/>
      </c>
      <c r="M520" s="9"/>
      <c r="O520" s="9"/>
    </row>
    <row r="521" ht="15.75" customHeight="1">
      <c r="A521" s="9" t="str">
        <f>IFERROR(__xludf.DUMMYFUNCTION("IF(B521="""","""",RIGHT(REGEXREPLACE(B521&amp;"""",""[^0-9]"",""""),9))"),"716812585")</f>
        <v>716812585</v>
      </c>
      <c r="B521" s="48">
        <v>7.16812585E8</v>
      </c>
      <c r="C521" s="10" t="s">
        <v>642</v>
      </c>
      <c r="D521" s="10" t="s">
        <v>34</v>
      </c>
      <c r="E521" s="13">
        <v>46227.0</v>
      </c>
      <c r="F521" s="10" t="s">
        <v>35</v>
      </c>
      <c r="G521" s="10">
        <v>11.0</v>
      </c>
      <c r="I521" s="10" t="s">
        <v>22</v>
      </c>
      <c r="J521" s="9" t="str">
        <f t="shared" si="30"/>
        <v>No</v>
      </c>
      <c r="K521" s="9" t="str">
        <f t="shared" si="31"/>
        <v/>
      </c>
      <c r="L521" s="9" t="str">
        <f t="shared" si="32"/>
        <v/>
      </c>
      <c r="M521" s="9"/>
      <c r="O521" s="9"/>
    </row>
    <row r="522" ht="15.75" customHeight="1">
      <c r="A522" s="9" t="str">
        <f>IFERROR(__xludf.DUMMYFUNCTION("IF(B522="""","""",RIGHT(REGEXREPLACE(B522&amp;"""",""[^0-9]"",""""),9))"),"724607607")</f>
        <v>724607607</v>
      </c>
      <c r="B522" s="48">
        <v>7.24607607E8</v>
      </c>
      <c r="C522" s="10" t="s">
        <v>643</v>
      </c>
      <c r="D522" s="10" t="s">
        <v>120</v>
      </c>
      <c r="E522" s="13">
        <v>46227.0</v>
      </c>
      <c r="F522" s="10" t="s">
        <v>198</v>
      </c>
      <c r="I522" s="10" t="s">
        <v>22</v>
      </c>
      <c r="J522" s="9" t="str">
        <f t="shared" si="30"/>
        <v>No</v>
      </c>
      <c r="K522" s="9" t="str">
        <f t="shared" si="31"/>
        <v/>
      </c>
      <c r="L522" s="9" t="str">
        <f t="shared" si="32"/>
        <v/>
      </c>
      <c r="M522" s="9"/>
      <c r="O522" s="9"/>
    </row>
    <row r="523" ht="15.75" customHeight="1">
      <c r="A523" s="9" t="str">
        <f>IFERROR(__xludf.DUMMYFUNCTION("IF(B523="""","""",RIGHT(REGEXREPLACE(B523&amp;"""",""[^0-9]"",""""),9))"),"771252758")</f>
        <v>771252758</v>
      </c>
      <c r="B523" s="48">
        <v>7.71252758E8</v>
      </c>
      <c r="C523" s="10" t="s">
        <v>644</v>
      </c>
      <c r="D523" s="10" t="s">
        <v>69</v>
      </c>
      <c r="E523" s="13">
        <v>46227.0</v>
      </c>
      <c r="F523" s="10" t="s">
        <v>35</v>
      </c>
      <c r="G523" s="10">
        <v>11.0</v>
      </c>
      <c r="H523" s="10" t="s">
        <v>600</v>
      </c>
      <c r="I523" s="10" t="s">
        <v>22</v>
      </c>
      <c r="J523" s="9" t="str">
        <f t="shared" si="30"/>
        <v>No</v>
      </c>
      <c r="K523" s="9" t="str">
        <f t="shared" si="31"/>
        <v/>
      </c>
      <c r="L523" s="9" t="str">
        <f t="shared" si="32"/>
        <v/>
      </c>
      <c r="M523" s="9"/>
      <c r="O523" s="9"/>
    </row>
    <row r="524" ht="15.75" customHeight="1">
      <c r="A524" s="9" t="str">
        <f>IFERROR(__xludf.DUMMYFUNCTION("IF(B524="""","""",RIGHT(REGEXREPLACE(B524&amp;"""",""[^0-9]"",""""),9))"),"761560913")</f>
        <v>761560913</v>
      </c>
      <c r="B524" s="48">
        <v>7.61560913E8</v>
      </c>
      <c r="C524" s="10" t="s">
        <v>645</v>
      </c>
      <c r="D524" s="10" t="s">
        <v>50</v>
      </c>
      <c r="E524" s="13">
        <v>46227.0</v>
      </c>
      <c r="F524" s="10" t="s">
        <v>35</v>
      </c>
      <c r="G524" s="10">
        <v>6.0</v>
      </c>
      <c r="I524" s="10" t="s">
        <v>22</v>
      </c>
      <c r="J524" s="9" t="str">
        <f t="shared" si="30"/>
        <v>No</v>
      </c>
      <c r="K524" s="9" t="str">
        <f t="shared" si="31"/>
        <v/>
      </c>
      <c r="L524" s="9" t="str">
        <f t="shared" si="32"/>
        <v/>
      </c>
      <c r="M524" s="9"/>
      <c r="O524" s="9"/>
    </row>
    <row r="525" ht="15.75" customHeight="1">
      <c r="A525" s="9" t="str">
        <f>IFERROR(__xludf.DUMMYFUNCTION("IF(B525="""","""",RIGHT(REGEXREPLACE(B525&amp;"""",""[^0-9]"",""""),9))"),"713205604")</f>
        <v>713205604</v>
      </c>
      <c r="B525" s="48">
        <v>7.13205604E8</v>
      </c>
      <c r="C525" s="10" t="s">
        <v>646</v>
      </c>
      <c r="D525" s="10" t="s">
        <v>120</v>
      </c>
      <c r="E525" s="13">
        <v>46227.0</v>
      </c>
      <c r="F525" s="10" t="s">
        <v>35</v>
      </c>
      <c r="G525" s="10">
        <v>10.0</v>
      </c>
      <c r="I525" s="10" t="s">
        <v>22</v>
      </c>
      <c r="J525" s="9" t="str">
        <f t="shared" si="30"/>
        <v>No</v>
      </c>
      <c r="K525" s="9" t="str">
        <f t="shared" si="31"/>
        <v/>
      </c>
      <c r="L525" s="9" t="str">
        <f t="shared" si="32"/>
        <v/>
      </c>
      <c r="M525" s="9"/>
      <c r="O525" s="9"/>
    </row>
    <row r="526" ht="15.75" customHeight="1">
      <c r="A526" s="9" t="str">
        <f>IFERROR(__xludf.DUMMYFUNCTION("IF(B526="""","""",RIGHT(REGEXREPLACE(B526&amp;"""",""[^0-9]"",""""),9))"),"719012092")</f>
        <v>719012092</v>
      </c>
      <c r="B526" s="10">
        <v>7.19012092E8</v>
      </c>
      <c r="C526" s="10" t="s">
        <v>647</v>
      </c>
      <c r="D526" s="10" t="s">
        <v>20</v>
      </c>
      <c r="E526" s="13">
        <v>46227.0</v>
      </c>
      <c r="F526" s="10" t="s">
        <v>648</v>
      </c>
      <c r="I526" s="10" t="s">
        <v>22</v>
      </c>
      <c r="J526" s="9" t="str">
        <f t="shared" si="30"/>
        <v>No</v>
      </c>
      <c r="K526" s="9" t="str">
        <f t="shared" si="31"/>
        <v/>
      </c>
      <c r="L526" s="9" t="str">
        <f t="shared" si="32"/>
        <v/>
      </c>
      <c r="M526" s="9"/>
      <c r="O526" s="9"/>
    </row>
    <row r="527" ht="15.75" customHeight="1">
      <c r="A527" s="9" t="str">
        <f>IFERROR(__xludf.DUMMYFUNCTION("IF(B527="""","""",RIGHT(REGEXREPLACE(B527&amp;"""",""[^0-9]"",""""),9))"),"777147617")</f>
        <v>777147617</v>
      </c>
      <c r="B527" s="48">
        <v>7.77147617E8</v>
      </c>
      <c r="C527" s="10" t="s">
        <v>649</v>
      </c>
      <c r="D527" s="10" t="s">
        <v>34</v>
      </c>
      <c r="E527" s="13">
        <v>46227.0</v>
      </c>
      <c r="F527" s="10" t="s">
        <v>198</v>
      </c>
      <c r="G527" s="10">
        <v>11.0</v>
      </c>
      <c r="H527" s="10" t="s">
        <v>650</v>
      </c>
      <c r="I527" s="10" t="s">
        <v>22</v>
      </c>
      <c r="J527" s="9" t="str">
        <f t="shared" si="30"/>
        <v>No</v>
      </c>
      <c r="K527" s="9" t="str">
        <f t="shared" si="31"/>
        <v/>
      </c>
      <c r="L527" s="9" t="str">
        <f t="shared" si="32"/>
        <v/>
      </c>
      <c r="M527" s="9"/>
      <c r="O527" s="9"/>
    </row>
    <row r="528" ht="15.75" customHeight="1">
      <c r="A528" s="9" t="str">
        <f>IFERROR(__xludf.DUMMYFUNCTION("IF(B528="""","""",RIGHT(REGEXREPLACE(B528&amp;"""",""[^0-9]"",""""),9))"),"778726062")</f>
        <v>778726062</v>
      </c>
      <c r="B528" s="48">
        <v>7.78726062E8</v>
      </c>
      <c r="C528" s="10" t="s">
        <v>651</v>
      </c>
      <c r="D528" s="10" t="s">
        <v>34</v>
      </c>
      <c r="E528" s="13">
        <v>46227.0</v>
      </c>
      <c r="F528" s="10" t="s">
        <v>35</v>
      </c>
      <c r="G528" s="10">
        <v>11.0</v>
      </c>
      <c r="I528" s="10" t="s">
        <v>22</v>
      </c>
      <c r="J528" s="9" t="str">
        <f t="shared" si="30"/>
        <v>No</v>
      </c>
      <c r="K528" s="9" t="str">
        <f t="shared" si="31"/>
        <v/>
      </c>
      <c r="L528" s="9" t="str">
        <f t="shared" si="32"/>
        <v/>
      </c>
      <c r="M528" s="9"/>
      <c r="O528" s="9"/>
    </row>
    <row r="529" ht="15.75" customHeight="1">
      <c r="A529" s="9" t="str">
        <f>IFERROR(__xludf.DUMMYFUNCTION("IF(B529="""","""",RIGHT(REGEXREPLACE(B529&amp;"""",""[^0-9]"",""""),9))"),"771772318")</f>
        <v>771772318</v>
      </c>
      <c r="B529" s="48">
        <v>7.71772318E8</v>
      </c>
      <c r="C529" s="10" t="s">
        <v>652</v>
      </c>
      <c r="D529" s="10" t="s">
        <v>50</v>
      </c>
      <c r="E529" s="13">
        <v>46227.0</v>
      </c>
      <c r="F529" s="10" t="s">
        <v>171</v>
      </c>
      <c r="I529" s="10" t="s">
        <v>22</v>
      </c>
      <c r="J529" s="9" t="str">
        <f t="shared" si="30"/>
        <v>No</v>
      </c>
      <c r="K529" s="9" t="str">
        <f t="shared" si="31"/>
        <v/>
      </c>
      <c r="L529" s="9" t="str">
        <f t="shared" si="32"/>
        <v/>
      </c>
      <c r="M529" s="9"/>
      <c r="O529" s="9"/>
    </row>
    <row r="530" ht="15.75" customHeight="1">
      <c r="A530" s="9" t="str">
        <f>IFERROR(__xludf.DUMMYFUNCTION("IF(B530="""","""",RIGHT(REGEXREPLACE(B530&amp;"""",""[^0-9]"",""""),9))"),"703861968")</f>
        <v>703861968</v>
      </c>
      <c r="B530" s="48">
        <v>7.03861968E8</v>
      </c>
      <c r="C530" s="10" t="s">
        <v>653</v>
      </c>
      <c r="D530" s="10" t="s">
        <v>69</v>
      </c>
      <c r="E530" s="13">
        <v>46227.0</v>
      </c>
      <c r="F530" s="10" t="s">
        <v>198</v>
      </c>
      <c r="G530" s="10">
        <v>11.0</v>
      </c>
      <c r="I530" s="10" t="s">
        <v>22</v>
      </c>
      <c r="J530" s="9" t="str">
        <f t="shared" si="30"/>
        <v>No</v>
      </c>
      <c r="K530" s="9" t="str">
        <f t="shared" si="31"/>
        <v/>
      </c>
      <c r="L530" s="9" t="str">
        <f t="shared" si="32"/>
        <v/>
      </c>
      <c r="M530" s="9"/>
      <c r="O530" s="9"/>
    </row>
    <row r="531" ht="15.75" customHeight="1">
      <c r="A531" s="9" t="str">
        <f>IFERROR(__xludf.DUMMYFUNCTION("IF(B531="""","""",RIGHT(REGEXREPLACE(B531&amp;"""",""[^0-9]"",""""),9))"),"767868412")</f>
        <v>767868412</v>
      </c>
      <c r="B531" s="48">
        <v>7.67868412E8</v>
      </c>
      <c r="C531" s="10" t="s">
        <v>654</v>
      </c>
      <c r="D531" s="10" t="s">
        <v>120</v>
      </c>
      <c r="E531" s="13">
        <v>46227.0</v>
      </c>
      <c r="F531" s="10" t="s">
        <v>21</v>
      </c>
      <c r="I531" s="10" t="s">
        <v>22</v>
      </c>
      <c r="J531" s="9" t="str">
        <f t="shared" si="30"/>
        <v>No</v>
      </c>
      <c r="K531" s="9" t="str">
        <f t="shared" si="31"/>
        <v/>
      </c>
      <c r="L531" s="9" t="str">
        <f t="shared" si="32"/>
        <v/>
      </c>
      <c r="M531" s="9"/>
      <c r="O531" s="9"/>
    </row>
    <row r="532" ht="15.75" customHeight="1">
      <c r="A532" s="9" t="str">
        <f>IFERROR(__xludf.DUMMYFUNCTION("IF(B532="""","""",RIGHT(REGEXREPLACE(B532&amp;"""",""[^0-9]"",""""),9))"),"718203104")</f>
        <v>718203104</v>
      </c>
      <c r="B532" s="10">
        <v>7.18203104E8</v>
      </c>
      <c r="C532" s="10" t="s">
        <v>655</v>
      </c>
      <c r="D532" s="10" t="s">
        <v>20</v>
      </c>
      <c r="E532" s="13">
        <v>46227.0</v>
      </c>
      <c r="F532" s="10" t="s">
        <v>21</v>
      </c>
      <c r="I532" s="10" t="s">
        <v>22</v>
      </c>
      <c r="J532" s="9" t="str">
        <f t="shared" si="30"/>
        <v>No</v>
      </c>
      <c r="K532" s="9" t="str">
        <f t="shared" si="31"/>
        <v/>
      </c>
      <c r="L532" s="9" t="str">
        <f t="shared" si="32"/>
        <v/>
      </c>
      <c r="M532" s="9"/>
      <c r="O532" s="9"/>
    </row>
    <row r="533" ht="15.75" customHeight="1">
      <c r="A533" s="9" t="str">
        <f>IFERROR(__xludf.DUMMYFUNCTION("IF(B533="""","""",RIGHT(REGEXREPLACE(B533&amp;"""",""[^0-9]"",""""),9))"),"764126014")</f>
        <v>764126014</v>
      </c>
      <c r="B533" s="48">
        <v>7.64126014E8</v>
      </c>
      <c r="C533" s="10" t="s">
        <v>656</v>
      </c>
      <c r="D533" s="10" t="s">
        <v>50</v>
      </c>
      <c r="E533" s="13">
        <v>46227.0</v>
      </c>
      <c r="F533" s="10" t="s">
        <v>198</v>
      </c>
      <c r="I533" s="10" t="s">
        <v>22</v>
      </c>
      <c r="J533" s="9" t="str">
        <f t="shared" si="30"/>
        <v>No</v>
      </c>
      <c r="K533" s="9" t="str">
        <f t="shared" si="31"/>
        <v/>
      </c>
      <c r="L533" s="9" t="str">
        <f t="shared" si="32"/>
        <v/>
      </c>
      <c r="M533" s="9"/>
      <c r="O533" s="9"/>
    </row>
    <row r="534" ht="15.75" customHeight="1">
      <c r="A534" s="9" t="str">
        <f>IFERROR(__xludf.DUMMYFUNCTION("IF(B534="""","""",RIGHT(REGEXREPLACE(B534&amp;"""",""[^0-9]"",""""),9))"),"702394393")</f>
        <v>702394393</v>
      </c>
      <c r="B534" s="10">
        <v>7.02394393E8</v>
      </c>
      <c r="C534" s="10" t="s">
        <v>657</v>
      </c>
      <c r="D534" s="10" t="s">
        <v>20</v>
      </c>
      <c r="E534" s="13">
        <v>46227.0</v>
      </c>
      <c r="F534" s="10" t="s">
        <v>198</v>
      </c>
      <c r="I534" s="10" t="s">
        <v>22</v>
      </c>
      <c r="J534" s="9" t="str">
        <f t="shared" si="30"/>
        <v>No</v>
      </c>
      <c r="K534" s="9" t="str">
        <f t="shared" si="31"/>
        <v/>
      </c>
      <c r="L534" s="9" t="str">
        <f t="shared" si="32"/>
        <v/>
      </c>
      <c r="M534" s="9"/>
      <c r="O534" s="9"/>
    </row>
    <row r="535" ht="15.75" customHeight="1">
      <c r="A535" s="9" t="str">
        <f>IFERROR(__xludf.DUMMYFUNCTION("IF(B535="""","""",RIGHT(REGEXREPLACE(B535&amp;"""",""[^0-9]"",""""),9))"),"710346663")</f>
        <v>710346663</v>
      </c>
      <c r="B535" s="48">
        <v>7.10346663E8</v>
      </c>
      <c r="C535" s="10" t="s">
        <v>658</v>
      </c>
      <c r="D535" s="10" t="s">
        <v>69</v>
      </c>
      <c r="E535" s="13">
        <v>46227.0</v>
      </c>
      <c r="F535" s="10" t="s">
        <v>35</v>
      </c>
      <c r="G535" s="10">
        <v>11.0</v>
      </c>
      <c r="H535" s="10" t="s">
        <v>632</v>
      </c>
      <c r="I535" s="10" t="s">
        <v>22</v>
      </c>
      <c r="J535" s="9" t="str">
        <f t="shared" si="30"/>
        <v>No</v>
      </c>
      <c r="K535" s="9" t="str">
        <f t="shared" si="31"/>
        <v/>
      </c>
      <c r="L535" s="9" t="str">
        <f t="shared" si="32"/>
        <v/>
      </c>
      <c r="M535" s="9"/>
      <c r="O535" s="9"/>
    </row>
    <row r="536" ht="15.75" customHeight="1">
      <c r="A536" s="9" t="str">
        <f>IFERROR(__xludf.DUMMYFUNCTION("IF(B536="""","""",RIGHT(REGEXREPLACE(B536&amp;"""",""[^0-9]"",""""),9))"),"759772122")</f>
        <v>759772122</v>
      </c>
      <c r="B536" s="48">
        <v>7.59772122E8</v>
      </c>
      <c r="C536" s="10" t="s">
        <v>659</v>
      </c>
      <c r="D536" s="10" t="s">
        <v>120</v>
      </c>
      <c r="E536" s="13">
        <v>46227.0</v>
      </c>
      <c r="F536" s="10" t="s">
        <v>21</v>
      </c>
      <c r="G536" s="10">
        <v>11.0</v>
      </c>
      <c r="I536" s="10" t="s">
        <v>22</v>
      </c>
      <c r="J536" s="9" t="str">
        <f t="shared" si="30"/>
        <v>No</v>
      </c>
      <c r="K536" s="9" t="str">
        <f t="shared" si="31"/>
        <v/>
      </c>
      <c r="L536" s="9" t="str">
        <f t="shared" si="32"/>
        <v/>
      </c>
      <c r="M536" s="9"/>
      <c r="O536" s="9"/>
    </row>
    <row r="537" ht="15.75" customHeight="1">
      <c r="A537" s="9" t="str">
        <f>IFERROR(__xludf.DUMMYFUNCTION("IF(B537="""","""",RIGHT(REGEXREPLACE(B537&amp;"""",""[^0-9]"",""""),9))"),"765769272")</f>
        <v>765769272</v>
      </c>
      <c r="B537" s="10">
        <v>7.65769272E8</v>
      </c>
      <c r="C537" s="10" t="s">
        <v>660</v>
      </c>
      <c r="D537" s="10" t="s">
        <v>20</v>
      </c>
      <c r="E537" s="13">
        <v>46227.0</v>
      </c>
      <c r="F537" s="10" t="s">
        <v>21</v>
      </c>
      <c r="I537" s="10" t="s">
        <v>22</v>
      </c>
      <c r="J537" s="9" t="str">
        <f t="shared" si="30"/>
        <v>No</v>
      </c>
      <c r="K537" s="9" t="str">
        <f t="shared" si="31"/>
        <v/>
      </c>
      <c r="L537" s="9" t="str">
        <f t="shared" si="32"/>
        <v/>
      </c>
      <c r="M537" s="9"/>
      <c r="O537" s="9"/>
    </row>
    <row r="538" ht="15.75" customHeight="1">
      <c r="A538" s="9" t="str">
        <f>IFERROR(__xludf.DUMMYFUNCTION("IF(B538="""","""",RIGHT(REGEXREPLACE(B538&amp;"""",""[^0-9]"",""""),9))"),"786573859")</f>
        <v>786573859</v>
      </c>
      <c r="B538" s="10">
        <v>7.86573859E8</v>
      </c>
      <c r="C538" s="10" t="s">
        <v>661</v>
      </c>
      <c r="D538" s="10" t="s">
        <v>20</v>
      </c>
      <c r="E538" s="13">
        <v>46227.0</v>
      </c>
      <c r="F538" s="10" t="s">
        <v>171</v>
      </c>
      <c r="I538" s="10" t="s">
        <v>22</v>
      </c>
      <c r="J538" s="9" t="str">
        <f t="shared" si="30"/>
        <v>No</v>
      </c>
      <c r="K538" s="9" t="str">
        <f t="shared" si="31"/>
        <v/>
      </c>
      <c r="L538" s="9" t="str">
        <f t="shared" si="32"/>
        <v/>
      </c>
      <c r="M538" s="9"/>
      <c r="O538" s="9"/>
    </row>
    <row r="539" ht="15.75" customHeight="1">
      <c r="A539" s="9" t="str">
        <f>IFERROR(__xludf.DUMMYFUNCTION("IF(B539="""","""",RIGHT(REGEXREPLACE(B539&amp;"""",""[^0-9]"",""""),9))"),"783465213")</f>
        <v>783465213</v>
      </c>
      <c r="B539" s="48">
        <v>7.83465213E8</v>
      </c>
      <c r="C539" s="10" t="s">
        <v>662</v>
      </c>
      <c r="D539" s="10" t="s">
        <v>50</v>
      </c>
      <c r="E539" s="13">
        <v>46227.0</v>
      </c>
      <c r="F539" s="10" t="s">
        <v>35</v>
      </c>
      <c r="G539" s="10">
        <v>11.0</v>
      </c>
      <c r="I539" s="10" t="s">
        <v>22</v>
      </c>
      <c r="J539" s="9" t="str">
        <f t="shared" si="30"/>
        <v>No</v>
      </c>
      <c r="K539" s="9" t="str">
        <f t="shared" si="31"/>
        <v/>
      </c>
      <c r="L539" s="9" t="str">
        <f t="shared" si="32"/>
        <v/>
      </c>
      <c r="M539" s="9"/>
      <c r="O539" s="9"/>
    </row>
    <row r="540" ht="15.75" customHeight="1">
      <c r="A540" s="9" t="str">
        <f>IFERROR(__xludf.DUMMYFUNCTION("IF(B540="""","""",RIGHT(REGEXREPLACE(B540&amp;"""",""[^0-9]"",""""),9))"),"779448268")</f>
        <v>779448268</v>
      </c>
      <c r="B540" s="48">
        <v>7.79448268E8</v>
      </c>
      <c r="C540" s="10" t="s">
        <v>663</v>
      </c>
      <c r="D540" s="10" t="s">
        <v>34</v>
      </c>
      <c r="E540" s="13">
        <v>46227.0</v>
      </c>
      <c r="F540" s="10" t="s">
        <v>35</v>
      </c>
      <c r="G540" s="10">
        <v>10.0</v>
      </c>
      <c r="H540" s="10" t="s">
        <v>664</v>
      </c>
      <c r="I540" s="10" t="s">
        <v>22</v>
      </c>
      <c r="J540" s="9" t="str">
        <f t="shared" si="30"/>
        <v>No</v>
      </c>
      <c r="K540" s="9" t="str">
        <f t="shared" si="31"/>
        <v/>
      </c>
      <c r="L540" s="9" t="str">
        <f t="shared" si="32"/>
        <v/>
      </c>
      <c r="M540" s="9"/>
      <c r="O540" s="9"/>
    </row>
    <row r="541" ht="15.75" customHeight="1">
      <c r="A541" s="9" t="str">
        <f>IFERROR(__xludf.DUMMYFUNCTION("IF(B541="""","""",RIGHT(REGEXREPLACE(B541&amp;"""",""[^0-9]"",""""),9))"),"703253905")</f>
        <v>703253905</v>
      </c>
      <c r="B541" s="48">
        <v>7.03253905E8</v>
      </c>
      <c r="C541" s="10" t="s">
        <v>665</v>
      </c>
      <c r="D541" s="10" t="s">
        <v>120</v>
      </c>
      <c r="E541" s="13">
        <v>46227.0</v>
      </c>
      <c r="F541" s="10" t="s">
        <v>198</v>
      </c>
      <c r="I541" s="10" t="s">
        <v>22</v>
      </c>
      <c r="J541" s="9" t="str">
        <f t="shared" si="30"/>
        <v>No</v>
      </c>
      <c r="K541" s="9" t="str">
        <f t="shared" si="31"/>
        <v/>
      </c>
      <c r="L541" s="9" t="str">
        <f t="shared" si="32"/>
        <v/>
      </c>
      <c r="M541" s="9"/>
      <c r="O541" s="9"/>
    </row>
    <row r="542" ht="15.75" customHeight="1">
      <c r="A542" s="9" t="str">
        <f>IFERROR(__xludf.DUMMYFUNCTION("IF(B542="""","""",RIGHT(REGEXREPLACE(B542&amp;"""",""[^0-9]"",""""),9))"),"767217814")</f>
        <v>767217814</v>
      </c>
      <c r="B542" s="10">
        <v>7.67217814E8</v>
      </c>
      <c r="C542" s="10" t="s">
        <v>666</v>
      </c>
      <c r="D542" s="10" t="s">
        <v>20</v>
      </c>
      <c r="E542" s="13">
        <v>46227.0</v>
      </c>
      <c r="F542" s="10" t="s">
        <v>198</v>
      </c>
      <c r="I542" s="10" t="s">
        <v>22</v>
      </c>
      <c r="J542" s="9" t="str">
        <f t="shared" si="30"/>
        <v>No</v>
      </c>
      <c r="K542" s="9" t="str">
        <f t="shared" si="31"/>
        <v/>
      </c>
      <c r="L542" s="9" t="str">
        <f t="shared" si="32"/>
        <v/>
      </c>
      <c r="M542" s="9"/>
      <c r="O542" s="9"/>
    </row>
    <row r="543" ht="15.75" customHeight="1">
      <c r="A543" s="9" t="str">
        <f>IFERROR(__xludf.DUMMYFUNCTION("IF(B543="""","""",RIGHT(REGEXREPLACE(B543&amp;"""",""[^0-9]"",""""),9))"),"763533015")</f>
        <v>763533015</v>
      </c>
      <c r="B543" s="48">
        <v>7.63533015E8</v>
      </c>
      <c r="C543" s="10" t="s">
        <v>266</v>
      </c>
      <c r="D543" s="10" t="s">
        <v>97</v>
      </c>
      <c r="E543" s="13">
        <v>46227.0</v>
      </c>
      <c r="F543" s="10" t="s">
        <v>35</v>
      </c>
      <c r="G543" s="10">
        <v>11.0</v>
      </c>
      <c r="I543" s="10" t="s">
        <v>22</v>
      </c>
      <c r="J543" s="9" t="str">
        <f t="shared" si="30"/>
        <v>Yes - see Previous F-Code</v>
      </c>
      <c r="K543" s="9" t="str">
        <f t="shared" si="31"/>
        <v>DUPLICATE - CHECK</v>
      </c>
      <c r="L543" s="9" t="str">
        <f t="shared" si="32"/>
        <v>F70157</v>
      </c>
      <c r="M543" s="9"/>
      <c r="O543" s="9"/>
    </row>
    <row r="544" ht="15.75" customHeight="1">
      <c r="A544" s="9" t="str">
        <f>IFERROR(__xludf.DUMMYFUNCTION("IF(B544="""","""",RIGHT(REGEXREPLACE(B544&amp;"""",""[^0-9]"",""""),9))"),"741802751")</f>
        <v>741802751</v>
      </c>
      <c r="B544" s="48">
        <v>7.41802751E8</v>
      </c>
      <c r="C544" s="10" t="s">
        <v>667</v>
      </c>
      <c r="D544" s="10" t="s">
        <v>120</v>
      </c>
      <c r="E544" s="13">
        <v>46227.0</v>
      </c>
      <c r="F544" s="10" t="s">
        <v>35</v>
      </c>
      <c r="G544" s="10">
        <v>11.0</v>
      </c>
      <c r="I544" s="10" t="s">
        <v>22</v>
      </c>
      <c r="J544" s="9" t="str">
        <f t="shared" si="30"/>
        <v>No</v>
      </c>
      <c r="K544" s="9" t="str">
        <f t="shared" si="31"/>
        <v/>
      </c>
      <c r="L544" s="9" t="str">
        <f t="shared" si="32"/>
        <v/>
      </c>
      <c r="M544" s="9"/>
      <c r="O544" s="9"/>
    </row>
    <row r="545" ht="15.75" customHeight="1">
      <c r="A545" s="9" t="str">
        <f>IFERROR(__xludf.DUMMYFUNCTION("IF(B545="""","""",RIGHT(REGEXREPLACE(B545&amp;"""",""[^0-9]"",""""),9))"),"765911053")</f>
        <v>765911053</v>
      </c>
      <c r="B545" s="48">
        <v>7.65911053E8</v>
      </c>
      <c r="C545" s="10" t="s">
        <v>668</v>
      </c>
      <c r="D545" s="10" t="s">
        <v>69</v>
      </c>
      <c r="E545" s="13">
        <v>46227.0</v>
      </c>
      <c r="F545" s="10" t="s">
        <v>35</v>
      </c>
      <c r="G545" s="10">
        <v>11.0</v>
      </c>
      <c r="H545" s="10" t="s">
        <v>669</v>
      </c>
      <c r="I545" s="10" t="s">
        <v>22</v>
      </c>
      <c r="J545" s="9" t="str">
        <f t="shared" si="30"/>
        <v>No</v>
      </c>
      <c r="K545" s="9" t="str">
        <f t="shared" si="31"/>
        <v/>
      </c>
      <c r="L545" s="9" t="str">
        <f t="shared" si="32"/>
        <v/>
      </c>
      <c r="M545" s="9"/>
      <c r="O545" s="9"/>
    </row>
    <row r="546" ht="15.75" customHeight="1">
      <c r="A546" s="9" t="str">
        <f>IFERROR(__xludf.DUMMYFUNCTION("IF(B546="""","""",RIGHT(REGEXREPLACE(B546&amp;"""",""[^0-9]"",""""),9))"),"767744534")</f>
        <v>767744534</v>
      </c>
      <c r="B546" s="48">
        <v>7.67744534E8</v>
      </c>
      <c r="C546" s="10" t="s">
        <v>670</v>
      </c>
      <c r="D546" s="10" t="s">
        <v>50</v>
      </c>
      <c r="E546" s="13">
        <v>46227.0</v>
      </c>
      <c r="F546" s="10" t="s">
        <v>21</v>
      </c>
      <c r="I546" s="10" t="s">
        <v>22</v>
      </c>
      <c r="J546" s="9" t="str">
        <f t="shared" si="30"/>
        <v>No</v>
      </c>
      <c r="K546" s="9" t="str">
        <f t="shared" si="31"/>
        <v/>
      </c>
      <c r="L546" s="9" t="str">
        <f t="shared" si="32"/>
        <v/>
      </c>
      <c r="M546" s="9"/>
      <c r="O546" s="9"/>
    </row>
    <row r="547" ht="15.75" customHeight="1">
      <c r="A547" s="9" t="str">
        <f>IFERROR(__xludf.DUMMYFUNCTION("IF(B547="""","""",RIGHT(REGEXREPLACE(B547&amp;"""",""[^0-9]"",""""),9))"),"763018197")</f>
        <v>763018197</v>
      </c>
      <c r="B547" s="48">
        <v>7.63018197E8</v>
      </c>
      <c r="C547" s="10" t="s">
        <v>671</v>
      </c>
      <c r="D547" s="10" t="s">
        <v>97</v>
      </c>
      <c r="E547" s="13">
        <v>46227.0</v>
      </c>
      <c r="F547" s="10" t="s">
        <v>35</v>
      </c>
      <c r="G547" s="10">
        <v>11.0</v>
      </c>
      <c r="I547" s="10" t="s">
        <v>22</v>
      </c>
      <c r="J547" s="9" t="str">
        <f t="shared" si="30"/>
        <v>No</v>
      </c>
      <c r="K547" s="9" t="str">
        <f t="shared" si="31"/>
        <v/>
      </c>
      <c r="L547" s="9" t="str">
        <f t="shared" si="32"/>
        <v/>
      </c>
      <c r="M547" s="9"/>
      <c r="O547" s="9"/>
    </row>
    <row r="548" ht="15.75" customHeight="1">
      <c r="A548" s="9" t="str">
        <f>IFERROR(__xludf.DUMMYFUNCTION("IF(B548="""","""",RIGHT(REGEXREPLACE(B548&amp;"""",""[^0-9]"",""""),9))"),"701477470")</f>
        <v>701477470</v>
      </c>
      <c r="B548" s="48">
        <v>7.0147747E8</v>
      </c>
      <c r="C548" s="10" t="s">
        <v>672</v>
      </c>
      <c r="D548" s="10" t="s">
        <v>34</v>
      </c>
      <c r="E548" s="13">
        <v>46227.0</v>
      </c>
      <c r="F548" s="10" t="s">
        <v>35</v>
      </c>
      <c r="G548" s="10">
        <v>11.0</v>
      </c>
      <c r="I548" s="10" t="s">
        <v>22</v>
      </c>
      <c r="J548" s="9" t="str">
        <f t="shared" si="30"/>
        <v>No</v>
      </c>
      <c r="K548" s="9" t="str">
        <f t="shared" si="31"/>
        <v/>
      </c>
      <c r="L548" s="9" t="str">
        <f t="shared" si="32"/>
        <v/>
      </c>
      <c r="M548" s="9"/>
      <c r="O548" s="9"/>
    </row>
    <row r="549" ht="15.75" customHeight="1">
      <c r="A549" s="9" t="str">
        <f>IFERROR(__xludf.DUMMYFUNCTION("IF(B549="""","""",RIGHT(REGEXREPLACE(B549&amp;"""",""[^0-9]"",""""),9))"),"740602447")</f>
        <v>740602447</v>
      </c>
      <c r="B549" s="48">
        <v>7.40602447E8</v>
      </c>
      <c r="C549" s="10" t="s">
        <v>673</v>
      </c>
      <c r="D549" s="10" t="s">
        <v>50</v>
      </c>
      <c r="E549" s="13">
        <v>46227.0</v>
      </c>
      <c r="F549" s="10" t="s">
        <v>35</v>
      </c>
      <c r="G549" s="10">
        <v>11.0</v>
      </c>
      <c r="I549" s="10" t="s">
        <v>22</v>
      </c>
      <c r="J549" s="9" t="str">
        <f t="shared" si="30"/>
        <v>No</v>
      </c>
      <c r="K549" s="9" t="str">
        <f t="shared" si="31"/>
        <v/>
      </c>
      <c r="L549" s="9" t="str">
        <f t="shared" si="32"/>
        <v/>
      </c>
      <c r="M549" s="9"/>
      <c r="O549" s="9"/>
    </row>
    <row r="550" ht="15.75" customHeight="1">
      <c r="A550" s="9" t="str">
        <f>IFERROR(__xludf.DUMMYFUNCTION("IF(B550="""","""",RIGHT(REGEXREPLACE(B550&amp;"""",""[^0-9]"",""""),9))"),"740535883")</f>
        <v>740535883</v>
      </c>
      <c r="B550" s="48">
        <v>7.40535883E8</v>
      </c>
      <c r="C550" s="10" t="s">
        <v>674</v>
      </c>
      <c r="D550" s="10" t="s">
        <v>120</v>
      </c>
      <c r="E550" s="13">
        <v>46227.0</v>
      </c>
      <c r="F550" s="10" t="s">
        <v>21</v>
      </c>
      <c r="G550" s="10">
        <v>9.0</v>
      </c>
      <c r="I550" s="10" t="s">
        <v>22</v>
      </c>
      <c r="J550" s="9" t="str">
        <f t="shared" si="30"/>
        <v>No</v>
      </c>
      <c r="K550" s="9" t="str">
        <f t="shared" si="31"/>
        <v/>
      </c>
      <c r="L550" s="9" t="str">
        <f t="shared" si="32"/>
        <v/>
      </c>
      <c r="M550" s="9"/>
      <c r="O550" s="9"/>
    </row>
    <row r="551" ht="15.75" customHeight="1">
      <c r="A551" s="9" t="str">
        <f>IFERROR(__xludf.DUMMYFUNCTION("IF(B551="""","""",RIGHT(REGEXREPLACE(B551&amp;"""",""[^0-9]"",""""),9))"),"766951669")</f>
        <v>766951669</v>
      </c>
      <c r="B551" s="48">
        <v>7.66951669E8</v>
      </c>
      <c r="C551" s="10" t="s">
        <v>675</v>
      </c>
      <c r="D551" s="10" t="s">
        <v>120</v>
      </c>
      <c r="E551" s="13">
        <v>46227.0</v>
      </c>
      <c r="F551" s="10" t="s">
        <v>145</v>
      </c>
      <c r="G551" s="10">
        <v>11.0</v>
      </c>
      <c r="I551" s="10" t="s">
        <v>22</v>
      </c>
      <c r="J551" s="9" t="str">
        <f t="shared" si="30"/>
        <v>No</v>
      </c>
      <c r="K551" s="9" t="str">
        <f t="shared" si="31"/>
        <v/>
      </c>
      <c r="L551" s="9" t="str">
        <f t="shared" si="32"/>
        <v/>
      </c>
      <c r="M551" s="9"/>
      <c r="O551" s="9"/>
    </row>
    <row r="552" ht="15.75" customHeight="1">
      <c r="A552" s="9" t="str">
        <f>IFERROR(__xludf.DUMMYFUNCTION("IF(B552="""","""",RIGHT(REGEXREPLACE(B552&amp;"""",""[^0-9]"",""""),9))"),"775426434")</f>
        <v>775426434</v>
      </c>
      <c r="B552" s="48">
        <v>7.75426434E8</v>
      </c>
      <c r="C552" s="10" t="s">
        <v>676</v>
      </c>
      <c r="D552" s="10" t="s">
        <v>50</v>
      </c>
      <c r="E552" s="13">
        <v>46227.0</v>
      </c>
      <c r="F552" s="10" t="s">
        <v>35</v>
      </c>
      <c r="G552" s="10">
        <v>11.0</v>
      </c>
      <c r="I552" s="10" t="s">
        <v>22</v>
      </c>
      <c r="J552" s="9" t="str">
        <f t="shared" si="30"/>
        <v>No</v>
      </c>
      <c r="K552" s="9" t="str">
        <f t="shared" si="31"/>
        <v/>
      </c>
      <c r="L552" s="9" t="str">
        <f t="shared" si="32"/>
        <v/>
      </c>
      <c r="M552" s="9"/>
      <c r="O552" s="9"/>
    </row>
    <row r="553" ht="15.75" customHeight="1">
      <c r="A553" s="9" t="str">
        <f>IFERROR(__xludf.DUMMYFUNCTION("IF(B553="""","""",RIGHT(REGEXREPLACE(B553&amp;"""",""[^0-9]"",""""),9))"),"742350065")</f>
        <v>742350065</v>
      </c>
      <c r="B553" s="48">
        <v>7.42350065E8</v>
      </c>
      <c r="C553" s="10" t="s">
        <v>677</v>
      </c>
      <c r="D553" s="10" t="s">
        <v>97</v>
      </c>
      <c r="E553" s="13">
        <v>46227.0</v>
      </c>
      <c r="F553" s="10" t="s">
        <v>198</v>
      </c>
      <c r="I553" s="10" t="s">
        <v>22</v>
      </c>
      <c r="J553" s="9" t="str">
        <f t="shared" si="30"/>
        <v>No</v>
      </c>
      <c r="K553" s="9" t="str">
        <f t="shared" si="31"/>
        <v/>
      </c>
      <c r="L553" s="9" t="str">
        <f t="shared" si="32"/>
        <v/>
      </c>
      <c r="M553" s="9"/>
      <c r="O553" s="9"/>
    </row>
    <row r="554" ht="15.75" customHeight="1">
      <c r="A554" s="9" t="str">
        <f>IFERROR(__xludf.DUMMYFUNCTION("IF(B554="""","""",RIGHT(REGEXREPLACE(B554&amp;"""",""[^0-9]"",""""),9))"),"717923063")</f>
        <v>717923063</v>
      </c>
      <c r="B554" s="48">
        <v>7.17923063E8</v>
      </c>
      <c r="C554" s="10" t="s">
        <v>678</v>
      </c>
      <c r="D554" s="10" t="s">
        <v>69</v>
      </c>
      <c r="E554" s="13">
        <v>46227.0</v>
      </c>
      <c r="F554" s="10" t="s">
        <v>145</v>
      </c>
      <c r="G554" s="10">
        <v>11.0</v>
      </c>
      <c r="I554" s="10" t="s">
        <v>22</v>
      </c>
      <c r="J554" s="9" t="str">
        <f t="shared" si="30"/>
        <v>No</v>
      </c>
      <c r="K554" s="9" t="str">
        <f t="shared" si="31"/>
        <v/>
      </c>
      <c r="L554" s="9" t="str">
        <f t="shared" si="32"/>
        <v/>
      </c>
      <c r="M554" s="9"/>
      <c r="O554" s="9"/>
    </row>
    <row r="555" ht="15.75" customHeight="1">
      <c r="A555" s="9" t="str">
        <f>IFERROR(__xludf.DUMMYFUNCTION("IF(B555="""","""",RIGHT(REGEXREPLACE(B555&amp;"""",""[^0-9]"",""""),9))"),"765982258")</f>
        <v>765982258</v>
      </c>
      <c r="B555" s="10">
        <v>7.65982258E8</v>
      </c>
      <c r="C555" s="10" t="s">
        <v>679</v>
      </c>
      <c r="D555" s="10" t="s">
        <v>20</v>
      </c>
      <c r="E555" s="13">
        <v>46227.0</v>
      </c>
      <c r="F555" s="10" t="s">
        <v>21</v>
      </c>
      <c r="I555" s="10" t="s">
        <v>22</v>
      </c>
      <c r="J555" s="9" t="str">
        <f t="shared" si="30"/>
        <v>No</v>
      </c>
      <c r="K555" s="9" t="str">
        <f t="shared" si="31"/>
        <v/>
      </c>
      <c r="L555" s="9" t="str">
        <f t="shared" si="32"/>
        <v/>
      </c>
      <c r="M555" s="9"/>
      <c r="O555" s="9"/>
    </row>
    <row r="556" ht="15.75" customHeight="1">
      <c r="A556" s="9" t="str">
        <f>IFERROR(__xludf.DUMMYFUNCTION("IF(B556="""","""",RIGHT(REGEXREPLACE(B556&amp;"""",""[^0-9]"",""""),9))"),"766343884")</f>
        <v>766343884</v>
      </c>
      <c r="B556" s="48">
        <v>7.66343884E8</v>
      </c>
      <c r="C556" s="10" t="s">
        <v>680</v>
      </c>
      <c r="D556" s="10" t="s">
        <v>120</v>
      </c>
      <c r="E556" s="13">
        <v>46227.0</v>
      </c>
      <c r="F556" s="10" t="s">
        <v>145</v>
      </c>
      <c r="G556" s="10">
        <v>11.0</v>
      </c>
      <c r="I556" s="10" t="s">
        <v>22</v>
      </c>
      <c r="J556" s="9" t="str">
        <f t="shared" si="30"/>
        <v>No</v>
      </c>
      <c r="K556" s="9" t="str">
        <f t="shared" si="31"/>
        <v/>
      </c>
      <c r="L556" s="9" t="str">
        <f t="shared" si="32"/>
        <v/>
      </c>
      <c r="M556" s="9"/>
      <c r="O556" s="9"/>
    </row>
    <row r="557" ht="15.75" customHeight="1">
      <c r="A557" s="9" t="str">
        <f>IFERROR(__xludf.DUMMYFUNCTION("IF(B557="""","""",RIGHT(REGEXREPLACE(B557&amp;"""",""[^0-9]"",""""),9))"),"761177154")</f>
        <v>761177154</v>
      </c>
      <c r="B557" s="10">
        <v>7.61177154E8</v>
      </c>
      <c r="C557" s="10" t="s">
        <v>681</v>
      </c>
      <c r="D557" s="10" t="s">
        <v>20</v>
      </c>
      <c r="E557" s="13">
        <v>46227.0</v>
      </c>
      <c r="F557" s="10" t="s">
        <v>35</v>
      </c>
      <c r="G557" s="10">
        <v>11.0</v>
      </c>
      <c r="H557" s="10" t="s">
        <v>682</v>
      </c>
      <c r="I557" s="10" t="s">
        <v>22</v>
      </c>
      <c r="J557" s="9" t="str">
        <f t="shared" si="30"/>
        <v>No</v>
      </c>
      <c r="K557" s="9" t="str">
        <f t="shared" si="31"/>
        <v/>
      </c>
      <c r="L557" s="9" t="str">
        <f t="shared" si="32"/>
        <v/>
      </c>
      <c r="M557" s="9"/>
      <c r="O557" s="9"/>
    </row>
    <row r="558" ht="15.75" customHeight="1">
      <c r="A558" s="9" t="str">
        <f>IFERROR(__xludf.DUMMYFUNCTION("IF(B558="""","""",RIGHT(REGEXREPLACE(B558&amp;"""",""[^0-9]"",""""),9))"),"777371936")</f>
        <v>777371936</v>
      </c>
      <c r="B558" s="48">
        <v>7.77371936E8</v>
      </c>
      <c r="C558" s="10" t="s">
        <v>683</v>
      </c>
      <c r="D558" s="10" t="s">
        <v>69</v>
      </c>
      <c r="E558" s="13">
        <v>46227.0</v>
      </c>
      <c r="F558" s="10" t="s">
        <v>21</v>
      </c>
      <c r="G558" s="10">
        <v>11.0</v>
      </c>
      <c r="H558" s="10" t="s">
        <v>606</v>
      </c>
      <c r="I558" s="10" t="s">
        <v>22</v>
      </c>
      <c r="J558" s="9" t="str">
        <f t="shared" si="30"/>
        <v>No</v>
      </c>
      <c r="K558" s="9" t="str">
        <f t="shared" si="31"/>
        <v/>
      </c>
      <c r="L558" s="9" t="str">
        <f t="shared" si="32"/>
        <v/>
      </c>
      <c r="M558" s="9"/>
      <c r="O558" s="9"/>
    </row>
    <row r="559" ht="15.75" customHeight="1">
      <c r="A559" s="9" t="str">
        <f>IFERROR(__xludf.DUMMYFUNCTION("IF(B559="""","""",RIGHT(REGEXREPLACE(B559&amp;"""",""[^0-9]"",""""),9))"),"770496685")</f>
        <v>770496685</v>
      </c>
      <c r="B559" s="48">
        <v>7.70496685E8</v>
      </c>
      <c r="C559" s="10" t="s">
        <v>684</v>
      </c>
      <c r="D559" s="10" t="s">
        <v>34</v>
      </c>
      <c r="E559" s="13">
        <v>46227.0</v>
      </c>
      <c r="F559" s="10" t="s">
        <v>145</v>
      </c>
      <c r="G559" s="10">
        <v>11.0</v>
      </c>
      <c r="I559" s="10" t="s">
        <v>22</v>
      </c>
      <c r="J559" s="9" t="str">
        <f t="shared" si="30"/>
        <v>No</v>
      </c>
      <c r="K559" s="9" t="str">
        <f t="shared" si="31"/>
        <v/>
      </c>
      <c r="L559" s="9" t="str">
        <f t="shared" si="32"/>
        <v/>
      </c>
      <c r="M559" s="9"/>
      <c r="O559" s="9"/>
    </row>
    <row r="560" ht="15.75" customHeight="1">
      <c r="A560" s="9" t="str">
        <f>IFERROR(__xludf.DUMMYFUNCTION("IF(B560="""","""",RIGHT(REGEXREPLACE(B560&amp;"""",""[^0-9]"",""""),9))"),"718957607")</f>
        <v>718957607</v>
      </c>
      <c r="B560" s="48">
        <v>7.18957607E8</v>
      </c>
      <c r="C560" s="10" t="s">
        <v>685</v>
      </c>
      <c r="D560" s="10" t="s">
        <v>97</v>
      </c>
      <c r="E560" s="13">
        <v>46227.0</v>
      </c>
      <c r="F560" s="10" t="s">
        <v>35</v>
      </c>
      <c r="G560" s="10">
        <v>11.0</v>
      </c>
      <c r="I560" s="10" t="s">
        <v>22</v>
      </c>
      <c r="J560" s="9" t="str">
        <f t="shared" si="30"/>
        <v>No</v>
      </c>
      <c r="K560" s="9" t="str">
        <f t="shared" si="31"/>
        <v/>
      </c>
      <c r="L560" s="9" t="str">
        <f t="shared" si="32"/>
        <v/>
      </c>
      <c r="M560" s="9"/>
      <c r="O560" s="9"/>
    </row>
    <row r="561" ht="15.75" customHeight="1">
      <c r="A561" s="9" t="str">
        <f>IFERROR(__xludf.DUMMYFUNCTION("IF(B561="""","""",RIGHT(REGEXREPLACE(B561&amp;"""",""[^0-9]"",""""),9))"),"789900717")</f>
        <v>789900717</v>
      </c>
      <c r="B561" s="48">
        <v>7.89900717E8</v>
      </c>
      <c r="C561" s="10" t="s">
        <v>686</v>
      </c>
      <c r="D561" s="10" t="s">
        <v>50</v>
      </c>
      <c r="E561" s="13">
        <v>46227.0</v>
      </c>
      <c r="F561" s="10" t="s">
        <v>198</v>
      </c>
      <c r="I561" s="10" t="s">
        <v>22</v>
      </c>
      <c r="J561" s="9" t="str">
        <f t="shared" si="30"/>
        <v>No</v>
      </c>
      <c r="K561" s="9" t="str">
        <f t="shared" si="31"/>
        <v/>
      </c>
      <c r="L561" s="9" t="str">
        <f t="shared" si="32"/>
        <v/>
      </c>
      <c r="M561" s="9"/>
      <c r="O561" s="9"/>
    </row>
    <row r="562" ht="15.75" customHeight="1">
      <c r="A562" s="9" t="str">
        <f>IFERROR(__xludf.DUMMYFUNCTION("IF(B562="""","""",RIGHT(REGEXREPLACE(B562&amp;"""",""[^0-9]"",""""),9))"),"718266404")</f>
        <v>718266404</v>
      </c>
      <c r="B562" s="48">
        <v>7.18266404E8</v>
      </c>
      <c r="C562" s="10" t="s">
        <v>687</v>
      </c>
      <c r="D562" s="10" t="s">
        <v>120</v>
      </c>
      <c r="E562" s="13">
        <v>46227.0</v>
      </c>
      <c r="F562" s="10" t="s">
        <v>35</v>
      </c>
      <c r="G562" s="10">
        <v>11.0</v>
      </c>
      <c r="I562" s="10" t="s">
        <v>22</v>
      </c>
      <c r="J562" s="9" t="str">
        <f t="shared" si="30"/>
        <v>No</v>
      </c>
      <c r="K562" s="9" t="str">
        <f t="shared" si="31"/>
        <v/>
      </c>
      <c r="L562" s="9" t="str">
        <f t="shared" si="32"/>
        <v/>
      </c>
      <c r="M562" s="9"/>
      <c r="O562" s="9"/>
    </row>
    <row r="563" ht="15.75" customHeight="1">
      <c r="A563" s="9" t="str">
        <f>IFERROR(__xludf.DUMMYFUNCTION("IF(B563="""","""",RIGHT(REGEXREPLACE(B563&amp;"""",""[^0-9]"",""""),9))"),"711124406")</f>
        <v>711124406</v>
      </c>
      <c r="B563" s="48">
        <v>7.11124406E8</v>
      </c>
      <c r="C563" s="10" t="s">
        <v>688</v>
      </c>
      <c r="D563" s="10" t="s">
        <v>34</v>
      </c>
      <c r="E563" s="13">
        <v>46227.0</v>
      </c>
      <c r="F563" s="10" t="s">
        <v>21</v>
      </c>
      <c r="G563" s="10">
        <v>11.0</v>
      </c>
      <c r="H563" s="10" t="s">
        <v>622</v>
      </c>
      <c r="I563" s="10" t="s">
        <v>22</v>
      </c>
      <c r="J563" s="9" t="str">
        <f t="shared" si="30"/>
        <v>No</v>
      </c>
      <c r="K563" s="9" t="str">
        <f t="shared" si="31"/>
        <v/>
      </c>
      <c r="L563" s="9" t="str">
        <f t="shared" si="32"/>
        <v/>
      </c>
      <c r="M563" s="9"/>
      <c r="O563" s="9"/>
    </row>
    <row r="564" ht="15.75" customHeight="1">
      <c r="A564" s="9" t="str">
        <f>IFERROR(__xludf.DUMMYFUNCTION("IF(B564="""","""",RIGHT(REGEXREPLACE(B564&amp;"""",""[^0-9]"",""""),9))"),"758993403")</f>
        <v>758993403</v>
      </c>
      <c r="B564" s="48">
        <v>7.58993403E8</v>
      </c>
      <c r="C564" s="10" t="s">
        <v>689</v>
      </c>
      <c r="D564" s="10" t="s">
        <v>50</v>
      </c>
      <c r="E564" s="13">
        <v>46227.0</v>
      </c>
      <c r="F564" s="10" t="s">
        <v>145</v>
      </c>
      <c r="I564" s="10" t="s">
        <v>22</v>
      </c>
      <c r="J564" s="9" t="str">
        <f t="shared" si="30"/>
        <v>No</v>
      </c>
      <c r="K564" s="9" t="str">
        <f t="shared" si="31"/>
        <v/>
      </c>
      <c r="L564" s="9" t="str">
        <f t="shared" si="32"/>
        <v/>
      </c>
      <c r="M564" s="9"/>
      <c r="O564" s="9"/>
    </row>
    <row r="565" ht="15.75" customHeight="1">
      <c r="A565" s="9" t="str">
        <f>IFERROR(__xludf.DUMMYFUNCTION("IF(B565="""","""",RIGHT(REGEXREPLACE(B565&amp;"""",""[^0-9]"",""""),9))"),"778636894")</f>
        <v>778636894</v>
      </c>
      <c r="B565" s="48">
        <v>7.78636894E8</v>
      </c>
      <c r="C565" s="10" t="s">
        <v>690</v>
      </c>
      <c r="D565" s="10" t="s">
        <v>97</v>
      </c>
      <c r="E565" s="13">
        <v>46227.0</v>
      </c>
      <c r="F565" s="10" t="s">
        <v>21</v>
      </c>
      <c r="I565" s="10" t="s">
        <v>22</v>
      </c>
      <c r="J565" s="9" t="str">
        <f t="shared" si="30"/>
        <v>No</v>
      </c>
      <c r="K565" s="9" t="str">
        <f t="shared" si="31"/>
        <v/>
      </c>
      <c r="L565" s="9" t="str">
        <f t="shared" si="32"/>
        <v/>
      </c>
      <c r="M565" s="9"/>
      <c r="O565" s="9"/>
    </row>
    <row r="566" ht="15.75" customHeight="1">
      <c r="A566" s="9" t="str">
        <f>IFERROR(__xludf.DUMMYFUNCTION("IF(B566="""","""",RIGHT(REGEXREPLACE(B566&amp;"""",""[^0-9]"",""""),9))"),"777455996")</f>
        <v>777455996</v>
      </c>
      <c r="B566" s="48">
        <v>7.77455996E8</v>
      </c>
      <c r="C566" s="10" t="s">
        <v>691</v>
      </c>
      <c r="D566" s="10" t="s">
        <v>34</v>
      </c>
      <c r="E566" s="13">
        <v>46227.0</v>
      </c>
      <c r="F566" s="10" t="s">
        <v>35</v>
      </c>
      <c r="G566" s="10">
        <v>11.0</v>
      </c>
      <c r="I566" s="10" t="s">
        <v>22</v>
      </c>
      <c r="J566" s="9" t="str">
        <f t="shared" si="30"/>
        <v>No</v>
      </c>
      <c r="K566" s="9" t="str">
        <f t="shared" si="31"/>
        <v/>
      </c>
      <c r="L566" s="9" t="str">
        <f t="shared" si="32"/>
        <v/>
      </c>
      <c r="M566" s="9"/>
      <c r="O566" s="9"/>
    </row>
    <row r="567" ht="15.75" customHeight="1">
      <c r="A567" s="9" t="str">
        <f>IFERROR(__xludf.DUMMYFUNCTION("IF(B567="""","""",RIGHT(REGEXREPLACE(B567&amp;"""",""[^0-9]"",""""),9))"),"772720735")</f>
        <v>772720735</v>
      </c>
      <c r="B567" s="48">
        <v>7.72720735E8</v>
      </c>
      <c r="C567" s="10" t="s">
        <v>692</v>
      </c>
      <c r="D567" s="10" t="s">
        <v>50</v>
      </c>
      <c r="E567" s="13">
        <v>46227.0</v>
      </c>
      <c r="F567" s="10" t="s">
        <v>35</v>
      </c>
      <c r="I567" s="10" t="s">
        <v>22</v>
      </c>
      <c r="J567" s="9" t="str">
        <f t="shared" si="30"/>
        <v>No</v>
      </c>
      <c r="K567" s="9" t="str">
        <f t="shared" si="31"/>
        <v/>
      </c>
      <c r="L567" s="9" t="str">
        <f t="shared" si="32"/>
        <v/>
      </c>
      <c r="M567" s="9"/>
      <c r="O567" s="9"/>
    </row>
    <row r="568" ht="15.75" customHeight="1">
      <c r="A568" s="9" t="str">
        <f>IFERROR(__xludf.DUMMYFUNCTION("IF(B568="""","""",RIGHT(REGEXREPLACE(B568&amp;"""",""[^0-9]"",""""),9))"),"701604266")</f>
        <v>701604266</v>
      </c>
      <c r="B568" s="48">
        <v>7.01604266E8</v>
      </c>
      <c r="C568" s="10" t="s">
        <v>693</v>
      </c>
      <c r="D568" s="10" t="s">
        <v>97</v>
      </c>
      <c r="E568" s="13">
        <v>46227.0</v>
      </c>
      <c r="F568" s="10" t="s">
        <v>21</v>
      </c>
      <c r="G568" s="10">
        <v>11.0</v>
      </c>
      <c r="I568" s="10" t="s">
        <v>22</v>
      </c>
      <c r="J568" s="9" t="str">
        <f t="shared" si="30"/>
        <v>No</v>
      </c>
      <c r="K568" s="9" t="str">
        <f t="shared" si="31"/>
        <v/>
      </c>
      <c r="L568" s="9" t="str">
        <f t="shared" si="32"/>
        <v/>
      </c>
      <c r="M568" s="9"/>
      <c r="O568" s="9"/>
    </row>
    <row r="569" ht="15.75" customHeight="1">
      <c r="A569" s="9" t="str">
        <f>IFERROR(__xludf.DUMMYFUNCTION("IF(B569="""","""",RIGHT(REGEXREPLACE(B569&amp;"""",""[^0-9]"",""""),9))"),"778915393")</f>
        <v>778915393</v>
      </c>
      <c r="B569" s="48">
        <v>7.78915393E8</v>
      </c>
      <c r="C569" s="10" t="s">
        <v>694</v>
      </c>
      <c r="D569" s="10" t="s">
        <v>120</v>
      </c>
      <c r="E569" s="13">
        <v>46227.0</v>
      </c>
      <c r="F569" s="10" t="s">
        <v>21</v>
      </c>
      <c r="G569" s="10">
        <v>11.0</v>
      </c>
      <c r="I569" s="10" t="s">
        <v>22</v>
      </c>
      <c r="J569" s="9" t="str">
        <f t="shared" si="30"/>
        <v>No</v>
      </c>
      <c r="K569" s="9" t="str">
        <f t="shared" si="31"/>
        <v/>
      </c>
      <c r="L569" s="9" t="str">
        <f t="shared" si="32"/>
        <v/>
      </c>
      <c r="M569" s="9"/>
      <c r="O569" s="9"/>
    </row>
    <row r="570" ht="15.75" customHeight="1">
      <c r="A570" s="9" t="str">
        <f>IFERROR(__xludf.DUMMYFUNCTION("IF(B570="""","""",RIGHT(REGEXREPLACE(B570&amp;"""",""[^0-9]"",""""),9))"),"726930489")</f>
        <v>726930489</v>
      </c>
      <c r="B570" s="48">
        <v>7.26930489E8</v>
      </c>
      <c r="C570" s="10" t="s">
        <v>695</v>
      </c>
      <c r="D570" s="10" t="s">
        <v>69</v>
      </c>
      <c r="E570" s="13">
        <v>46227.0</v>
      </c>
      <c r="F570" s="10" t="s">
        <v>21</v>
      </c>
      <c r="G570" s="10" t="s">
        <v>606</v>
      </c>
      <c r="I570" s="10" t="s">
        <v>22</v>
      </c>
      <c r="J570" s="9" t="str">
        <f t="shared" si="30"/>
        <v>No</v>
      </c>
      <c r="K570" s="9" t="str">
        <f t="shared" si="31"/>
        <v/>
      </c>
      <c r="L570" s="9" t="str">
        <f t="shared" si="32"/>
        <v/>
      </c>
      <c r="M570" s="9"/>
      <c r="O570" s="9"/>
    </row>
    <row r="571" ht="15.75" customHeight="1">
      <c r="A571" s="9" t="str">
        <f>IFERROR(__xludf.DUMMYFUNCTION("IF(B571="""","""",RIGHT(REGEXREPLACE(B571&amp;"""",""[^0-9]"",""""),9))"),"761389967")</f>
        <v>761389967</v>
      </c>
      <c r="B571" s="48">
        <v>7.61389967E8</v>
      </c>
      <c r="C571" s="10" t="s">
        <v>696</v>
      </c>
      <c r="D571" s="10" t="s">
        <v>50</v>
      </c>
      <c r="E571" s="13">
        <v>46227.0</v>
      </c>
      <c r="F571" s="10" t="s">
        <v>145</v>
      </c>
      <c r="I571" s="10" t="s">
        <v>22</v>
      </c>
      <c r="J571" s="9" t="str">
        <f t="shared" si="30"/>
        <v>No</v>
      </c>
      <c r="K571" s="9" t="str">
        <f t="shared" si="31"/>
        <v/>
      </c>
      <c r="L571" s="9" t="str">
        <f t="shared" si="32"/>
        <v/>
      </c>
      <c r="M571" s="9"/>
      <c r="O571" s="9"/>
    </row>
    <row r="572" ht="15.75" customHeight="1">
      <c r="A572" s="9" t="str">
        <f>IFERROR(__xludf.DUMMYFUNCTION("IF(B572="""","""",RIGHT(REGEXREPLACE(B572&amp;"""",""[^0-9]"",""""),9))"),"761344062")</f>
        <v>761344062</v>
      </c>
      <c r="B572" s="48">
        <v>7.61344062E8</v>
      </c>
      <c r="C572" s="10" t="s">
        <v>697</v>
      </c>
      <c r="D572" s="10" t="s">
        <v>120</v>
      </c>
      <c r="E572" s="13">
        <v>46227.0</v>
      </c>
      <c r="F572" s="10" t="s">
        <v>21</v>
      </c>
      <c r="I572" s="10" t="s">
        <v>22</v>
      </c>
      <c r="J572" s="9" t="str">
        <f t="shared" si="30"/>
        <v>No</v>
      </c>
      <c r="K572" s="9" t="str">
        <f t="shared" si="31"/>
        <v/>
      </c>
      <c r="L572" s="9" t="str">
        <f t="shared" si="32"/>
        <v/>
      </c>
      <c r="M572" s="9"/>
      <c r="O572" s="9"/>
    </row>
    <row r="573" ht="15.75" customHeight="1">
      <c r="A573" s="9" t="str">
        <f>IFERROR(__xludf.DUMMYFUNCTION("IF(B573="""","""",RIGHT(REGEXREPLACE(B573&amp;"""",""[^0-9]"",""""),9))"),"712734762")</f>
        <v>712734762</v>
      </c>
      <c r="B573" s="48">
        <v>7.12734762E8</v>
      </c>
      <c r="C573" s="10" t="s">
        <v>698</v>
      </c>
      <c r="D573" s="10" t="s">
        <v>97</v>
      </c>
      <c r="E573" s="13">
        <v>46227.0</v>
      </c>
      <c r="F573" s="10" t="s">
        <v>35</v>
      </c>
      <c r="G573" s="10">
        <v>11.0</v>
      </c>
      <c r="I573" s="10" t="s">
        <v>22</v>
      </c>
      <c r="J573" s="9" t="str">
        <f t="shared" si="30"/>
        <v>No</v>
      </c>
      <c r="K573" s="9" t="str">
        <f t="shared" si="31"/>
        <v/>
      </c>
      <c r="L573" s="9" t="str">
        <f t="shared" si="32"/>
        <v/>
      </c>
      <c r="M573" s="9"/>
      <c r="O573" s="9"/>
    </row>
    <row r="574" ht="15.75" customHeight="1">
      <c r="A574" s="9" t="str">
        <f>IFERROR(__xludf.DUMMYFUNCTION("IF(B574="""","""",RIGHT(REGEXREPLACE(B574&amp;"""",""[^0-9]"",""""),9))"),"774088817")</f>
        <v>774088817</v>
      </c>
      <c r="B574" s="48">
        <v>7.74088817E8</v>
      </c>
      <c r="C574" s="10" t="s">
        <v>699</v>
      </c>
      <c r="D574" s="10" t="s">
        <v>34</v>
      </c>
      <c r="E574" s="13">
        <v>46227.0</v>
      </c>
      <c r="F574" s="10" t="s">
        <v>21</v>
      </c>
      <c r="H574" s="10" t="s">
        <v>700</v>
      </c>
      <c r="I574" s="10" t="s">
        <v>22</v>
      </c>
      <c r="J574" s="9" t="str">
        <f t="shared" si="30"/>
        <v>No</v>
      </c>
      <c r="K574" s="9" t="str">
        <f t="shared" si="31"/>
        <v/>
      </c>
      <c r="L574" s="9" t="str">
        <f t="shared" si="32"/>
        <v/>
      </c>
      <c r="M574" s="9"/>
      <c r="O574" s="9"/>
    </row>
    <row r="575" ht="15.75" customHeight="1">
      <c r="A575" s="9" t="str">
        <f>IFERROR(__xludf.DUMMYFUNCTION("IF(B575="""","""",RIGHT(REGEXREPLACE(B575&amp;"""",""[^0-9]"",""""),9))"),"740247592")</f>
        <v>740247592</v>
      </c>
      <c r="B575" s="48">
        <v>7.40247592E8</v>
      </c>
      <c r="C575" s="10" t="s">
        <v>701</v>
      </c>
      <c r="D575" s="10" t="s">
        <v>69</v>
      </c>
      <c r="E575" s="13">
        <v>46227.0</v>
      </c>
      <c r="F575" s="10" t="s">
        <v>35</v>
      </c>
      <c r="H575" s="10" t="s">
        <v>238</v>
      </c>
      <c r="I575" s="10" t="s">
        <v>22</v>
      </c>
      <c r="J575" s="9" t="str">
        <f t="shared" si="30"/>
        <v>No</v>
      </c>
      <c r="K575" s="9" t="str">
        <f t="shared" si="31"/>
        <v/>
      </c>
      <c r="L575" s="9" t="str">
        <f t="shared" si="32"/>
        <v/>
      </c>
      <c r="M575" s="9"/>
      <c r="O575" s="9"/>
    </row>
    <row r="576" ht="15.75" customHeight="1">
      <c r="A576" s="9" t="str">
        <f>IFERROR(__xludf.DUMMYFUNCTION("IF(B576="""","""",RIGHT(REGEXREPLACE(B576&amp;"""",""[^0-9]"",""""),9))"),"710642795")</f>
        <v>710642795</v>
      </c>
      <c r="B576" s="48">
        <v>7.10642795E8</v>
      </c>
      <c r="C576" s="10" t="s">
        <v>702</v>
      </c>
      <c r="D576" s="10" t="s">
        <v>120</v>
      </c>
      <c r="E576" s="13">
        <v>46227.0</v>
      </c>
      <c r="F576" s="10" t="s">
        <v>21</v>
      </c>
      <c r="G576" s="10">
        <v>11.0</v>
      </c>
      <c r="I576" s="10" t="s">
        <v>22</v>
      </c>
      <c r="J576" s="9" t="str">
        <f t="shared" si="30"/>
        <v>No</v>
      </c>
      <c r="K576" s="9" t="str">
        <f t="shared" si="31"/>
        <v/>
      </c>
      <c r="L576" s="9" t="str">
        <f t="shared" si="32"/>
        <v/>
      </c>
      <c r="M576" s="9"/>
      <c r="O576" s="9"/>
    </row>
    <row r="577" ht="15.75" customHeight="1">
      <c r="A577" s="9" t="str">
        <f>IFERROR(__xludf.DUMMYFUNCTION("IF(B577="""","""",RIGHT(REGEXREPLACE(B577&amp;"""",""[^0-9]"",""""),9))"),"768747697")</f>
        <v>768747697</v>
      </c>
      <c r="B577" s="48">
        <v>7.68747697E8</v>
      </c>
      <c r="C577" s="10" t="s">
        <v>703</v>
      </c>
      <c r="D577" s="10" t="s">
        <v>50</v>
      </c>
      <c r="E577" s="13">
        <v>46227.0</v>
      </c>
      <c r="F577" s="10" t="s">
        <v>604</v>
      </c>
      <c r="I577" s="10" t="s">
        <v>22</v>
      </c>
      <c r="J577" s="9" t="str">
        <f t="shared" si="30"/>
        <v>No</v>
      </c>
      <c r="K577" s="9" t="str">
        <f t="shared" si="31"/>
        <v/>
      </c>
      <c r="L577" s="9" t="str">
        <f t="shared" si="32"/>
        <v/>
      </c>
      <c r="M577" s="9"/>
      <c r="O577" s="9"/>
    </row>
    <row r="578" ht="15.75" customHeight="1">
      <c r="A578" s="9" t="str">
        <f>IFERROR(__xludf.DUMMYFUNCTION("IF(B578="""","""",RIGHT(REGEXREPLACE(B578&amp;"""",""[^0-9]"",""""),9))"),"773763779")</f>
        <v>773763779</v>
      </c>
      <c r="B578" s="48">
        <v>7.73763779E8</v>
      </c>
      <c r="C578" s="10" t="s">
        <v>704</v>
      </c>
      <c r="D578" s="10" t="s">
        <v>97</v>
      </c>
      <c r="E578" s="13">
        <v>46227.0</v>
      </c>
      <c r="F578" s="10" t="s">
        <v>35</v>
      </c>
      <c r="I578" s="10" t="s">
        <v>22</v>
      </c>
      <c r="J578" s="9" t="str">
        <f t="shared" si="30"/>
        <v>No</v>
      </c>
      <c r="K578" s="9" t="str">
        <f t="shared" si="31"/>
        <v/>
      </c>
      <c r="L578" s="9" t="str">
        <f t="shared" si="32"/>
        <v/>
      </c>
      <c r="M578" s="9"/>
      <c r="O578" s="9"/>
    </row>
    <row r="579" ht="15.75" customHeight="1">
      <c r="A579" s="9" t="str">
        <f>IFERROR(__xludf.DUMMYFUNCTION("IF(B579="""","""",RIGHT(REGEXREPLACE(B579&amp;"""",""[^0-9]"",""""),9))"),"704896658")</f>
        <v>704896658</v>
      </c>
      <c r="B579" s="48">
        <v>7.04896658E8</v>
      </c>
      <c r="C579" s="10" t="s">
        <v>705</v>
      </c>
      <c r="D579" s="10" t="s">
        <v>34</v>
      </c>
      <c r="E579" s="13">
        <v>46227.0</v>
      </c>
      <c r="F579" s="10" t="s">
        <v>145</v>
      </c>
      <c r="H579" s="10" t="s">
        <v>622</v>
      </c>
      <c r="I579" s="10" t="s">
        <v>22</v>
      </c>
      <c r="J579" s="9" t="str">
        <f t="shared" si="30"/>
        <v>No</v>
      </c>
      <c r="K579" s="9" t="str">
        <f t="shared" si="31"/>
        <v/>
      </c>
      <c r="L579" s="9" t="str">
        <f t="shared" si="32"/>
        <v/>
      </c>
      <c r="M579" s="9"/>
      <c r="O579" s="9"/>
    </row>
    <row r="580" ht="15.75" customHeight="1">
      <c r="A580" s="9" t="str">
        <f>IFERROR(__xludf.DUMMYFUNCTION("IF(B580="""","""",RIGHT(REGEXREPLACE(B580&amp;"""",""[^0-9]"",""""),9))"),"779840555")</f>
        <v>779840555</v>
      </c>
      <c r="B580" s="48">
        <v>7.79840555E8</v>
      </c>
      <c r="C580" s="10" t="s">
        <v>706</v>
      </c>
      <c r="D580" s="10" t="s">
        <v>50</v>
      </c>
      <c r="E580" s="13">
        <v>46227.0</v>
      </c>
      <c r="F580" s="10" t="s">
        <v>21</v>
      </c>
      <c r="I580" s="10" t="s">
        <v>22</v>
      </c>
      <c r="J580" s="9" t="str">
        <f t="shared" si="30"/>
        <v>No</v>
      </c>
      <c r="K580" s="9" t="str">
        <f t="shared" si="31"/>
        <v/>
      </c>
      <c r="L580" s="9" t="str">
        <f t="shared" si="32"/>
        <v/>
      </c>
      <c r="M580" s="9"/>
      <c r="O580" s="9"/>
    </row>
    <row r="581" ht="15.75" customHeight="1">
      <c r="A581" s="9" t="str">
        <f>IFERROR(__xludf.DUMMYFUNCTION("IF(B581="""","""",RIGHT(REGEXREPLACE(B581&amp;"""",""[^0-9]"",""""),9))"),"778808662")</f>
        <v>778808662</v>
      </c>
      <c r="B581" s="48">
        <v>7.78808662E8</v>
      </c>
      <c r="C581" s="10" t="s">
        <v>707</v>
      </c>
      <c r="D581" s="10" t="s">
        <v>69</v>
      </c>
      <c r="E581" s="13">
        <v>46227.0</v>
      </c>
      <c r="F581" s="10" t="s">
        <v>35</v>
      </c>
      <c r="G581" s="10">
        <v>11.0</v>
      </c>
      <c r="H581" s="10" t="s">
        <v>708</v>
      </c>
      <c r="I581" s="10" t="s">
        <v>22</v>
      </c>
      <c r="J581" s="9" t="str">
        <f t="shared" si="30"/>
        <v>No</v>
      </c>
      <c r="K581" s="9" t="str">
        <f t="shared" si="31"/>
        <v/>
      </c>
      <c r="L581" s="9" t="str">
        <f t="shared" si="32"/>
        <v/>
      </c>
      <c r="M581" s="9"/>
      <c r="O581" s="9"/>
    </row>
    <row r="582" ht="15.75" customHeight="1">
      <c r="A582" s="9" t="str">
        <f>IFERROR(__xludf.DUMMYFUNCTION("IF(B582="""","""",RIGHT(REGEXREPLACE(B582&amp;"""",""[^0-9]"",""""),9))"),"741070995")</f>
        <v>741070995</v>
      </c>
      <c r="B582" s="48">
        <v>7.41070995E8</v>
      </c>
      <c r="C582" s="10" t="s">
        <v>709</v>
      </c>
      <c r="D582" s="10" t="s">
        <v>34</v>
      </c>
      <c r="E582" s="13">
        <v>46227.0</v>
      </c>
      <c r="F582" s="10" t="s">
        <v>35</v>
      </c>
      <c r="G582" s="10">
        <v>11.0</v>
      </c>
      <c r="I582" s="10" t="s">
        <v>22</v>
      </c>
      <c r="J582" s="9" t="str">
        <f t="shared" si="30"/>
        <v>No</v>
      </c>
      <c r="K582" s="9" t="str">
        <f t="shared" si="31"/>
        <v/>
      </c>
      <c r="L582" s="9" t="str">
        <f t="shared" si="32"/>
        <v/>
      </c>
      <c r="M582" s="9"/>
      <c r="O582" s="9"/>
    </row>
    <row r="583" ht="15.75" customHeight="1">
      <c r="A583" s="9" t="str">
        <f>IFERROR(__xludf.DUMMYFUNCTION("IF(B583="""","""",RIGHT(REGEXREPLACE(B583&amp;"""",""[^0-9]"",""""),9))"),"779734719")</f>
        <v>779734719</v>
      </c>
      <c r="B583" s="48">
        <v>7.79734719E8</v>
      </c>
      <c r="C583" s="10" t="s">
        <v>710</v>
      </c>
      <c r="D583" s="10" t="s">
        <v>120</v>
      </c>
      <c r="E583" s="13">
        <v>46227.0</v>
      </c>
      <c r="F583" s="10" t="s">
        <v>145</v>
      </c>
      <c r="I583" s="10" t="s">
        <v>22</v>
      </c>
      <c r="J583" s="9" t="str">
        <f t="shared" si="30"/>
        <v>No</v>
      </c>
      <c r="K583" s="9" t="str">
        <f t="shared" si="31"/>
        <v/>
      </c>
      <c r="L583" s="9" t="str">
        <f t="shared" si="32"/>
        <v/>
      </c>
      <c r="M583" s="9"/>
      <c r="O583" s="9"/>
    </row>
    <row r="584" ht="15.75" customHeight="1">
      <c r="A584" s="9" t="str">
        <f>IFERROR(__xludf.DUMMYFUNCTION("IF(B584="""","""",RIGHT(REGEXREPLACE(B584&amp;"""",""[^0-9]"",""""),9))"),"703639428")</f>
        <v>703639428</v>
      </c>
      <c r="B584" s="48">
        <v>7.03639428E8</v>
      </c>
      <c r="C584" s="10" t="s">
        <v>711</v>
      </c>
      <c r="D584" s="10" t="s">
        <v>97</v>
      </c>
      <c r="E584" s="13">
        <v>46227.0</v>
      </c>
      <c r="F584" s="10" t="s">
        <v>198</v>
      </c>
      <c r="I584" s="10" t="s">
        <v>22</v>
      </c>
      <c r="J584" s="9" t="str">
        <f t="shared" si="30"/>
        <v>No</v>
      </c>
      <c r="K584" s="9" t="str">
        <f t="shared" si="31"/>
        <v/>
      </c>
      <c r="L584" s="9" t="str">
        <f t="shared" si="32"/>
        <v/>
      </c>
      <c r="M584" s="9"/>
      <c r="O584" s="9"/>
    </row>
    <row r="585" ht="15.75" customHeight="1">
      <c r="A585" s="9" t="str">
        <f>IFERROR(__xludf.DUMMYFUNCTION("IF(B585="""","""",RIGHT(REGEXREPLACE(B585&amp;"""",""[^0-9]"",""""),9))"),"771421900")</f>
        <v>771421900</v>
      </c>
      <c r="B585" s="48">
        <v>7.714219E8</v>
      </c>
      <c r="C585" s="10" t="s">
        <v>712</v>
      </c>
      <c r="D585" s="10" t="s">
        <v>50</v>
      </c>
      <c r="E585" s="13">
        <v>46227.0</v>
      </c>
      <c r="F585" s="10" t="s">
        <v>35</v>
      </c>
      <c r="G585" s="10">
        <v>11.0</v>
      </c>
      <c r="H585" s="10" t="s">
        <v>622</v>
      </c>
      <c r="I585" s="10" t="s">
        <v>22</v>
      </c>
      <c r="J585" s="9" t="str">
        <f t="shared" si="30"/>
        <v>No</v>
      </c>
      <c r="K585" s="9" t="str">
        <f t="shared" si="31"/>
        <v/>
      </c>
      <c r="L585" s="9" t="str">
        <f t="shared" si="32"/>
        <v/>
      </c>
      <c r="M585" s="9"/>
      <c r="O585" s="9"/>
    </row>
    <row r="586" ht="15.75" customHeight="1">
      <c r="A586" s="9" t="str">
        <f>IFERROR(__xludf.DUMMYFUNCTION("IF(B586="""","""",RIGHT(REGEXREPLACE(B586&amp;"""",""[^0-9]"",""""),9))"),"773494216")</f>
        <v>773494216</v>
      </c>
      <c r="B586" s="48">
        <v>7.73494216E8</v>
      </c>
      <c r="C586" s="10" t="s">
        <v>713</v>
      </c>
      <c r="D586" s="10" t="s">
        <v>34</v>
      </c>
      <c r="E586" s="13">
        <v>46227.0</v>
      </c>
      <c r="F586" s="10" t="s">
        <v>113</v>
      </c>
      <c r="H586" s="10" t="s">
        <v>622</v>
      </c>
      <c r="I586" s="10" t="s">
        <v>22</v>
      </c>
      <c r="J586" s="9" t="str">
        <f t="shared" si="30"/>
        <v>No</v>
      </c>
      <c r="K586" s="9" t="str">
        <f t="shared" si="31"/>
        <v/>
      </c>
      <c r="L586" s="9" t="str">
        <f t="shared" si="32"/>
        <v/>
      </c>
      <c r="M586" s="9"/>
      <c r="O586" s="9"/>
    </row>
    <row r="587" ht="15.75" customHeight="1">
      <c r="A587" s="9" t="str">
        <f>IFERROR(__xludf.DUMMYFUNCTION("IF(B587="""","""",RIGHT(REGEXREPLACE(B587&amp;"""",""[^0-9]"",""""),9))"),"717899705")</f>
        <v>717899705</v>
      </c>
      <c r="B587" s="48">
        <v>7.17899705E8</v>
      </c>
      <c r="C587" s="10" t="s">
        <v>714</v>
      </c>
      <c r="D587" s="10" t="s">
        <v>120</v>
      </c>
      <c r="E587" s="13">
        <v>46227.0</v>
      </c>
      <c r="F587" s="10" t="s">
        <v>542</v>
      </c>
      <c r="I587" s="10" t="s">
        <v>22</v>
      </c>
      <c r="J587" s="9" t="str">
        <f t="shared" si="30"/>
        <v>No</v>
      </c>
      <c r="K587" s="9" t="str">
        <f t="shared" si="31"/>
        <v/>
      </c>
      <c r="L587" s="9" t="str">
        <f t="shared" si="32"/>
        <v/>
      </c>
      <c r="M587" s="9"/>
      <c r="O587" s="9"/>
    </row>
    <row r="588" ht="15.75" customHeight="1">
      <c r="A588" s="9" t="str">
        <f>IFERROR(__xludf.DUMMYFUNCTION("IF(B588="""","""",RIGHT(REGEXREPLACE(B588&amp;"""",""[^0-9]"",""""),9))"),"710467142")</f>
        <v>710467142</v>
      </c>
      <c r="B588" s="48">
        <v>7.10467142E8</v>
      </c>
      <c r="C588" s="10" t="s">
        <v>715</v>
      </c>
      <c r="D588" s="10" t="s">
        <v>69</v>
      </c>
      <c r="E588" s="13">
        <v>46227.0</v>
      </c>
      <c r="F588" s="10" t="s">
        <v>35</v>
      </c>
      <c r="G588" s="10">
        <v>10.0</v>
      </c>
      <c r="H588" s="10" t="s">
        <v>716</v>
      </c>
      <c r="I588" s="10" t="s">
        <v>22</v>
      </c>
      <c r="J588" s="9" t="str">
        <f t="shared" si="30"/>
        <v>No</v>
      </c>
      <c r="K588" s="9" t="str">
        <f t="shared" si="31"/>
        <v/>
      </c>
      <c r="L588" s="9" t="str">
        <f t="shared" si="32"/>
        <v/>
      </c>
      <c r="M588" s="9"/>
      <c r="O588" s="9"/>
    </row>
    <row r="589" ht="15.75" customHeight="1">
      <c r="A589" s="9" t="str">
        <f>IFERROR(__xludf.DUMMYFUNCTION("IF(B589="""","""",RIGHT(REGEXREPLACE(B589&amp;"""",""[^0-9]"",""""),9))"),"703508849")</f>
        <v>703508849</v>
      </c>
      <c r="B589" s="48">
        <v>7.03508849E8</v>
      </c>
      <c r="C589" s="10" t="s">
        <v>717</v>
      </c>
      <c r="D589" s="10" t="s">
        <v>34</v>
      </c>
      <c r="E589" s="13">
        <v>46227.0</v>
      </c>
      <c r="F589" s="10" t="s">
        <v>198</v>
      </c>
      <c r="H589" s="10" t="s">
        <v>622</v>
      </c>
      <c r="I589" s="10" t="s">
        <v>22</v>
      </c>
      <c r="J589" s="9" t="str">
        <f t="shared" si="30"/>
        <v>No</v>
      </c>
      <c r="K589" s="9" t="str">
        <f t="shared" si="31"/>
        <v/>
      </c>
      <c r="L589" s="9" t="str">
        <f t="shared" si="32"/>
        <v/>
      </c>
      <c r="M589" s="9"/>
      <c r="O589" s="9"/>
    </row>
    <row r="590" ht="15.75" customHeight="1">
      <c r="A590" s="9" t="str">
        <f>IFERROR(__xludf.DUMMYFUNCTION("IF(B590="""","""",RIGHT(REGEXREPLACE(B590&amp;"""",""[^0-9]"",""""),9))"),"760103297")</f>
        <v>760103297</v>
      </c>
      <c r="B590" s="48">
        <v>7.60103297E8</v>
      </c>
      <c r="C590" s="10" t="s">
        <v>718</v>
      </c>
      <c r="D590" s="10" t="s">
        <v>97</v>
      </c>
      <c r="E590" s="13">
        <v>46227.0</v>
      </c>
      <c r="F590" s="10" t="s">
        <v>113</v>
      </c>
      <c r="I590" s="10" t="s">
        <v>22</v>
      </c>
      <c r="J590" s="9" t="str">
        <f t="shared" si="30"/>
        <v>No</v>
      </c>
      <c r="K590" s="9" t="str">
        <f t="shared" si="31"/>
        <v/>
      </c>
      <c r="L590" s="9" t="str">
        <f t="shared" si="32"/>
        <v/>
      </c>
      <c r="M590" s="9"/>
      <c r="O590" s="9"/>
    </row>
    <row r="591" ht="15.75" customHeight="1">
      <c r="A591" s="9" t="str">
        <f>IFERROR(__xludf.DUMMYFUNCTION("IF(B591="""","""",RIGHT(REGEXREPLACE(B591&amp;"""",""[^0-9]"",""""),9))"),"785480479")</f>
        <v>785480479</v>
      </c>
      <c r="B591" s="48">
        <v>7.85480479E8</v>
      </c>
      <c r="C591" s="10" t="s">
        <v>719</v>
      </c>
      <c r="D591" s="10" t="s">
        <v>120</v>
      </c>
      <c r="E591" s="13">
        <v>46227.0</v>
      </c>
      <c r="F591" s="10" t="s">
        <v>35</v>
      </c>
      <c r="G591" s="10">
        <v>11.0</v>
      </c>
      <c r="I591" s="10" t="s">
        <v>22</v>
      </c>
      <c r="J591" s="9" t="str">
        <f t="shared" si="30"/>
        <v>No</v>
      </c>
      <c r="K591" s="9" t="str">
        <f t="shared" si="31"/>
        <v/>
      </c>
      <c r="L591" s="9" t="str">
        <f t="shared" si="32"/>
        <v/>
      </c>
      <c r="M591" s="9"/>
      <c r="O591" s="9"/>
    </row>
    <row r="592" ht="15.75" customHeight="1">
      <c r="A592" s="9" t="str">
        <f>IFERROR(__xludf.DUMMYFUNCTION("IF(B592="""","""",RIGHT(REGEXREPLACE(B592&amp;"""",""[^0-9]"",""""),9))"),"767775940")</f>
        <v>767775940</v>
      </c>
      <c r="B592" s="48">
        <v>7.6777594E8</v>
      </c>
      <c r="C592" s="10" t="s">
        <v>720</v>
      </c>
      <c r="D592" s="10" t="s">
        <v>34</v>
      </c>
      <c r="E592" s="13">
        <v>46227.0</v>
      </c>
      <c r="F592" s="10" t="s">
        <v>145</v>
      </c>
      <c r="G592" s="10">
        <v>11.0</v>
      </c>
      <c r="I592" s="10" t="s">
        <v>22</v>
      </c>
      <c r="J592" s="9" t="str">
        <f t="shared" si="30"/>
        <v>No</v>
      </c>
      <c r="K592" s="9" t="str">
        <f t="shared" si="31"/>
        <v/>
      </c>
      <c r="L592" s="9" t="str">
        <f t="shared" si="32"/>
        <v/>
      </c>
      <c r="M592" s="9"/>
      <c r="O592" s="9"/>
    </row>
    <row r="593" ht="15.75" customHeight="1">
      <c r="A593" s="9" t="str">
        <f>IFERROR(__xludf.DUMMYFUNCTION("IF(B593="""","""",RIGHT(REGEXREPLACE(B593&amp;"""",""[^0-9]"",""""),9))"),"741294418")</f>
        <v>741294418</v>
      </c>
      <c r="B593" s="48">
        <v>7.41294418E8</v>
      </c>
      <c r="C593" s="10" t="s">
        <v>721</v>
      </c>
      <c r="D593" s="10" t="s">
        <v>50</v>
      </c>
      <c r="E593" s="13">
        <v>46227.0</v>
      </c>
      <c r="F593" s="10" t="s">
        <v>21</v>
      </c>
      <c r="I593" s="10" t="s">
        <v>22</v>
      </c>
      <c r="J593" s="9" t="str">
        <f t="shared" si="30"/>
        <v>No</v>
      </c>
      <c r="K593" s="9" t="str">
        <f t="shared" si="31"/>
        <v/>
      </c>
      <c r="L593" s="9" t="str">
        <f t="shared" si="32"/>
        <v/>
      </c>
      <c r="M593" s="9"/>
      <c r="O593" s="9"/>
    </row>
    <row r="594" ht="15.75" customHeight="1">
      <c r="A594" s="9" t="str">
        <f>IFERROR(__xludf.DUMMYFUNCTION("IF(B594="""","""",RIGHT(REGEXREPLACE(B594&amp;"""",""[^0-9]"",""""),9))"),"750678821")</f>
        <v>750678821</v>
      </c>
      <c r="B594" s="48">
        <v>7.50678821E8</v>
      </c>
      <c r="C594" s="10" t="s">
        <v>722</v>
      </c>
      <c r="D594" s="10" t="s">
        <v>50</v>
      </c>
      <c r="E594" s="13">
        <v>46227.0</v>
      </c>
      <c r="F594" s="10" t="s">
        <v>21</v>
      </c>
      <c r="G594" s="10">
        <v>11.0</v>
      </c>
      <c r="H594" s="10" t="s">
        <v>622</v>
      </c>
      <c r="I594" s="10" t="s">
        <v>22</v>
      </c>
      <c r="J594" s="9" t="str">
        <f t="shared" si="30"/>
        <v>No</v>
      </c>
      <c r="K594" s="9" t="str">
        <f t="shared" si="31"/>
        <v/>
      </c>
      <c r="L594" s="9" t="str">
        <f t="shared" si="32"/>
        <v/>
      </c>
      <c r="M594" s="9"/>
      <c r="O594" s="9"/>
    </row>
    <row r="595" ht="15.75" customHeight="1">
      <c r="A595" s="9" t="str">
        <f>IFERROR(__xludf.DUMMYFUNCTION("IF(B595="""","""",RIGHT(REGEXREPLACE(B595&amp;"""",""[^0-9]"",""""),9))"),"715363020")</f>
        <v>715363020</v>
      </c>
      <c r="B595" s="48">
        <v>7.1536302E8</v>
      </c>
      <c r="C595" s="10" t="s">
        <v>723</v>
      </c>
      <c r="D595" s="10" t="s">
        <v>97</v>
      </c>
      <c r="E595" s="13">
        <v>46227.0</v>
      </c>
      <c r="F595" s="10" t="s">
        <v>113</v>
      </c>
      <c r="I595" s="10" t="s">
        <v>22</v>
      </c>
      <c r="J595" s="9" t="str">
        <f t="shared" si="30"/>
        <v>No</v>
      </c>
      <c r="K595" s="9" t="str">
        <f t="shared" si="31"/>
        <v/>
      </c>
      <c r="L595" s="9" t="str">
        <f t="shared" si="32"/>
        <v/>
      </c>
      <c r="M595" s="9"/>
      <c r="O595" s="9"/>
    </row>
    <row r="596" ht="15.75" customHeight="1">
      <c r="A596" s="9" t="str">
        <f>IFERROR(__xludf.DUMMYFUNCTION("IF(B596="""","""",RIGHT(REGEXREPLACE(B596&amp;"""",""[^0-9]"",""""),9))"),"740879100")</f>
        <v>740879100</v>
      </c>
      <c r="B596" s="48">
        <v>7.408791E8</v>
      </c>
      <c r="C596" s="10" t="s">
        <v>724</v>
      </c>
      <c r="D596" s="10" t="s">
        <v>120</v>
      </c>
      <c r="E596" s="13">
        <v>46227.0</v>
      </c>
      <c r="F596" s="10" t="s">
        <v>35</v>
      </c>
      <c r="G596" s="10">
        <v>11.0</v>
      </c>
      <c r="I596" s="10" t="s">
        <v>22</v>
      </c>
      <c r="J596" s="9" t="str">
        <f t="shared" si="30"/>
        <v>No</v>
      </c>
      <c r="K596" s="9" t="str">
        <f t="shared" si="31"/>
        <v/>
      </c>
      <c r="L596" s="9" t="str">
        <f t="shared" si="32"/>
        <v/>
      </c>
      <c r="M596" s="9"/>
      <c r="O596" s="9"/>
    </row>
    <row r="597" ht="15.75" customHeight="1">
      <c r="A597" s="9" t="str">
        <f>IFERROR(__xludf.DUMMYFUNCTION("IF(B597="""","""",RIGHT(REGEXREPLACE(B597&amp;"""",""[^0-9]"",""""),9))"),"762336680")</f>
        <v>762336680</v>
      </c>
      <c r="B597" s="48">
        <v>7.6233668E8</v>
      </c>
      <c r="C597" s="10" t="s">
        <v>725</v>
      </c>
      <c r="D597" s="10" t="s">
        <v>69</v>
      </c>
      <c r="E597" s="13">
        <v>46227.0</v>
      </c>
      <c r="F597" s="10" t="s">
        <v>35</v>
      </c>
      <c r="G597" s="10">
        <v>11.0</v>
      </c>
      <c r="H597" s="10" t="s">
        <v>726</v>
      </c>
      <c r="I597" s="10" t="s">
        <v>22</v>
      </c>
      <c r="J597" s="9" t="str">
        <f t="shared" si="30"/>
        <v>No</v>
      </c>
      <c r="K597" s="9" t="str">
        <f t="shared" si="31"/>
        <v/>
      </c>
      <c r="L597" s="9" t="str">
        <f t="shared" si="32"/>
        <v/>
      </c>
      <c r="M597" s="9"/>
      <c r="O597" s="9"/>
    </row>
    <row r="598" ht="15.75" customHeight="1">
      <c r="A598" s="9" t="str">
        <f>IFERROR(__xludf.DUMMYFUNCTION("IF(B598="""","""",RIGHT(REGEXREPLACE(B598&amp;"""",""[^0-9]"",""""),9))"),"779322575")</f>
        <v>779322575</v>
      </c>
      <c r="B598" s="10">
        <v>7.79322575E8</v>
      </c>
      <c r="C598" s="10" t="s">
        <v>727</v>
      </c>
      <c r="D598" s="10" t="s">
        <v>20</v>
      </c>
      <c r="E598" s="13">
        <v>46227.0</v>
      </c>
      <c r="F598" s="10" t="s">
        <v>648</v>
      </c>
      <c r="I598" s="10" t="s">
        <v>22</v>
      </c>
      <c r="J598" s="9" t="str">
        <f t="shared" si="30"/>
        <v>No</v>
      </c>
      <c r="K598" s="9" t="str">
        <f t="shared" si="31"/>
        <v/>
      </c>
      <c r="L598" s="9" t="str">
        <f t="shared" si="32"/>
        <v/>
      </c>
      <c r="M598" s="9"/>
      <c r="O598" s="9"/>
    </row>
    <row r="599" ht="15.75" customHeight="1">
      <c r="A599" s="9" t="str">
        <f>IFERROR(__xludf.DUMMYFUNCTION("IF(B599="""","""",RIGHT(REGEXREPLACE(B599&amp;"""",""[^0-9]"",""""),9))"),"740570280")</f>
        <v>740570280</v>
      </c>
      <c r="B599" s="48">
        <v>7.4057028E8</v>
      </c>
      <c r="C599" s="10" t="s">
        <v>728</v>
      </c>
      <c r="D599" s="10" t="s">
        <v>50</v>
      </c>
      <c r="E599" s="13">
        <v>46227.0</v>
      </c>
      <c r="F599" s="10" t="s">
        <v>21</v>
      </c>
      <c r="G599" s="10">
        <v>11.0</v>
      </c>
      <c r="H599" s="10" t="s">
        <v>622</v>
      </c>
      <c r="I599" s="10" t="s">
        <v>22</v>
      </c>
      <c r="J599" s="9" t="str">
        <f t="shared" si="30"/>
        <v>No</v>
      </c>
      <c r="K599" s="9" t="str">
        <f t="shared" si="31"/>
        <v/>
      </c>
      <c r="L599" s="9" t="str">
        <f t="shared" si="32"/>
        <v/>
      </c>
      <c r="M599" s="9"/>
      <c r="O599" s="9"/>
    </row>
    <row r="600" ht="15.75" customHeight="1">
      <c r="A600" s="9" t="str">
        <f>IFERROR(__xludf.DUMMYFUNCTION("IF(B600="""","""",RIGHT(REGEXREPLACE(B600&amp;"""",""[^0-9]"",""""),9))"),"717659762")</f>
        <v>717659762</v>
      </c>
      <c r="B600" s="48">
        <v>7.17659762E8</v>
      </c>
      <c r="C600" s="10" t="s">
        <v>729</v>
      </c>
      <c r="D600" s="10" t="s">
        <v>97</v>
      </c>
      <c r="E600" s="13">
        <v>46227.0</v>
      </c>
      <c r="F600" s="10" t="s">
        <v>35</v>
      </c>
      <c r="G600" s="10">
        <v>11.0</v>
      </c>
      <c r="I600" s="10" t="s">
        <v>22</v>
      </c>
      <c r="J600" s="9" t="str">
        <f t="shared" si="30"/>
        <v>No</v>
      </c>
      <c r="K600" s="9" t="str">
        <f t="shared" si="31"/>
        <v/>
      </c>
      <c r="L600" s="9" t="str">
        <f t="shared" si="32"/>
        <v/>
      </c>
      <c r="M600" s="9"/>
      <c r="O600" s="9"/>
    </row>
    <row r="601" ht="15.75" customHeight="1">
      <c r="A601" s="9" t="str">
        <f>IFERROR(__xludf.DUMMYFUNCTION("IF(B601="""","""",RIGHT(REGEXREPLACE(B601&amp;"""",""[^0-9]"",""""),9))"),"750544805")</f>
        <v>750544805</v>
      </c>
      <c r="B601" s="48">
        <v>7.50544805E8</v>
      </c>
      <c r="C601" s="10" t="s">
        <v>730</v>
      </c>
      <c r="D601" s="10" t="s">
        <v>50</v>
      </c>
      <c r="E601" s="13">
        <v>46227.0</v>
      </c>
      <c r="F601" s="10" t="s">
        <v>35</v>
      </c>
      <c r="G601" s="10">
        <v>11.0</v>
      </c>
      <c r="H601" s="10" t="s">
        <v>622</v>
      </c>
      <c r="I601" s="10" t="s">
        <v>22</v>
      </c>
      <c r="J601" s="9" t="str">
        <f t="shared" si="30"/>
        <v>No</v>
      </c>
      <c r="K601" s="9" t="str">
        <f t="shared" si="31"/>
        <v/>
      </c>
      <c r="L601" s="9" t="str">
        <f t="shared" si="32"/>
        <v/>
      </c>
      <c r="M601" s="9"/>
      <c r="O601" s="9"/>
    </row>
    <row r="602" ht="15.75" customHeight="1">
      <c r="A602" s="9" t="str">
        <f>IFERROR(__xludf.DUMMYFUNCTION("IF(B602="""","""",RIGHT(REGEXREPLACE(B602&amp;"""",""[^0-9]"",""""),9))"),"750903541")</f>
        <v>750903541</v>
      </c>
      <c r="B602" s="48">
        <v>7.50903541E8</v>
      </c>
      <c r="C602" s="10" t="s">
        <v>731</v>
      </c>
      <c r="D602" s="10" t="s">
        <v>34</v>
      </c>
      <c r="E602" s="13">
        <v>46227.0</v>
      </c>
      <c r="F602" s="10" t="s">
        <v>35</v>
      </c>
      <c r="G602" s="10">
        <v>11.0</v>
      </c>
      <c r="H602" s="10" t="s">
        <v>664</v>
      </c>
      <c r="I602" s="10" t="s">
        <v>22</v>
      </c>
      <c r="J602" s="9" t="str">
        <f t="shared" si="30"/>
        <v>No</v>
      </c>
      <c r="K602" s="9" t="str">
        <f t="shared" si="31"/>
        <v/>
      </c>
      <c r="L602" s="9" t="str">
        <f t="shared" si="32"/>
        <v/>
      </c>
      <c r="M602" s="9"/>
      <c r="O602" s="9"/>
    </row>
    <row r="603" ht="15.75" customHeight="1">
      <c r="A603" s="9" t="str">
        <f>IFERROR(__xludf.DUMMYFUNCTION("IF(B603="""","""",RIGHT(REGEXREPLACE(B603&amp;"""",""[^0-9]"",""""),9))"),"714069268")</f>
        <v>714069268</v>
      </c>
      <c r="B603" s="10">
        <v>7.14069268E8</v>
      </c>
      <c r="C603" s="10" t="s">
        <v>732</v>
      </c>
      <c r="D603" s="10" t="s">
        <v>20</v>
      </c>
      <c r="E603" s="13">
        <v>46227.0</v>
      </c>
      <c r="F603" s="10" t="s">
        <v>21</v>
      </c>
      <c r="I603" s="10" t="s">
        <v>22</v>
      </c>
      <c r="J603" s="9" t="str">
        <f t="shared" si="30"/>
        <v>No</v>
      </c>
      <c r="K603" s="9" t="str">
        <f t="shared" si="31"/>
        <v/>
      </c>
      <c r="L603" s="9" t="str">
        <f t="shared" si="32"/>
        <v/>
      </c>
      <c r="M603" s="9"/>
      <c r="O603" s="9"/>
    </row>
    <row r="604" ht="15.75" customHeight="1">
      <c r="A604" s="9" t="str">
        <f>IFERROR(__xludf.DUMMYFUNCTION("IF(B604="""","""",RIGHT(REGEXREPLACE(B604&amp;"""",""[^0-9]"",""""),9))"),"710949880")</f>
        <v>710949880</v>
      </c>
      <c r="B604" s="10">
        <v>7.1094988E8</v>
      </c>
      <c r="C604" s="10" t="s">
        <v>733</v>
      </c>
      <c r="D604" s="10" t="s">
        <v>20</v>
      </c>
      <c r="E604" s="13">
        <v>46227.0</v>
      </c>
      <c r="F604" s="10" t="s">
        <v>35</v>
      </c>
      <c r="G604" s="10">
        <v>11.0</v>
      </c>
      <c r="I604" s="10" t="s">
        <v>22</v>
      </c>
      <c r="J604" s="9" t="str">
        <f t="shared" si="30"/>
        <v>No</v>
      </c>
      <c r="K604" s="9" t="str">
        <f t="shared" si="31"/>
        <v/>
      </c>
      <c r="L604" s="9" t="str">
        <f t="shared" si="32"/>
        <v/>
      </c>
      <c r="M604" s="9"/>
      <c r="O604" s="9"/>
    </row>
    <row r="605" ht="15.75" customHeight="1">
      <c r="A605" s="9" t="str">
        <f>IFERROR(__xludf.DUMMYFUNCTION("IF(B605="""","""",RIGHT(REGEXREPLACE(B605&amp;"""",""[^0-9]"",""""),9))"),"772656299")</f>
        <v>772656299</v>
      </c>
      <c r="B605" s="48">
        <v>7.72656299E8</v>
      </c>
      <c r="C605" s="10" t="s">
        <v>734</v>
      </c>
      <c r="D605" s="10" t="s">
        <v>97</v>
      </c>
      <c r="E605" s="13">
        <v>46227.0</v>
      </c>
      <c r="F605" s="10" t="s">
        <v>198</v>
      </c>
      <c r="I605" s="10" t="s">
        <v>22</v>
      </c>
      <c r="J605" s="9" t="str">
        <f t="shared" si="30"/>
        <v>No</v>
      </c>
      <c r="K605" s="9" t="str">
        <f t="shared" si="31"/>
        <v/>
      </c>
      <c r="L605" s="9" t="str">
        <f t="shared" si="32"/>
        <v/>
      </c>
      <c r="M605" s="9"/>
      <c r="O605" s="9"/>
    </row>
    <row r="606" ht="15.75" customHeight="1">
      <c r="A606" s="9" t="str">
        <f>IFERROR(__xludf.DUMMYFUNCTION("IF(B606="""","""",RIGHT(REGEXREPLACE(B606&amp;"""",""[^0-9]"",""""),9))"),"761705363")</f>
        <v>761705363</v>
      </c>
      <c r="B606" s="10">
        <v>7.61705363E8</v>
      </c>
      <c r="C606" s="10" t="s">
        <v>735</v>
      </c>
      <c r="D606" s="10" t="s">
        <v>20</v>
      </c>
      <c r="E606" s="13">
        <v>46227.0</v>
      </c>
      <c r="F606" s="10" t="s">
        <v>35</v>
      </c>
      <c r="G606" s="10">
        <v>11.0</v>
      </c>
      <c r="I606" s="10" t="s">
        <v>22</v>
      </c>
      <c r="J606" s="9" t="str">
        <f t="shared" si="30"/>
        <v>No</v>
      </c>
      <c r="K606" s="9" t="str">
        <f t="shared" si="31"/>
        <v/>
      </c>
      <c r="L606" s="9" t="str">
        <f t="shared" si="32"/>
        <v/>
      </c>
      <c r="M606" s="9"/>
      <c r="O606" s="9"/>
    </row>
    <row r="607" ht="15.75" customHeight="1">
      <c r="A607" s="9" t="str">
        <f>IFERROR(__xludf.DUMMYFUNCTION("IF(B607="""","""",RIGHT(REGEXREPLACE(B607&amp;"""",""[^0-9]"",""""),9))"),"720973423")</f>
        <v>720973423</v>
      </c>
      <c r="B607" s="48">
        <v>7.20973423E8</v>
      </c>
      <c r="C607" s="10" t="s">
        <v>736</v>
      </c>
      <c r="D607" s="10" t="s">
        <v>69</v>
      </c>
      <c r="E607" s="13">
        <v>46227.0</v>
      </c>
      <c r="F607" s="10" t="s">
        <v>198</v>
      </c>
      <c r="G607" s="10" t="s">
        <v>737</v>
      </c>
      <c r="I607" s="10" t="s">
        <v>22</v>
      </c>
      <c r="J607" s="9" t="str">
        <f t="shared" si="30"/>
        <v>No</v>
      </c>
      <c r="K607" s="9" t="str">
        <f t="shared" si="31"/>
        <v/>
      </c>
      <c r="L607" s="9" t="str">
        <f t="shared" si="32"/>
        <v/>
      </c>
      <c r="M607" s="9"/>
      <c r="O607" s="9"/>
    </row>
    <row r="608" ht="15.75" customHeight="1">
      <c r="A608" s="9" t="str">
        <f>IFERROR(__xludf.DUMMYFUNCTION("IF(B608="""","""",RIGHT(REGEXREPLACE(B608&amp;"""",""[^0-9]"",""""),9))"),"703112489")</f>
        <v>703112489</v>
      </c>
      <c r="B608" s="48">
        <v>7.03112489E8</v>
      </c>
      <c r="C608" s="10" t="s">
        <v>738</v>
      </c>
      <c r="D608" s="10" t="s">
        <v>34</v>
      </c>
      <c r="E608" s="13">
        <v>46227.0</v>
      </c>
      <c r="F608" s="10" t="s">
        <v>35</v>
      </c>
      <c r="G608" s="10">
        <v>11.0</v>
      </c>
      <c r="I608" s="10" t="s">
        <v>22</v>
      </c>
      <c r="J608" s="9" t="str">
        <f t="shared" si="30"/>
        <v>No</v>
      </c>
      <c r="K608" s="9" t="str">
        <f t="shared" si="31"/>
        <v/>
      </c>
      <c r="L608" s="9" t="str">
        <f t="shared" si="32"/>
        <v/>
      </c>
      <c r="M608" s="9"/>
      <c r="O608" s="9"/>
    </row>
    <row r="609" ht="15.75" customHeight="1">
      <c r="A609" s="9" t="str">
        <f>IFERROR(__xludf.DUMMYFUNCTION("IF(B609="""","""",RIGHT(REGEXREPLACE(B609&amp;"""",""[^0-9]"",""""),9))"),"715631475")</f>
        <v>715631475</v>
      </c>
      <c r="B609" s="48">
        <v>7.15631475E8</v>
      </c>
      <c r="C609" s="10" t="s">
        <v>739</v>
      </c>
      <c r="D609" s="10" t="s">
        <v>120</v>
      </c>
      <c r="E609" s="13">
        <v>46227.0</v>
      </c>
      <c r="F609" s="10" t="s">
        <v>35</v>
      </c>
      <c r="G609" s="10">
        <v>11.0</v>
      </c>
      <c r="I609" s="10" t="s">
        <v>22</v>
      </c>
      <c r="J609" s="9" t="str">
        <f t="shared" si="30"/>
        <v>No</v>
      </c>
      <c r="K609" s="9" t="str">
        <f t="shared" si="31"/>
        <v/>
      </c>
      <c r="L609" s="9" t="str">
        <f t="shared" si="32"/>
        <v/>
      </c>
      <c r="M609" s="9"/>
      <c r="O609" s="9"/>
    </row>
    <row r="610" ht="15.75" customHeight="1">
      <c r="A610" s="9" t="str">
        <f>IFERROR(__xludf.DUMMYFUNCTION("IF(B610="""","""",RIGHT(REGEXREPLACE(B610&amp;"""",""[^0-9]"",""""),9))"),"714254324")</f>
        <v>714254324</v>
      </c>
      <c r="B610" s="48">
        <v>7.14254324E8</v>
      </c>
      <c r="C610" s="10" t="s">
        <v>740</v>
      </c>
      <c r="D610" s="10" t="s">
        <v>97</v>
      </c>
      <c r="E610" s="13">
        <v>46227.0</v>
      </c>
      <c r="F610" s="10" t="s">
        <v>198</v>
      </c>
      <c r="I610" s="10" t="s">
        <v>22</v>
      </c>
      <c r="J610" s="9" t="str">
        <f t="shared" si="30"/>
        <v>No</v>
      </c>
      <c r="K610" s="9" t="str">
        <f t="shared" si="31"/>
        <v/>
      </c>
      <c r="L610" s="9" t="str">
        <f t="shared" si="32"/>
        <v/>
      </c>
      <c r="M610" s="9"/>
      <c r="O610" s="9"/>
    </row>
    <row r="611" ht="15.75" customHeight="1">
      <c r="A611" s="9" t="str">
        <f>IFERROR(__xludf.DUMMYFUNCTION("IF(B611="""","""",RIGHT(REGEXREPLACE(B611&amp;"""",""[^0-9]"",""""),9))"),"718218324")</f>
        <v>718218324</v>
      </c>
      <c r="B611" s="48">
        <v>7.18218324E8</v>
      </c>
      <c r="C611" s="10" t="s">
        <v>741</v>
      </c>
      <c r="D611" s="10" t="s">
        <v>50</v>
      </c>
      <c r="E611" s="13">
        <v>46227.0</v>
      </c>
      <c r="F611" s="10" t="s">
        <v>21</v>
      </c>
      <c r="I611" s="10" t="s">
        <v>22</v>
      </c>
      <c r="J611" s="9" t="str">
        <f t="shared" si="30"/>
        <v>No</v>
      </c>
      <c r="K611" s="9" t="str">
        <f t="shared" si="31"/>
        <v/>
      </c>
      <c r="L611" s="9" t="str">
        <f t="shared" si="32"/>
        <v/>
      </c>
      <c r="M611" s="9"/>
      <c r="O611" s="9"/>
    </row>
    <row r="612" ht="15.75" customHeight="1">
      <c r="A612" s="9" t="str">
        <f>IFERROR(__xludf.DUMMYFUNCTION("IF(B612="""","""",RIGHT(REGEXREPLACE(B612&amp;"""",""[^0-9]"",""""),9))"),"740214616")</f>
        <v>740214616</v>
      </c>
      <c r="B612" s="10">
        <v>7.40214616E8</v>
      </c>
      <c r="C612" s="10" t="s">
        <v>742</v>
      </c>
      <c r="D612" s="10" t="s">
        <v>20</v>
      </c>
      <c r="E612" s="13">
        <v>46227.0</v>
      </c>
      <c r="F612" s="10" t="s">
        <v>648</v>
      </c>
      <c r="G612" s="10">
        <v>8.0</v>
      </c>
      <c r="I612" s="10" t="s">
        <v>22</v>
      </c>
      <c r="J612" s="9" t="str">
        <f t="shared" si="30"/>
        <v>No</v>
      </c>
      <c r="K612" s="9" t="str">
        <f t="shared" si="31"/>
        <v/>
      </c>
      <c r="L612" s="9" t="str">
        <f t="shared" si="32"/>
        <v/>
      </c>
      <c r="M612" s="9"/>
      <c r="O612" s="9"/>
    </row>
    <row r="613" ht="15.75" customHeight="1">
      <c r="A613" s="9" t="str">
        <f>IFERROR(__xludf.DUMMYFUNCTION("IF(B613="""","""",RIGHT(REGEXREPLACE(B613&amp;"""",""[^0-9]"",""""),9))"),"769425758")</f>
        <v>769425758</v>
      </c>
      <c r="B613" s="48">
        <v>7.69425758E8</v>
      </c>
      <c r="C613" s="10" t="s">
        <v>743</v>
      </c>
      <c r="D613" s="10" t="s">
        <v>69</v>
      </c>
      <c r="E613" s="13">
        <v>46227.0</v>
      </c>
      <c r="F613" s="10" t="s">
        <v>198</v>
      </c>
      <c r="I613" s="10" t="s">
        <v>22</v>
      </c>
      <c r="J613" s="9" t="str">
        <f t="shared" si="30"/>
        <v>No</v>
      </c>
      <c r="K613" s="9" t="str">
        <f t="shared" si="31"/>
        <v/>
      </c>
      <c r="L613" s="9" t="str">
        <f t="shared" si="32"/>
        <v/>
      </c>
      <c r="M613" s="9"/>
      <c r="O613" s="9"/>
    </row>
    <row r="614" ht="15.75" customHeight="1">
      <c r="A614" s="9" t="str">
        <f>IFERROR(__xludf.DUMMYFUNCTION("IF(B614="""","""",RIGHT(REGEXREPLACE(B614&amp;"""",""[^0-9]"",""""),9))"),"756090349")</f>
        <v>756090349</v>
      </c>
      <c r="B614" s="48">
        <v>7.56090349E8</v>
      </c>
      <c r="C614" s="10" t="s">
        <v>744</v>
      </c>
      <c r="D614" s="10" t="s">
        <v>120</v>
      </c>
      <c r="E614" s="13">
        <v>46227.0</v>
      </c>
      <c r="F614" s="10" t="s">
        <v>35</v>
      </c>
      <c r="I614" s="10" t="s">
        <v>22</v>
      </c>
      <c r="J614" s="9" t="str">
        <f t="shared" si="30"/>
        <v>No</v>
      </c>
      <c r="K614" s="9" t="str">
        <f t="shared" si="31"/>
        <v/>
      </c>
      <c r="L614" s="9" t="str">
        <f t="shared" si="32"/>
        <v/>
      </c>
      <c r="M614" s="9"/>
      <c r="O614" s="9"/>
    </row>
    <row r="615" ht="15.75" customHeight="1">
      <c r="A615" s="9" t="str">
        <f>IFERROR(__xludf.DUMMYFUNCTION("IF(B615="""","""",RIGHT(REGEXREPLACE(B615&amp;"""",""[^0-9]"",""""),9))"),"778363889")</f>
        <v>778363889</v>
      </c>
      <c r="B615" s="10">
        <v>7.78363889E8</v>
      </c>
      <c r="C615" s="10" t="s">
        <v>745</v>
      </c>
      <c r="D615" s="10" t="s">
        <v>20</v>
      </c>
      <c r="E615" s="13">
        <v>46227.0</v>
      </c>
      <c r="F615" s="10" t="s">
        <v>35</v>
      </c>
      <c r="G615" s="10">
        <v>10.0</v>
      </c>
      <c r="I615" s="10" t="s">
        <v>22</v>
      </c>
      <c r="J615" s="9" t="str">
        <f t="shared" si="30"/>
        <v>No</v>
      </c>
      <c r="K615" s="9" t="str">
        <f t="shared" si="31"/>
        <v/>
      </c>
      <c r="L615" s="9" t="str">
        <f t="shared" si="32"/>
        <v/>
      </c>
      <c r="M615" s="9"/>
      <c r="O615" s="9"/>
    </row>
    <row r="616" ht="15.75" customHeight="1">
      <c r="A616" s="9" t="str">
        <f>IFERROR(__xludf.DUMMYFUNCTION("IF(B616="""","""",RIGHT(REGEXREPLACE(B616&amp;"""",""[^0-9]"",""""),9))"),"774723121")</f>
        <v>774723121</v>
      </c>
      <c r="B616" s="10">
        <v>7.74723121E8</v>
      </c>
      <c r="C616" s="10" t="s">
        <v>102</v>
      </c>
      <c r="D616" s="10" t="s">
        <v>20</v>
      </c>
      <c r="E616" s="13">
        <v>46227.0</v>
      </c>
      <c r="F616" s="10" t="s">
        <v>35</v>
      </c>
      <c r="G616" s="10">
        <v>10.0</v>
      </c>
      <c r="I616" s="10" t="s">
        <v>22</v>
      </c>
      <c r="J616" s="9" t="str">
        <f t="shared" si="30"/>
        <v>No</v>
      </c>
      <c r="K616" s="9" t="str">
        <f t="shared" si="31"/>
        <v/>
      </c>
      <c r="L616" s="9" t="str">
        <f t="shared" si="32"/>
        <v/>
      </c>
      <c r="M616" s="9"/>
      <c r="O616" s="9"/>
    </row>
    <row r="617" ht="15.75" customHeight="1">
      <c r="A617" s="9" t="str">
        <f>IFERROR(__xludf.DUMMYFUNCTION("IF(B617="""","""",RIGHT(REGEXREPLACE(B617&amp;"""",""[^0-9]"",""""),9))"),"766415042")</f>
        <v>766415042</v>
      </c>
      <c r="B617" s="48">
        <v>7.66415042E8</v>
      </c>
      <c r="C617" s="10" t="s">
        <v>746</v>
      </c>
      <c r="D617" s="10" t="s">
        <v>97</v>
      </c>
      <c r="E617" s="13">
        <v>46227.0</v>
      </c>
      <c r="F617" s="10" t="s">
        <v>21</v>
      </c>
      <c r="G617" s="10">
        <v>10.0</v>
      </c>
      <c r="I617" s="10" t="s">
        <v>22</v>
      </c>
      <c r="J617" s="9" t="str">
        <f t="shared" si="30"/>
        <v>No</v>
      </c>
      <c r="K617" s="9" t="str">
        <f t="shared" si="31"/>
        <v/>
      </c>
      <c r="L617" s="9" t="str">
        <f t="shared" si="32"/>
        <v/>
      </c>
      <c r="M617" s="9"/>
      <c r="O617" s="9"/>
    </row>
    <row r="618" ht="15.75" customHeight="1">
      <c r="A618" s="9" t="str">
        <f>IFERROR(__xludf.DUMMYFUNCTION("IF(B618="""","""",RIGHT(REGEXREPLACE(B618&amp;"""",""[^0-9]"",""""),9))"),"779898948")</f>
        <v>779898948</v>
      </c>
      <c r="B618" s="48">
        <v>7.79898948E8</v>
      </c>
      <c r="C618" s="10" t="s">
        <v>747</v>
      </c>
      <c r="D618" s="10" t="s">
        <v>34</v>
      </c>
      <c r="E618" s="13">
        <v>46227.0</v>
      </c>
      <c r="F618" s="10" t="s">
        <v>35</v>
      </c>
      <c r="G618" s="10">
        <v>10.0</v>
      </c>
      <c r="I618" s="10" t="s">
        <v>22</v>
      </c>
      <c r="J618" s="9" t="str">
        <f t="shared" si="30"/>
        <v>No</v>
      </c>
      <c r="K618" s="9" t="str">
        <f t="shared" si="31"/>
        <v/>
      </c>
      <c r="L618" s="9" t="str">
        <f t="shared" si="32"/>
        <v/>
      </c>
      <c r="M618" s="9"/>
      <c r="O618" s="9"/>
    </row>
    <row r="619" ht="15.75" customHeight="1">
      <c r="A619" s="9" t="str">
        <f>IFERROR(__xludf.DUMMYFUNCTION("IF(B619="""","""",RIGHT(REGEXREPLACE(B619&amp;"""",""[^0-9]"",""""),9))"),"776783358")</f>
        <v>776783358</v>
      </c>
      <c r="B619" s="48">
        <v>7.76783358E8</v>
      </c>
      <c r="C619" s="10" t="s">
        <v>748</v>
      </c>
      <c r="D619" s="10" t="s">
        <v>69</v>
      </c>
      <c r="E619" s="13">
        <v>46227.0</v>
      </c>
      <c r="F619" s="10" t="s">
        <v>35</v>
      </c>
      <c r="H619" s="10" t="s">
        <v>315</v>
      </c>
      <c r="I619" s="10" t="s">
        <v>22</v>
      </c>
      <c r="J619" s="9" t="str">
        <f t="shared" si="30"/>
        <v>No</v>
      </c>
      <c r="K619" s="9" t="str">
        <f t="shared" si="31"/>
        <v/>
      </c>
      <c r="L619" s="9" t="str">
        <f t="shared" si="32"/>
        <v/>
      </c>
      <c r="M619" s="9"/>
      <c r="O619" s="9"/>
    </row>
    <row r="620" ht="15.75" customHeight="1">
      <c r="A620" s="9" t="str">
        <f>IFERROR(__xludf.DUMMYFUNCTION("IF(B620="""","""",RIGHT(REGEXREPLACE(B620&amp;"""",""[^0-9]"",""""),9))"),"760141226")</f>
        <v>760141226</v>
      </c>
      <c r="B620" s="48">
        <v>7.60141226E8</v>
      </c>
      <c r="C620" s="10" t="s">
        <v>749</v>
      </c>
      <c r="D620" s="10" t="s">
        <v>50</v>
      </c>
      <c r="E620" s="13">
        <v>46227.0</v>
      </c>
      <c r="F620" s="10" t="s">
        <v>35</v>
      </c>
      <c r="G620" s="10">
        <v>11.0</v>
      </c>
      <c r="I620" s="10" t="s">
        <v>22</v>
      </c>
      <c r="J620" s="9" t="str">
        <f t="shared" si="30"/>
        <v>No</v>
      </c>
      <c r="K620" s="9" t="str">
        <f t="shared" si="31"/>
        <v/>
      </c>
      <c r="L620" s="9" t="str">
        <f t="shared" si="32"/>
        <v/>
      </c>
      <c r="M620" s="9"/>
      <c r="O620" s="9"/>
    </row>
    <row r="621" ht="15.75" customHeight="1">
      <c r="A621" s="9" t="str">
        <f>IFERROR(__xludf.DUMMYFUNCTION("IF(B621="""","""",RIGHT(REGEXREPLACE(B621&amp;"""",""[^0-9]"",""""),9))"),"770825608")</f>
        <v>770825608</v>
      </c>
      <c r="B621" s="48">
        <v>7.70825608E8</v>
      </c>
      <c r="C621" s="10" t="s">
        <v>750</v>
      </c>
      <c r="D621" s="10" t="s">
        <v>97</v>
      </c>
      <c r="E621" s="13">
        <v>46227.0</v>
      </c>
      <c r="F621" s="10" t="s">
        <v>198</v>
      </c>
      <c r="G621" s="10">
        <v>11.0</v>
      </c>
      <c r="I621" s="10" t="s">
        <v>22</v>
      </c>
      <c r="J621" s="9" t="str">
        <f t="shared" si="30"/>
        <v>No</v>
      </c>
      <c r="K621" s="9" t="str">
        <f t="shared" si="31"/>
        <v/>
      </c>
      <c r="L621" s="9" t="str">
        <f t="shared" si="32"/>
        <v/>
      </c>
      <c r="M621" s="9"/>
      <c r="O621" s="9"/>
    </row>
    <row r="622" ht="15.75" customHeight="1">
      <c r="A622" s="9" t="str">
        <f>IFERROR(__xludf.DUMMYFUNCTION("IF(B622="""","""",RIGHT(REGEXREPLACE(B622&amp;"""",""[^0-9]"",""""),9))"),"701046338")</f>
        <v>701046338</v>
      </c>
      <c r="B622" s="48">
        <v>7.01046338E8</v>
      </c>
      <c r="C622" s="10" t="s">
        <v>751</v>
      </c>
      <c r="D622" s="10" t="s">
        <v>120</v>
      </c>
      <c r="E622" s="13">
        <v>46227.0</v>
      </c>
      <c r="F622" s="10" t="s">
        <v>648</v>
      </c>
      <c r="G622" s="10">
        <v>11.0</v>
      </c>
      <c r="I622" s="10" t="s">
        <v>22</v>
      </c>
      <c r="J622" s="9" t="str">
        <f t="shared" si="30"/>
        <v>No</v>
      </c>
      <c r="K622" s="9" t="str">
        <f t="shared" si="31"/>
        <v/>
      </c>
      <c r="L622" s="9" t="str">
        <f t="shared" si="32"/>
        <v/>
      </c>
      <c r="M622" s="9"/>
      <c r="O622" s="9"/>
    </row>
    <row r="623" ht="15.75" customHeight="1">
      <c r="A623" s="9" t="str">
        <f>IFERROR(__xludf.DUMMYFUNCTION("IF(B623="""","""",RIGHT(REGEXREPLACE(B623&amp;"""",""[^0-9]"",""""),9))"),"764248757")</f>
        <v>764248757</v>
      </c>
      <c r="B623" s="10">
        <v>7.64248757E8</v>
      </c>
      <c r="C623" s="10" t="s">
        <v>752</v>
      </c>
      <c r="D623" s="10" t="s">
        <v>20</v>
      </c>
      <c r="E623" s="13">
        <v>46227.0</v>
      </c>
      <c r="F623" s="10" t="s">
        <v>35</v>
      </c>
      <c r="G623" s="10">
        <v>11.0</v>
      </c>
      <c r="I623" s="10" t="s">
        <v>22</v>
      </c>
      <c r="J623" s="9" t="str">
        <f t="shared" si="30"/>
        <v>No</v>
      </c>
      <c r="K623" s="9" t="str">
        <f t="shared" si="31"/>
        <v/>
      </c>
      <c r="L623" s="9" t="str">
        <f t="shared" si="32"/>
        <v/>
      </c>
      <c r="M623" s="9"/>
      <c r="O623" s="9"/>
    </row>
    <row r="624" ht="15.75" customHeight="1">
      <c r="A624" s="9" t="str">
        <f>IFERROR(__xludf.DUMMYFUNCTION("IF(B624="""","""",RIGHT(REGEXREPLACE(B624&amp;"""",""[^0-9]"",""""),9))"),"776930379")</f>
        <v>776930379</v>
      </c>
      <c r="B624" s="48">
        <v>7.76930379E8</v>
      </c>
      <c r="C624" s="10" t="s">
        <v>753</v>
      </c>
      <c r="D624" s="10" t="s">
        <v>69</v>
      </c>
      <c r="E624" s="13">
        <v>46227.0</v>
      </c>
      <c r="F624" s="10" t="s">
        <v>35</v>
      </c>
      <c r="G624" s="10">
        <v>10.0</v>
      </c>
      <c r="H624" s="10" t="s">
        <v>315</v>
      </c>
      <c r="I624" s="10" t="s">
        <v>22</v>
      </c>
      <c r="J624" s="9" t="str">
        <f t="shared" si="30"/>
        <v>No</v>
      </c>
      <c r="K624" s="9" t="str">
        <f t="shared" si="31"/>
        <v/>
      </c>
      <c r="L624" s="9" t="str">
        <f t="shared" si="32"/>
        <v/>
      </c>
      <c r="M624" s="9"/>
      <c r="O624" s="9"/>
    </row>
    <row r="625" ht="15.75" customHeight="1">
      <c r="A625" s="9" t="str">
        <f>IFERROR(__xludf.DUMMYFUNCTION("IF(B625="""","""",RIGHT(REGEXREPLACE(B625&amp;"""",""[^0-9]"",""""),9))"),"777372349")</f>
        <v>777372349</v>
      </c>
      <c r="B625" s="48">
        <v>7.77372349E8</v>
      </c>
      <c r="C625" s="10" t="s">
        <v>754</v>
      </c>
      <c r="D625" s="10" t="s">
        <v>120</v>
      </c>
      <c r="E625" s="13">
        <v>46227.0</v>
      </c>
      <c r="F625" s="10" t="s">
        <v>755</v>
      </c>
      <c r="G625" s="10">
        <v>11.0</v>
      </c>
      <c r="H625" s="10">
        <v>7.7528088E7</v>
      </c>
      <c r="I625" s="10" t="s">
        <v>22</v>
      </c>
      <c r="J625" s="9" t="str">
        <f t="shared" si="30"/>
        <v>No</v>
      </c>
      <c r="K625" s="9" t="str">
        <f t="shared" si="31"/>
        <v/>
      </c>
      <c r="L625" s="9" t="str">
        <f t="shared" si="32"/>
        <v/>
      </c>
      <c r="M625" s="9"/>
      <c r="O625" s="9"/>
    </row>
    <row r="626" ht="15.75" customHeight="1">
      <c r="A626" s="9" t="str">
        <f>IFERROR(__xludf.DUMMYFUNCTION("IF(B626="""","""",RIGHT(REGEXREPLACE(B626&amp;"""",""[^0-9]"",""""),9))"),"778187548")</f>
        <v>778187548</v>
      </c>
      <c r="B626" s="48">
        <v>7.78187548E8</v>
      </c>
      <c r="C626" s="10" t="s">
        <v>756</v>
      </c>
      <c r="D626" s="10" t="s">
        <v>50</v>
      </c>
      <c r="E626" s="13">
        <v>46227.0</v>
      </c>
      <c r="F626" s="10" t="s">
        <v>21</v>
      </c>
      <c r="G626" s="10">
        <v>11.0</v>
      </c>
      <c r="H626" s="10" t="s">
        <v>622</v>
      </c>
      <c r="I626" s="10" t="s">
        <v>22</v>
      </c>
      <c r="J626" s="9" t="str">
        <f t="shared" si="30"/>
        <v>No</v>
      </c>
      <c r="K626" s="9" t="str">
        <f t="shared" si="31"/>
        <v/>
      </c>
      <c r="L626" s="9" t="str">
        <f t="shared" si="32"/>
        <v/>
      </c>
      <c r="M626" s="9"/>
      <c r="O626" s="9"/>
    </row>
    <row r="627" ht="15.75" customHeight="1">
      <c r="A627" s="9" t="str">
        <f>IFERROR(__xludf.DUMMYFUNCTION("IF(B627="""","""",RIGHT(REGEXREPLACE(B627&amp;"""",""[^0-9]"",""""),9))"),"760283199")</f>
        <v>760283199</v>
      </c>
      <c r="B627" s="48">
        <v>7.60283199E8</v>
      </c>
      <c r="C627" s="10" t="s">
        <v>757</v>
      </c>
      <c r="D627" s="10" t="s">
        <v>34</v>
      </c>
      <c r="E627" s="13">
        <v>46227.0</v>
      </c>
      <c r="F627" s="10" t="s">
        <v>21</v>
      </c>
      <c r="H627" s="10" t="s">
        <v>622</v>
      </c>
      <c r="I627" s="10" t="s">
        <v>22</v>
      </c>
      <c r="J627" s="9" t="str">
        <f t="shared" si="30"/>
        <v>No</v>
      </c>
      <c r="K627" s="9" t="str">
        <f t="shared" si="31"/>
        <v/>
      </c>
      <c r="L627" s="9" t="str">
        <f t="shared" si="32"/>
        <v/>
      </c>
      <c r="M627" s="9"/>
      <c r="O627" s="9"/>
    </row>
    <row r="628" ht="15.75" customHeight="1">
      <c r="A628" s="9" t="str">
        <f>IFERROR(__xludf.DUMMYFUNCTION("IF(B628="""","""",RIGHT(REGEXREPLACE(B628&amp;"""",""[^0-9]"",""""),9))"),"760604666")</f>
        <v>760604666</v>
      </c>
      <c r="B628" s="10">
        <v>7.60604666E8</v>
      </c>
      <c r="C628" s="10" t="s">
        <v>758</v>
      </c>
      <c r="D628" s="10" t="s">
        <v>20</v>
      </c>
      <c r="E628" s="13">
        <v>46227.0</v>
      </c>
      <c r="F628" s="10" t="s">
        <v>171</v>
      </c>
      <c r="I628" s="10" t="s">
        <v>22</v>
      </c>
      <c r="J628" s="9" t="str">
        <f t="shared" si="30"/>
        <v>No</v>
      </c>
      <c r="K628" s="9" t="str">
        <f t="shared" si="31"/>
        <v/>
      </c>
      <c r="L628" s="9" t="str">
        <f t="shared" si="32"/>
        <v/>
      </c>
      <c r="M628" s="9"/>
      <c r="O628" s="9"/>
    </row>
    <row r="629" ht="15.75" customHeight="1">
      <c r="A629" s="9" t="str">
        <f>IFERROR(__xludf.DUMMYFUNCTION("IF(B629="""","""",RIGHT(REGEXREPLACE(B629&amp;"""",""[^0-9]"",""""),9))"),"770477857")</f>
        <v>770477857</v>
      </c>
      <c r="B629" s="48">
        <v>7.70477857E8</v>
      </c>
      <c r="C629" s="10" t="s">
        <v>759</v>
      </c>
      <c r="D629" s="10" t="s">
        <v>34</v>
      </c>
      <c r="E629" s="13">
        <v>46227.0</v>
      </c>
      <c r="F629" s="10" t="s">
        <v>35</v>
      </c>
      <c r="G629" s="10">
        <v>10.0</v>
      </c>
      <c r="H629" s="10" t="s">
        <v>760</v>
      </c>
      <c r="I629" s="10" t="s">
        <v>22</v>
      </c>
      <c r="J629" s="9" t="str">
        <f t="shared" si="30"/>
        <v>No</v>
      </c>
      <c r="K629" s="9" t="str">
        <f t="shared" si="31"/>
        <v/>
      </c>
      <c r="L629" s="9" t="str">
        <f t="shared" si="32"/>
        <v/>
      </c>
      <c r="M629" s="9"/>
      <c r="O629" s="9"/>
    </row>
    <row r="630" ht="15.75" customHeight="1">
      <c r="A630" s="9" t="str">
        <f>IFERROR(__xludf.DUMMYFUNCTION("IF(B630="""","""",RIGHT(REGEXREPLACE(B630&amp;"""",""[^0-9]"",""""),9))"),"752599068")</f>
        <v>752599068</v>
      </c>
      <c r="B630" s="48">
        <v>7.52599068E8</v>
      </c>
      <c r="C630" s="10" t="s">
        <v>761</v>
      </c>
      <c r="D630" s="10" t="s">
        <v>97</v>
      </c>
      <c r="E630" s="13">
        <v>46227.0</v>
      </c>
      <c r="F630" s="10" t="s">
        <v>21</v>
      </c>
      <c r="I630" s="10" t="s">
        <v>22</v>
      </c>
      <c r="J630" s="9" t="str">
        <f t="shared" si="30"/>
        <v>No</v>
      </c>
      <c r="K630" s="9" t="str">
        <f t="shared" si="31"/>
        <v/>
      </c>
      <c r="L630" s="9" t="str">
        <f t="shared" si="32"/>
        <v/>
      </c>
      <c r="M630" s="9"/>
      <c r="O630" s="9"/>
    </row>
    <row r="631" ht="15.75" customHeight="1">
      <c r="A631" s="9" t="str">
        <f>IFERROR(__xludf.DUMMYFUNCTION("IF(B631="""","""",RIGHT(REGEXREPLACE(B631&amp;"""",""[^0-9]"",""""),9))"),"713051985")</f>
        <v>713051985</v>
      </c>
      <c r="B631" s="48">
        <v>7.13051985E8</v>
      </c>
      <c r="C631" s="10" t="s">
        <v>762</v>
      </c>
      <c r="D631" s="10" t="s">
        <v>50</v>
      </c>
      <c r="E631" s="13">
        <v>46227.0</v>
      </c>
      <c r="F631" s="10" t="s">
        <v>35</v>
      </c>
      <c r="G631" s="10">
        <v>11.0</v>
      </c>
      <c r="H631" s="10" t="s">
        <v>622</v>
      </c>
      <c r="I631" s="10" t="s">
        <v>22</v>
      </c>
      <c r="J631" s="9" t="str">
        <f t="shared" si="30"/>
        <v>No</v>
      </c>
      <c r="K631" s="9" t="str">
        <f t="shared" si="31"/>
        <v/>
      </c>
      <c r="L631" s="9" t="str">
        <f t="shared" si="32"/>
        <v/>
      </c>
      <c r="M631" s="9"/>
      <c r="O631" s="9"/>
    </row>
    <row r="632" ht="15.75" customHeight="1">
      <c r="A632" s="9" t="str">
        <f>IFERROR(__xludf.DUMMYFUNCTION("IF(B632="""","""",RIGHT(REGEXREPLACE(B632&amp;"""",""[^0-9]"",""""),9))"),"771574079")</f>
        <v>771574079</v>
      </c>
      <c r="B632" s="10">
        <v>7.71574079E8</v>
      </c>
      <c r="C632" s="10" t="s">
        <v>759</v>
      </c>
      <c r="D632" s="10" t="s">
        <v>20</v>
      </c>
      <c r="E632" s="13">
        <v>46227.0</v>
      </c>
      <c r="F632" s="10" t="s">
        <v>35</v>
      </c>
      <c r="G632" s="10">
        <v>10.0</v>
      </c>
      <c r="I632" s="10" t="s">
        <v>22</v>
      </c>
      <c r="J632" s="9" t="str">
        <f t="shared" si="30"/>
        <v>No</v>
      </c>
      <c r="K632" s="9" t="str">
        <f t="shared" si="31"/>
        <v/>
      </c>
      <c r="L632" s="9" t="str">
        <f t="shared" si="32"/>
        <v/>
      </c>
      <c r="M632" s="9"/>
      <c r="O632" s="9"/>
    </row>
    <row r="633" ht="15.75" customHeight="1">
      <c r="A633" s="9" t="str">
        <f>IFERROR(__xludf.DUMMYFUNCTION("IF(B633="""","""",RIGHT(REGEXREPLACE(B633&amp;"""",""[^0-9]"",""""),9))"),"756742007")</f>
        <v>756742007</v>
      </c>
      <c r="B633" s="48">
        <v>7.56742007E8</v>
      </c>
      <c r="C633" s="10" t="s">
        <v>763</v>
      </c>
      <c r="D633" s="10" t="s">
        <v>97</v>
      </c>
      <c r="E633" s="13">
        <v>46227.0</v>
      </c>
      <c r="F633" s="10" t="s">
        <v>35</v>
      </c>
      <c r="G633" s="10">
        <v>11.0</v>
      </c>
      <c r="I633" s="10" t="s">
        <v>22</v>
      </c>
      <c r="J633" s="9" t="str">
        <f t="shared" si="30"/>
        <v>No</v>
      </c>
      <c r="K633" s="9" t="str">
        <f t="shared" si="31"/>
        <v/>
      </c>
      <c r="L633" s="9" t="str">
        <f t="shared" si="32"/>
        <v/>
      </c>
      <c r="M633" s="9"/>
      <c r="O633" s="9"/>
    </row>
    <row r="634" ht="15.75" customHeight="1">
      <c r="A634" s="9" t="str">
        <f>IFERROR(__xludf.DUMMYFUNCTION("IF(B634="""","""",RIGHT(REGEXREPLACE(B634&amp;"""",""[^0-9]"",""""),9))"),"768342155")</f>
        <v>768342155</v>
      </c>
      <c r="B634" s="48">
        <v>7.68342155E8</v>
      </c>
      <c r="C634" s="10" t="s">
        <v>764</v>
      </c>
      <c r="D634" s="10" t="s">
        <v>34</v>
      </c>
      <c r="E634" s="13">
        <v>46227.0</v>
      </c>
      <c r="F634" s="10" t="s">
        <v>35</v>
      </c>
      <c r="G634" s="10">
        <v>10.0</v>
      </c>
      <c r="I634" s="10" t="s">
        <v>22</v>
      </c>
      <c r="J634" s="9" t="str">
        <f t="shared" si="30"/>
        <v>No</v>
      </c>
      <c r="K634" s="9" t="str">
        <f t="shared" si="31"/>
        <v/>
      </c>
      <c r="L634" s="9" t="str">
        <f t="shared" si="32"/>
        <v/>
      </c>
      <c r="M634" s="9"/>
      <c r="O634" s="9"/>
    </row>
    <row r="635" ht="15.75" customHeight="1">
      <c r="A635" s="9" t="str">
        <f>IFERROR(__xludf.DUMMYFUNCTION("IF(B635="""","""",RIGHT(REGEXREPLACE(B635&amp;"""",""[^0-9]"",""""),9))"),"763156606")</f>
        <v>763156606</v>
      </c>
      <c r="B635" s="48">
        <v>7.63156606E8</v>
      </c>
      <c r="C635" s="10" t="s">
        <v>765</v>
      </c>
      <c r="D635" s="10" t="s">
        <v>50</v>
      </c>
      <c r="E635" s="13">
        <v>46227.0</v>
      </c>
      <c r="F635" s="10" t="s">
        <v>35</v>
      </c>
      <c r="G635" s="10">
        <v>11.0</v>
      </c>
      <c r="H635" s="10" t="s">
        <v>622</v>
      </c>
      <c r="I635" s="10" t="s">
        <v>22</v>
      </c>
      <c r="J635" s="9" t="str">
        <f t="shared" si="30"/>
        <v>No</v>
      </c>
      <c r="K635" s="9" t="str">
        <f t="shared" si="31"/>
        <v/>
      </c>
      <c r="L635" s="9" t="str">
        <f t="shared" si="32"/>
        <v/>
      </c>
      <c r="M635" s="9"/>
      <c r="O635" s="9"/>
    </row>
    <row r="636" ht="15.75" customHeight="1">
      <c r="A636" s="9" t="str">
        <f>IFERROR(__xludf.DUMMYFUNCTION("IF(B636="""","""",RIGHT(REGEXREPLACE(B636&amp;"""",""[^0-9]"",""""),9))"),"761647028")</f>
        <v>761647028</v>
      </c>
      <c r="B636" s="48">
        <v>7.61647028E8</v>
      </c>
      <c r="C636" s="10" t="s">
        <v>766</v>
      </c>
      <c r="D636" s="10" t="s">
        <v>120</v>
      </c>
      <c r="E636" s="13">
        <v>46227.0</v>
      </c>
      <c r="F636" s="10" t="s">
        <v>35</v>
      </c>
      <c r="G636" s="10">
        <v>11.0</v>
      </c>
      <c r="I636" s="10" t="s">
        <v>22</v>
      </c>
      <c r="J636" s="9" t="str">
        <f t="shared" si="30"/>
        <v>No</v>
      </c>
      <c r="K636" s="9" t="str">
        <f t="shared" si="31"/>
        <v/>
      </c>
      <c r="L636" s="9" t="str">
        <f t="shared" si="32"/>
        <v/>
      </c>
      <c r="M636" s="9"/>
      <c r="O636" s="9"/>
    </row>
    <row r="637" ht="15.75" customHeight="1">
      <c r="A637" s="9" t="str">
        <f>IFERROR(__xludf.DUMMYFUNCTION("IF(B637="""","""",RIGHT(REGEXREPLACE(B637&amp;"""",""[^0-9]"",""""),9))"),"725189766")</f>
        <v>725189766</v>
      </c>
      <c r="B637" s="10">
        <v>7.25189766E8</v>
      </c>
      <c r="C637" s="10" t="s">
        <v>767</v>
      </c>
      <c r="D637" s="10" t="s">
        <v>20</v>
      </c>
      <c r="E637" s="13">
        <v>46227.0</v>
      </c>
      <c r="F637" s="10" t="s">
        <v>35</v>
      </c>
      <c r="G637" s="10">
        <v>11.0</v>
      </c>
      <c r="I637" s="10" t="s">
        <v>22</v>
      </c>
      <c r="J637" s="9" t="str">
        <f t="shared" si="30"/>
        <v>No</v>
      </c>
      <c r="K637" s="9" t="str">
        <f t="shared" si="31"/>
        <v/>
      </c>
      <c r="L637" s="9" t="str">
        <f t="shared" si="32"/>
        <v/>
      </c>
      <c r="M637" s="9"/>
      <c r="O637" s="9"/>
    </row>
    <row r="638" ht="15.75" customHeight="1">
      <c r="A638" s="9" t="str">
        <f>IFERROR(__xludf.DUMMYFUNCTION("IF(B638="""","""",RIGHT(REGEXREPLACE(B638&amp;"""",""[^0-9]"",""""),9))"),"787335333")</f>
        <v>787335333</v>
      </c>
      <c r="B638" s="10">
        <v>7.87335333E8</v>
      </c>
      <c r="C638" s="10" t="s">
        <v>768</v>
      </c>
      <c r="D638" s="10" t="s">
        <v>20</v>
      </c>
      <c r="E638" s="13">
        <v>46227.0</v>
      </c>
      <c r="F638" s="10" t="s">
        <v>35</v>
      </c>
      <c r="G638" s="10">
        <v>11.0</v>
      </c>
      <c r="I638" s="10" t="s">
        <v>22</v>
      </c>
      <c r="J638" s="9" t="str">
        <f t="shared" si="30"/>
        <v>No</v>
      </c>
      <c r="K638" s="9" t="str">
        <f t="shared" si="31"/>
        <v/>
      </c>
      <c r="L638" s="9" t="str">
        <f t="shared" si="32"/>
        <v/>
      </c>
      <c r="M638" s="9"/>
      <c r="O638" s="9"/>
    </row>
    <row r="639" ht="15.75" customHeight="1">
      <c r="A639" s="9" t="str">
        <f>IFERROR(__xludf.DUMMYFUNCTION("IF(B639="""","""",RIGHT(REGEXREPLACE(B639&amp;"""",""[^0-9]"",""""),9))"),"714497791")</f>
        <v>714497791</v>
      </c>
      <c r="B639" s="48">
        <v>7.14497791E8</v>
      </c>
      <c r="C639" s="10" t="s">
        <v>769</v>
      </c>
      <c r="D639" s="10" t="s">
        <v>97</v>
      </c>
      <c r="E639" s="13">
        <v>46227.0</v>
      </c>
      <c r="F639" s="10" t="s">
        <v>21</v>
      </c>
      <c r="I639" s="10" t="s">
        <v>22</v>
      </c>
      <c r="J639" s="9" t="str">
        <f t="shared" si="30"/>
        <v>No</v>
      </c>
      <c r="K639" s="9" t="str">
        <f t="shared" si="31"/>
        <v/>
      </c>
      <c r="L639" s="9" t="str">
        <f t="shared" si="32"/>
        <v/>
      </c>
      <c r="M639" s="9"/>
      <c r="O639" s="9"/>
    </row>
    <row r="640" ht="15.75" customHeight="1">
      <c r="A640" s="9" t="str">
        <f>IFERROR(__xludf.DUMMYFUNCTION("IF(B640="""","""",RIGHT(REGEXREPLACE(B640&amp;"""",""[^0-9]"",""""),9))"),"760236984")</f>
        <v>760236984</v>
      </c>
      <c r="B640" s="10">
        <v>7.60236984E8</v>
      </c>
      <c r="C640" s="10" t="s">
        <v>770</v>
      </c>
      <c r="D640" s="10" t="s">
        <v>20</v>
      </c>
      <c r="E640" s="13">
        <v>46227.0</v>
      </c>
      <c r="F640" s="10" t="s">
        <v>198</v>
      </c>
      <c r="G640" s="10">
        <v>11.0</v>
      </c>
      <c r="I640" s="10" t="s">
        <v>22</v>
      </c>
      <c r="J640" s="9" t="str">
        <f t="shared" si="30"/>
        <v>No</v>
      </c>
      <c r="K640" s="9" t="str">
        <f t="shared" si="31"/>
        <v/>
      </c>
      <c r="L640" s="9" t="str">
        <f t="shared" si="32"/>
        <v/>
      </c>
      <c r="M640" s="9"/>
      <c r="O640" s="9"/>
    </row>
    <row r="641" ht="15.75" customHeight="1">
      <c r="A641" s="9" t="str">
        <f>IFERROR(__xludf.DUMMYFUNCTION("IF(B641="""","""",RIGHT(REGEXREPLACE(B641&amp;"""",""[^0-9]"",""""),9))"),"779873693")</f>
        <v>779873693</v>
      </c>
      <c r="B641" s="48">
        <v>7.79873693E8</v>
      </c>
      <c r="C641" s="10" t="s">
        <v>771</v>
      </c>
      <c r="D641" s="10" t="s">
        <v>69</v>
      </c>
      <c r="E641" s="13">
        <v>46227.0</v>
      </c>
      <c r="F641" s="10" t="s">
        <v>198</v>
      </c>
      <c r="H641" s="10" t="s">
        <v>737</v>
      </c>
      <c r="I641" s="10" t="s">
        <v>22</v>
      </c>
      <c r="J641" s="9" t="str">
        <f t="shared" si="30"/>
        <v>No</v>
      </c>
      <c r="K641" s="9" t="str">
        <f t="shared" si="31"/>
        <v/>
      </c>
      <c r="L641" s="9" t="str">
        <f t="shared" si="32"/>
        <v/>
      </c>
      <c r="M641" s="9"/>
      <c r="O641" s="9"/>
    </row>
    <row r="642" ht="15.75" customHeight="1">
      <c r="A642" s="9" t="str">
        <f>IFERROR(__xludf.DUMMYFUNCTION("IF(B642="""","""",RIGHT(REGEXREPLACE(B642&amp;"""",""[^0-9]"",""""),9))"),"773181918")</f>
        <v>773181918</v>
      </c>
      <c r="B642" s="48">
        <v>7.73181918E8</v>
      </c>
      <c r="C642" s="10" t="s">
        <v>772</v>
      </c>
      <c r="D642" s="10" t="s">
        <v>34</v>
      </c>
      <c r="E642" s="13">
        <v>46227.0</v>
      </c>
      <c r="F642" s="10" t="s">
        <v>35</v>
      </c>
      <c r="G642" s="10">
        <v>11.0</v>
      </c>
      <c r="I642" s="10" t="s">
        <v>22</v>
      </c>
      <c r="J642" s="9" t="str">
        <f t="shared" si="30"/>
        <v>No</v>
      </c>
      <c r="K642" s="9" t="str">
        <f t="shared" si="31"/>
        <v/>
      </c>
      <c r="L642" s="9" t="str">
        <f t="shared" si="32"/>
        <v/>
      </c>
      <c r="M642" s="9"/>
      <c r="O642" s="9"/>
    </row>
    <row r="643" ht="15.75" customHeight="1">
      <c r="A643" s="9" t="str">
        <f>IFERROR(__xludf.DUMMYFUNCTION("IF(B643="""","""",RIGHT(REGEXREPLACE(B643&amp;"""",""[^0-9]"",""""),9))"),"702201686")</f>
        <v>702201686</v>
      </c>
      <c r="B643" s="48">
        <v>7.02201686E8</v>
      </c>
      <c r="C643" s="10" t="s">
        <v>773</v>
      </c>
      <c r="D643" s="10" t="s">
        <v>120</v>
      </c>
      <c r="E643" s="13">
        <v>46227.0</v>
      </c>
      <c r="F643" s="10" t="s">
        <v>21</v>
      </c>
      <c r="G643" s="10">
        <v>11.0</v>
      </c>
      <c r="I643" s="10" t="s">
        <v>22</v>
      </c>
      <c r="J643" s="9" t="str">
        <f t="shared" si="30"/>
        <v>No</v>
      </c>
      <c r="K643" s="9" t="str">
        <f t="shared" si="31"/>
        <v/>
      </c>
      <c r="L643" s="9" t="str">
        <f t="shared" si="32"/>
        <v/>
      </c>
      <c r="M643" s="9"/>
      <c r="O643" s="9"/>
    </row>
    <row r="644" ht="15.75" customHeight="1">
      <c r="A644" s="9" t="str">
        <f>IFERROR(__xludf.DUMMYFUNCTION("IF(B644="""","""",RIGHT(REGEXREPLACE(B644&amp;"""",""[^0-9]"",""""),9))"),"772245715")</f>
        <v>772245715</v>
      </c>
      <c r="B644" s="48">
        <v>7.72245715E8</v>
      </c>
      <c r="C644" s="10" t="s">
        <v>774</v>
      </c>
      <c r="D644" s="10" t="s">
        <v>34</v>
      </c>
      <c r="E644" s="13">
        <v>46227.0</v>
      </c>
      <c r="F644" s="10" t="s">
        <v>35</v>
      </c>
      <c r="G644" s="10">
        <v>10.0</v>
      </c>
      <c r="I644" s="10" t="s">
        <v>22</v>
      </c>
      <c r="J644" s="9" t="str">
        <f t="shared" si="30"/>
        <v>No</v>
      </c>
      <c r="K644" s="9" t="str">
        <f t="shared" si="31"/>
        <v/>
      </c>
      <c r="L644" s="9" t="str">
        <f t="shared" si="32"/>
        <v/>
      </c>
      <c r="M644" s="9"/>
      <c r="O644" s="9"/>
    </row>
    <row r="645" ht="15.75" customHeight="1">
      <c r="A645" s="9" t="str">
        <f>IFERROR(__xludf.DUMMYFUNCTION("IF(B645="""","""",RIGHT(REGEXREPLACE(B645&amp;"""",""[^0-9]"",""""),9))"),"778002833")</f>
        <v>778002833</v>
      </c>
      <c r="B645" s="48">
        <v>7.78002833E8</v>
      </c>
      <c r="C645" s="10" t="s">
        <v>775</v>
      </c>
      <c r="D645" s="10" t="s">
        <v>69</v>
      </c>
      <c r="E645" s="13">
        <v>46227.0</v>
      </c>
      <c r="F645" s="10" t="s">
        <v>35</v>
      </c>
      <c r="G645" s="10">
        <v>10.0</v>
      </c>
      <c r="H645" s="10" t="s">
        <v>776</v>
      </c>
      <c r="I645" s="10" t="s">
        <v>22</v>
      </c>
      <c r="J645" s="9" t="str">
        <f t="shared" si="30"/>
        <v>No</v>
      </c>
      <c r="K645" s="9" t="str">
        <f t="shared" si="31"/>
        <v/>
      </c>
      <c r="L645" s="9" t="str">
        <f t="shared" si="32"/>
        <v/>
      </c>
      <c r="M645" s="9"/>
      <c r="O645" s="9"/>
    </row>
    <row r="646" ht="15.75" customHeight="1">
      <c r="A646" s="9" t="str">
        <f>IFERROR(__xludf.DUMMYFUNCTION("IF(B646="""","""",RIGHT(REGEXREPLACE(B646&amp;"""",""[^0-9]"",""""),9))"),"704188535")</f>
        <v>704188535</v>
      </c>
      <c r="B646" s="10">
        <v>7.04188535E8</v>
      </c>
      <c r="C646" s="10" t="s">
        <v>777</v>
      </c>
      <c r="D646" s="10" t="s">
        <v>20</v>
      </c>
      <c r="E646" s="13">
        <v>46227.0</v>
      </c>
      <c r="F646" s="10" t="s">
        <v>198</v>
      </c>
      <c r="I646" s="10" t="s">
        <v>22</v>
      </c>
      <c r="J646" s="9" t="str">
        <f t="shared" si="30"/>
        <v>No</v>
      </c>
      <c r="K646" s="9" t="str">
        <f t="shared" si="31"/>
        <v/>
      </c>
      <c r="L646" s="9" t="str">
        <f t="shared" si="32"/>
        <v/>
      </c>
      <c r="M646" s="9"/>
      <c r="O646" s="9"/>
    </row>
    <row r="647" ht="15.75" customHeight="1">
      <c r="A647" s="9" t="str">
        <f>IFERROR(__xludf.DUMMYFUNCTION("IF(B647="""","""",RIGHT(REGEXREPLACE(B647&amp;"""",""[^0-9]"",""""),9))"),"772689846")</f>
        <v>772689846</v>
      </c>
      <c r="B647" s="48">
        <v>7.72689846E8</v>
      </c>
      <c r="C647" s="10" t="s">
        <v>778</v>
      </c>
      <c r="D647" s="10" t="s">
        <v>120</v>
      </c>
      <c r="E647" s="13">
        <v>46227.0</v>
      </c>
      <c r="F647" s="10" t="s">
        <v>35</v>
      </c>
      <c r="G647" s="10">
        <v>11.0</v>
      </c>
      <c r="I647" s="10" t="s">
        <v>22</v>
      </c>
      <c r="J647" s="9" t="str">
        <f t="shared" si="30"/>
        <v>No</v>
      </c>
      <c r="K647" s="9" t="str">
        <f t="shared" si="31"/>
        <v/>
      </c>
      <c r="L647" s="9" t="str">
        <f t="shared" si="32"/>
        <v/>
      </c>
      <c r="M647" s="9"/>
      <c r="O647" s="9"/>
    </row>
    <row r="648" ht="15.75" customHeight="1">
      <c r="A648" s="9" t="str">
        <f>IFERROR(__xludf.DUMMYFUNCTION("IF(B648="""","""",RIGHT(REGEXREPLACE(B648&amp;"""",""[^0-9]"",""""),9))"),"720120001")</f>
        <v>720120001</v>
      </c>
      <c r="B648" s="48">
        <v>7.20120001E8</v>
      </c>
      <c r="C648" s="10" t="s">
        <v>779</v>
      </c>
      <c r="D648" s="10" t="s">
        <v>97</v>
      </c>
      <c r="E648" s="13">
        <v>46227.0</v>
      </c>
      <c r="F648" s="10" t="s">
        <v>198</v>
      </c>
      <c r="I648" s="10" t="s">
        <v>22</v>
      </c>
      <c r="J648" s="9" t="str">
        <f t="shared" si="30"/>
        <v>No</v>
      </c>
      <c r="K648" s="9" t="str">
        <f t="shared" si="31"/>
        <v/>
      </c>
      <c r="L648" s="9" t="str">
        <f t="shared" si="32"/>
        <v/>
      </c>
      <c r="M648" s="9"/>
      <c r="O648" s="9"/>
    </row>
    <row r="649" ht="15.75" customHeight="1">
      <c r="A649" s="9" t="str">
        <f>IFERROR(__xludf.DUMMYFUNCTION("IF(B649="""","""",RIGHT(REGEXREPLACE(B649&amp;"""",""[^0-9]"",""""),9))"),"712972717")</f>
        <v>712972717</v>
      </c>
      <c r="B649" s="48">
        <v>7.12972717E8</v>
      </c>
      <c r="C649" s="10" t="s">
        <v>780</v>
      </c>
      <c r="D649" s="10" t="s">
        <v>50</v>
      </c>
      <c r="E649" s="13">
        <v>46227.0</v>
      </c>
      <c r="F649" s="10" t="s">
        <v>35</v>
      </c>
      <c r="G649" s="10">
        <v>11.0</v>
      </c>
      <c r="H649" s="10" t="s">
        <v>622</v>
      </c>
      <c r="I649" s="10" t="s">
        <v>22</v>
      </c>
      <c r="J649" s="9" t="str">
        <f t="shared" si="30"/>
        <v>No</v>
      </c>
      <c r="K649" s="9" t="str">
        <f t="shared" si="31"/>
        <v/>
      </c>
      <c r="L649" s="9" t="str">
        <f t="shared" si="32"/>
        <v/>
      </c>
      <c r="M649" s="9"/>
      <c r="O649" s="9"/>
    </row>
    <row r="650" ht="15.75" customHeight="1">
      <c r="A650" s="9" t="str">
        <f>IFERROR(__xludf.DUMMYFUNCTION("IF(B650="""","""",RIGHT(REGEXREPLACE(B650&amp;"""",""[^0-9]"",""""),9))"),"705609947")</f>
        <v>705609947</v>
      </c>
      <c r="B650" s="48">
        <v>7.05609947E8</v>
      </c>
      <c r="C650" s="10" t="s">
        <v>781</v>
      </c>
      <c r="D650" s="10" t="s">
        <v>120</v>
      </c>
      <c r="E650" s="13">
        <v>46227.0</v>
      </c>
      <c r="F650" s="10" t="s">
        <v>35</v>
      </c>
      <c r="G650" s="10">
        <v>11.0</v>
      </c>
      <c r="I650" s="10" t="s">
        <v>22</v>
      </c>
      <c r="J650" s="9" t="str">
        <f t="shared" si="30"/>
        <v>No</v>
      </c>
      <c r="K650" s="9" t="str">
        <f t="shared" si="31"/>
        <v/>
      </c>
      <c r="L650" s="9" t="str">
        <f t="shared" si="32"/>
        <v/>
      </c>
      <c r="M650" s="9"/>
      <c r="O650" s="9"/>
    </row>
    <row r="651" ht="15.75" customHeight="1">
      <c r="A651" s="9" t="str">
        <f>IFERROR(__xludf.DUMMYFUNCTION("IF(B651="""","""",RIGHT(REGEXREPLACE(B651&amp;"""",""[^0-9]"",""""),9))"),"779725783")</f>
        <v>779725783</v>
      </c>
      <c r="B651" s="48">
        <v>7.79725783E8</v>
      </c>
      <c r="C651" s="10" t="s">
        <v>782</v>
      </c>
      <c r="D651" s="10" t="s">
        <v>97</v>
      </c>
      <c r="E651" s="13">
        <v>46227.0</v>
      </c>
      <c r="F651" s="10" t="s">
        <v>21</v>
      </c>
      <c r="I651" s="10" t="s">
        <v>22</v>
      </c>
      <c r="J651" s="9" t="str">
        <f t="shared" si="30"/>
        <v>No</v>
      </c>
      <c r="K651" s="9" t="str">
        <f t="shared" si="31"/>
        <v/>
      </c>
      <c r="L651" s="9" t="str">
        <f t="shared" si="32"/>
        <v/>
      </c>
      <c r="M651" s="9"/>
      <c r="O651" s="9"/>
    </row>
    <row r="652" ht="15.75" customHeight="1">
      <c r="A652" s="9" t="str">
        <f>IFERROR(__xludf.DUMMYFUNCTION("IF(B652="""","""",RIGHT(REGEXREPLACE(B652&amp;"""",""[^0-9]"",""""),9))"),"762399603")</f>
        <v>762399603</v>
      </c>
      <c r="B652" s="48">
        <v>7.62399603E8</v>
      </c>
      <c r="C652" s="10" t="s">
        <v>783</v>
      </c>
      <c r="D652" s="10" t="s">
        <v>69</v>
      </c>
      <c r="E652" s="13">
        <v>46227.0</v>
      </c>
      <c r="F652" s="10" t="s">
        <v>145</v>
      </c>
      <c r="G652" s="10">
        <v>11.0</v>
      </c>
      <c r="H652" s="10" t="s">
        <v>737</v>
      </c>
      <c r="I652" s="10" t="s">
        <v>22</v>
      </c>
      <c r="J652" s="9" t="str">
        <f t="shared" si="30"/>
        <v>No</v>
      </c>
      <c r="K652" s="9" t="str">
        <f t="shared" si="31"/>
        <v/>
      </c>
      <c r="L652" s="9" t="str">
        <f t="shared" si="32"/>
        <v/>
      </c>
      <c r="M652" s="9"/>
      <c r="O652" s="9"/>
    </row>
    <row r="653" ht="15.75" customHeight="1">
      <c r="A653" s="9" t="str">
        <f>IFERROR(__xludf.DUMMYFUNCTION("IF(B653="""","""",RIGHT(REGEXREPLACE(B653&amp;"""",""[^0-9]"",""""),9))"),"724140618")</f>
        <v>724140618</v>
      </c>
      <c r="B653" s="10">
        <v>7.24140618E8</v>
      </c>
      <c r="C653" s="10" t="s">
        <v>784</v>
      </c>
      <c r="D653" s="10" t="s">
        <v>20</v>
      </c>
      <c r="E653" s="13">
        <v>46227.0</v>
      </c>
      <c r="F653" s="10" t="s">
        <v>21</v>
      </c>
      <c r="I653" s="10" t="s">
        <v>22</v>
      </c>
      <c r="J653" s="9" t="str">
        <f t="shared" si="30"/>
        <v>No</v>
      </c>
      <c r="K653" s="9" t="str">
        <f t="shared" si="31"/>
        <v/>
      </c>
      <c r="L653" s="9" t="str">
        <f t="shared" si="32"/>
        <v/>
      </c>
      <c r="M653" s="9"/>
      <c r="O653" s="9"/>
    </row>
    <row r="654" ht="15.75" customHeight="1">
      <c r="A654" s="9" t="str">
        <f>IFERROR(__xludf.DUMMYFUNCTION("IF(B654="""","""",RIGHT(REGEXREPLACE(B654&amp;"""",""[^0-9]"",""""),9))"),"756369381")</f>
        <v>756369381</v>
      </c>
      <c r="B654" s="10">
        <v>7.56369381E8</v>
      </c>
      <c r="C654" s="10" t="s">
        <v>785</v>
      </c>
      <c r="D654" s="10" t="s">
        <v>20</v>
      </c>
      <c r="E654" s="13">
        <v>46227.0</v>
      </c>
      <c r="F654" s="10" t="s">
        <v>173</v>
      </c>
      <c r="G654" s="10">
        <v>11.0</v>
      </c>
      <c r="I654" s="10" t="s">
        <v>22</v>
      </c>
      <c r="J654" s="9" t="str">
        <f t="shared" si="30"/>
        <v>No</v>
      </c>
      <c r="K654" s="9" t="str">
        <f t="shared" si="31"/>
        <v/>
      </c>
      <c r="L654" s="9" t="str">
        <f t="shared" si="32"/>
        <v/>
      </c>
      <c r="M654" s="9"/>
      <c r="O654" s="9"/>
    </row>
    <row r="655" ht="15.75" customHeight="1">
      <c r="A655" s="9" t="str">
        <f>IFERROR(__xludf.DUMMYFUNCTION("IF(B655="""","""",RIGHT(REGEXREPLACE(B655&amp;"""",""[^0-9]"",""""),9))"),"718939074")</f>
        <v>718939074</v>
      </c>
      <c r="B655" s="48">
        <v>7.18939074E8</v>
      </c>
      <c r="C655" s="10" t="s">
        <v>787</v>
      </c>
      <c r="D655" s="10" t="s">
        <v>50</v>
      </c>
      <c r="E655" s="13">
        <v>46227.0</v>
      </c>
      <c r="F655" s="10" t="s">
        <v>35</v>
      </c>
      <c r="G655" s="10">
        <v>11.0</v>
      </c>
      <c r="H655" s="10" t="s">
        <v>622</v>
      </c>
      <c r="I655" s="10" t="s">
        <v>22</v>
      </c>
      <c r="J655" s="9" t="str">
        <f t="shared" si="30"/>
        <v>No</v>
      </c>
      <c r="K655" s="9" t="str">
        <f t="shared" si="31"/>
        <v/>
      </c>
      <c r="L655" s="9" t="str">
        <f t="shared" si="32"/>
        <v/>
      </c>
      <c r="M655" s="9"/>
      <c r="O655" s="9"/>
    </row>
    <row r="656" ht="15.75" customHeight="1">
      <c r="A656" s="9" t="str">
        <f>IFERROR(__xludf.DUMMYFUNCTION("IF(B656="""","""",RIGHT(REGEXREPLACE(B656&amp;"""",""[^0-9]"",""""),9))"),"779526965")</f>
        <v>779526965</v>
      </c>
      <c r="B656" s="48">
        <v>7.79526965E8</v>
      </c>
      <c r="C656" s="10" t="s">
        <v>788</v>
      </c>
      <c r="D656" s="10" t="s">
        <v>120</v>
      </c>
      <c r="E656" s="13">
        <v>46227.0</v>
      </c>
      <c r="F656" s="10" t="s">
        <v>21</v>
      </c>
      <c r="G656" s="10">
        <v>11.0</v>
      </c>
      <c r="I656" s="10" t="s">
        <v>22</v>
      </c>
      <c r="J656" s="9" t="str">
        <f t="shared" si="30"/>
        <v>No</v>
      </c>
      <c r="K656" s="9" t="str">
        <f t="shared" si="31"/>
        <v/>
      </c>
      <c r="L656" s="9" t="str">
        <f t="shared" si="32"/>
        <v/>
      </c>
      <c r="M656" s="9"/>
      <c r="O656" s="9"/>
    </row>
    <row r="657" ht="15.75" customHeight="1">
      <c r="A657" s="9" t="str">
        <f>IFERROR(__xludf.DUMMYFUNCTION("IF(B657="""","""",RIGHT(REGEXREPLACE(B657&amp;"""",""[^0-9]"",""""),9))"),"755041232")</f>
        <v>755041232</v>
      </c>
      <c r="B657" s="10">
        <v>7.55041232E8</v>
      </c>
      <c r="C657" s="10" t="s">
        <v>789</v>
      </c>
      <c r="D657" s="10" t="s">
        <v>20</v>
      </c>
      <c r="E657" s="13">
        <v>46227.0</v>
      </c>
      <c r="F657" s="10" t="s">
        <v>35</v>
      </c>
      <c r="G657" s="10">
        <v>11.0</v>
      </c>
      <c r="I657" s="10" t="s">
        <v>22</v>
      </c>
      <c r="J657" s="9" t="str">
        <f t="shared" si="30"/>
        <v>No</v>
      </c>
      <c r="K657" s="9" t="str">
        <f t="shared" si="31"/>
        <v/>
      </c>
      <c r="L657" s="9" t="str">
        <f t="shared" si="32"/>
        <v/>
      </c>
      <c r="M657" s="9"/>
      <c r="O657" s="9"/>
    </row>
    <row r="658" ht="15.75" customHeight="1">
      <c r="A658" s="9" t="str">
        <f>IFERROR(__xludf.DUMMYFUNCTION("IF(B658="""","""",RIGHT(REGEXREPLACE(B658&amp;"""",""[^0-9]"",""""),9))"),"715936902")</f>
        <v>715936902</v>
      </c>
      <c r="B658" s="48">
        <v>7.15936902E8</v>
      </c>
      <c r="C658" s="10" t="s">
        <v>790</v>
      </c>
      <c r="D658" s="10" t="s">
        <v>34</v>
      </c>
      <c r="E658" s="13">
        <v>46227.0</v>
      </c>
      <c r="F658" s="10" t="s">
        <v>145</v>
      </c>
      <c r="H658" s="10" t="s">
        <v>622</v>
      </c>
      <c r="I658" s="10" t="s">
        <v>22</v>
      </c>
      <c r="J658" s="9" t="str">
        <f t="shared" si="30"/>
        <v>No</v>
      </c>
      <c r="K658" s="9" t="str">
        <f t="shared" si="31"/>
        <v/>
      </c>
      <c r="L658" s="9" t="str">
        <f t="shared" si="32"/>
        <v/>
      </c>
      <c r="M658" s="9"/>
      <c r="O658" s="9"/>
    </row>
    <row r="659" ht="15.75" customHeight="1">
      <c r="A659" s="9" t="str">
        <f>IFERROR(__xludf.DUMMYFUNCTION("IF(B659="""","""",RIGHT(REGEXREPLACE(B659&amp;"""",""[^0-9]"",""""),9))"),"741765705")</f>
        <v>741765705</v>
      </c>
      <c r="B659" s="10">
        <v>7.41765705E8</v>
      </c>
      <c r="C659" s="10" t="s">
        <v>791</v>
      </c>
      <c r="D659" s="10" t="s">
        <v>20</v>
      </c>
      <c r="E659" s="13">
        <v>46227.0</v>
      </c>
      <c r="F659" s="10" t="s">
        <v>171</v>
      </c>
      <c r="I659" s="10" t="s">
        <v>22</v>
      </c>
      <c r="J659" s="9" t="str">
        <f t="shared" si="30"/>
        <v>No</v>
      </c>
      <c r="K659" s="9" t="str">
        <f t="shared" si="31"/>
        <v/>
      </c>
      <c r="L659" s="9" t="str">
        <f t="shared" si="32"/>
        <v/>
      </c>
      <c r="M659" s="9"/>
      <c r="O659" s="9"/>
    </row>
    <row r="660" ht="15.75" customHeight="1">
      <c r="A660" s="9" t="str">
        <f>IFERROR(__xludf.DUMMYFUNCTION("IF(B660="""","""",RIGHT(REGEXREPLACE(B660&amp;"""",""[^0-9]"",""""),9))"),"718082486")</f>
        <v>718082486</v>
      </c>
      <c r="B660" s="48">
        <v>7.18082486E8</v>
      </c>
      <c r="C660" s="10" t="s">
        <v>792</v>
      </c>
      <c r="D660" s="10" t="s">
        <v>34</v>
      </c>
      <c r="E660" s="13">
        <v>46227.0</v>
      </c>
      <c r="F660" s="10" t="s">
        <v>35</v>
      </c>
      <c r="G660" s="10">
        <v>11.0</v>
      </c>
      <c r="H660" s="10" t="s">
        <v>622</v>
      </c>
      <c r="I660" s="10" t="s">
        <v>22</v>
      </c>
      <c r="J660" s="9" t="str">
        <f t="shared" si="30"/>
        <v>No</v>
      </c>
      <c r="K660" s="9" t="str">
        <f t="shared" si="31"/>
        <v/>
      </c>
      <c r="L660" s="9" t="str">
        <f t="shared" si="32"/>
        <v/>
      </c>
      <c r="M660" s="9"/>
      <c r="O660" s="9"/>
    </row>
    <row r="661" ht="15.75" customHeight="1">
      <c r="A661" s="9" t="str">
        <f>IFERROR(__xludf.DUMMYFUNCTION("IF(B661="""","""",RIGHT(REGEXREPLACE(B661&amp;"""",""[^0-9]"",""""),9))"),"761494143")</f>
        <v>761494143</v>
      </c>
      <c r="B661" s="48">
        <v>7.61494143E8</v>
      </c>
      <c r="C661" s="10" t="s">
        <v>793</v>
      </c>
      <c r="D661" s="10" t="s">
        <v>120</v>
      </c>
      <c r="E661" s="13">
        <v>46227.0</v>
      </c>
      <c r="F661" s="10" t="s">
        <v>145</v>
      </c>
      <c r="G661" s="10">
        <v>11.0</v>
      </c>
      <c r="I661" s="10" t="s">
        <v>22</v>
      </c>
      <c r="J661" s="9" t="str">
        <f t="shared" si="30"/>
        <v>No</v>
      </c>
      <c r="K661" s="9" t="str">
        <f t="shared" si="31"/>
        <v/>
      </c>
      <c r="L661" s="9" t="str">
        <f t="shared" si="32"/>
        <v/>
      </c>
      <c r="M661" s="9"/>
      <c r="O661" s="9"/>
    </row>
    <row r="662" ht="15.75" customHeight="1">
      <c r="A662" s="9" t="str">
        <f>IFERROR(__xludf.DUMMYFUNCTION("IF(B662="""","""",RIGHT(REGEXREPLACE(B662&amp;"""",""[^0-9]"",""""),9))"),"717079009")</f>
        <v>717079009</v>
      </c>
      <c r="B662" s="10">
        <v>7.17079009E8</v>
      </c>
      <c r="C662" s="10" t="s">
        <v>794</v>
      </c>
      <c r="D662" s="10" t="s">
        <v>20</v>
      </c>
      <c r="E662" s="13">
        <v>46227.0</v>
      </c>
      <c r="F662" s="10" t="s">
        <v>648</v>
      </c>
      <c r="I662" s="10" t="s">
        <v>22</v>
      </c>
      <c r="J662" s="9" t="str">
        <f t="shared" si="30"/>
        <v>No</v>
      </c>
      <c r="K662" s="9" t="str">
        <f t="shared" si="31"/>
        <v/>
      </c>
      <c r="L662" s="9" t="str">
        <f t="shared" si="32"/>
        <v/>
      </c>
      <c r="M662" s="9"/>
      <c r="O662" s="9"/>
    </row>
    <row r="663" ht="15.75" customHeight="1">
      <c r="A663" s="9" t="str">
        <f>IFERROR(__xludf.DUMMYFUNCTION("IF(B663="""","""",RIGHT(REGEXREPLACE(B663&amp;"""",""[^0-9]"",""""),9))"),"764667182")</f>
        <v>764667182</v>
      </c>
      <c r="B663" s="48">
        <v>7.64667182E8</v>
      </c>
      <c r="C663" s="10" t="s">
        <v>795</v>
      </c>
      <c r="D663" s="10" t="s">
        <v>69</v>
      </c>
      <c r="E663" s="13">
        <v>46227.0</v>
      </c>
      <c r="F663" s="10" t="s">
        <v>145</v>
      </c>
      <c r="G663" s="10">
        <v>10.0</v>
      </c>
      <c r="H663" s="10" t="s">
        <v>737</v>
      </c>
      <c r="I663" s="10" t="s">
        <v>22</v>
      </c>
      <c r="J663" s="9" t="str">
        <f t="shared" si="30"/>
        <v>No</v>
      </c>
      <c r="K663" s="9" t="str">
        <f t="shared" si="31"/>
        <v/>
      </c>
      <c r="L663" s="9" t="str">
        <f t="shared" si="32"/>
        <v/>
      </c>
      <c r="M663" s="9"/>
      <c r="O663" s="9"/>
    </row>
    <row r="664" ht="15.75" customHeight="1">
      <c r="A664" s="9" t="str">
        <f>IFERROR(__xludf.DUMMYFUNCTION("IF(B664="""","""",RIGHT(REGEXREPLACE(B664&amp;"""",""[^0-9]"",""""),9))"),"785721455")</f>
        <v>785721455</v>
      </c>
      <c r="B664" s="10">
        <v>7.85721455E8</v>
      </c>
      <c r="C664" s="10" t="s">
        <v>796</v>
      </c>
      <c r="D664" s="10" t="s">
        <v>20</v>
      </c>
      <c r="E664" s="13">
        <v>46227.0</v>
      </c>
      <c r="F664" s="10" t="s">
        <v>173</v>
      </c>
      <c r="G664" s="10">
        <v>10.0</v>
      </c>
      <c r="I664" s="10" t="s">
        <v>22</v>
      </c>
      <c r="J664" s="9" t="str">
        <f t="shared" si="30"/>
        <v>No</v>
      </c>
      <c r="K664" s="9" t="str">
        <f t="shared" si="31"/>
        <v/>
      </c>
      <c r="L664" s="9" t="str">
        <f t="shared" si="32"/>
        <v/>
      </c>
      <c r="M664" s="9"/>
      <c r="O664" s="9"/>
    </row>
    <row r="665" ht="15.75" customHeight="1">
      <c r="A665" s="9" t="str">
        <f>IFERROR(__xludf.DUMMYFUNCTION("IF(B665="""","""",RIGHT(REGEXREPLACE(B665&amp;"""",""[^0-9]"",""""),9))"),"701330123")</f>
        <v>701330123</v>
      </c>
      <c r="B665" s="48">
        <v>7.01330123E8</v>
      </c>
      <c r="C665" s="10" t="s">
        <v>797</v>
      </c>
      <c r="D665" s="10" t="s">
        <v>97</v>
      </c>
      <c r="E665" s="13">
        <v>46227.0</v>
      </c>
      <c r="F665" s="10" t="s">
        <v>35</v>
      </c>
      <c r="G665" s="71">
        <v>46301.0</v>
      </c>
      <c r="I665" s="10" t="s">
        <v>22</v>
      </c>
      <c r="J665" s="9" t="str">
        <f t="shared" si="30"/>
        <v>No</v>
      </c>
      <c r="K665" s="9" t="str">
        <f t="shared" si="31"/>
        <v/>
      </c>
      <c r="L665" s="9" t="str">
        <f t="shared" si="32"/>
        <v/>
      </c>
      <c r="M665" s="9"/>
      <c r="O665" s="9"/>
    </row>
    <row r="666" ht="15.75" customHeight="1">
      <c r="A666" s="9" t="str">
        <f>IFERROR(__xludf.DUMMYFUNCTION("IF(B666="""","""",RIGHT(REGEXREPLACE(B666&amp;"""",""[^0-9]"",""""),9))"),"713687955")</f>
        <v>713687955</v>
      </c>
      <c r="B666" s="48">
        <v>7.13687955E8</v>
      </c>
      <c r="C666" s="10" t="s">
        <v>798</v>
      </c>
      <c r="D666" s="10" t="s">
        <v>120</v>
      </c>
      <c r="E666" s="13">
        <v>46227.0</v>
      </c>
      <c r="F666" s="10" t="s">
        <v>145</v>
      </c>
      <c r="G666" s="10">
        <v>11.0</v>
      </c>
      <c r="I666" s="10" t="s">
        <v>22</v>
      </c>
      <c r="J666" s="9" t="str">
        <f t="shared" si="30"/>
        <v>No</v>
      </c>
      <c r="K666" s="9" t="str">
        <f t="shared" si="31"/>
        <v/>
      </c>
      <c r="L666" s="9" t="str">
        <f t="shared" si="32"/>
        <v/>
      </c>
      <c r="M666" s="9"/>
      <c r="O666" s="9"/>
    </row>
    <row r="667" ht="15.75" customHeight="1">
      <c r="A667" s="9" t="str">
        <f>IFERROR(__xludf.DUMMYFUNCTION("IF(B667="""","""",RIGHT(REGEXREPLACE(B667&amp;"""",""[^0-9]"",""""),9))"),"740323622")</f>
        <v>740323622</v>
      </c>
      <c r="B667" s="48">
        <v>7.40323622E8</v>
      </c>
      <c r="C667" s="10" t="s">
        <v>799</v>
      </c>
      <c r="D667" s="10" t="s">
        <v>34</v>
      </c>
      <c r="E667" s="13">
        <v>46227.0</v>
      </c>
      <c r="F667" s="10" t="s">
        <v>35</v>
      </c>
      <c r="G667" s="10">
        <v>11.0</v>
      </c>
      <c r="H667" s="10" t="s">
        <v>622</v>
      </c>
      <c r="I667" s="10" t="s">
        <v>22</v>
      </c>
      <c r="J667" s="9" t="str">
        <f t="shared" si="30"/>
        <v>No</v>
      </c>
      <c r="K667" s="9" t="str">
        <f t="shared" si="31"/>
        <v/>
      </c>
      <c r="L667" s="9" t="str">
        <f t="shared" si="32"/>
        <v/>
      </c>
      <c r="M667" s="9"/>
      <c r="O667" s="9"/>
    </row>
    <row r="668" ht="15.75" customHeight="1">
      <c r="A668" s="9" t="str">
        <f>IFERROR(__xludf.DUMMYFUNCTION("IF(B668="""","""",RIGHT(REGEXREPLACE(B668&amp;"""",""[^0-9]"",""""),9))"),"740050641")</f>
        <v>740050641</v>
      </c>
      <c r="B668" s="48">
        <v>7.40050641E8</v>
      </c>
      <c r="C668" s="10" t="s">
        <v>800</v>
      </c>
      <c r="D668" s="10" t="s">
        <v>50</v>
      </c>
      <c r="E668" s="13">
        <v>46227.0</v>
      </c>
      <c r="F668" s="10" t="s">
        <v>35</v>
      </c>
      <c r="G668" s="10">
        <v>11.0</v>
      </c>
      <c r="H668" s="10" t="s">
        <v>622</v>
      </c>
      <c r="I668" s="10" t="s">
        <v>22</v>
      </c>
      <c r="J668" s="9" t="str">
        <f t="shared" si="30"/>
        <v>No</v>
      </c>
      <c r="K668" s="9" t="str">
        <f t="shared" si="31"/>
        <v/>
      </c>
      <c r="L668" s="9" t="str">
        <f t="shared" si="32"/>
        <v/>
      </c>
      <c r="M668" s="9"/>
      <c r="O668" s="9"/>
    </row>
    <row r="669" ht="15.75" customHeight="1">
      <c r="A669" s="9" t="str">
        <f>IFERROR(__xludf.DUMMYFUNCTION("IF(B669="""","""",RIGHT(REGEXREPLACE(B669&amp;"""",""[^0-9]"",""""),9))"),"703638029")</f>
        <v>703638029</v>
      </c>
      <c r="B669" s="10">
        <v>7.03638029E8</v>
      </c>
      <c r="C669" s="10" t="s">
        <v>801</v>
      </c>
      <c r="D669" s="10" t="s">
        <v>20</v>
      </c>
      <c r="E669" s="13">
        <v>46227.0</v>
      </c>
      <c r="F669" s="10" t="s">
        <v>21</v>
      </c>
      <c r="G669" s="10">
        <v>10.0</v>
      </c>
      <c r="I669" s="10" t="s">
        <v>22</v>
      </c>
      <c r="J669" s="9" t="str">
        <f t="shared" si="30"/>
        <v>No</v>
      </c>
      <c r="K669" s="9" t="str">
        <f t="shared" si="31"/>
        <v/>
      </c>
      <c r="L669" s="9" t="str">
        <f t="shared" si="32"/>
        <v/>
      </c>
      <c r="M669" s="9"/>
      <c r="O669" s="9"/>
    </row>
    <row r="670" ht="15.75" customHeight="1">
      <c r="A670" s="9" t="str">
        <f>IFERROR(__xludf.DUMMYFUNCTION("IF(B670="""","""",RIGHT(REGEXREPLACE(B670&amp;"""",""[^0-9]"",""""),9))"),"789182592")</f>
        <v>789182592</v>
      </c>
      <c r="B670" s="48">
        <v>7.89182592E8</v>
      </c>
      <c r="C670" s="10" t="s">
        <v>803</v>
      </c>
      <c r="D670" s="10" t="s">
        <v>120</v>
      </c>
      <c r="E670" s="13">
        <v>46227.0</v>
      </c>
      <c r="F670" s="10" t="s">
        <v>198</v>
      </c>
      <c r="G670" s="10">
        <v>11.0</v>
      </c>
      <c r="I670" s="10" t="s">
        <v>22</v>
      </c>
      <c r="J670" s="9" t="str">
        <f t="shared" si="30"/>
        <v>No</v>
      </c>
      <c r="K670" s="9" t="str">
        <f t="shared" si="31"/>
        <v/>
      </c>
      <c r="L670" s="9" t="str">
        <f t="shared" si="32"/>
        <v/>
      </c>
      <c r="M670" s="9"/>
      <c r="O670" s="9"/>
    </row>
    <row r="671" ht="15.75" customHeight="1">
      <c r="A671" s="9" t="str">
        <f>IFERROR(__xludf.DUMMYFUNCTION("IF(B671="""","""",RIGHT(REGEXREPLACE(B671&amp;"""",""[^0-9]"",""""),9))"),"775794756")</f>
        <v>775794756</v>
      </c>
      <c r="B671" s="48">
        <v>7.75794756E8</v>
      </c>
      <c r="C671" s="10" t="s">
        <v>806</v>
      </c>
      <c r="D671" s="10" t="s">
        <v>69</v>
      </c>
      <c r="E671" s="13">
        <v>46227.0</v>
      </c>
      <c r="F671" s="10" t="s">
        <v>35</v>
      </c>
      <c r="G671" s="10">
        <v>11.0</v>
      </c>
      <c r="H671" s="10" t="s">
        <v>716</v>
      </c>
      <c r="I671" s="10" t="s">
        <v>22</v>
      </c>
      <c r="J671" s="9" t="str">
        <f t="shared" si="30"/>
        <v>No</v>
      </c>
      <c r="K671" s="9" t="str">
        <f t="shared" si="31"/>
        <v/>
      </c>
      <c r="L671" s="9" t="str">
        <f t="shared" si="32"/>
        <v/>
      </c>
      <c r="M671" s="9"/>
      <c r="O671" s="9"/>
    </row>
    <row r="672" ht="15.75" customHeight="1">
      <c r="A672" s="9" t="str">
        <f>IFERROR(__xludf.DUMMYFUNCTION("IF(B672="""","""",RIGHT(REGEXREPLACE(B672&amp;"""",""[^0-9]"",""""),9))"),"774661161")</f>
        <v>774661161</v>
      </c>
      <c r="B672" s="48">
        <v>7.74661161E8</v>
      </c>
      <c r="C672" s="10" t="s">
        <v>808</v>
      </c>
      <c r="D672" s="10" t="s">
        <v>34</v>
      </c>
      <c r="E672" s="13">
        <v>46227.0</v>
      </c>
      <c r="F672" s="10" t="s">
        <v>171</v>
      </c>
      <c r="I672" s="10" t="s">
        <v>22</v>
      </c>
      <c r="J672" s="9" t="str">
        <f t="shared" si="30"/>
        <v>No</v>
      </c>
      <c r="K672" s="9" t="str">
        <f t="shared" si="31"/>
        <v/>
      </c>
      <c r="L672" s="9" t="str">
        <f t="shared" si="32"/>
        <v/>
      </c>
      <c r="M672" s="9"/>
      <c r="O672" s="9"/>
    </row>
    <row r="673" ht="15.75" customHeight="1">
      <c r="A673" s="9" t="str">
        <f>IFERROR(__xludf.DUMMYFUNCTION("IF(B673="""","""",RIGHT(REGEXREPLACE(B673&amp;"""",""[^0-9]"",""""),9))"),"728773862")</f>
        <v>728773862</v>
      </c>
      <c r="B673" s="48">
        <v>7.28773862E8</v>
      </c>
      <c r="C673" s="10" t="s">
        <v>809</v>
      </c>
      <c r="D673" s="10" t="s">
        <v>97</v>
      </c>
      <c r="E673" s="13">
        <v>46227.0</v>
      </c>
      <c r="F673" s="10" t="s">
        <v>113</v>
      </c>
      <c r="I673" s="10" t="s">
        <v>22</v>
      </c>
      <c r="J673" s="9" t="str">
        <f t="shared" si="30"/>
        <v>No</v>
      </c>
      <c r="K673" s="9" t="str">
        <f t="shared" si="31"/>
        <v/>
      </c>
      <c r="L673" s="9" t="str">
        <f t="shared" si="32"/>
        <v/>
      </c>
      <c r="M673" s="9"/>
      <c r="O673" s="9"/>
    </row>
    <row r="674" ht="15.75" customHeight="1">
      <c r="A674" s="9" t="str">
        <f>IFERROR(__xludf.DUMMYFUNCTION("IF(B674="""","""",RIGHT(REGEXREPLACE(B674&amp;"""",""[^0-9]"",""""),9))"),"783823851")</f>
        <v>783823851</v>
      </c>
      <c r="B674" s="48">
        <v>7.83823851E8</v>
      </c>
      <c r="C674" s="10" t="s">
        <v>810</v>
      </c>
      <c r="D674" s="10" t="s">
        <v>120</v>
      </c>
      <c r="E674" s="13">
        <v>46227.0</v>
      </c>
      <c r="F674" s="10" t="s">
        <v>35</v>
      </c>
      <c r="G674" s="10">
        <v>11.0</v>
      </c>
      <c r="I674" s="10" t="s">
        <v>22</v>
      </c>
      <c r="J674" s="9" t="str">
        <f t="shared" si="30"/>
        <v>No</v>
      </c>
      <c r="K674" s="9" t="str">
        <f t="shared" si="31"/>
        <v/>
      </c>
      <c r="L674" s="9" t="str">
        <f t="shared" si="32"/>
        <v/>
      </c>
      <c r="M674" s="9"/>
      <c r="O674" s="9"/>
    </row>
    <row r="675" ht="15.75" customHeight="1">
      <c r="A675" s="9" t="str">
        <f>IFERROR(__xludf.DUMMYFUNCTION("IF(B675="""","""",RIGHT(REGEXREPLACE(B675&amp;"""",""[^0-9]"",""""),9))"),"701088802")</f>
        <v>701088802</v>
      </c>
      <c r="B675" s="48">
        <v>7.01088802E8</v>
      </c>
      <c r="C675" s="10" t="s">
        <v>811</v>
      </c>
      <c r="D675" s="10" t="s">
        <v>50</v>
      </c>
      <c r="E675" s="13">
        <v>46227.0</v>
      </c>
      <c r="F675" s="10" t="s">
        <v>21</v>
      </c>
      <c r="H675" s="10" t="s">
        <v>622</v>
      </c>
      <c r="I675" s="10" t="s">
        <v>22</v>
      </c>
      <c r="J675" s="9" t="str">
        <f t="shared" si="30"/>
        <v>No</v>
      </c>
      <c r="K675" s="9" t="str">
        <f t="shared" si="31"/>
        <v/>
      </c>
      <c r="L675" s="9" t="str">
        <f t="shared" si="32"/>
        <v/>
      </c>
      <c r="M675" s="9"/>
      <c r="O675" s="9"/>
    </row>
    <row r="676" ht="15.75" customHeight="1">
      <c r="A676" s="9" t="str">
        <f>IFERROR(__xludf.DUMMYFUNCTION("IF(B676="""","""",RIGHT(REGEXREPLACE(B676&amp;"""",""[^0-9]"",""""),9))"),"773211879")</f>
        <v>773211879</v>
      </c>
      <c r="B676" s="48">
        <v>7.73211879E8</v>
      </c>
      <c r="C676" s="10" t="s">
        <v>812</v>
      </c>
      <c r="D676" s="10" t="s">
        <v>34</v>
      </c>
      <c r="E676" s="13">
        <v>46227.0</v>
      </c>
      <c r="F676" s="10" t="s">
        <v>145</v>
      </c>
      <c r="G676" s="10">
        <v>11.0</v>
      </c>
      <c r="I676" s="10" t="s">
        <v>22</v>
      </c>
      <c r="J676" s="9" t="str">
        <f t="shared" si="30"/>
        <v>No</v>
      </c>
      <c r="K676" s="9" t="str">
        <f t="shared" si="31"/>
        <v/>
      </c>
      <c r="L676" s="9" t="str">
        <f t="shared" si="32"/>
        <v/>
      </c>
      <c r="M676" s="9"/>
      <c r="O676" s="9"/>
    </row>
    <row r="677" ht="15.75" customHeight="1">
      <c r="A677" s="9" t="str">
        <f>IFERROR(__xludf.DUMMYFUNCTION("IF(B677="""","""",RIGHT(REGEXREPLACE(B677&amp;"""",""[^0-9]"",""""),9))"),"714839393")</f>
        <v>714839393</v>
      </c>
      <c r="B677" s="48">
        <v>7.14839393E8</v>
      </c>
      <c r="C677" s="10" t="s">
        <v>813</v>
      </c>
      <c r="D677" s="10" t="s">
        <v>50</v>
      </c>
      <c r="E677" s="13">
        <v>46227.0</v>
      </c>
      <c r="F677" s="10" t="s">
        <v>35</v>
      </c>
      <c r="G677" s="10">
        <v>11.0</v>
      </c>
      <c r="H677" s="10" t="s">
        <v>622</v>
      </c>
      <c r="I677" s="10" t="s">
        <v>22</v>
      </c>
      <c r="J677" s="9" t="str">
        <f t="shared" si="30"/>
        <v>No</v>
      </c>
      <c r="K677" s="9" t="str">
        <f t="shared" si="31"/>
        <v/>
      </c>
      <c r="L677" s="9" t="str">
        <f t="shared" si="32"/>
        <v/>
      </c>
      <c r="M677" s="9"/>
      <c r="O677" s="9"/>
    </row>
    <row r="678" ht="15.75" customHeight="1">
      <c r="A678" s="9" t="str">
        <f>IFERROR(__xludf.DUMMYFUNCTION("IF(B678="""","""",RIGHT(REGEXREPLACE(B678&amp;"""",""[^0-9]"",""""),9))"),"769437134")</f>
        <v>769437134</v>
      </c>
      <c r="B678" s="48">
        <v>7.69437134E8</v>
      </c>
      <c r="C678" s="10" t="s">
        <v>814</v>
      </c>
      <c r="D678" s="10" t="s">
        <v>97</v>
      </c>
      <c r="E678" s="13">
        <v>46227.0</v>
      </c>
      <c r="F678" s="10" t="s">
        <v>198</v>
      </c>
      <c r="I678" s="10" t="s">
        <v>22</v>
      </c>
      <c r="J678" s="9" t="str">
        <f t="shared" si="30"/>
        <v>No</v>
      </c>
      <c r="K678" s="9" t="str">
        <f t="shared" si="31"/>
        <v/>
      </c>
      <c r="L678" s="9" t="str">
        <f t="shared" si="32"/>
        <v/>
      </c>
      <c r="M678" s="9"/>
      <c r="O678" s="9"/>
    </row>
    <row r="679" ht="15.75" customHeight="1">
      <c r="A679" s="9" t="str">
        <f>IFERROR(__xludf.DUMMYFUNCTION("IF(B679="""","""",RIGHT(REGEXREPLACE(B679&amp;"""",""[^0-9]"",""""),9))"),"741952907")</f>
        <v>741952907</v>
      </c>
      <c r="B679" s="48">
        <v>7.41952907E8</v>
      </c>
      <c r="C679" s="10" t="s">
        <v>815</v>
      </c>
      <c r="D679" s="10" t="s">
        <v>34</v>
      </c>
      <c r="E679" s="13">
        <v>46227.0</v>
      </c>
      <c r="F679" s="10" t="s">
        <v>35</v>
      </c>
      <c r="G679" s="10">
        <v>10.0</v>
      </c>
      <c r="I679" s="10" t="s">
        <v>22</v>
      </c>
      <c r="J679" s="9" t="str">
        <f t="shared" si="30"/>
        <v>No</v>
      </c>
      <c r="K679" s="9" t="str">
        <f t="shared" si="31"/>
        <v/>
      </c>
      <c r="L679" s="9" t="str">
        <f t="shared" si="32"/>
        <v/>
      </c>
      <c r="M679" s="9"/>
      <c r="O679" s="9"/>
    </row>
    <row r="680" ht="15.75" customHeight="1">
      <c r="A680" s="9" t="str">
        <f>IFERROR(__xludf.DUMMYFUNCTION("IF(B680="""","""",RIGHT(REGEXREPLACE(B680&amp;"""",""[^0-9]"",""""),9))"),"777619738")</f>
        <v>777619738</v>
      </c>
      <c r="B680" s="48">
        <v>7.77619738E8</v>
      </c>
      <c r="C680" s="10" t="s">
        <v>817</v>
      </c>
      <c r="D680" s="10" t="s">
        <v>120</v>
      </c>
      <c r="E680" s="13">
        <v>46227.0</v>
      </c>
      <c r="F680" s="10" t="s">
        <v>35</v>
      </c>
      <c r="G680" s="10">
        <v>11.0</v>
      </c>
      <c r="I680" s="10" t="s">
        <v>22</v>
      </c>
      <c r="J680" s="9" t="str">
        <f t="shared" si="30"/>
        <v>No</v>
      </c>
      <c r="K680" s="9" t="str">
        <f t="shared" si="31"/>
        <v/>
      </c>
      <c r="L680" s="9" t="str">
        <f t="shared" si="32"/>
        <v/>
      </c>
      <c r="M680" s="9"/>
      <c r="O680" s="9"/>
    </row>
    <row r="681" ht="15.75" customHeight="1">
      <c r="A681" s="9" t="str">
        <f>IFERROR(__xludf.DUMMYFUNCTION("IF(B681="""","""",RIGHT(REGEXREPLACE(B681&amp;"""",""[^0-9]"",""""),9))"),"769280326")</f>
        <v>769280326</v>
      </c>
      <c r="B681" s="48">
        <v>7.69280326E8</v>
      </c>
      <c r="C681" s="10" t="s">
        <v>818</v>
      </c>
      <c r="D681" s="10" t="s">
        <v>69</v>
      </c>
      <c r="E681" s="13">
        <v>46227.0</v>
      </c>
      <c r="F681" s="10" t="s">
        <v>198</v>
      </c>
      <c r="G681" s="10">
        <v>11.0</v>
      </c>
      <c r="H681" s="10" t="s">
        <v>737</v>
      </c>
      <c r="I681" s="10" t="s">
        <v>22</v>
      </c>
      <c r="J681" s="9" t="str">
        <f t="shared" si="30"/>
        <v>No</v>
      </c>
      <c r="K681" s="9" t="str">
        <f t="shared" si="31"/>
        <v/>
      </c>
      <c r="L681" s="9" t="str">
        <f t="shared" si="32"/>
        <v/>
      </c>
      <c r="M681" s="9"/>
      <c r="O681" s="9"/>
    </row>
    <row r="682" ht="15.75" customHeight="1">
      <c r="A682" s="9" t="str">
        <f>IFERROR(__xludf.DUMMYFUNCTION("IF(B682="""","""",RIGHT(REGEXREPLACE(B682&amp;"""",""[^0-9]"",""""),9))"),"769137494")</f>
        <v>769137494</v>
      </c>
      <c r="B682" s="10">
        <v>7.69137494E8</v>
      </c>
      <c r="C682" s="10" t="s">
        <v>819</v>
      </c>
      <c r="D682" s="10" t="s">
        <v>20</v>
      </c>
      <c r="E682" s="13">
        <v>46227.0</v>
      </c>
      <c r="F682" s="10" t="s">
        <v>35</v>
      </c>
      <c r="G682" s="10">
        <v>11.0</v>
      </c>
      <c r="I682" s="10" t="s">
        <v>22</v>
      </c>
      <c r="J682" s="9" t="str">
        <f t="shared" si="30"/>
        <v>No</v>
      </c>
      <c r="K682" s="9" t="str">
        <f t="shared" si="31"/>
        <v/>
      </c>
      <c r="L682" s="9" t="str">
        <f t="shared" si="32"/>
        <v/>
      </c>
      <c r="M682" s="9"/>
      <c r="O682" s="9"/>
    </row>
    <row r="683" ht="15.75" customHeight="1">
      <c r="A683" s="9" t="str">
        <f>IFERROR(__xludf.DUMMYFUNCTION("IF(B683="""","""",RIGHT(REGEXREPLACE(B683&amp;"""",""[^0-9]"",""""),9))"),"764132991")</f>
        <v>764132991</v>
      </c>
      <c r="B683" s="48">
        <v>7.64132991E8</v>
      </c>
      <c r="C683" s="10" t="s">
        <v>820</v>
      </c>
      <c r="D683" s="10" t="s">
        <v>97</v>
      </c>
      <c r="E683" s="13">
        <v>46227.0</v>
      </c>
      <c r="F683" s="10" t="s">
        <v>198</v>
      </c>
      <c r="G683" s="10">
        <v>10.0</v>
      </c>
      <c r="I683" s="10" t="s">
        <v>22</v>
      </c>
      <c r="J683" s="9" t="str">
        <f t="shared" si="30"/>
        <v>No</v>
      </c>
      <c r="K683" s="9" t="str">
        <f t="shared" si="31"/>
        <v/>
      </c>
      <c r="L683" s="9" t="str">
        <f t="shared" si="32"/>
        <v/>
      </c>
      <c r="M683" s="9"/>
      <c r="O683" s="9"/>
    </row>
    <row r="684" ht="15.75" customHeight="1">
      <c r="A684" s="9" t="str">
        <f>IFERROR(__xludf.DUMMYFUNCTION("IF(B684="""","""",RIGHT(REGEXREPLACE(B684&amp;"""",""[^0-9]"",""""),9))"),"778998295")</f>
        <v>778998295</v>
      </c>
      <c r="B684" s="48">
        <v>7.78998295E8</v>
      </c>
      <c r="C684" s="10" t="s">
        <v>821</v>
      </c>
      <c r="D684" s="10" t="s">
        <v>50</v>
      </c>
      <c r="E684" s="13">
        <v>46227.0</v>
      </c>
      <c r="F684" s="10" t="s">
        <v>21</v>
      </c>
      <c r="H684" s="10" t="s">
        <v>622</v>
      </c>
      <c r="I684" s="10" t="s">
        <v>22</v>
      </c>
      <c r="J684" s="9" t="str">
        <f t="shared" si="30"/>
        <v>No</v>
      </c>
      <c r="K684" s="9" t="str">
        <f t="shared" si="31"/>
        <v/>
      </c>
      <c r="L684" s="9" t="str">
        <f t="shared" si="32"/>
        <v/>
      </c>
      <c r="M684" s="9"/>
      <c r="O684" s="9"/>
    </row>
    <row r="685" ht="15.75" customHeight="1">
      <c r="A685" s="9" t="str">
        <f>IFERROR(__xludf.DUMMYFUNCTION("IF(B685="""","""",RIGHT(REGEXREPLACE(B685&amp;"""",""[^0-9]"",""""),9))"),"779139567")</f>
        <v>779139567</v>
      </c>
      <c r="B685" s="48">
        <v>7.79139567E8</v>
      </c>
      <c r="C685" s="10" t="s">
        <v>822</v>
      </c>
      <c r="D685" s="10" t="s">
        <v>69</v>
      </c>
      <c r="E685" s="13">
        <v>46227.0</v>
      </c>
      <c r="F685" s="10" t="s">
        <v>198</v>
      </c>
      <c r="G685" s="10">
        <v>11.0</v>
      </c>
      <c r="H685" s="10" t="s">
        <v>737</v>
      </c>
      <c r="I685" s="10" t="s">
        <v>22</v>
      </c>
      <c r="J685" s="9" t="str">
        <f t="shared" si="30"/>
        <v>No</v>
      </c>
      <c r="K685" s="9" t="str">
        <f t="shared" si="31"/>
        <v/>
      </c>
      <c r="L685" s="9" t="str">
        <f t="shared" si="32"/>
        <v/>
      </c>
      <c r="M685" s="9"/>
      <c r="O685" s="9"/>
    </row>
    <row r="686" ht="15.75" customHeight="1">
      <c r="A686" s="9" t="str">
        <f>IFERROR(__xludf.DUMMYFUNCTION("IF(B686="""","""",RIGHT(REGEXREPLACE(B686&amp;"""",""[^0-9]"",""""),9))"),"766662353")</f>
        <v>766662353</v>
      </c>
      <c r="B686" s="10">
        <v>7.66662353E8</v>
      </c>
      <c r="C686" s="10" t="s">
        <v>823</v>
      </c>
      <c r="D686" s="10" t="s">
        <v>20</v>
      </c>
      <c r="E686" s="13">
        <v>46227.0</v>
      </c>
      <c r="F686" s="10" t="s">
        <v>35</v>
      </c>
      <c r="G686" s="10">
        <v>11.0</v>
      </c>
      <c r="I686" s="10" t="s">
        <v>22</v>
      </c>
      <c r="J686" s="9" t="str">
        <f t="shared" si="30"/>
        <v>No</v>
      </c>
      <c r="K686" s="9" t="str">
        <f t="shared" si="31"/>
        <v/>
      </c>
      <c r="L686" s="9" t="str">
        <f t="shared" si="32"/>
        <v/>
      </c>
      <c r="M686" s="9"/>
      <c r="O686" s="9"/>
    </row>
    <row r="687" ht="15.75" customHeight="1">
      <c r="A687" s="9" t="str">
        <f>IFERROR(__xludf.DUMMYFUNCTION("IF(B687="""","""",RIGHT(REGEXREPLACE(B687&amp;"""",""[^0-9]"",""""),9))"),"776700732")</f>
        <v>776700732</v>
      </c>
      <c r="B687" s="48">
        <v>7.76700732E8</v>
      </c>
      <c r="C687" s="10" t="s">
        <v>825</v>
      </c>
      <c r="D687" s="10" t="s">
        <v>120</v>
      </c>
      <c r="E687" s="13">
        <v>46227.0</v>
      </c>
      <c r="F687" s="10" t="s">
        <v>35</v>
      </c>
      <c r="G687" s="10">
        <v>7.0</v>
      </c>
      <c r="I687" s="10" t="s">
        <v>22</v>
      </c>
      <c r="J687" s="9" t="str">
        <f t="shared" si="30"/>
        <v>No</v>
      </c>
      <c r="K687" s="9" t="str">
        <f t="shared" si="31"/>
        <v/>
      </c>
      <c r="L687" s="9" t="str">
        <f t="shared" si="32"/>
        <v/>
      </c>
      <c r="M687" s="9"/>
      <c r="O687" s="9"/>
    </row>
    <row r="688" ht="15.75" customHeight="1">
      <c r="A688" s="9" t="str">
        <f>IFERROR(__xludf.DUMMYFUNCTION("IF(B688="""","""",RIGHT(REGEXREPLACE(B688&amp;"""",""[^0-9]"",""""),9))"),"765462193")</f>
        <v>765462193</v>
      </c>
      <c r="B688" s="10">
        <v>7.65462193E8</v>
      </c>
      <c r="C688" s="10" t="s">
        <v>826</v>
      </c>
      <c r="D688" s="10" t="s">
        <v>20</v>
      </c>
      <c r="E688" s="13">
        <v>46227.0</v>
      </c>
      <c r="F688" s="10" t="s">
        <v>35</v>
      </c>
      <c r="G688" s="10">
        <v>11.0</v>
      </c>
      <c r="I688" s="10" t="s">
        <v>22</v>
      </c>
      <c r="J688" s="9" t="str">
        <f t="shared" si="30"/>
        <v>No</v>
      </c>
      <c r="K688" s="9" t="str">
        <f t="shared" si="31"/>
        <v/>
      </c>
      <c r="L688" s="9" t="str">
        <f t="shared" si="32"/>
        <v/>
      </c>
      <c r="M688" s="9"/>
      <c r="O688" s="9"/>
    </row>
    <row r="689" ht="15.75" customHeight="1">
      <c r="A689" s="9" t="str">
        <f>IFERROR(__xludf.DUMMYFUNCTION("IF(B689="""","""",RIGHT(REGEXREPLACE(B689&amp;"""",""[^0-9]"",""""),9))"),"767609737")</f>
        <v>767609737</v>
      </c>
      <c r="B689" s="48">
        <v>7.67609737E8</v>
      </c>
      <c r="C689" s="10" t="s">
        <v>827</v>
      </c>
      <c r="D689" s="10" t="s">
        <v>97</v>
      </c>
      <c r="E689" s="13">
        <v>46227.0</v>
      </c>
      <c r="F689" s="10" t="s">
        <v>21</v>
      </c>
      <c r="I689" s="10" t="s">
        <v>22</v>
      </c>
      <c r="J689" s="9" t="str">
        <f t="shared" si="30"/>
        <v>No</v>
      </c>
      <c r="K689" s="9" t="str">
        <f t="shared" si="31"/>
        <v/>
      </c>
      <c r="L689" s="9" t="str">
        <f t="shared" si="32"/>
        <v/>
      </c>
      <c r="M689" s="9"/>
      <c r="O689" s="9"/>
    </row>
    <row r="690" ht="15.75" customHeight="1">
      <c r="A690" s="9" t="str">
        <f>IFERROR(__xludf.DUMMYFUNCTION("IF(B690="""","""",RIGHT(REGEXREPLACE(B690&amp;"""",""[^0-9]"",""""),9))"),"743091317")</f>
        <v>743091317</v>
      </c>
      <c r="B690" s="10">
        <v>7.43091317E8</v>
      </c>
      <c r="C690" s="10" t="s">
        <v>828</v>
      </c>
      <c r="D690" s="10" t="s">
        <v>20</v>
      </c>
      <c r="E690" s="13">
        <v>46227.0</v>
      </c>
      <c r="F690" s="10" t="s">
        <v>21</v>
      </c>
      <c r="G690" s="10">
        <v>10.0</v>
      </c>
      <c r="I690" s="10" t="s">
        <v>22</v>
      </c>
      <c r="J690" s="9" t="str">
        <f t="shared" si="30"/>
        <v>No</v>
      </c>
      <c r="K690" s="9" t="str">
        <f t="shared" si="31"/>
        <v/>
      </c>
      <c r="L690" s="9" t="str">
        <f t="shared" si="32"/>
        <v/>
      </c>
      <c r="M690" s="9"/>
      <c r="O690" s="9"/>
    </row>
    <row r="691" ht="15.75" customHeight="1">
      <c r="A691" s="9" t="str">
        <f>IFERROR(__xludf.DUMMYFUNCTION("IF(B691="""","""",RIGHT(REGEXREPLACE(B691&amp;"""",""[^0-9]"",""""),9))"),"714443869")</f>
        <v>714443869</v>
      </c>
      <c r="B691" s="48">
        <v>7.14443869E8</v>
      </c>
      <c r="C691" s="10" t="s">
        <v>829</v>
      </c>
      <c r="D691" s="10" t="s">
        <v>120</v>
      </c>
      <c r="E691" s="13">
        <v>46227.0</v>
      </c>
      <c r="F691" s="10" t="s">
        <v>35</v>
      </c>
      <c r="G691" s="10">
        <v>11.0</v>
      </c>
      <c r="I691" s="10" t="s">
        <v>22</v>
      </c>
      <c r="J691" s="9" t="str">
        <f t="shared" si="30"/>
        <v>No</v>
      </c>
      <c r="K691" s="9" t="str">
        <f t="shared" si="31"/>
        <v/>
      </c>
      <c r="L691" s="9" t="str">
        <f t="shared" si="32"/>
        <v/>
      </c>
      <c r="M691" s="9"/>
      <c r="O691" s="9"/>
    </row>
    <row r="692" ht="15.75" customHeight="1">
      <c r="A692" s="9" t="str">
        <f>IFERROR(__xludf.DUMMYFUNCTION("IF(B692="""","""",RIGHT(REGEXREPLACE(B692&amp;"""",""[^0-9]"",""""),9))"),"707637327")</f>
        <v>707637327</v>
      </c>
      <c r="B692" s="48">
        <v>7.07637327E8</v>
      </c>
      <c r="C692" s="10" t="s">
        <v>830</v>
      </c>
      <c r="D692" s="10" t="s">
        <v>34</v>
      </c>
      <c r="E692" s="13">
        <v>46227.0</v>
      </c>
      <c r="F692" s="10" t="s">
        <v>113</v>
      </c>
      <c r="H692" s="10" t="s">
        <v>622</v>
      </c>
      <c r="I692" s="10" t="s">
        <v>22</v>
      </c>
      <c r="J692" s="9" t="str">
        <f t="shared" si="30"/>
        <v>No</v>
      </c>
      <c r="K692" s="9" t="str">
        <f t="shared" si="31"/>
        <v/>
      </c>
      <c r="L692" s="9" t="str">
        <f t="shared" si="32"/>
        <v/>
      </c>
      <c r="M692" s="9"/>
      <c r="O692" s="9"/>
    </row>
    <row r="693" ht="15.75" customHeight="1">
      <c r="A693" s="9" t="str">
        <f>IFERROR(__xludf.DUMMYFUNCTION("IF(B693="""","""",RIGHT(REGEXREPLACE(B693&amp;"""",""[^0-9]"",""""),9))"),"714650808")</f>
        <v>714650808</v>
      </c>
      <c r="B693" s="10">
        <v>7.14650808E8</v>
      </c>
      <c r="C693" s="10" t="s">
        <v>831</v>
      </c>
      <c r="D693" s="10" t="s">
        <v>69</v>
      </c>
      <c r="E693" s="13">
        <v>46227.0</v>
      </c>
      <c r="F693" s="10" t="s">
        <v>35</v>
      </c>
      <c r="G693" s="10">
        <v>11.0</v>
      </c>
      <c r="H693" s="10" t="s">
        <v>737</v>
      </c>
      <c r="I693" s="10" t="s">
        <v>22</v>
      </c>
      <c r="J693" s="9" t="str">
        <f t="shared" si="30"/>
        <v>No</v>
      </c>
      <c r="K693" s="9" t="str">
        <f t="shared" si="31"/>
        <v/>
      </c>
      <c r="L693" s="9" t="str">
        <f t="shared" si="32"/>
        <v/>
      </c>
      <c r="M693" s="9"/>
      <c r="O693" s="9"/>
    </row>
    <row r="694" ht="15.75" customHeight="1">
      <c r="A694" s="9" t="str">
        <f>IFERROR(__xludf.DUMMYFUNCTION("IF(B694="""","""",RIGHT(REGEXREPLACE(B694&amp;"""",""[^0-9]"",""""),9))"),"767879986")</f>
        <v>767879986</v>
      </c>
      <c r="B694" s="48">
        <v>7.67879986E8</v>
      </c>
      <c r="C694" s="10" t="s">
        <v>832</v>
      </c>
      <c r="D694" s="10" t="s">
        <v>50</v>
      </c>
      <c r="E694" s="13">
        <v>46227.0</v>
      </c>
      <c r="F694" s="10" t="s">
        <v>21</v>
      </c>
      <c r="G694" s="10">
        <v>11.0</v>
      </c>
      <c r="H694" s="10" t="s">
        <v>622</v>
      </c>
      <c r="I694" s="10" t="s">
        <v>22</v>
      </c>
      <c r="J694" s="9" t="str">
        <f t="shared" si="30"/>
        <v>No</v>
      </c>
      <c r="K694" s="9" t="str">
        <f t="shared" si="31"/>
        <v/>
      </c>
      <c r="L694" s="9" t="str">
        <f t="shared" si="32"/>
        <v/>
      </c>
      <c r="M694" s="9"/>
      <c r="O694" s="9"/>
    </row>
    <row r="695" ht="15.75" customHeight="1">
      <c r="A695" s="9" t="str">
        <f>IFERROR(__xludf.DUMMYFUNCTION("IF(B695="""","""",RIGHT(REGEXREPLACE(B695&amp;"""",""[^0-9]"",""""),9))"),"775443645")</f>
        <v>775443645</v>
      </c>
      <c r="B695" s="48">
        <v>7.75443645E8</v>
      </c>
      <c r="C695" s="10" t="s">
        <v>833</v>
      </c>
      <c r="D695" s="10" t="s">
        <v>97</v>
      </c>
      <c r="E695" s="13">
        <v>46227.0</v>
      </c>
      <c r="F695" s="10" t="s">
        <v>21</v>
      </c>
      <c r="I695" s="10" t="s">
        <v>22</v>
      </c>
      <c r="J695" s="9" t="str">
        <f t="shared" si="30"/>
        <v>No</v>
      </c>
      <c r="K695" s="9" t="str">
        <f t="shared" si="31"/>
        <v/>
      </c>
      <c r="L695" s="9" t="str">
        <f t="shared" si="32"/>
        <v/>
      </c>
      <c r="M695" s="9"/>
      <c r="O695" s="9"/>
    </row>
    <row r="696" ht="15.75" customHeight="1">
      <c r="A696" s="9" t="str">
        <f>IFERROR(__xludf.DUMMYFUNCTION("IF(B696="""","""",RIGHT(REGEXREPLACE(B696&amp;"""",""[^0-9]"",""""),9))"),"760233178")</f>
        <v>760233178</v>
      </c>
      <c r="B696" s="48">
        <v>7.60233178E8</v>
      </c>
      <c r="C696" s="10" t="s">
        <v>834</v>
      </c>
      <c r="D696" s="10" t="s">
        <v>34</v>
      </c>
      <c r="E696" s="13">
        <v>46227.0</v>
      </c>
      <c r="F696" s="10" t="s">
        <v>35</v>
      </c>
      <c r="G696" s="10">
        <v>11.0</v>
      </c>
      <c r="I696" s="10" t="s">
        <v>22</v>
      </c>
      <c r="J696" s="9" t="str">
        <f t="shared" si="30"/>
        <v>No</v>
      </c>
      <c r="K696" s="9" t="str">
        <f t="shared" si="31"/>
        <v/>
      </c>
      <c r="L696" s="9" t="str">
        <f t="shared" si="32"/>
        <v/>
      </c>
      <c r="M696" s="9"/>
      <c r="O696" s="9"/>
    </row>
    <row r="697" ht="15.75" customHeight="1">
      <c r="A697" s="9" t="str">
        <f>IFERROR(__xludf.DUMMYFUNCTION("IF(B697="""","""",RIGHT(REGEXREPLACE(B697&amp;"""",""[^0-9]"",""""),9))"),"773120686")</f>
        <v>773120686</v>
      </c>
      <c r="B697" s="48">
        <v>7.73120686E8</v>
      </c>
      <c r="C697" s="10" t="s">
        <v>835</v>
      </c>
      <c r="D697" s="10" t="s">
        <v>120</v>
      </c>
      <c r="E697" s="13">
        <v>46227.0</v>
      </c>
      <c r="F697" s="10" t="s">
        <v>35</v>
      </c>
      <c r="G697" s="10">
        <v>10.0</v>
      </c>
      <c r="I697" s="10" t="s">
        <v>22</v>
      </c>
      <c r="J697" s="9" t="str">
        <f t="shared" si="30"/>
        <v>No</v>
      </c>
      <c r="K697" s="9" t="str">
        <f t="shared" si="31"/>
        <v/>
      </c>
      <c r="L697" s="9" t="str">
        <f t="shared" si="32"/>
        <v/>
      </c>
      <c r="M697" s="9"/>
      <c r="O697" s="9"/>
    </row>
    <row r="698" ht="15.75" customHeight="1">
      <c r="A698" s="9" t="str">
        <f>IFERROR(__xludf.DUMMYFUNCTION("IF(B698="""","""",RIGHT(REGEXREPLACE(B698&amp;"""",""[^0-9]"",""""),9))"),"702251863")</f>
        <v>702251863</v>
      </c>
      <c r="B698" s="48">
        <v>7.02251863E8</v>
      </c>
      <c r="C698" s="10" t="s">
        <v>836</v>
      </c>
      <c r="D698" s="10" t="s">
        <v>50</v>
      </c>
      <c r="E698" s="13">
        <v>46227.0</v>
      </c>
      <c r="F698" s="10" t="s">
        <v>35</v>
      </c>
      <c r="G698" s="10">
        <v>6.0</v>
      </c>
      <c r="H698" s="10" t="s">
        <v>622</v>
      </c>
      <c r="I698" s="10" t="s">
        <v>22</v>
      </c>
      <c r="J698" s="9" t="str">
        <f t="shared" si="30"/>
        <v>No</v>
      </c>
      <c r="K698" s="9" t="str">
        <f t="shared" si="31"/>
        <v/>
      </c>
      <c r="L698" s="9" t="str">
        <f t="shared" si="32"/>
        <v/>
      </c>
      <c r="M698" s="9"/>
      <c r="O698" s="9"/>
    </row>
    <row r="699" ht="15.75" customHeight="1">
      <c r="A699" s="9" t="str">
        <f>IFERROR(__xludf.DUMMYFUNCTION("IF(B699="""","""",RIGHT(REGEXREPLACE(B699&amp;"""",""[^0-9]"",""""),9))"),"778274541")</f>
        <v>778274541</v>
      </c>
      <c r="B699" s="48">
        <v>7.78274541E8</v>
      </c>
      <c r="C699" s="10" t="s">
        <v>837</v>
      </c>
      <c r="D699" s="10" t="s">
        <v>97</v>
      </c>
      <c r="E699" s="13">
        <v>46227.0</v>
      </c>
      <c r="F699" s="10" t="s">
        <v>21</v>
      </c>
      <c r="G699" s="10">
        <v>11.0</v>
      </c>
      <c r="I699" s="10" t="s">
        <v>22</v>
      </c>
      <c r="J699" s="9" t="str">
        <f t="shared" si="30"/>
        <v>No</v>
      </c>
      <c r="K699" s="9" t="str">
        <f t="shared" si="31"/>
        <v/>
      </c>
      <c r="L699" s="9" t="str">
        <f t="shared" si="32"/>
        <v/>
      </c>
      <c r="M699" s="9"/>
      <c r="O699" s="9"/>
    </row>
    <row r="700" ht="15.75" customHeight="1">
      <c r="A700" s="9" t="str">
        <f>IFERROR(__xludf.DUMMYFUNCTION("IF(B700="""","""",RIGHT(REGEXREPLACE(B700&amp;"""",""[^0-9]"",""""),9))"),"779198818")</f>
        <v>779198818</v>
      </c>
      <c r="B700" s="48">
        <v>7.79198818E8</v>
      </c>
      <c r="C700" s="10" t="s">
        <v>838</v>
      </c>
      <c r="D700" s="10" t="s">
        <v>34</v>
      </c>
      <c r="E700" s="13">
        <v>46227.0</v>
      </c>
      <c r="F700" s="10" t="s">
        <v>35</v>
      </c>
      <c r="G700" s="10">
        <v>11.0</v>
      </c>
      <c r="I700" s="10" t="s">
        <v>22</v>
      </c>
      <c r="J700" s="9" t="str">
        <f t="shared" si="30"/>
        <v>No</v>
      </c>
      <c r="K700" s="9" t="str">
        <f t="shared" si="31"/>
        <v/>
      </c>
      <c r="L700" s="9" t="str">
        <f t="shared" si="32"/>
        <v/>
      </c>
      <c r="M700" s="9"/>
      <c r="O700" s="9"/>
    </row>
    <row r="701" ht="15.75" customHeight="1">
      <c r="A701" s="9" t="str">
        <f>IFERROR(__xludf.DUMMYFUNCTION("IF(B701="""","""",RIGHT(REGEXREPLACE(B701&amp;"""",""[^0-9]"",""""),9))"),"751252193")</f>
        <v>751252193</v>
      </c>
      <c r="B701" s="48">
        <v>7.51252193E8</v>
      </c>
      <c r="C701" s="10" t="s">
        <v>839</v>
      </c>
      <c r="D701" s="10" t="s">
        <v>69</v>
      </c>
      <c r="E701" s="13">
        <v>46227.0</v>
      </c>
      <c r="F701" s="10" t="s">
        <v>35</v>
      </c>
      <c r="G701" s="10">
        <v>11.0</v>
      </c>
      <c r="H701" s="10" t="s">
        <v>716</v>
      </c>
      <c r="I701" s="10" t="s">
        <v>22</v>
      </c>
      <c r="J701" s="9" t="str">
        <f t="shared" si="30"/>
        <v>No</v>
      </c>
      <c r="K701" s="9" t="str">
        <f t="shared" si="31"/>
        <v/>
      </c>
      <c r="L701" s="9" t="str">
        <f t="shared" si="32"/>
        <v/>
      </c>
      <c r="M701" s="9"/>
      <c r="O701" s="9"/>
    </row>
    <row r="702" ht="15.75" customHeight="1">
      <c r="A702" s="9" t="str">
        <f>IFERROR(__xludf.DUMMYFUNCTION("IF(B702="""","""",RIGHT(REGEXREPLACE(B702&amp;"""",""[^0-9]"",""""),9))"),"781327535")</f>
        <v>781327535</v>
      </c>
      <c r="B702" s="48">
        <v>7.81327535E8</v>
      </c>
      <c r="C702" s="10" t="s">
        <v>840</v>
      </c>
      <c r="D702" s="10" t="s">
        <v>97</v>
      </c>
      <c r="E702" s="13">
        <v>46227.0</v>
      </c>
      <c r="F702" s="10" t="s">
        <v>21</v>
      </c>
      <c r="I702" s="10" t="s">
        <v>22</v>
      </c>
      <c r="J702" s="9" t="str">
        <f t="shared" si="30"/>
        <v>No</v>
      </c>
      <c r="K702" s="9" t="str">
        <f t="shared" si="31"/>
        <v/>
      </c>
      <c r="L702" s="9" t="str">
        <f t="shared" si="32"/>
        <v/>
      </c>
      <c r="M702" s="9"/>
      <c r="O702" s="9"/>
    </row>
    <row r="703" ht="15.75" customHeight="1">
      <c r="A703" s="9" t="str">
        <f>IFERROR(__xludf.DUMMYFUNCTION("IF(B703="""","""",RIGHT(REGEXREPLACE(B703&amp;"""",""[^0-9]"",""""),9))"),"773749695")</f>
        <v>773749695</v>
      </c>
      <c r="B703" s="48">
        <v>7.73749695E8</v>
      </c>
      <c r="C703" s="10" t="s">
        <v>841</v>
      </c>
      <c r="D703" s="10" t="s">
        <v>50</v>
      </c>
      <c r="E703" s="13">
        <v>46227.0</v>
      </c>
      <c r="F703" s="10" t="s">
        <v>35</v>
      </c>
      <c r="G703" s="10">
        <v>11.0</v>
      </c>
      <c r="H703" s="10" t="s">
        <v>622</v>
      </c>
      <c r="I703" s="10" t="s">
        <v>22</v>
      </c>
      <c r="J703" s="9" t="str">
        <f t="shared" si="30"/>
        <v>No</v>
      </c>
      <c r="K703" s="9" t="str">
        <f t="shared" si="31"/>
        <v/>
      </c>
      <c r="L703" s="9" t="str">
        <f t="shared" si="32"/>
        <v/>
      </c>
      <c r="M703" s="9"/>
      <c r="O703" s="9"/>
    </row>
    <row r="704" ht="15.75" customHeight="1">
      <c r="A704" s="9" t="str">
        <f>IFERROR(__xludf.DUMMYFUNCTION("IF(B704="""","""",RIGHT(REGEXREPLACE(B704&amp;"""",""[^0-9]"",""""),9))"),"714661017")</f>
        <v>714661017</v>
      </c>
      <c r="B704" s="48">
        <v>7.14661017E8</v>
      </c>
      <c r="C704" s="10" t="s">
        <v>842</v>
      </c>
      <c r="D704" s="10" t="s">
        <v>120</v>
      </c>
      <c r="E704" s="13">
        <v>46227.0</v>
      </c>
      <c r="F704" s="10" t="s">
        <v>648</v>
      </c>
      <c r="G704" s="10">
        <v>11.0</v>
      </c>
      <c r="I704" s="10" t="s">
        <v>22</v>
      </c>
      <c r="J704" s="9" t="str">
        <f t="shared" si="30"/>
        <v>No</v>
      </c>
      <c r="K704" s="9" t="str">
        <f t="shared" si="31"/>
        <v/>
      </c>
      <c r="L704" s="9" t="str">
        <f t="shared" si="32"/>
        <v/>
      </c>
      <c r="M704" s="9"/>
      <c r="O704" s="9"/>
    </row>
    <row r="705" ht="15.75" customHeight="1">
      <c r="A705" s="9" t="str">
        <f>IFERROR(__xludf.DUMMYFUNCTION("IF(B705="""","""",RIGHT(REGEXREPLACE(B705&amp;"""",""[^0-9]"",""""),9))"),"776523305")</f>
        <v>776523305</v>
      </c>
      <c r="B705" s="48">
        <v>7.76523305E8</v>
      </c>
      <c r="C705" s="10" t="s">
        <v>843</v>
      </c>
      <c r="D705" s="10" t="s">
        <v>120</v>
      </c>
      <c r="E705" s="13">
        <v>46227.0</v>
      </c>
      <c r="F705" s="10" t="s">
        <v>113</v>
      </c>
      <c r="I705" s="10" t="s">
        <v>22</v>
      </c>
      <c r="J705" s="9" t="str">
        <f t="shared" si="30"/>
        <v>No</v>
      </c>
      <c r="K705" s="9" t="str">
        <f t="shared" si="31"/>
        <v/>
      </c>
      <c r="L705" s="9" t="str">
        <f t="shared" si="32"/>
        <v/>
      </c>
      <c r="M705" s="9"/>
      <c r="O705" s="9"/>
    </row>
    <row r="706" ht="15.75" customHeight="1">
      <c r="A706" s="9" t="str">
        <f>IFERROR(__xludf.DUMMYFUNCTION("IF(B706="""","""",RIGHT(REGEXREPLACE(B706&amp;"""",""[^0-9]"",""""),9))"),"742966030")</f>
        <v>742966030</v>
      </c>
      <c r="B706" s="48">
        <v>7.4296603E8</v>
      </c>
      <c r="C706" s="10" t="s">
        <v>844</v>
      </c>
      <c r="D706" s="10" t="s">
        <v>97</v>
      </c>
      <c r="E706" s="13">
        <v>46227.0</v>
      </c>
      <c r="F706" s="10" t="s">
        <v>198</v>
      </c>
      <c r="G706" s="10">
        <v>9.0</v>
      </c>
      <c r="I706" s="10" t="s">
        <v>22</v>
      </c>
      <c r="J706" s="9" t="str">
        <f t="shared" si="30"/>
        <v>No</v>
      </c>
      <c r="K706" s="9" t="str">
        <f t="shared" si="31"/>
        <v/>
      </c>
      <c r="L706" s="9" t="str">
        <f t="shared" si="32"/>
        <v/>
      </c>
      <c r="M706" s="9"/>
      <c r="O706" s="9"/>
    </row>
    <row r="707" ht="15.75" customHeight="1">
      <c r="A707" s="9" t="str">
        <f>IFERROR(__xludf.DUMMYFUNCTION("IF(B707="""","""",RIGHT(REGEXREPLACE(B707&amp;"""",""[^0-9]"",""""),9))"),"740333275")</f>
        <v>740333275</v>
      </c>
      <c r="B707" s="48">
        <v>7.40333275E8</v>
      </c>
      <c r="C707" s="10" t="s">
        <v>845</v>
      </c>
      <c r="D707" s="10" t="s">
        <v>69</v>
      </c>
      <c r="E707" s="13">
        <v>46227.0</v>
      </c>
      <c r="F707" s="10" t="s">
        <v>35</v>
      </c>
      <c r="G707" s="10">
        <v>11.0</v>
      </c>
      <c r="H707" s="10" t="s">
        <v>315</v>
      </c>
      <c r="I707" s="10" t="s">
        <v>22</v>
      </c>
      <c r="J707" s="9" t="str">
        <f t="shared" si="30"/>
        <v>No</v>
      </c>
      <c r="K707" s="9" t="str">
        <f t="shared" si="31"/>
        <v/>
      </c>
      <c r="L707" s="9" t="str">
        <f t="shared" si="32"/>
        <v/>
      </c>
      <c r="M707" s="9"/>
      <c r="O707" s="9"/>
    </row>
    <row r="708" ht="15.75" customHeight="1">
      <c r="A708" s="9" t="str">
        <f>IFERROR(__xludf.DUMMYFUNCTION("IF(B708="""","""",RIGHT(REGEXREPLACE(B708&amp;"""",""[^0-9]"",""""),9))"),"762872790")</f>
        <v>762872790</v>
      </c>
      <c r="B708" s="48">
        <v>7.6287279E8</v>
      </c>
      <c r="C708" s="10" t="s">
        <v>846</v>
      </c>
      <c r="D708" s="10" t="s">
        <v>50</v>
      </c>
      <c r="E708" s="13">
        <v>46227.0</v>
      </c>
      <c r="F708" s="10" t="s">
        <v>35</v>
      </c>
      <c r="G708" s="10">
        <v>6.0</v>
      </c>
      <c r="H708" s="10" t="s">
        <v>622</v>
      </c>
      <c r="I708" s="10" t="s">
        <v>22</v>
      </c>
      <c r="J708" s="9" t="str">
        <f t="shared" si="30"/>
        <v>No</v>
      </c>
      <c r="K708" s="9" t="str">
        <f t="shared" si="31"/>
        <v/>
      </c>
      <c r="L708" s="9" t="str">
        <f t="shared" si="32"/>
        <v/>
      </c>
      <c r="M708" s="9"/>
      <c r="O708" s="9"/>
    </row>
    <row r="709" ht="15.75" customHeight="1">
      <c r="A709" s="9" t="str">
        <f>IFERROR(__xludf.DUMMYFUNCTION("IF(B709="""","""",RIGHT(REGEXREPLACE(B709&amp;"""",""[^0-9]"",""""),9))"),"773577271")</f>
        <v>773577271</v>
      </c>
      <c r="B709" s="48">
        <v>7.73577271E8</v>
      </c>
      <c r="C709" s="10" t="s">
        <v>847</v>
      </c>
      <c r="D709" s="10" t="s">
        <v>34</v>
      </c>
      <c r="E709" s="13">
        <v>46227.0</v>
      </c>
      <c r="F709" s="10" t="s">
        <v>35</v>
      </c>
      <c r="G709" s="10">
        <v>11.0</v>
      </c>
      <c r="I709" s="10" t="s">
        <v>22</v>
      </c>
      <c r="J709" s="9" t="str">
        <f t="shared" si="30"/>
        <v>No</v>
      </c>
      <c r="K709" s="9" t="str">
        <f t="shared" si="31"/>
        <v/>
      </c>
      <c r="L709" s="9" t="str">
        <f t="shared" si="32"/>
        <v/>
      </c>
      <c r="M709" s="9"/>
      <c r="O709" s="9"/>
    </row>
    <row r="710" ht="15.75" customHeight="1">
      <c r="A710" s="9" t="str">
        <f>IFERROR(__xludf.DUMMYFUNCTION("IF(B710="""","""",RIGHT(REGEXREPLACE(B710&amp;"""",""[^0-9]"",""""),9))"),"769911267")</f>
        <v>769911267</v>
      </c>
      <c r="B710" s="48">
        <v>7.69911267E8</v>
      </c>
      <c r="C710" s="10" t="s">
        <v>848</v>
      </c>
      <c r="D710" s="10" t="s">
        <v>120</v>
      </c>
      <c r="E710" s="13">
        <v>46227.0</v>
      </c>
      <c r="F710" s="10" t="s">
        <v>21</v>
      </c>
      <c r="G710" s="10">
        <v>10.0</v>
      </c>
      <c r="I710" s="10" t="s">
        <v>22</v>
      </c>
      <c r="J710" s="9" t="str">
        <f t="shared" si="30"/>
        <v>No</v>
      </c>
      <c r="K710" s="9" t="str">
        <f t="shared" si="31"/>
        <v/>
      </c>
      <c r="L710" s="9" t="str">
        <f t="shared" si="32"/>
        <v/>
      </c>
      <c r="M710" s="9"/>
      <c r="O710" s="9"/>
    </row>
    <row r="711" ht="15.75" customHeight="1">
      <c r="A711" s="9" t="str">
        <f>IFERROR(__xludf.DUMMYFUNCTION("IF(B711="""","""",RIGHT(REGEXREPLACE(B711&amp;"""",""[^0-9]"",""""),9))"),"776941201")</f>
        <v>776941201</v>
      </c>
      <c r="B711" s="48">
        <v>7.76941201E8</v>
      </c>
      <c r="C711" s="10" t="s">
        <v>849</v>
      </c>
      <c r="D711" s="10" t="s">
        <v>97</v>
      </c>
      <c r="E711" s="13">
        <v>46227.0</v>
      </c>
      <c r="F711" s="10" t="s">
        <v>35</v>
      </c>
      <c r="G711" s="10">
        <v>11.0</v>
      </c>
      <c r="I711" s="10" t="s">
        <v>22</v>
      </c>
      <c r="J711" s="9" t="str">
        <f t="shared" si="30"/>
        <v>No</v>
      </c>
      <c r="K711" s="9" t="str">
        <f t="shared" si="31"/>
        <v/>
      </c>
      <c r="L711" s="9" t="str">
        <f t="shared" si="32"/>
        <v/>
      </c>
      <c r="M711" s="9"/>
      <c r="O711" s="9"/>
    </row>
    <row r="712" ht="15.75" customHeight="1">
      <c r="A712" s="9" t="str">
        <f>IFERROR(__xludf.DUMMYFUNCTION("IF(B712="""","""",RIGHT(REGEXREPLACE(B712&amp;"""",""[^0-9]"",""""),9))"),"717260862")</f>
        <v>717260862</v>
      </c>
      <c r="B712" s="48">
        <v>7.17260862E8</v>
      </c>
      <c r="C712" s="10" t="s">
        <v>850</v>
      </c>
      <c r="D712" s="10" t="s">
        <v>120</v>
      </c>
      <c r="E712" s="13">
        <v>46227.0</v>
      </c>
      <c r="F712" s="10" t="s">
        <v>35</v>
      </c>
      <c r="G712" s="10">
        <v>9.0</v>
      </c>
      <c r="I712" s="10" t="s">
        <v>22</v>
      </c>
      <c r="J712" s="9" t="str">
        <f t="shared" si="30"/>
        <v>No</v>
      </c>
      <c r="K712" s="9" t="str">
        <f t="shared" si="31"/>
        <v/>
      </c>
      <c r="L712" s="9" t="str">
        <f t="shared" si="32"/>
        <v/>
      </c>
      <c r="M712" s="9"/>
      <c r="O712" s="9"/>
    </row>
    <row r="713" ht="15.75" customHeight="1">
      <c r="A713" s="9" t="str">
        <f>IFERROR(__xludf.DUMMYFUNCTION("IF(B713="""","""",RIGHT(REGEXREPLACE(B713&amp;"""",""[^0-9]"",""""),9))"),"718044316")</f>
        <v>718044316</v>
      </c>
      <c r="B713" s="48">
        <v>7.18044316E8</v>
      </c>
      <c r="C713" s="10" t="s">
        <v>851</v>
      </c>
      <c r="D713" s="10" t="s">
        <v>69</v>
      </c>
      <c r="E713" s="13">
        <v>46227.0</v>
      </c>
      <c r="F713" s="10" t="s">
        <v>145</v>
      </c>
      <c r="G713" s="10">
        <v>10.0</v>
      </c>
      <c r="H713" s="10" t="s">
        <v>737</v>
      </c>
      <c r="I713" s="10" t="s">
        <v>22</v>
      </c>
      <c r="J713" s="9" t="str">
        <f t="shared" si="30"/>
        <v>No</v>
      </c>
      <c r="K713" s="9" t="str">
        <f t="shared" si="31"/>
        <v/>
      </c>
      <c r="L713" s="9" t="str">
        <f t="shared" si="32"/>
        <v/>
      </c>
      <c r="M713" s="9"/>
      <c r="O713" s="9"/>
    </row>
    <row r="714" ht="15.75" customHeight="1">
      <c r="A714" s="9" t="str">
        <f>IFERROR(__xludf.DUMMYFUNCTION("IF(B714="""","""",RIGHT(REGEXREPLACE(B714&amp;"""",""[^0-9]"",""""),9))"),"772829331")</f>
        <v>772829331</v>
      </c>
      <c r="B714" s="48">
        <v>9.4772829331E10</v>
      </c>
      <c r="C714" s="10" t="s">
        <v>852</v>
      </c>
      <c r="D714" s="10" t="s">
        <v>20</v>
      </c>
      <c r="E714" s="13">
        <v>46227.0</v>
      </c>
      <c r="F714" s="10" t="s">
        <v>35</v>
      </c>
      <c r="G714" s="10">
        <v>10.0</v>
      </c>
      <c r="I714" s="10" t="s">
        <v>22</v>
      </c>
      <c r="J714" s="9" t="str">
        <f t="shared" si="30"/>
        <v>No</v>
      </c>
      <c r="K714" s="9" t="str">
        <f t="shared" si="31"/>
        <v/>
      </c>
      <c r="L714" s="9" t="str">
        <f t="shared" si="32"/>
        <v/>
      </c>
      <c r="M714" s="9"/>
      <c r="O714" s="9"/>
    </row>
    <row r="715" ht="15.75" customHeight="1">
      <c r="A715" s="9" t="str">
        <f>IFERROR(__xludf.DUMMYFUNCTION("IF(B715="""","""",RIGHT(REGEXREPLACE(B715&amp;"""",""[^0-9]"",""""),9))"),"762242410")</f>
        <v>762242410</v>
      </c>
      <c r="B715" s="48">
        <v>7.6224241E8</v>
      </c>
      <c r="C715" s="10" t="s">
        <v>853</v>
      </c>
      <c r="D715" s="10" t="s">
        <v>97</v>
      </c>
      <c r="E715" s="13">
        <v>46227.0</v>
      </c>
      <c r="F715" s="10" t="s">
        <v>21</v>
      </c>
      <c r="G715" s="10">
        <v>11.0</v>
      </c>
      <c r="I715" s="10" t="s">
        <v>22</v>
      </c>
      <c r="J715" s="9" t="str">
        <f t="shared" si="30"/>
        <v>No</v>
      </c>
      <c r="K715" s="9" t="str">
        <f t="shared" si="31"/>
        <v/>
      </c>
      <c r="L715" s="9" t="str">
        <f t="shared" si="32"/>
        <v/>
      </c>
      <c r="M715" s="9"/>
      <c r="O715" s="9"/>
    </row>
    <row r="716" ht="15.75" customHeight="1">
      <c r="A716" s="9" t="str">
        <f>IFERROR(__xludf.DUMMYFUNCTION("IF(B716="""","""",RIGHT(REGEXREPLACE(B716&amp;"""",""[^0-9]"",""""),9))"),"715860946")</f>
        <v>715860946</v>
      </c>
      <c r="B716" s="48">
        <v>7.15860946E8</v>
      </c>
      <c r="C716" s="10" t="s">
        <v>854</v>
      </c>
      <c r="D716" s="10" t="s">
        <v>50</v>
      </c>
      <c r="E716" s="13">
        <v>46227.0</v>
      </c>
      <c r="F716" s="10" t="s">
        <v>21</v>
      </c>
      <c r="G716" s="10">
        <v>7.0</v>
      </c>
      <c r="I716" s="10" t="s">
        <v>22</v>
      </c>
      <c r="J716" s="9" t="str">
        <f t="shared" si="30"/>
        <v>No</v>
      </c>
      <c r="K716" s="9" t="str">
        <f t="shared" si="31"/>
        <v/>
      </c>
      <c r="L716" s="9" t="str">
        <f t="shared" si="32"/>
        <v/>
      </c>
      <c r="M716" s="9"/>
      <c r="O716" s="9"/>
    </row>
    <row r="717" ht="15.75" customHeight="1">
      <c r="A717" s="9" t="str">
        <f>IFERROR(__xludf.DUMMYFUNCTION("IF(B717="""","""",RIGHT(REGEXREPLACE(B717&amp;"""",""[^0-9]"",""""),9))"),"768176811")</f>
        <v>768176811</v>
      </c>
      <c r="B717" s="48">
        <v>7.68176811E8</v>
      </c>
      <c r="C717" s="10" t="s">
        <v>855</v>
      </c>
      <c r="D717" s="10" t="s">
        <v>97</v>
      </c>
      <c r="E717" s="13">
        <v>46227.0</v>
      </c>
      <c r="F717" s="10" t="s">
        <v>173</v>
      </c>
      <c r="G717" s="10">
        <v>11.0</v>
      </c>
      <c r="I717" s="10" t="s">
        <v>22</v>
      </c>
      <c r="J717" s="9" t="str">
        <f t="shared" si="30"/>
        <v>No</v>
      </c>
      <c r="K717" s="9" t="str">
        <f t="shared" si="31"/>
        <v/>
      </c>
      <c r="L717" s="9" t="str">
        <f t="shared" si="32"/>
        <v/>
      </c>
      <c r="M717" s="9"/>
      <c r="O717" s="9"/>
    </row>
    <row r="718" ht="15.75" customHeight="1">
      <c r="A718" s="9" t="str">
        <f>IFERROR(__xludf.DUMMYFUNCTION("IF(B718="""","""",RIGHT(REGEXREPLACE(B718&amp;"""",""[^0-9]"",""""),9))"),"776950073")</f>
        <v>776950073</v>
      </c>
      <c r="B718" s="48">
        <v>7.76950073E8</v>
      </c>
      <c r="C718" s="10" t="s">
        <v>856</v>
      </c>
      <c r="D718" s="10" t="s">
        <v>69</v>
      </c>
      <c r="E718" s="13">
        <v>46227.0</v>
      </c>
      <c r="F718" s="10" t="s">
        <v>35</v>
      </c>
      <c r="G718" s="10">
        <v>11.0</v>
      </c>
      <c r="H718" s="10" t="s">
        <v>716</v>
      </c>
      <c r="I718" s="10" t="s">
        <v>22</v>
      </c>
      <c r="J718" s="9" t="str">
        <f t="shared" si="30"/>
        <v>No</v>
      </c>
      <c r="K718" s="9" t="str">
        <f t="shared" si="31"/>
        <v/>
      </c>
      <c r="L718" s="9" t="str">
        <f t="shared" si="32"/>
        <v/>
      </c>
      <c r="M718" s="9"/>
      <c r="O718" s="9"/>
    </row>
    <row r="719" ht="15.75" customHeight="1">
      <c r="A719" s="9" t="str">
        <f>IFERROR(__xludf.DUMMYFUNCTION("IF(B719="""","""",RIGHT(REGEXREPLACE(B719&amp;"""",""[^0-9]"",""""),9))"),"760310078")</f>
        <v>760310078</v>
      </c>
      <c r="B719" s="48">
        <v>7.60310078E8</v>
      </c>
      <c r="C719" s="10" t="s">
        <v>857</v>
      </c>
      <c r="D719" s="10" t="s">
        <v>50</v>
      </c>
      <c r="E719" s="13">
        <v>46227.0</v>
      </c>
      <c r="F719" s="10" t="s">
        <v>35</v>
      </c>
      <c r="G719" s="10">
        <v>11.0</v>
      </c>
      <c r="H719" s="10" t="s">
        <v>622</v>
      </c>
      <c r="I719" s="10" t="s">
        <v>22</v>
      </c>
      <c r="J719" s="9" t="str">
        <f t="shared" si="30"/>
        <v>No</v>
      </c>
      <c r="K719" s="9" t="str">
        <f t="shared" si="31"/>
        <v/>
      </c>
      <c r="L719" s="9" t="str">
        <f t="shared" si="32"/>
        <v/>
      </c>
      <c r="M719" s="9"/>
      <c r="O719" s="9"/>
    </row>
    <row r="720" ht="15.75" customHeight="1">
      <c r="A720" s="9" t="str">
        <f>IFERROR(__xludf.DUMMYFUNCTION("IF(B720="""","""",RIGHT(REGEXREPLACE(B720&amp;"""",""[^0-9]"",""""),9))"),"765510067")</f>
        <v>765510067</v>
      </c>
      <c r="B720" s="48">
        <v>7.65510067E8</v>
      </c>
      <c r="C720" s="10" t="s">
        <v>858</v>
      </c>
      <c r="D720" s="10" t="s">
        <v>120</v>
      </c>
      <c r="E720" s="13">
        <v>46227.0</v>
      </c>
      <c r="F720" s="10" t="s">
        <v>35</v>
      </c>
      <c r="G720" s="10">
        <v>11.0</v>
      </c>
      <c r="I720" s="10" t="s">
        <v>22</v>
      </c>
      <c r="J720" s="9" t="str">
        <f t="shared" si="30"/>
        <v>No</v>
      </c>
      <c r="K720" s="9" t="str">
        <f t="shared" si="31"/>
        <v/>
      </c>
      <c r="L720" s="9" t="str">
        <f t="shared" si="32"/>
        <v/>
      </c>
      <c r="M720" s="9"/>
      <c r="O720" s="9"/>
    </row>
    <row r="721" ht="15.75" customHeight="1">
      <c r="A721" s="9" t="str">
        <f>IFERROR(__xludf.DUMMYFUNCTION("IF(B721="""","""",RIGHT(REGEXREPLACE(B721&amp;"""",""[^0-9]"",""""),9))"),"720907734")</f>
        <v>720907734</v>
      </c>
      <c r="B721" s="48">
        <v>7.20907734E8</v>
      </c>
      <c r="C721" s="10" t="s">
        <v>859</v>
      </c>
      <c r="D721" s="10" t="s">
        <v>34</v>
      </c>
      <c r="E721" s="13">
        <v>46227.0</v>
      </c>
      <c r="F721" s="10" t="s">
        <v>35</v>
      </c>
      <c r="G721" s="10">
        <v>11.0</v>
      </c>
      <c r="I721" s="10" t="s">
        <v>22</v>
      </c>
      <c r="J721" s="9" t="str">
        <f t="shared" si="30"/>
        <v>No</v>
      </c>
      <c r="K721" s="9" t="str">
        <f t="shared" si="31"/>
        <v/>
      </c>
      <c r="L721" s="9" t="str">
        <f t="shared" si="32"/>
        <v/>
      </c>
      <c r="M721" s="9"/>
      <c r="O721" s="9"/>
    </row>
    <row r="722" ht="15.75" customHeight="1">
      <c r="A722" s="9" t="str">
        <f>IFERROR(__xludf.DUMMYFUNCTION("IF(B722="""","""",RIGHT(REGEXREPLACE(B722&amp;"""",""[^0-9]"",""""),9))"),"775248088")</f>
        <v>775248088</v>
      </c>
      <c r="B722" s="48">
        <v>7.75248088E8</v>
      </c>
      <c r="C722" s="10" t="s">
        <v>860</v>
      </c>
      <c r="D722" s="10" t="s">
        <v>97</v>
      </c>
      <c r="E722" s="13">
        <v>46227.0</v>
      </c>
      <c r="F722" s="10" t="s">
        <v>35</v>
      </c>
      <c r="G722" s="10">
        <v>11.0</v>
      </c>
      <c r="I722" s="10" t="s">
        <v>22</v>
      </c>
      <c r="J722" s="9" t="str">
        <f t="shared" si="30"/>
        <v>No</v>
      </c>
      <c r="K722" s="9" t="str">
        <f t="shared" si="31"/>
        <v/>
      </c>
      <c r="L722" s="9" t="str">
        <f t="shared" si="32"/>
        <v/>
      </c>
      <c r="M722" s="9"/>
      <c r="O722" s="9"/>
    </row>
    <row r="723" ht="15.75" customHeight="1">
      <c r="A723" s="9" t="str">
        <f>IFERROR(__xludf.DUMMYFUNCTION("IF(B723="""","""",RIGHT(REGEXREPLACE(B723&amp;"""",""[^0-9]"",""""),9))"),"741640259")</f>
        <v>741640259</v>
      </c>
      <c r="B723" s="48">
        <v>7.41640259E8</v>
      </c>
      <c r="C723" s="10" t="s">
        <v>861</v>
      </c>
      <c r="D723" s="10" t="s">
        <v>50</v>
      </c>
      <c r="E723" s="13">
        <v>46227.0</v>
      </c>
      <c r="F723" s="10" t="s">
        <v>21</v>
      </c>
      <c r="G723" s="10">
        <v>11.0</v>
      </c>
      <c r="I723" s="10" t="s">
        <v>22</v>
      </c>
      <c r="J723" s="9" t="str">
        <f t="shared" si="30"/>
        <v>No</v>
      </c>
      <c r="K723" s="9" t="str">
        <f t="shared" si="31"/>
        <v/>
      </c>
      <c r="L723" s="9" t="str">
        <f t="shared" si="32"/>
        <v/>
      </c>
      <c r="M723" s="9"/>
      <c r="O723" s="9"/>
    </row>
    <row r="724" ht="15.75" customHeight="1">
      <c r="A724" s="9" t="str">
        <f>IFERROR(__xludf.DUMMYFUNCTION("IF(B724="""","""",RIGHT(REGEXREPLACE(B724&amp;"""",""[^0-9]"",""""),9))"),"775809049")</f>
        <v>775809049</v>
      </c>
      <c r="B724" s="48">
        <v>7.75809049E8</v>
      </c>
      <c r="C724" s="10" t="s">
        <v>862</v>
      </c>
      <c r="D724" s="10" t="s">
        <v>69</v>
      </c>
      <c r="E724" s="13">
        <v>46227.0</v>
      </c>
      <c r="F724" s="10" t="s">
        <v>35</v>
      </c>
      <c r="G724" s="10">
        <v>11.0</v>
      </c>
      <c r="H724" s="10" t="s">
        <v>716</v>
      </c>
      <c r="I724" s="10" t="s">
        <v>22</v>
      </c>
      <c r="J724" s="9" t="str">
        <f t="shared" si="30"/>
        <v>No</v>
      </c>
      <c r="K724" s="9" t="str">
        <f t="shared" si="31"/>
        <v/>
      </c>
      <c r="L724" s="9" t="str">
        <f t="shared" si="32"/>
        <v/>
      </c>
      <c r="M724" s="9"/>
      <c r="O724" s="9"/>
    </row>
    <row r="725" ht="15.75" customHeight="1">
      <c r="A725" s="9" t="str">
        <f>IFERROR(__xludf.DUMMYFUNCTION("IF(B725="""","""",RIGHT(REGEXREPLACE(B725&amp;"""",""[^0-9]"",""""),9))"),"772448570")</f>
        <v>772448570</v>
      </c>
      <c r="B725" s="48">
        <v>9.477244857E10</v>
      </c>
      <c r="C725" s="10" t="s">
        <v>863</v>
      </c>
      <c r="D725" s="10" t="s">
        <v>20</v>
      </c>
      <c r="E725" s="13">
        <v>46227.0</v>
      </c>
      <c r="F725" s="10" t="s">
        <v>21</v>
      </c>
      <c r="I725" s="10" t="s">
        <v>22</v>
      </c>
      <c r="J725" s="9" t="str">
        <f t="shared" si="30"/>
        <v>No</v>
      </c>
      <c r="K725" s="9" t="str">
        <f t="shared" si="31"/>
        <v/>
      </c>
      <c r="L725" s="9" t="str">
        <f t="shared" si="32"/>
        <v/>
      </c>
      <c r="M725" s="9"/>
      <c r="O725" s="9"/>
    </row>
    <row r="726" ht="15.75" customHeight="1">
      <c r="A726" s="9" t="str">
        <f>IFERROR(__xludf.DUMMYFUNCTION("IF(B726="""","""",RIGHT(REGEXREPLACE(B726&amp;"""",""[^0-9]"",""""),9))"),"707358535")</f>
        <v>707358535</v>
      </c>
      <c r="B726" s="48">
        <v>9.4707358535E10</v>
      </c>
      <c r="C726" s="10" t="s">
        <v>864</v>
      </c>
      <c r="D726" s="10" t="s">
        <v>20</v>
      </c>
      <c r="E726" s="13">
        <v>46227.0</v>
      </c>
      <c r="F726" s="10" t="s">
        <v>35</v>
      </c>
      <c r="G726" s="10">
        <v>11.0</v>
      </c>
      <c r="I726" s="10" t="s">
        <v>816</v>
      </c>
      <c r="J726" s="9" t="str">
        <f t="shared" si="30"/>
        <v>No</v>
      </c>
      <c r="K726" s="9" t="str">
        <f t="shared" si="31"/>
        <v/>
      </c>
      <c r="L726" s="9" t="str">
        <f t="shared" si="32"/>
        <v/>
      </c>
      <c r="M726" s="9"/>
      <c r="O726" s="9"/>
    </row>
    <row r="727" ht="15.75" customHeight="1">
      <c r="A727" s="9" t="str">
        <f>IFERROR(__xludf.DUMMYFUNCTION("IF(B727="""","""",RIGHT(REGEXREPLACE(B727&amp;"""",""[^0-9]"",""""),9))"),"773702767")</f>
        <v>773702767</v>
      </c>
      <c r="B727" s="48">
        <v>7.73702767E8</v>
      </c>
      <c r="C727" s="10" t="s">
        <v>865</v>
      </c>
      <c r="D727" s="10" t="s">
        <v>34</v>
      </c>
      <c r="E727" s="13">
        <v>46227.0</v>
      </c>
      <c r="F727" s="10" t="s">
        <v>648</v>
      </c>
      <c r="H727" s="10" t="s">
        <v>622</v>
      </c>
      <c r="I727" s="10" t="s">
        <v>22</v>
      </c>
      <c r="J727" s="9" t="str">
        <f t="shared" si="30"/>
        <v>No</v>
      </c>
      <c r="K727" s="9" t="str">
        <f t="shared" si="31"/>
        <v/>
      </c>
      <c r="L727" s="9" t="str">
        <f t="shared" si="32"/>
        <v/>
      </c>
      <c r="M727" s="9"/>
      <c r="O727" s="9"/>
    </row>
    <row r="728" ht="15.75" customHeight="1">
      <c r="A728" s="9" t="str">
        <f>IFERROR(__xludf.DUMMYFUNCTION("IF(B728="""","""",RIGHT(REGEXREPLACE(B728&amp;"""",""[^0-9]"",""""),9))"),"774858658")</f>
        <v>774858658</v>
      </c>
      <c r="B728" s="48">
        <v>7.74858658E8</v>
      </c>
      <c r="C728" s="10" t="s">
        <v>866</v>
      </c>
      <c r="D728" s="10" t="s">
        <v>97</v>
      </c>
      <c r="E728" s="13">
        <v>46227.0</v>
      </c>
      <c r="F728" s="10" t="s">
        <v>198</v>
      </c>
      <c r="I728" s="10" t="s">
        <v>22</v>
      </c>
      <c r="J728" s="9" t="str">
        <f t="shared" si="30"/>
        <v>No</v>
      </c>
      <c r="K728" s="9" t="str">
        <f t="shared" si="31"/>
        <v/>
      </c>
      <c r="L728" s="9" t="str">
        <f t="shared" si="32"/>
        <v/>
      </c>
      <c r="M728" s="9"/>
      <c r="O728" s="9"/>
    </row>
    <row r="729" ht="15.75" customHeight="1">
      <c r="A729" s="9" t="str">
        <f>IFERROR(__xludf.DUMMYFUNCTION("IF(B729="""","""",RIGHT(REGEXREPLACE(B729&amp;"""",""[^0-9]"",""""),9))"),"716022623")</f>
        <v>716022623</v>
      </c>
      <c r="B729" s="48">
        <v>7.16022623E8</v>
      </c>
      <c r="C729" s="10" t="s">
        <v>867</v>
      </c>
      <c r="D729" s="10" t="s">
        <v>50</v>
      </c>
      <c r="E729" s="13">
        <v>46227.0</v>
      </c>
      <c r="F729" s="10" t="s">
        <v>35</v>
      </c>
      <c r="G729" s="10">
        <v>11.0</v>
      </c>
      <c r="I729" s="10" t="s">
        <v>22</v>
      </c>
      <c r="J729" s="9" t="str">
        <f t="shared" si="30"/>
        <v>No</v>
      </c>
      <c r="K729" s="9" t="str">
        <f t="shared" si="31"/>
        <v/>
      </c>
      <c r="L729" s="9" t="str">
        <f t="shared" si="32"/>
        <v/>
      </c>
      <c r="M729" s="9"/>
      <c r="O729" s="9"/>
    </row>
    <row r="730" ht="15.75" customHeight="1">
      <c r="A730" s="9" t="str">
        <f>IFERROR(__xludf.DUMMYFUNCTION("IF(B730="""","""",RIGHT(REGEXREPLACE(B730&amp;"""",""[^0-9]"",""""),9))"),"772070239")</f>
        <v>772070239</v>
      </c>
      <c r="B730" s="48">
        <v>7.72070239E8</v>
      </c>
      <c r="C730" s="10" t="s">
        <v>868</v>
      </c>
      <c r="D730" s="10" t="s">
        <v>120</v>
      </c>
      <c r="E730" s="13">
        <v>46227.0</v>
      </c>
      <c r="F730" s="10" t="s">
        <v>35</v>
      </c>
      <c r="G730" s="10">
        <v>11.0</v>
      </c>
      <c r="I730" s="10" t="s">
        <v>22</v>
      </c>
      <c r="J730" s="9" t="str">
        <f t="shared" si="30"/>
        <v>No</v>
      </c>
      <c r="K730" s="9" t="str">
        <f t="shared" si="31"/>
        <v/>
      </c>
      <c r="L730" s="9" t="str">
        <f t="shared" si="32"/>
        <v/>
      </c>
      <c r="M730" s="9"/>
      <c r="O730" s="9"/>
    </row>
    <row r="731" ht="15.75" customHeight="1">
      <c r="A731" s="9" t="str">
        <f>IFERROR(__xludf.DUMMYFUNCTION("IF(B731="""","""",RIGHT(REGEXREPLACE(B731&amp;"""",""[^0-9]"",""""),9))"),"776142689")</f>
        <v>776142689</v>
      </c>
      <c r="B731" s="48">
        <v>7.76142689E8</v>
      </c>
      <c r="C731" s="10" t="s">
        <v>869</v>
      </c>
      <c r="D731" s="10" t="s">
        <v>34</v>
      </c>
      <c r="E731" s="13">
        <v>46227.0</v>
      </c>
      <c r="F731" s="10" t="s">
        <v>35</v>
      </c>
      <c r="G731" s="10">
        <v>11.0</v>
      </c>
      <c r="H731" s="10" t="s">
        <v>664</v>
      </c>
      <c r="I731" s="10" t="s">
        <v>22</v>
      </c>
      <c r="J731" s="9" t="str">
        <f t="shared" si="30"/>
        <v>No</v>
      </c>
      <c r="K731" s="9" t="str">
        <f t="shared" si="31"/>
        <v/>
      </c>
      <c r="L731" s="9" t="str">
        <f t="shared" si="32"/>
        <v/>
      </c>
      <c r="M731" s="9"/>
      <c r="O731" s="9"/>
    </row>
    <row r="732" ht="15.75" customHeight="1">
      <c r="A732" s="9" t="str">
        <f>IFERROR(__xludf.DUMMYFUNCTION("IF(B732="""","""",RIGHT(REGEXREPLACE(B732&amp;"""",""[^0-9]"",""""),9))"),"770434300")</f>
        <v>770434300</v>
      </c>
      <c r="B732" s="48">
        <v>7.704343E8</v>
      </c>
      <c r="C732" s="10" t="s">
        <v>870</v>
      </c>
      <c r="D732" s="10" t="s">
        <v>69</v>
      </c>
      <c r="E732" s="13">
        <v>46227.0</v>
      </c>
      <c r="F732" s="10" t="s">
        <v>145</v>
      </c>
      <c r="G732" s="10">
        <v>11.0</v>
      </c>
      <c r="H732" s="10" t="s">
        <v>737</v>
      </c>
      <c r="I732" s="10" t="s">
        <v>22</v>
      </c>
      <c r="J732" s="9" t="str">
        <f t="shared" si="30"/>
        <v>No</v>
      </c>
      <c r="K732" s="9" t="str">
        <f t="shared" si="31"/>
        <v/>
      </c>
      <c r="L732" s="9" t="str">
        <f t="shared" si="32"/>
        <v/>
      </c>
      <c r="M732" s="9"/>
      <c r="O732" s="9"/>
    </row>
    <row r="733" ht="15.75" customHeight="1">
      <c r="A733" s="9" t="str">
        <f>IFERROR(__xludf.DUMMYFUNCTION("IF(B733="""","""",RIGHT(REGEXREPLACE(B733&amp;"""",""[^0-9]"",""""),9))"),"777148300")</f>
        <v>777148300</v>
      </c>
      <c r="B733" s="48">
        <v>7.771483E8</v>
      </c>
      <c r="C733" s="10" t="s">
        <v>871</v>
      </c>
      <c r="D733" s="10" t="s">
        <v>97</v>
      </c>
      <c r="E733" s="13">
        <v>46227.0</v>
      </c>
      <c r="F733" s="10" t="s">
        <v>35</v>
      </c>
      <c r="G733" s="10">
        <v>11.0</v>
      </c>
      <c r="I733" s="10" t="s">
        <v>22</v>
      </c>
      <c r="J733" s="9" t="str">
        <f t="shared" si="30"/>
        <v>No</v>
      </c>
      <c r="K733" s="9" t="str">
        <f t="shared" si="31"/>
        <v/>
      </c>
      <c r="L733" s="9" t="str">
        <f t="shared" si="32"/>
        <v/>
      </c>
      <c r="M733" s="9"/>
      <c r="O733" s="9"/>
    </row>
    <row r="734" ht="15.75" customHeight="1">
      <c r="A734" s="9" t="str">
        <f>IFERROR(__xludf.DUMMYFUNCTION("IF(B734="""","""",RIGHT(REGEXREPLACE(B734&amp;"""",""[^0-9]"",""""),9))"),"767733450")</f>
        <v>767733450</v>
      </c>
      <c r="B734" s="48">
        <v>7.6773345E8</v>
      </c>
      <c r="C734" s="10" t="s">
        <v>872</v>
      </c>
      <c r="D734" s="10" t="s">
        <v>34</v>
      </c>
      <c r="E734" s="13">
        <v>46227.0</v>
      </c>
      <c r="F734" s="10" t="s">
        <v>35</v>
      </c>
      <c r="G734" s="10">
        <v>11.0</v>
      </c>
      <c r="I734" s="10" t="s">
        <v>22</v>
      </c>
      <c r="J734" s="9" t="str">
        <f t="shared" si="30"/>
        <v>No</v>
      </c>
      <c r="K734" s="9" t="str">
        <f t="shared" si="31"/>
        <v/>
      </c>
      <c r="L734" s="9" t="str">
        <f t="shared" si="32"/>
        <v/>
      </c>
      <c r="M734" s="9"/>
      <c r="O734" s="9"/>
    </row>
    <row r="735" ht="15.75" customHeight="1">
      <c r="A735" s="9" t="str">
        <f>IFERROR(__xludf.DUMMYFUNCTION("IF(B735="""","""",RIGHT(REGEXREPLACE(B735&amp;"""",""[^0-9]"",""""),9))"),"763169143")</f>
        <v>763169143</v>
      </c>
      <c r="B735" s="48">
        <v>7.63169143E8</v>
      </c>
      <c r="C735" s="10" t="s">
        <v>873</v>
      </c>
      <c r="D735" s="10" t="s">
        <v>120</v>
      </c>
      <c r="E735" s="13">
        <v>46227.0</v>
      </c>
      <c r="F735" s="10" t="s">
        <v>21</v>
      </c>
      <c r="G735" s="10">
        <v>11.0</v>
      </c>
      <c r="I735" s="10" t="s">
        <v>22</v>
      </c>
      <c r="J735" s="9" t="str">
        <f t="shared" si="30"/>
        <v>No</v>
      </c>
      <c r="K735" s="9" t="str">
        <f t="shared" si="31"/>
        <v/>
      </c>
      <c r="L735" s="9" t="str">
        <f t="shared" si="32"/>
        <v/>
      </c>
      <c r="M735" s="9"/>
      <c r="O735" s="9"/>
    </row>
    <row r="736" ht="15.75" customHeight="1">
      <c r="A736" s="9" t="str">
        <f>IFERROR(__xludf.DUMMYFUNCTION("IF(B736="""","""",RIGHT(REGEXREPLACE(B736&amp;"""",""[^0-9]"",""""),9))"),"765288707")</f>
        <v>765288707</v>
      </c>
      <c r="B736" s="48">
        <v>7.65288707E8</v>
      </c>
      <c r="C736" s="10" t="s">
        <v>874</v>
      </c>
      <c r="D736" s="10" t="s">
        <v>50</v>
      </c>
      <c r="E736" s="13">
        <v>46227.0</v>
      </c>
      <c r="F736" s="10" t="s">
        <v>35</v>
      </c>
      <c r="G736" s="10">
        <v>10.0</v>
      </c>
      <c r="I736" s="10" t="s">
        <v>22</v>
      </c>
      <c r="J736" s="9" t="str">
        <f t="shared" si="30"/>
        <v>No</v>
      </c>
      <c r="K736" s="9" t="str">
        <f t="shared" si="31"/>
        <v/>
      </c>
      <c r="L736" s="9" t="str">
        <f t="shared" si="32"/>
        <v/>
      </c>
      <c r="M736" s="9"/>
      <c r="O736" s="9"/>
    </row>
    <row r="737" ht="15.75" customHeight="1">
      <c r="A737" s="9" t="str">
        <f>IFERROR(__xludf.DUMMYFUNCTION("IF(B737="""","""",RIGHT(REGEXREPLACE(B737&amp;"""",""[^0-9]"",""""),9))"),"774800081")</f>
        <v>774800081</v>
      </c>
      <c r="B737" s="48">
        <v>7.74800081E8</v>
      </c>
      <c r="C737" s="10" t="s">
        <v>875</v>
      </c>
      <c r="D737" s="10" t="s">
        <v>69</v>
      </c>
      <c r="E737" s="13">
        <v>46227.0</v>
      </c>
      <c r="F737" s="10" t="s">
        <v>35</v>
      </c>
      <c r="G737" s="10">
        <v>11.0</v>
      </c>
      <c r="H737" s="10" t="s">
        <v>876</v>
      </c>
      <c r="I737" s="10" t="s">
        <v>22</v>
      </c>
      <c r="J737" s="9" t="str">
        <f t="shared" si="30"/>
        <v>No</v>
      </c>
      <c r="K737" s="9" t="str">
        <f t="shared" si="31"/>
        <v/>
      </c>
      <c r="L737" s="9" t="str">
        <f t="shared" si="32"/>
        <v/>
      </c>
      <c r="M737" s="9"/>
      <c r="O737" s="9"/>
    </row>
    <row r="738" ht="15.75" customHeight="1">
      <c r="A738" s="9" t="str">
        <f>IFERROR(__xludf.DUMMYFUNCTION("IF(B738="""","""",RIGHT(REGEXREPLACE(B738&amp;"""",""[^0-9]"",""""),9))"),"772675824")</f>
        <v>772675824</v>
      </c>
      <c r="B738" s="48">
        <v>7.72675824E8</v>
      </c>
      <c r="C738" s="10" t="s">
        <v>877</v>
      </c>
      <c r="D738" s="10" t="s">
        <v>97</v>
      </c>
      <c r="E738" s="13">
        <v>46227.0</v>
      </c>
      <c r="F738" s="10" t="s">
        <v>173</v>
      </c>
      <c r="G738" s="10">
        <v>11.0</v>
      </c>
      <c r="I738" s="10" t="s">
        <v>22</v>
      </c>
      <c r="J738" s="9" t="str">
        <f t="shared" si="30"/>
        <v>No</v>
      </c>
      <c r="K738" s="9" t="str">
        <f t="shared" si="31"/>
        <v/>
      </c>
      <c r="L738" s="9" t="str">
        <f t="shared" si="32"/>
        <v/>
      </c>
      <c r="M738" s="9"/>
      <c r="O738" s="9"/>
    </row>
    <row r="739" ht="15.75" customHeight="1">
      <c r="A739" s="9" t="str">
        <f>IFERROR(__xludf.DUMMYFUNCTION("IF(B739="""","""",RIGHT(REGEXREPLACE(B739&amp;"""",""[^0-9]"",""""),9))"),"779131632")</f>
        <v>779131632</v>
      </c>
      <c r="B739" s="48">
        <v>7.79131632E8</v>
      </c>
      <c r="C739" s="10" t="s">
        <v>878</v>
      </c>
      <c r="D739" s="10" t="s">
        <v>120</v>
      </c>
      <c r="E739" s="13">
        <v>46227.0</v>
      </c>
      <c r="F739" s="10" t="s">
        <v>21</v>
      </c>
      <c r="I739" s="10" t="s">
        <v>22</v>
      </c>
      <c r="J739" s="9" t="str">
        <f t="shared" si="30"/>
        <v>No</v>
      </c>
      <c r="K739" s="9" t="str">
        <f t="shared" si="31"/>
        <v/>
      </c>
      <c r="L739" s="9" t="str">
        <f t="shared" si="32"/>
        <v/>
      </c>
      <c r="M739" s="9"/>
      <c r="O739" s="9"/>
    </row>
    <row r="740" ht="15.75" customHeight="1">
      <c r="A740" s="9" t="str">
        <f>IFERROR(__xludf.DUMMYFUNCTION("IF(B740="""","""",RIGHT(REGEXREPLACE(B740&amp;"""",""[^0-9]"",""""),9))"),"769481197")</f>
        <v>769481197</v>
      </c>
      <c r="B740" s="48">
        <v>7.69481197E8</v>
      </c>
      <c r="C740" s="10" t="s">
        <v>879</v>
      </c>
      <c r="D740" s="10" t="s">
        <v>34</v>
      </c>
      <c r="E740" s="13">
        <v>46227.0</v>
      </c>
      <c r="F740" s="10" t="s">
        <v>35</v>
      </c>
      <c r="G740" s="10">
        <v>11.0</v>
      </c>
      <c r="H740" s="10" t="s">
        <v>622</v>
      </c>
      <c r="I740" s="10" t="s">
        <v>22</v>
      </c>
      <c r="J740" s="9" t="str">
        <f t="shared" si="30"/>
        <v>No</v>
      </c>
      <c r="K740" s="9" t="str">
        <f t="shared" si="31"/>
        <v/>
      </c>
      <c r="L740" s="9" t="str">
        <f t="shared" si="32"/>
        <v/>
      </c>
      <c r="M740" s="9"/>
      <c r="O740" s="9"/>
    </row>
    <row r="741" ht="15.75" customHeight="1">
      <c r="A741" s="9" t="str">
        <f>IFERROR(__xludf.DUMMYFUNCTION("IF(B741="""","""",RIGHT(REGEXREPLACE(B741&amp;"""",""[^0-9]"",""""),9))"),"716638803")</f>
        <v>716638803</v>
      </c>
      <c r="B741" s="48">
        <v>7.16638803E8</v>
      </c>
      <c r="C741" s="10" t="s">
        <v>880</v>
      </c>
      <c r="D741" s="10" t="s">
        <v>50</v>
      </c>
      <c r="E741" s="13">
        <v>46227.0</v>
      </c>
      <c r="F741" s="10" t="s">
        <v>35</v>
      </c>
      <c r="G741" s="10">
        <v>10.0</v>
      </c>
      <c r="I741" s="10" t="s">
        <v>22</v>
      </c>
      <c r="J741" s="9" t="str">
        <f t="shared" si="30"/>
        <v>No</v>
      </c>
      <c r="K741" s="9" t="str">
        <f t="shared" si="31"/>
        <v/>
      </c>
      <c r="L741" s="9" t="str">
        <f t="shared" si="32"/>
        <v/>
      </c>
      <c r="M741" s="9"/>
      <c r="O741" s="9"/>
    </row>
    <row r="742" ht="15.75" customHeight="1">
      <c r="A742" s="9" t="str">
        <f>IFERROR(__xludf.DUMMYFUNCTION("IF(B742="""","""",RIGHT(REGEXREPLACE(B742&amp;"""",""[^0-9]"",""""),9))"),"716483330")</f>
        <v>716483330</v>
      </c>
      <c r="B742" s="48">
        <v>7.1648333E8</v>
      </c>
      <c r="C742" s="10" t="s">
        <v>881</v>
      </c>
      <c r="D742" s="10" t="s">
        <v>69</v>
      </c>
      <c r="E742" s="13">
        <v>46227.0</v>
      </c>
      <c r="F742" s="10" t="s">
        <v>35</v>
      </c>
      <c r="G742" s="10">
        <v>9.0</v>
      </c>
      <c r="H742" s="10" t="s">
        <v>716</v>
      </c>
      <c r="I742" s="10" t="s">
        <v>22</v>
      </c>
      <c r="J742" s="9" t="str">
        <f t="shared" si="30"/>
        <v>No</v>
      </c>
      <c r="K742" s="9" t="str">
        <f t="shared" si="31"/>
        <v/>
      </c>
      <c r="L742" s="9" t="str">
        <f t="shared" si="32"/>
        <v/>
      </c>
      <c r="M742" s="9"/>
      <c r="O742" s="9"/>
    </row>
    <row r="743" ht="15.75" customHeight="1">
      <c r="A743" s="9" t="str">
        <f>IFERROR(__xludf.DUMMYFUNCTION("IF(B743="""","""",RIGHT(REGEXREPLACE(B743&amp;"""",""[^0-9]"",""""),9))"),"763994614")</f>
        <v>763994614</v>
      </c>
      <c r="B743" s="48">
        <v>7.63994614E8</v>
      </c>
      <c r="C743" s="10" t="s">
        <v>882</v>
      </c>
      <c r="D743" s="10" t="s">
        <v>120</v>
      </c>
      <c r="E743" s="13">
        <v>46227.0</v>
      </c>
      <c r="F743" s="10" t="s">
        <v>35</v>
      </c>
      <c r="G743" s="10">
        <v>11.0</v>
      </c>
      <c r="I743" s="10" t="s">
        <v>22</v>
      </c>
      <c r="J743" s="9" t="str">
        <f t="shared" si="30"/>
        <v>No</v>
      </c>
      <c r="K743" s="9" t="str">
        <f t="shared" si="31"/>
        <v/>
      </c>
      <c r="L743" s="9" t="str">
        <f t="shared" si="32"/>
        <v/>
      </c>
      <c r="M743" s="9"/>
      <c r="O743" s="9"/>
    </row>
    <row r="744" ht="15.75" customHeight="1">
      <c r="A744" s="9" t="str">
        <f>IFERROR(__xludf.DUMMYFUNCTION("IF(B744="""","""",RIGHT(REGEXREPLACE(B744&amp;"""",""[^0-9]"",""""),9))"),"764050586")</f>
        <v>764050586</v>
      </c>
      <c r="B744" s="48">
        <v>7.64050586E8</v>
      </c>
      <c r="C744" s="10" t="s">
        <v>883</v>
      </c>
      <c r="D744" s="10" t="s">
        <v>97</v>
      </c>
      <c r="E744" s="13">
        <v>46227.0</v>
      </c>
      <c r="F744" s="10" t="s">
        <v>35</v>
      </c>
      <c r="G744" s="10">
        <v>11.0</v>
      </c>
      <c r="I744" s="10" t="s">
        <v>22</v>
      </c>
      <c r="J744" s="9" t="str">
        <f t="shared" si="30"/>
        <v>No</v>
      </c>
      <c r="K744" s="9" t="str">
        <f t="shared" si="31"/>
        <v/>
      </c>
      <c r="L744" s="9" t="str">
        <f t="shared" si="32"/>
        <v/>
      </c>
      <c r="M744" s="9"/>
      <c r="O744" s="9"/>
    </row>
    <row r="745" ht="15.75" customHeight="1">
      <c r="A745" s="9" t="str">
        <f>IFERROR(__xludf.DUMMYFUNCTION("IF(B745="""","""",RIGHT(REGEXREPLACE(B745&amp;"""",""[^0-9]"",""""),9))"),"716721011")</f>
        <v>716721011</v>
      </c>
      <c r="B745" s="48">
        <v>7.16721011E8</v>
      </c>
      <c r="C745" s="10" t="s">
        <v>884</v>
      </c>
      <c r="D745" s="10" t="s">
        <v>34</v>
      </c>
      <c r="E745" s="13">
        <v>46227.0</v>
      </c>
      <c r="F745" s="10" t="s">
        <v>35</v>
      </c>
      <c r="G745" s="10">
        <v>8.0</v>
      </c>
      <c r="I745" s="10" t="s">
        <v>22</v>
      </c>
      <c r="J745" s="9" t="str">
        <f t="shared" si="30"/>
        <v>No</v>
      </c>
      <c r="K745" s="9" t="str">
        <f t="shared" si="31"/>
        <v/>
      </c>
      <c r="L745" s="9" t="str">
        <f t="shared" si="32"/>
        <v/>
      </c>
      <c r="M745" s="9"/>
      <c r="O745" s="9"/>
    </row>
    <row r="746" ht="15.75" customHeight="1">
      <c r="A746" s="9" t="str">
        <f>IFERROR(__xludf.DUMMYFUNCTION("IF(B746="""","""",RIGHT(REGEXREPLACE(B746&amp;"""",""[^0-9]"",""""),9))"),"786383721")</f>
        <v>786383721</v>
      </c>
      <c r="B746" s="48">
        <v>7.86383721E8</v>
      </c>
      <c r="C746" s="10" t="s">
        <v>885</v>
      </c>
      <c r="D746" s="10" t="s">
        <v>50</v>
      </c>
      <c r="E746" s="13">
        <v>46227.0</v>
      </c>
      <c r="F746" s="10" t="s">
        <v>35</v>
      </c>
      <c r="G746" s="10">
        <v>11.0</v>
      </c>
      <c r="I746" s="10" t="s">
        <v>22</v>
      </c>
      <c r="J746" s="9" t="str">
        <f t="shared" si="30"/>
        <v>No</v>
      </c>
      <c r="K746" s="9" t="str">
        <f t="shared" si="31"/>
        <v/>
      </c>
      <c r="L746" s="9" t="str">
        <f t="shared" si="32"/>
        <v/>
      </c>
      <c r="M746" s="9"/>
      <c r="O746" s="9"/>
    </row>
    <row r="747" ht="15.75" customHeight="1">
      <c r="A747" s="9" t="str">
        <f>IFERROR(__xludf.DUMMYFUNCTION("IF(B747="""","""",RIGHT(REGEXREPLACE(B747&amp;"""",""[^0-9]"",""""),9))"),"762760447")</f>
        <v>762760447</v>
      </c>
      <c r="B747" s="48">
        <v>7.62760447E8</v>
      </c>
      <c r="C747" s="10" t="s">
        <v>886</v>
      </c>
      <c r="D747" s="10" t="s">
        <v>120</v>
      </c>
      <c r="E747" s="13">
        <v>46227.0</v>
      </c>
      <c r="F747" s="10" t="s">
        <v>35</v>
      </c>
      <c r="G747" s="10">
        <v>11.0</v>
      </c>
      <c r="I747" s="10" t="s">
        <v>22</v>
      </c>
      <c r="J747" s="9" t="str">
        <f t="shared" si="30"/>
        <v>No</v>
      </c>
      <c r="K747" s="9" t="str">
        <f t="shared" si="31"/>
        <v/>
      </c>
      <c r="L747" s="9" t="str">
        <f t="shared" si="32"/>
        <v/>
      </c>
      <c r="M747" s="9"/>
      <c r="O747" s="9"/>
    </row>
    <row r="748" ht="15.75" customHeight="1">
      <c r="A748" s="9" t="str">
        <f>IFERROR(__xludf.DUMMYFUNCTION("IF(B748="""","""",RIGHT(REGEXREPLACE(B748&amp;"""",""[^0-9]"",""""),9))"),"761506264")</f>
        <v>761506264</v>
      </c>
      <c r="B748" s="48">
        <v>9.4761506264E10</v>
      </c>
      <c r="C748" s="10" t="s">
        <v>887</v>
      </c>
      <c r="D748" s="10" t="s">
        <v>20</v>
      </c>
      <c r="E748" s="13">
        <v>46227.0</v>
      </c>
      <c r="F748" s="10" t="s">
        <v>35</v>
      </c>
      <c r="G748" s="10">
        <v>11.0</v>
      </c>
      <c r="I748" s="10" t="s">
        <v>22</v>
      </c>
      <c r="J748" s="9" t="str">
        <f t="shared" si="30"/>
        <v>No</v>
      </c>
      <c r="K748" s="9" t="str">
        <f t="shared" si="31"/>
        <v/>
      </c>
      <c r="L748" s="9" t="str">
        <f t="shared" si="32"/>
        <v/>
      </c>
      <c r="M748" s="9"/>
      <c r="O748" s="9"/>
    </row>
    <row r="749" ht="15.75" customHeight="1">
      <c r="A749" s="9" t="str">
        <f>IFERROR(__xludf.DUMMYFUNCTION("IF(B749="""","""",RIGHT(REGEXREPLACE(B749&amp;"""",""[^0-9]"",""""),9))"),"705333976")</f>
        <v>705333976</v>
      </c>
      <c r="B749" s="48">
        <v>7.05333976E8</v>
      </c>
      <c r="C749" s="10" t="s">
        <v>888</v>
      </c>
      <c r="D749" s="10" t="s">
        <v>34</v>
      </c>
      <c r="E749" s="13">
        <v>46227.0</v>
      </c>
      <c r="F749" s="10" t="s">
        <v>35</v>
      </c>
      <c r="G749" s="10">
        <v>11.0</v>
      </c>
      <c r="I749" s="10" t="s">
        <v>22</v>
      </c>
      <c r="J749" s="9" t="str">
        <f t="shared" si="30"/>
        <v>No</v>
      </c>
      <c r="K749" s="9" t="str">
        <f t="shared" si="31"/>
        <v/>
      </c>
      <c r="L749" s="9" t="str">
        <f t="shared" si="32"/>
        <v/>
      </c>
      <c r="M749" s="9"/>
      <c r="O749" s="9"/>
    </row>
    <row r="750" ht="15.75" customHeight="1">
      <c r="A750" s="9" t="str">
        <f>IFERROR(__xludf.DUMMYFUNCTION("IF(B750="""","""",RIGHT(REGEXREPLACE(B750&amp;"""",""[^0-9]"",""""),9))"),"723501042")</f>
        <v>723501042</v>
      </c>
      <c r="B750" s="48">
        <v>7.23501042E8</v>
      </c>
      <c r="C750" s="10" t="s">
        <v>889</v>
      </c>
      <c r="D750" s="10" t="s">
        <v>69</v>
      </c>
      <c r="E750" s="13">
        <v>46227.0</v>
      </c>
      <c r="F750" s="10" t="s">
        <v>145</v>
      </c>
      <c r="H750" s="10" t="s">
        <v>737</v>
      </c>
      <c r="I750" s="10" t="s">
        <v>22</v>
      </c>
      <c r="J750" s="9" t="str">
        <f t="shared" si="30"/>
        <v>No</v>
      </c>
      <c r="K750" s="9" t="str">
        <f t="shared" si="31"/>
        <v/>
      </c>
      <c r="L750" s="9" t="str">
        <f t="shared" si="32"/>
        <v/>
      </c>
      <c r="M750" s="9"/>
      <c r="O750" s="9"/>
    </row>
    <row r="751" ht="15.75" customHeight="1">
      <c r="A751" s="9" t="str">
        <f>IFERROR(__xludf.DUMMYFUNCTION("IF(B751="""","""",RIGHT(REGEXREPLACE(B751&amp;"""",""[^0-9]"",""""),9))"),"741131914")</f>
        <v>741131914</v>
      </c>
      <c r="B751" s="48">
        <v>9.4741131914E10</v>
      </c>
      <c r="C751" s="10" t="s">
        <v>890</v>
      </c>
      <c r="D751" s="10" t="s">
        <v>20</v>
      </c>
      <c r="E751" s="13">
        <v>46227.0</v>
      </c>
      <c r="F751" s="10" t="s">
        <v>35</v>
      </c>
      <c r="G751" s="10">
        <v>11.0</v>
      </c>
      <c r="I751" s="10" t="s">
        <v>22</v>
      </c>
      <c r="J751" s="9" t="str">
        <f t="shared" si="30"/>
        <v>No</v>
      </c>
      <c r="K751" s="9" t="str">
        <f t="shared" si="31"/>
        <v/>
      </c>
      <c r="L751" s="9" t="str">
        <f t="shared" si="32"/>
        <v/>
      </c>
      <c r="M751" s="9"/>
      <c r="O751" s="9"/>
    </row>
    <row r="752" ht="15.75" customHeight="1">
      <c r="A752" s="9" t="str">
        <f>IFERROR(__xludf.DUMMYFUNCTION("IF(B752="""","""",RIGHT(REGEXREPLACE(B752&amp;"""",""[^0-9]"",""""),9))"),"767489876")</f>
        <v>767489876</v>
      </c>
      <c r="B752" s="48">
        <v>7.67489876E8</v>
      </c>
      <c r="C752" s="10" t="s">
        <v>891</v>
      </c>
      <c r="D752" s="10" t="s">
        <v>97</v>
      </c>
      <c r="E752" s="13">
        <v>46227.0</v>
      </c>
      <c r="F752" s="10" t="s">
        <v>21</v>
      </c>
      <c r="I752" s="10" t="s">
        <v>22</v>
      </c>
      <c r="J752" s="9" t="str">
        <f t="shared" si="30"/>
        <v>No</v>
      </c>
      <c r="K752" s="9" t="str">
        <f t="shared" si="31"/>
        <v/>
      </c>
      <c r="L752" s="9" t="str">
        <f t="shared" si="32"/>
        <v/>
      </c>
      <c r="M752" s="9"/>
      <c r="O752" s="9"/>
    </row>
    <row r="753" ht="15.75" customHeight="1">
      <c r="A753" s="9" t="str">
        <f>IFERROR(__xludf.DUMMYFUNCTION("IF(B753="""","""",RIGHT(REGEXREPLACE(B753&amp;"""",""[^0-9]"",""""),9))"),"762898845")</f>
        <v>762898845</v>
      </c>
      <c r="B753" s="48">
        <v>7.62898845E8</v>
      </c>
      <c r="C753" s="10" t="s">
        <v>892</v>
      </c>
      <c r="D753" s="10" t="s">
        <v>120</v>
      </c>
      <c r="E753" s="13">
        <v>46227.0</v>
      </c>
      <c r="F753" s="10" t="s">
        <v>145</v>
      </c>
      <c r="G753" s="10">
        <v>11.0</v>
      </c>
      <c r="I753" s="10" t="s">
        <v>22</v>
      </c>
      <c r="J753" s="9" t="str">
        <f t="shared" si="30"/>
        <v>No</v>
      </c>
      <c r="K753" s="9" t="str">
        <f t="shared" si="31"/>
        <v/>
      </c>
      <c r="L753" s="9" t="str">
        <f t="shared" si="32"/>
        <v/>
      </c>
      <c r="M753" s="9"/>
      <c r="O753" s="9"/>
    </row>
    <row r="754" ht="15.75" customHeight="1">
      <c r="A754" s="9" t="str">
        <f>IFERROR(__xludf.DUMMYFUNCTION("IF(B754="""","""",RIGHT(REGEXREPLACE(B754&amp;"""",""[^0-9]"",""""),9))"),"775399961")</f>
        <v>775399961</v>
      </c>
      <c r="B754" s="48">
        <v>7.75399961E8</v>
      </c>
      <c r="C754" s="10" t="s">
        <v>893</v>
      </c>
      <c r="D754" s="10" t="s">
        <v>69</v>
      </c>
      <c r="E754" s="13">
        <v>46227.0</v>
      </c>
      <c r="F754" s="10" t="s">
        <v>198</v>
      </c>
      <c r="H754" s="10" t="s">
        <v>737</v>
      </c>
      <c r="I754" s="10" t="s">
        <v>22</v>
      </c>
      <c r="J754" s="9" t="str">
        <f t="shared" si="30"/>
        <v>No</v>
      </c>
      <c r="K754" s="9" t="str">
        <f t="shared" si="31"/>
        <v/>
      </c>
      <c r="L754" s="9" t="str">
        <f t="shared" si="32"/>
        <v/>
      </c>
      <c r="M754" s="9"/>
      <c r="O754" s="9"/>
    </row>
    <row r="755" ht="15.75" customHeight="1">
      <c r="A755" s="9" t="str">
        <f>IFERROR(__xludf.DUMMYFUNCTION("IF(B755="""","""",RIGHT(REGEXREPLACE(B755&amp;"""",""[^0-9]"",""""),9))"),"713118101")</f>
        <v>713118101</v>
      </c>
      <c r="B755" s="48">
        <v>7.13118101E8</v>
      </c>
      <c r="C755" s="10" t="s">
        <v>894</v>
      </c>
      <c r="D755" s="10" t="s">
        <v>50</v>
      </c>
      <c r="E755" s="13">
        <v>46227.0</v>
      </c>
      <c r="F755" s="10" t="s">
        <v>35</v>
      </c>
      <c r="G755" s="10">
        <v>11.0</v>
      </c>
      <c r="I755" s="10" t="s">
        <v>22</v>
      </c>
      <c r="J755" s="9" t="str">
        <f t="shared" si="30"/>
        <v>No</v>
      </c>
      <c r="K755" s="9" t="str">
        <f t="shared" si="31"/>
        <v/>
      </c>
      <c r="L755" s="9" t="str">
        <f t="shared" si="32"/>
        <v/>
      </c>
      <c r="M755" s="9"/>
      <c r="O755" s="9"/>
    </row>
    <row r="756" ht="15.75" customHeight="1">
      <c r="A756" s="9" t="str">
        <f>IFERROR(__xludf.DUMMYFUNCTION("IF(B756="""","""",RIGHT(REGEXREPLACE(B756&amp;"""",""[^0-9]"",""""),9))"),"714423443")</f>
        <v>714423443</v>
      </c>
      <c r="B756" s="48">
        <v>7.14423443E8</v>
      </c>
      <c r="C756" s="10" t="s">
        <v>17</v>
      </c>
      <c r="D756" s="10" t="s">
        <v>69</v>
      </c>
      <c r="E756" s="13">
        <v>46227.0</v>
      </c>
      <c r="F756" s="10" t="s">
        <v>113</v>
      </c>
      <c r="G756" s="10">
        <v>10.0</v>
      </c>
      <c r="H756" s="10" t="s">
        <v>737</v>
      </c>
      <c r="I756" s="10" t="s">
        <v>22</v>
      </c>
      <c r="J756" s="9" t="str">
        <f t="shared" si="30"/>
        <v>Yes - see Previous F-Code</v>
      </c>
      <c r="K756" s="9" t="str">
        <f t="shared" si="31"/>
        <v>DUPLICATE - CHECK</v>
      </c>
      <c r="L756" s="9" t="str">
        <f t="shared" si="32"/>
        <v>F70000</v>
      </c>
      <c r="M756" s="9"/>
      <c r="O756" s="9"/>
    </row>
    <row r="757" ht="15.75" customHeight="1">
      <c r="A757" s="9" t="str">
        <f>IFERROR(__xludf.DUMMYFUNCTION("IF(B757="""","""",RIGHT(REGEXREPLACE(B757&amp;"""",""[^0-9]"",""""),9))"),"772123776")</f>
        <v>772123776</v>
      </c>
      <c r="B757" s="48">
        <v>7.72123776E8</v>
      </c>
      <c r="C757" s="10" t="s">
        <v>895</v>
      </c>
      <c r="D757" s="10" t="s">
        <v>34</v>
      </c>
      <c r="E757" s="13">
        <v>46227.0</v>
      </c>
      <c r="F757" s="10" t="s">
        <v>35</v>
      </c>
      <c r="G757" s="10">
        <v>11.0</v>
      </c>
      <c r="I757" s="10" t="s">
        <v>22</v>
      </c>
      <c r="J757" s="9" t="str">
        <f t="shared" si="30"/>
        <v>No</v>
      </c>
      <c r="K757" s="9" t="str">
        <f t="shared" si="31"/>
        <v/>
      </c>
      <c r="L757" s="9" t="str">
        <f t="shared" si="32"/>
        <v/>
      </c>
      <c r="M757" s="9"/>
      <c r="O757" s="9"/>
    </row>
    <row r="758" ht="15.75" customHeight="1">
      <c r="A758" s="9" t="str">
        <f>IFERROR(__xludf.DUMMYFUNCTION("IF(B758="""","""",RIGHT(REGEXREPLACE(B758&amp;"""",""[^0-9]"",""""),9))"),"742307452")</f>
        <v>742307452</v>
      </c>
      <c r="B758" s="48">
        <v>7.42307452E8</v>
      </c>
      <c r="C758" s="10" t="s">
        <v>896</v>
      </c>
      <c r="D758" s="10" t="s">
        <v>97</v>
      </c>
      <c r="E758" s="13">
        <v>46227.0</v>
      </c>
      <c r="F758" s="10" t="s">
        <v>35</v>
      </c>
      <c r="G758" s="10">
        <v>11.0</v>
      </c>
      <c r="I758" s="10" t="s">
        <v>22</v>
      </c>
      <c r="J758" s="9" t="str">
        <f t="shared" si="30"/>
        <v>No</v>
      </c>
      <c r="K758" s="9" t="str">
        <f t="shared" si="31"/>
        <v/>
      </c>
      <c r="L758" s="9" t="str">
        <f t="shared" si="32"/>
        <v/>
      </c>
      <c r="M758" s="9"/>
      <c r="O758" s="9"/>
    </row>
    <row r="759" ht="15.75" customHeight="1">
      <c r="A759" s="9" t="str">
        <f>IFERROR(__xludf.DUMMYFUNCTION("IF(B759="""","""",RIGHT(REGEXREPLACE(B759&amp;"""",""[^0-9]"",""""),9))"),"766534640")</f>
        <v>766534640</v>
      </c>
      <c r="B759" s="48">
        <v>9.476653464E10</v>
      </c>
      <c r="C759" s="10" t="s">
        <v>897</v>
      </c>
      <c r="D759" s="10" t="s">
        <v>20</v>
      </c>
      <c r="E759" s="13">
        <v>46227.0</v>
      </c>
      <c r="F759" s="10" t="s">
        <v>35</v>
      </c>
      <c r="G759" s="10">
        <v>10.0</v>
      </c>
      <c r="I759" s="10" t="s">
        <v>22</v>
      </c>
      <c r="J759" s="9" t="str">
        <f t="shared" si="30"/>
        <v>No</v>
      </c>
      <c r="K759" s="9" t="str">
        <f t="shared" si="31"/>
        <v/>
      </c>
      <c r="L759" s="9" t="str">
        <f t="shared" si="32"/>
        <v/>
      </c>
      <c r="M759" s="9"/>
      <c r="O759" s="9"/>
    </row>
    <row r="760" ht="15.75" customHeight="1">
      <c r="A760" s="9" t="str">
        <f>IFERROR(__xludf.DUMMYFUNCTION("IF(B760="""","""",RIGHT(REGEXREPLACE(B760&amp;"""",""[^0-9]"",""""),9))"),"702761194")</f>
        <v>702761194</v>
      </c>
      <c r="B760" s="48">
        <v>7.02761194E8</v>
      </c>
      <c r="C760" s="10" t="s">
        <v>898</v>
      </c>
      <c r="D760" s="10" t="s">
        <v>50</v>
      </c>
      <c r="E760" s="13">
        <v>46227.0</v>
      </c>
      <c r="F760" s="10" t="s">
        <v>21</v>
      </c>
      <c r="I760" s="10" t="s">
        <v>22</v>
      </c>
      <c r="J760" s="9" t="str">
        <f t="shared" si="30"/>
        <v>No</v>
      </c>
      <c r="K760" s="9" t="str">
        <f t="shared" si="31"/>
        <v/>
      </c>
      <c r="L760" s="9" t="str">
        <f t="shared" si="32"/>
        <v/>
      </c>
      <c r="M760" s="9"/>
      <c r="O760" s="9"/>
    </row>
    <row r="761" ht="15.75" customHeight="1">
      <c r="A761" s="9" t="str">
        <f>IFERROR(__xludf.DUMMYFUNCTION("IF(B761="""","""",RIGHT(REGEXREPLACE(B761&amp;"""",""[^0-9]"",""""),9))"),"743579768")</f>
        <v>743579768</v>
      </c>
      <c r="B761" s="48">
        <v>7.43579768E8</v>
      </c>
      <c r="C761" s="10" t="s">
        <v>899</v>
      </c>
      <c r="D761" s="10" t="s">
        <v>97</v>
      </c>
      <c r="E761" s="13">
        <v>46227.0</v>
      </c>
      <c r="F761" s="10" t="s">
        <v>35</v>
      </c>
      <c r="G761" s="10">
        <v>11.0</v>
      </c>
      <c r="I761" s="10" t="s">
        <v>22</v>
      </c>
      <c r="J761" s="9" t="str">
        <f t="shared" si="30"/>
        <v>No</v>
      </c>
      <c r="K761" s="9" t="str">
        <f t="shared" si="31"/>
        <v/>
      </c>
      <c r="L761" s="9" t="str">
        <f t="shared" si="32"/>
        <v/>
      </c>
      <c r="M761" s="9"/>
      <c r="O761" s="9"/>
    </row>
    <row r="762" ht="15.75" customHeight="1">
      <c r="A762" s="9" t="str">
        <f>IFERROR(__xludf.DUMMYFUNCTION("IF(B762="""","""",RIGHT(REGEXREPLACE(B762&amp;"""",""[^0-9]"",""""),9))"),"752337914")</f>
        <v>752337914</v>
      </c>
      <c r="B762" s="48">
        <v>7.52337914E8</v>
      </c>
      <c r="C762" s="10" t="s">
        <v>900</v>
      </c>
      <c r="D762" s="10" t="s">
        <v>120</v>
      </c>
      <c r="E762" s="13">
        <v>46227.0</v>
      </c>
      <c r="F762" s="10" t="s">
        <v>35</v>
      </c>
      <c r="G762" s="10">
        <v>11.0</v>
      </c>
      <c r="I762" s="10" t="s">
        <v>22</v>
      </c>
      <c r="J762" s="9" t="str">
        <f t="shared" si="30"/>
        <v>No</v>
      </c>
      <c r="K762" s="9" t="str">
        <f t="shared" si="31"/>
        <v/>
      </c>
      <c r="L762" s="9" t="str">
        <f t="shared" si="32"/>
        <v/>
      </c>
      <c r="M762" s="9"/>
      <c r="O762" s="9"/>
    </row>
    <row r="763" ht="15.75" customHeight="1">
      <c r="A763" s="9" t="str">
        <f>IFERROR(__xludf.DUMMYFUNCTION("IF(B763="""","""",RIGHT(REGEXREPLACE(B763&amp;"""",""[^0-9]"",""""),9))"),"755378220")</f>
        <v>755378220</v>
      </c>
      <c r="B763" s="48">
        <v>7.5537822E8</v>
      </c>
      <c r="C763" s="10" t="s">
        <v>901</v>
      </c>
      <c r="D763" s="10" t="s">
        <v>97</v>
      </c>
      <c r="E763" s="13">
        <v>46227.0</v>
      </c>
      <c r="F763" s="10" t="s">
        <v>198</v>
      </c>
      <c r="G763" s="10">
        <v>11.0</v>
      </c>
      <c r="I763" s="10" t="s">
        <v>22</v>
      </c>
      <c r="J763" s="9" t="str">
        <f t="shared" si="30"/>
        <v>No</v>
      </c>
      <c r="K763" s="9" t="str">
        <f t="shared" si="31"/>
        <v/>
      </c>
      <c r="L763" s="9" t="str">
        <f t="shared" si="32"/>
        <v/>
      </c>
      <c r="M763" s="9"/>
      <c r="O763" s="9"/>
    </row>
    <row r="764" ht="15.75" customHeight="1">
      <c r="A764" s="9" t="str">
        <f>IFERROR(__xludf.DUMMYFUNCTION("IF(B764="""","""",RIGHT(REGEXREPLACE(B764&amp;"""",""[^0-9]"",""""),9))"),"754951038")</f>
        <v>754951038</v>
      </c>
      <c r="B764" s="48">
        <v>7.54951038E8</v>
      </c>
      <c r="C764" s="10" t="s">
        <v>902</v>
      </c>
      <c r="D764" s="10" t="s">
        <v>34</v>
      </c>
      <c r="E764" s="13">
        <v>46227.0</v>
      </c>
      <c r="F764" s="10" t="s">
        <v>113</v>
      </c>
      <c r="H764" s="10" t="s">
        <v>622</v>
      </c>
      <c r="I764" s="10" t="s">
        <v>22</v>
      </c>
      <c r="J764" s="9" t="str">
        <f t="shared" si="30"/>
        <v>No</v>
      </c>
      <c r="K764" s="9" t="str">
        <f t="shared" si="31"/>
        <v/>
      </c>
      <c r="L764" s="9" t="str">
        <f t="shared" si="32"/>
        <v/>
      </c>
      <c r="M764" s="9"/>
      <c r="O764" s="9"/>
    </row>
    <row r="765" ht="15.75" customHeight="1">
      <c r="A765" s="9" t="str">
        <f>IFERROR(__xludf.DUMMYFUNCTION("IF(B765="""","""",RIGHT(REGEXREPLACE(B765&amp;"""",""[^0-9]"",""""),9))"),"765662830")</f>
        <v>765662830</v>
      </c>
      <c r="B765" s="48">
        <v>7.6566283E8</v>
      </c>
      <c r="C765" s="10" t="s">
        <v>903</v>
      </c>
      <c r="D765" s="10" t="s">
        <v>69</v>
      </c>
      <c r="E765" s="13">
        <v>46227.0</v>
      </c>
      <c r="F765" s="10" t="s">
        <v>21</v>
      </c>
      <c r="G765" s="10">
        <v>11.0</v>
      </c>
      <c r="H765" s="10" t="s">
        <v>737</v>
      </c>
      <c r="I765" s="10" t="s">
        <v>22</v>
      </c>
      <c r="J765" s="9" t="str">
        <f t="shared" si="30"/>
        <v>No</v>
      </c>
      <c r="K765" s="9" t="str">
        <f t="shared" si="31"/>
        <v/>
      </c>
      <c r="L765" s="9" t="str">
        <f t="shared" si="32"/>
        <v/>
      </c>
      <c r="M765" s="9"/>
      <c r="O765" s="9"/>
    </row>
    <row r="766" ht="15.75" customHeight="1">
      <c r="A766" s="9" t="str">
        <f>IFERROR(__xludf.DUMMYFUNCTION("IF(B766="""","""",RIGHT(REGEXREPLACE(B766&amp;"""",""[^0-9]"",""""),9))"),"705633291")</f>
        <v>705633291</v>
      </c>
      <c r="B766" s="48">
        <v>9.4705633291E10</v>
      </c>
      <c r="C766" s="10" t="s">
        <v>904</v>
      </c>
      <c r="D766" s="10" t="s">
        <v>20</v>
      </c>
      <c r="E766" s="13">
        <v>46227.0</v>
      </c>
      <c r="F766" s="10" t="s">
        <v>113</v>
      </c>
      <c r="I766" s="10" t="s">
        <v>22</v>
      </c>
      <c r="J766" s="9" t="str">
        <f t="shared" si="30"/>
        <v>No</v>
      </c>
      <c r="K766" s="9" t="str">
        <f t="shared" si="31"/>
        <v/>
      </c>
      <c r="L766" s="9" t="str">
        <f t="shared" si="32"/>
        <v/>
      </c>
      <c r="M766" s="9"/>
      <c r="O766" s="9"/>
    </row>
    <row r="767" ht="15.75" customHeight="1">
      <c r="A767" s="9" t="str">
        <f>IFERROR(__xludf.DUMMYFUNCTION("IF(B767="""","""",RIGHT(REGEXREPLACE(B767&amp;"""",""[^0-9]"",""""),9))"),"725587036")</f>
        <v>725587036</v>
      </c>
      <c r="B767" s="48">
        <v>7.25587036E8</v>
      </c>
      <c r="C767" s="10" t="s">
        <v>905</v>
      </c>
      <c r="D767" s="10" t="s">
        <v>50</v>
      </c>
      <c r="E767" s="13">
        <v>46227.0</v>
      </c>
      <c r="F767" s="10" t="s">
        <v>35</v>
      </c>
      <c r="G767" s="10">
        <v>11.0</v>
      </c>
      <c r="I767" s="10" t="s">
        <v>22</v>
      </c>
      <c r="J767" s="9" t="str">
        <f t="shared" si="30"/>
        <v>No</v>
      </c>
      <c r="K767" s="9" t="str">
        <f t="shared" si="31"/>
        <v/>
      </c>
      <c r="L767" s="9" t="str">
        <f t="shared" si="32"/>
        <v/>
      </c>
      <c r="M767" s="9"/>
      <c r="O767" s="9"/>
    </row>
    <row r="768" ht="15.75" customHeight="1">
      <c r="A768" s="9" t="str">
        <f>IFERROR(__xludf.DUMMYFUNCTION("IF(B768="""","""",RIGHT(REGEXREPLACE(B768&amp;"""",""[^0-9]"",""""),9))"),"716671576")</f>
        <v>716671576</v>
      </c>
      <c r="B768" s="48">
        <v>7.16671576E8</v>
      </c>
      <c r="C768" s="10" t="s">
        <v>906</v>
      </c>
      <c r="D768" s="10" t="s">
        <v>120</v>
      </c>
      <c r="E768" s="13">
        <v>46227.0</v>
      </c>
      <c r="F768" s="10" t="s">
        <v>648</v>
      </c>
      <c r="I768" s="10" t="s">
        <v>22</v>
      </c>
      <c r="J768" s="9" t="str">
        <f t="shared" si="30"/>
        <v>No</v>
      </c>
      <c r="K768" s="9" t="str">
        <f t="shared" si="31"/>
        <v/>
      </c>
      <c r="L768" s="9" t="str">
        <f t="shared" si="32"/>
        <v/>
      </c>
      <c r="M768" s="9"/>
      <c r="O768" s="9"/>
    </row>
    <row r="769" ht="15.75" customHeight="1">
      <c r="A769" s="9" t="str">
        <f>IFERROR(__xludf.DUMMYFUNCTION("IF(B769="""","""",RIGHT(REGEXREPLACE(B769&amp;"""",""[^0-9]"",""""),9))"),"754951038")</f>
        <v>754951038</v>
      </c>
      <c r="B769" s="48">
        <v>7.54951038E8</v>
      </c>
      <c r="C769" s="10" t="s">
        <v>902</v>
      </c>
      <c r="D769" s="10" t="s">
        <v>34</v>
      </c>
      <c r="E769" s="13">
        <v>46227.0</v>
      </c>
      <c r="F769" s="10" t="s">
        <v>113</v>
      </c>
      <c r="G769" s="10">
        <v>8.0</v>
      </c>
      <c r="H769" s="10" t="s">
        <v>622</v>
      </c>
      <c r="I769" s="10" t="s">
        <v>22</v>
      </c>
      <c r="J769" s="9" t="str">
        <f t="shared" si="30"/>
        <v>Yes - see Previous F-Code</v>
      </c>
      <c r="K769" s="9" t="str">
        <f t="shared" si="31"/>
        <v>DUPLICATE - CHECK</v>
      </c>
      <c r="L769" s="9" t="str">
        <f t="shared" si="32"/>
        <v>F70727</v>
      </c>
      <c r="M769" s="9"/>
      <c r="O769" s="9"/>
    </row>
    <row r="770" ht="15.75" customHeight="1">
      <c r="A770" s="9" t="str">
        <f>IFERROR(__xludf.DUMMYFUNCTION("IF(B770="""","""",RIGHT(REGEXREPLACE(B770&amp;"""",""[^0-9]"",""""),9))"),"768764898")</f>
        <v>768764898</v>
      </c>
      <c r="B770" s="48">
        <v>7.68764898E8</v>
      </c>
      <c r="C770" s="10" t="s">
        <v>907</v>
      </c>
      <c r="D770" s="10" t="s">
        <v>97</v>
      </c>
      <c r="E770" s="13">
        <v>46227.0</v>
      </c>
      <c r="F770" s="10" t="s">
        <v>145</v>
      </c>
      <c r="G770" s="10">
        <v>10.0</v>
      </c>
      <c r="I770" s="10" t="s">
        <v>22</v>
      </c>
      <c r="J770" s="9" t="str">
        <f t="shared" si="30"/>
        <v>No</v>
      </c>
      <c r="K770" s="9" t="str">
        <f t="shared" si="31"/>
        <v/>
      </c>
      <c r="L770" s="9" t="str">
        <f t="shared" si="32"/>
        <v/>
      </c>
      <c r="M770" s="9"/>
      <c r="O770" s="9"/>
    </row>
    <row r="771" ht="15.75" customHeight="1">
      <c r="A771" s="9" t="str">
        <f>IFERROR(__xludf.DUMMYFUNCTION("IF(B771="""","""",RIGHT(REGEXREPLACE(B771&amp;"""",""[^0-9]"",""""),9))"),"718883330")</f>
        <v>718883330</v>
      </c>
      <c r="B771" s="48">
        <v>7.1888333E8</v>
      </c>
      <c r="C771" s="10" t="s">
        <v>908</v>
      </c>
      <c r="D771" s="10" t="s">
        <v>69</v>
      </c>
      <c r="E771" s="13">
        <v>46227.0</v>
      </c>
      <c r="F771" s="10" t="s">
        <v>21</v>
      </c>
      <c r="H771" s="10" t="s">
        <v>737</v>
      </c>
      <c r="I771" s="10" t="s">
        <v>22</v>
      </c>
      <c r="J771" s="9" t="str">
        <f t="shared" si="30"/>
        <v>No</v>
      </c>
      <c r="K771" s="9" t="str">
        <f t="shared" si="31"/>
        <v/>
      </c>
      <c r="L771" s="9" t="str">
        <f t="shared" si="32"/>
        <v/>
      </c>
      <c r="M771" s="9"/>
      <c r="O771" s="9"/>
    </row>
    <row r="772" ht="15.75" customHeight="1">
      <c r="A772" s="9" t="str">
        <f>IFERROR(__xludf.DUMMYFUNCTION("IF(B772="""","""",RIGHT(REGEXREPLACE(B772&amp;"""",""[^0-9]"",""""),9))"),"769318492")</f>
        <v>769318492</v>
      </c>
      <c r="B772" s="48">
        <v>9.4769318492E10</v>
      </c>
      <c r="C772" s="10" t="s">
        <v>909</v>
      </c>
      <c r="D772" s="10" t="s">
        <v>20</v>
      </c>
      <c r="E772" s="13">
        <v>46227.0</v>
      </c>
      <c r="F772" s="10" t="s">
        <v>171</v>
      </c>
      <c r="I772" s="10" t="s">
        <v>22</v>
      </c>
      <c r="J772" s="9" t="str">
        <f t="shared" si="30"/>
        <v>No</v>
      </c>
      <c r="K772" s="9" t="str">
        <f t="shared" si="31"/>
        <v/>
      </c>
      <c r="L772" s="9" t="str">
        <f t="shared" si="32"/>
        <v/>
      </c>
      <c r="M772" s="9"/>
      <c r="O772" s="9"/>
    </row>
    <row r="773" ht="15.75" customHeight="1">
      <c r="A773" s="9" t="str">
        <f>IFERROR(__xludf.DUMMYFUNCTION("IF(B773="""","""",RIGHT(REGEXREPLACE(B773&amp;"""",""[^0-9]"",""""),9))"),"763579620")</f>
        <v>763579620</v>
      </c>
      <c r="B773" s="48">
        <v>7.6357962E8</v>
      </c>
      <c r="C773" s="10" t="s">
        <v>910</v>
      </c>
      <c r="D773" s="10" t="s">
        <v>120</v>
      </c>
      <c r="E773" s="13">
        <v>46227.0</v>
      </c>
      <c r="F773" s="10" t="s">
        <v>35</v>
      </c>
      <c r="G773" s="10">
        <v>11.0</v>
      </c>
      <c r="I773" s="10" t="s">
        <v>22</v>
      </c>
      <c r="J773" s="9" t="str">
        <f t="shared" si="30"/>
        <v>No</v>
      </c>
      <c r="K773" s="9" t="str">
        <f t="shared" si="31"/>
        <v/>
      </c>
      <c r="L773" s="9" t="str">
        <f t="shared" si="32"/>
        <v/>
      </c>
      <c r="M773" s="9"/>
      <c r="O773" s="9"/>
    </row>
    <row r="774" ht="15.75" customHeight="1">
      <c r="A774" s="9" t="str">
        <f>IFERROR(__xludf.DUMMYFUNCTION("IF(B774="""","""",RIGHT(REGEXREPLACE(B774&amp;"""",""[^0-9]"",""""),9))"),"774359975")</f>
        <v>774359975</v>
      </c>
      <c r="B774" s="48">
        <v>7.74359975E8</v>
      </c>
      <c r="C774" s="10" t="s">
        <v>911</v>
      </c>
      <c r="D774" s="10" t="s">
        <v>34</v>
      </c>
      <c r="E774" s="13">
        <v>46227.0</v>
      </c>
      <c r="F774" s="10" t="s">
        <v>21</v>
      </c>
      <c r="H774" s="10" t="s">
        <v>622</v>
      </c>
      <c r="I774" s="10" t="s">
        <v>22</v>
      </c>
      <c r="J774" s="9" t="str">
        <f t="shared" si="30"/>
        <v>No</v>
      </c>
      <c r="K774" s="9" t="str">
        <f t="shared" si="31"/>
        <v/>
      </c>
      <c r="L774" s="9" t="str">
        <f t="shared" si="32"/>
        <v/>
      </c>
      <c r="M774" s="9"/>
      <c r="O774" s="9"/>
    </row>
    <row r="775" ht="15.75" customHeight="1">
      <c r="A775" s="9" t="str">
        <f>IFERROR(__xludf.DUMMYFUNCTION("IF(B775="""","""",RIGHT(REGEXREPLACE(B775&amp;"""",""[^0-9]"",""""),9))"),"768386634")</f>
        <v>768386634</v>
      </c>
      <c r="B775" s="48">
        <v>7.68386634E8</v>
      </c>
      <c r="C775" s="10" t="s">
        <v>912</v>
      </c>
      <c r="D775" s="10" t="s">
        <v>50</v>
      </c>
      <c r="E775" s="13">
        <v>46227.0</v>
      </c>
      <c r="F775" s="10" t="s">
        <v>198</v>
      </c>
      <c r="G775" s="10">
        <v>10.0</v>
      </c>
      <c r="I775" s="10" t="s">
        <v>22</v>
      </c>
      <c r="J775" s="9" t="str">
        <f t="shared" si="30"/>
        <v>No</v>
      </c>
      <c r="K775" s="9" t="str">
        <f t="shared" si="31"/>
        <v/>
      </c>
      <c r="L775" s="9" t="str">
        <f t="shared" si="32"/>
        <v/>
      </c>
      <c r="M775" s="9"/>
      <c r="O775" s="9"/>
    </row>
    <row r="776" ht="15.75" customHeight="1">
      <c r="A776" s="9" t="str">
        <f>IFERROR(__xludf.DUMMYFUNCTION("IF(B776="""","""",RIGHT(REGEXREPLACE(B776&amp;"""",""[^0-9]"",""""),9))"),"768764898")</f>
        <v>768764898</v>
      </c>
      <c r="B776" s="48">
        <v>7.68764898E8</v>
      </c>
      <c r="C776" s="10" t="s">
        <v>907</v>
      </c>
      <c r="D776" s="10" t="s">
        <v>97</v>
      </c>
      <c r="E776" s="13">
        <v>46227.0</v>
      </c>
      <c r="F776" s="10" t="s">
        <v>21</v>
      </c>
      <c r="I776" s="10" t="s">
        <v>22</v>
      </c>
      <c r="J776" s="9" t="str">
        <f t="shared" si="30"/>
        <v>Yes - see Previous F-Code</v>
      </c>
      <c r="K776" s="9" t="str">
        <f t="shared" si="31"/>
        <v>DUPLICATE - CHECK</v>
      </c>
      <c r="L776" s="9" t="str">
        <f t="shared" si="32"/>
        <v>F70733</v>
      </c>
      <c r="M776" s="9"/>
      <c r="O776" s="9"/>
    </row>
    <row r="777" ht="15.75" customHeight="1">
      <c r="A777" s="9" t="str">
        <f>IFERROR(__xludf.DUMMYFUNCTION("IF(B777="""","""",RIGHT(REGEXREPLACE(B777&amp;"""",""[^0-9]"",""""),9))"),"770435414")</f>
        <v>770435414</v>
      </c>
      <c r="B777" s="48">
        <v>7.70435414E8</v>
      </c>
      <c r="C777" s="10" t="s">
        <v>913</v>
      </c>
      <c r="D777" s="10" t="s">
        <v>34</v>
      </c>
      <c r="E777" s="13">
        <v>46227.0</v>
      </c>
      <c r="F777" s="10" t="s">
        <v>21</v>
      </c>
      <c r="H777" s="10" t="s">
        <v>622</v>
      </c>
      <c r="I777" s="10" t="s">
        <v>22</v>
      </c>
      <c r="J777" s="9" t="str">
        <f t="shared" si="30"/>
        <v>No</v>
      </c>
      <c r="K777" s="9" t="str">
        <f t="shared" si="31"/>
        <v/>
      </c>
      <c r="L777" s="9" t="str">
        <f t="shared" si="32"/>
        <v/>
      </c>
      <c r="M777" s="9"/>
      <c r="O777" s="9"/>
    </row>
    <row r="778" ht="15.75" customHeight="1">
      <c r="A778" s="9" t="str">
        <f>IFERROR(__xludf.DUMMYFUNCTION("IF(B778="""","""",RIGHT(REGEXREPLACE(B778&amp;"""",""[^0-9]"",""""),9))"),"760251086")</f>
        <v>760251086</v>
      </c>
      <c r="B778" s="48">
        <v>7.60251086E8</v>
      </c>
      <c r="C778" s="10" t="s">
        <v>914</v>
      </c>
      <c r="D778" s="10" t="s">
        <v>69</v>
      </c>
      <c r="E778" s="13">
        <v>46227.0</v>
      </c>
      <c r="F778" s="10" t="s">
        <v>35</v>
      </c>
      <c r="G778" s="10">
        <v>11.0</v>
      </c>
      <c r="I778" s="10" t="s">
        <v>22</v>
      </c>
      <c r="J778" s="9" t="str">
        <f t="shared" si="30"/>
        <v>No</v>
      </c>
      <c r="K778" s="9" t="str">
        <f t="shared" si="31"/>
        <v/>
      </c>
      <c r="L778" s="9" t="str">
        <f t="shared" si="32"/>
        <v/>
      </c>
      <c r="M778" s="9"/>
      <c r="O778" s="9"/>
    </row>
    <row r="779" ht="15.75" customHeight="1">
      <c r="A779" s="9" t="str">
        <f>IFERROR(__xludf.DUMMYFUNCTION("IF(B779="""","""",RIGHT(REGEXREPLACE(B779&amp;"""",""[^0-9]"",""""),9))"),"760046295")</f>
        <v>760046295</v>
      </c>
      <c r="B779" s="48">
        <v>7.60046295E8</v>
      </c>
      <c r="C779" s="10" t="s">
        <v>915</v>
      </c>
      <c r="D779" s="10" t="s">
        <v>34</v>
      </c>
      <c r="E779" s="13">
        <v>46227.0</v>
      </c>
      <c r="F779" s="10" t="s">
        <v>35</v>
      </c>
      <c r="G779" s="10">
        <v>11.0</v>
      </c>
      <c r="I779" s="10" t="s">
        <v>22</v>
      </c>
      <c r="J779" s="9" t="str">
        <f t="shared" si="30"/>
        <v>No</v>
      </c>
      <c r="K779" s="9" t="str">
        <f t="shared" si="31"/>
        <v/>
      </c>
      <c r="L779" s="9" t="str">
        <f t="shared" si="32"/>
        <v/>
      </c>
      <c r="M779" s="9"/>
      <c r="O779" s="9"/>
    </row>
    <row r="780" ht="15.75" customHeight="1">
      <c r="A780" s="9" t="str">
        <f>IFERROR(__xludf.DUMMYFUNCTION("IF(B780="""","""",RIGHT(REGEXREPLACE(B780&amp;"""",""[^0-9]"",""""),9))"),"768968221")</f>
        <v>768968221</v>
      </c>
      <c r="B780" s="48">
        <v>7.68968221E8</v>
      </c>
      <c r="C780" s="10" t="s">
        <v>916</v>
      </c>
      <c r="D780" s="10" t="s">
        <v>50</v>
      </c>
      <c r="E780" s="13">
        <v>46227.0</v>
      </c>
      <c r="F780" s="10" t="s">
        <v>35</v>
      </c>
      <c r="G780" s="10">
        <v>11.0</v>
      </c>
      <c r="I780" s="10" t="s">
        <v>22</v>
      </c>
      <c r="J780" s="9" t="str">
        <f t="shared" si="30"/>
        <v>No</v>
      </c>
      <c r="K780" s="9" t="str">
        <f t="shared" si="31"/>
        <v/>
      </c>
      <c r="L780" s="9" t="str">
        <f t="shared" si="32"/>
        <v/>
      </c>
      <c r="M780" s="9"/>
      <c r="O780" s="9"/>
    </row>
    <row r="781" ht="15.75" customHeight="1">
      <c r="A781" s="9" t="str">
        <f>IFERROR(__xludf.DUMMYFUNCTION("IF(B781="""","""",RIGHT(REGEXREPLACE(B781&amp;"""",""[^0-9]"",""""),9))"),"777333226")</f>
        <v>777333226</v>
      </c>
      <c r="B781" s="48">
        <v>7.77333226E8</v>
      </c>
      <c r="C781" s="10" t="s">
        <v>917</v>
      </c>
      <c r="D781" s="10" t="s">
        <v>120</v>
      </c>
      <c r="E781" s="13">
        <v>46227.0</v>
      </c>
      <c r="F781" s="10" t="s">
        <v>35</v>
      </c>
      <c r="G781" s="10">
        <v>11.0</v>
      </c>
      <c r="I781" s="10" t="s">
        <v>22</v>
      </c>
      <c r="J781" s="9" t="str">
        <f t="shared" si="30"/>
        <v>No</v>
      </c>
      <c r="K781" s="9" t="str">
        <f t="shared" si="31"/>
        <v/>
      </c>
      <c r="L781" s="9" t="str">
        <f t="shared" si="32"/>
        <v/>
      </c>
      <c r="M781" s="9"/>
      <c r="O781" s="9"/>
    </row>
    <row r="782" ht="15.75" customHeight="1">
      <c r="A782" s="9" t="str">
        <f>IFERROR(__xludf.DUMMYFUNCTION("IF(B782="""","""",RIGHT(REGEXREPLACE(B782&amp;"""",""[^0-9]"",""""),9))"),"703274262")</f>
        <v>703274262</v>
      </c>
      <c r="B782" s="48">
        <v>7.03274262E8</v>
      </c>
      <c r="C782" s="10" t="s">
        <v>918</v>
      </c>
      <c r="D782" s="10" t="s">
        <v>69</v>
      </c>
      <c r="E782" s="13">
        <v>46227.0</v>
      </c>
      <c r="F782" s="10" t="s">
        <v>35</v>
      </c>
      <c r="G782" s="10">
        <v>7.0</v>
      </c>
      <c r="H782" s="10" t="s">
        <v>716</v>
      </c>
      <c r="I782" s="10" t="s">
        <v>22</v>
      </c>
      <c r="J782" s="9" t="str">
        <f t="shared" si="30"/>
        <v>No</v>
      </c>
      <c r="K782" s="9" t="str">
        <f t="shared" si="31"/>
        <v/>
      </c>
      <c r="L782" s="9" t="str">
        <f t="shared" si="32"/>
        <v/>
      </c>
      <c r="M782" s="9"/>
      <c r="O782" s="9"/>
    </row>
    <row r="783" ht="15.75" customHeight="1">
      <c r="A783" s="9" t="str">
        <f>IFERROR(__xludf.DUMMYFUNCTION("IF(B783="""","""",RIGHT(REGEXREPLACE(B783&amp;"""",""[^0-9]"",""""),9))"),"768207143")</f>
        <v>768207143</v>
      </c>
      <c r="B783" s="48">
        <v>7.68207143E8</v>
      </c>
      <c r="C783" s="10" t="s">
        <v>919</v>
      </c>
      <c r="D783" s="10" t="s">
        <v>97</v>
      </c>
      <c r="E783" s="13">
        <v>46227.0</v>
      </c>
      <c r="F783" s="10" t="s">
        <v>198</v>
      </c>
      <c r="G783" s="10">
        <v>11.0</v>
      </c>
      <c r="I783" s="10" t="s">
        <v>22</v>
      </c>
      <c r="J783" s="9" t="str">
        <f t="shared" si="30"/>
        <v>No</v>
      </c>
      <c r="K783" s="9" t="str">
        <f t="shared" si="31"/>
        <v/>
      </c>
      <c r="L783" s="9" t="str">
        <f t="shared" si="32"/>
        <v/>
      </c>
      <c r="M783" s="9"/>
      <c r="O783" s="9"/>
    </row>
    <row r="784" ht="15.75" customHeight="1">
      <c r="A784" s="9" t="str">
        <f>IFERROR(__xludf.DUMMYFUNCTION("IF(B784="""","""",RIGHT(REGEXREPLACE(B784&amp;"""",""[^0-9]"",""""),9))"),"774609934")</f>
        <v>774609934</v>
      </c>
      <c r="B784" s="48">
        <v>7.74609934E8</v>
      </c>
      <c r="C784" s="10" t="s">
        <v>920</v>
      </c>
      <c r="D784" s="10" t="s">
        <v>120</v>
      </c>
      <c r="E784" s="13">
        <v>46227.0</v>
      </c>
      <c r="F784" s="10" t="s">
        <v>604</v>
      </c>
      <c r="G784" s="10">
        <v>11.0</v>
      </c>
      <c r="I784" s="10" t="s">
        <v>22</v>
      </c>
      <c r="J784" s="9" t="str">
        <f t="shared" si="30"/>
        <v>No</v>
      </c>
      <c r="K784" s="9" t="str">
        <f t="shared" si="31"/>
        <v/>
      </c>
      <c r="L784" s="9" t="str">
        <f t="shared" si="32"/>
        <v/>
      </c>
      <c r="M784" s="9"/>
      <c r="O784" s="9"/>
    </row>
    <row r="785" ht="15.75" customHeight="1">
      <c r="A785" s="9" t="str">
        <f>IFERROR(__xludf.DUMMYFUNCTION("IF(B785="""","""",RIGHT(REGEXREPLACE(B785&amp;"""",""[^0-9]"",""""),9))"),"784993976")</f>
        <v>784993976</v>
      </c>
      <c r="B785" s="48">
        <v>7.84993976E8</v>
      </c>
      <c r="C785" s="10" t="s">
        <v>921</v>
      </c>
      <c r="D785" s="10" t="s">
        <v>50</v>
      </c>
      <c r="E785" s="13">
        <v>46227.0</v>
      </c>
      <c r="F785" s="10" t="s">
        <v>145</v>
      </c>
      <c r="G785" s="10">
        <v>7.0</v>
      </c>
      <c r="I785" s="10" t="s">
        <v>22</v>
      </c>
      <c r="J785" s="9" t="str">
        <f t="shared" si="30"/>
        <v>No</v>
      </c>
      <c r="K785" s="9" t="str">
        <f t="shared" si="31"/>
        <v/>
      </c>
      <c r="L785" s="9" t="str">
        <f t="shared" si="32"/>
        <v/>
      </c>
      <c r="M785" s="9"/>
      <c r="O785" s="9"/>
    </row>
    <row r="786" ht="15.75" customHeight="1">
      <c r="A786" s="9" t="str">
        <f>IFERROR(__xludf.DUMMYFUNCTION("IF(B786="""","""",RIGHT(REGEXREPLACE(B786&amp;"""",""[^0-9]"",""""),9))"),"761937536")</f>
        <v>761937536</v>
      </c>
      <c r="B786" s="48">
        <v>7.61937536E8</v>
      </c>
      <c r="C786" s="10" t="s">
        <v>922</v>
      </c>
      <c r="D786" s="10" t="s">
        <v>97</v>
      </c>
      <c r="E786" s="13">
        <v>46227.0</v>
      </c>
      <c r="F786" s="10" t="s">
        <v>648</v>
      </c>
      <c r="I786" s="10" t="s">
        <v>22</v>
      </c>
      <c r="J786" s="9" t="str">
        <f t="shared" si="30"/>
        <v>No</v>
      </c>
      <c r="K786" s="9" t="str">
        <f t="shared" si="31"/>
        <v/>
      </c>
      <c r="L786" s="9" t="str">
        <f t="shared" si="32"/>
        <v/>
      </c>
      <c r="M786" s="9"/>
      <c r="O786" s="9"/>
    </row>
    <row r="787" ht="15.75" customHeight="1">
      <c r="A787" s="9" t="str">
        <f>IFERROR(__xludf.DUMMYFUNCTION("IF(B787="""","""",RIGHT(REGEXREPLACE(B787&amp;"""",""[^0-9]"",""""),9))"),"703642100")</f>
        <v>703642100</v>
      </c>
      <c r="B787" s="48">
        <v>7.036421E8</v>
      </c>
      <c r="C787" s="10" t="s">
        <v>923</v>
      </c>
      <c r="D787" s="10" t="s">
        <v>69</v>
      </c>
      <c r="E787" s="13">
        <v>46227.0</v>
      </c>
      <c r="F787" s="10" t="s">
        <v>551</v>
      </c>
      <c r="G787" s="10">
        <v>11.0</v>
      </c>
      <c r="H787" s="10" t="s">
        <v>716</v>
      </c>
      <c r="I787" s="10" t="s">
        <v>22</v>
      </c>
      <c r="J787" s="9" t="str">
        <f t="shared" si="30"/>
        <v>No</v>
      </c>
      <c r="K787" s="9" t="str">
        <f t="shared" si="31"/>
        <v/>
      </c>
      <c r="L787" s="9" t="str">
        <f t="shared" si="32"/>
        <v/>
      </c>
      <c r="M787" s="9"/>
      <c r="O787" s="9"/>
    </row>
    <row r="788" ht="15.75" customHeight="1">
      <c r="A788" s="9" t="str">
        <f>IFERROR(__xludf.DUMMYFUNCTION("IF(B788="""","""",RIGHT(REGEXREPLACE(B788&amp;"""",""[^0-9]"",""""),9))"),"707571710")</f>
        <v>707571710</v>
      </c>
      <c r="B788" s="48">
        <v>7.0757171E8</v>
      </c>
      <c r="C788" s="10" t="s">
        <v>924</v>
      </c>
      <c r="D788" s="10" t="s">
        <v>50</v>
      </c>
      <c r="E788" s="13">
        <v>46227.0</v>
      </c>
      <c r="F788" s="10" t="s">
        <v>21</v>
      </c>
      <c r="G788" s="10">
        <v>10.0</v>
      </c>
      <c r="I788" s="10" t="s">
        <v>22</v>
      </c>
      <c r="J788" s="9" t="str">
        <f t="shared" si="30"/>
        <v>No</v>
      </c>
      <c r="K788" s="9" t="str">
        <f t="shared" si="31"/>
        <v/>
      </c>
      <c r="L788" s="9" t="str">
        <f t="shared" si="32"/>
        <v/>
      </c>
      <c r="M788" s="9"/>
      <c r="O788" s="9"/>
    </row>
    <row r="789" ht="15.75" customHeight="1">
      <c r="A789" s="9" t="str">
        <f>IFERROR(__xludf.DUMMYFUNCTION("IF(B789="""","""",RIGHT(REGEXREPLACE(B789&amp;"""",""[^0-9]"",""""),9))"),"770865623")</f>
        <v>770865623</v>
      </c>
      <c r="B789" s="48">
        <v>7.70865623E8</v>
      </c>
      <c r="C789" s="10" t="s">
        <v>925</v>
      </c>
      <c r="D789" s="10" t="s">
        <v>120</v>
      </c>
      <c r="E789" s="13">
        <v>46227.0</v>
      </c>
      <c r="F789" s="10" t="s">
        <v>35</v>
      </c>
      <c r="G789" s="10">
        <v>11.0</v>
      </c>
      <c r="I789" s="10" t="s">
        <v>22</v>
      </c>
      <c r="J789" s="9" t="str">
        <f t="shared" si="30"/>
        <v>No</v>
      </c>
      <c r="K789" s="9" t="str">
        <f t="shared" si="31"/>
        <v/>
      </c>
      <c r="L789" s="9" t="str">
        <f t="shared" si="32"/>
        <v/>
      </c>
      <c r="M789" s="9"/>
      <c r="O789" s="9"/>
    </row>
    <row r="790" ht="15.75" customHeight="1">
      <c r="A790" s="9" t="str">
        <f>IFERROR(__xludf.DUMMYFUNCTION("IF(B790="""","""",RIGHT(REGEXREPLACE(B790&amp;"""",""[^0-9]"",""""),9))"),"741082212")</f>
        <v>741082212</v>
      </c>
      <c r="B790" s="48">
        <v>7.41082212E8</v>
      </c>
      <c r="C790" s="10" t="s">
        <v>270</v>
      </c>
      <c r="D790" s="10" t="s">
        <v>97</v>
      </c>
      <c r="E790" s="13">
        <v>46227.0</v>
      </c>
      <c r="F790" s="10" t="s">
        <v>198</v>
      </c>
      <c r="G790" s="10">
        <v>11.0</v>
      </c>
      <c r="I790" s="10" t="s">
        <v>22</v>
      </c>
      <c r="J790" s="9" t="str">
        <f t="shared" si="30"/>
        <v>Yes - see Previous F-Code</v>
      </c>
      <c r="K790" s="9" t="str">
        <f t="shared" si="31"/>
        <v>DUPLICATE - CHECK</v>
      </c>
      <c r="L790" s="9" t="str">
        <f t="shared" si="32"/>
        <v>F70160</v>
      </c>
      <c r="M790" s="9"/>
      <c r="O790" s="9"/>
    </row>
    <row r="791" ht="15.75" customHeight="1">
      <c r="A791" s="9" t="str">
        <f>IFERROR(__xludf.DUMMYFUNCTION("IF(B791="""","""",RIGHT(REGEXREPLACE(B791&amp;"""",""[^0-9]"",""""),9))"),"771924936")</f>
        <v>771924936</v>
      </c>
      <c r="B791" s="48">
        <v>7.71924936E8</v>
      </c>
      <c r="C791" s="10" t="s">
        <v>926</v>
      </c>
      <c r="D791" s="10" t="s">
        <v>69</v>
      </c>
      <c r="E791" s="13">
        <v>46227.0</v>
      </c>
      <c r="F791" s="10" t="s">
        <v>35</v>
      </c>
      <c r="G791" s="10">
        <v>10.0</v>
      </c>
      <c r="H791" s="10" t="s">
        <v>716</v>
      </c>
      <c r="I791" s="10" t="s">
        <v>22</v>
      </c>
      <c r="J791" s="9" t="str">
        <f t="shared" si="30"/>
        <v>No</v>
      </c>
      <c r="K791" s="9" t="str">
        <f t="shared" si="31"/>
        <v/>
      </c>
      <c r="L791" s="9" t="str">
        <f t="shared" si="32"/>
        <v/>
      </c>
      <c r="M791" s="9"/>
      <c r="O791" s="9"/>
    </row>
    <row r="792" ht="15.75" customHeight="1">
      <c r="A792" s="9" t="str">
        <f>IFERROR(__xludf.DUMMYFUNCTION("IF(B792="""","""",RIGHT(REGEXREPLACE(B792&amp;"""",""[^0-9]"",""""),9))"),"718359955")</f>
        <v>718359955</v>
      </c>
      <c r="B792" s="48">
        <v>7.18359955E8</v>
      </c>
      <c r="C792" s="10" t="s">
        <v>927</v>
      </c>
      <c r="D792" s="10" t="s">
        <v>50</v>
      </c>
      <c r="E792" s="13">
        <v>46227.0</v>
      </c>
      <c r="F792" s="10" t="s">
        <v>113</v>
      </c>
      <c r="I792" s="10" t="s">
        <v>22</v>
      </c>
      <c r="J792" s="9" t="str">
        <f t="shared" si="30"/>
        <v>No</v>
      </c>
      <c r="K792" s="9" t="str">
        <f t="shared" si="31"/>
        <v/>
      </c>
      <c r="L792" s="9" t="str">
        <f t="shared" si="32"/>
        <v/>
      </c>
      <c r="M792" s="9"/>
      <c r="O792" s="9"/>
    </row>
    <row r="793" ht="15.75" customHeight="1">
      <c r="A793" s="9" t="str">
        <f>IFERROR(__xludf.DUMMYFUNCTION("IF(B793="""","""",RIGHT(REGEXREPLACE(B793&amp;"""",""[^0-9]"",""""),9))"),"778044238")</f>
        <v>778044238</v>
      </c>
      <c r="B793" s="48">
        <v>7.78044238E8</v>
      </c>
      <c r="C793" s="10" t="s">
        <v>928</v>
      </c>
      <c r="D793" s="10" t="s">
        <v>97</v>
      </c>
      <c r="E793" s="13">
        <v>46227.0</v>
      </c>
      <c r="F793" s="10" t="s">
        <v>145</v>
      </c>
      <c r="I793" s="10" t="s">
        <v>22</v>
      </c>
      <c r="J793" s="9" t="str">
        <f t="shared" si="30"/>
        <v>No</v>
      </c>
      <c r="K793" s="9" t="str">
        <f t="shared" si="31"/>
        <v/>
      </c>
      <c r="L793" s="9" t="str">
        <f t="shared" si="32"/>
        <v/>
      </c>
      <c r="M793" s="9"/>
      <c r="O793" s="9"/>
    </row>
    <row r="794" ht="15.75" customHeight="1">
      <c r="A794" s="9" t="str">
        <f>IFERROR(__xludf.DUMMYFUNCTION("IF(B794="""","""",RIGHT(REGEXREPLACE(B794&amp;"""",""[^0-9]"",""""),9))"),"778770685")</f>
        <v>778770685</v>
      </c>
      <c r="B794" s="48">
        <v>7.78770685E8</v>
      </c>
      <c r="C794" s="10" t="s">
        <v>929</v>
      </c>
      <c r="D794" s="10" t="s">
        <v>120</v>
      </c>
      <c r="E794" s="13">
        <v>46227.0</v>
      </c>
      <c r="F794" s="10" t="s">
        <v>21</v>
      </c>
      <c r="I794" s="10" t="s">
        <v>22</v>
      </c>
      <c r="J794" s="9" t="str">
        <f t="shared" si="30"/>
        <v>No</v>
      </c>
      <c r="K794" s="9" t="str">
        <f t="shared" si="31"/>
        <v/>
      </c>
      <c r="L794" s="9" t="str">
        <f t="shared" si="32"/>
        <v/>
      </c>
      <c r="M794" s="9"/>
      <c r="O794" s="9"/>
    </row>
    <row r="795" ht="15.75" customHeight="1">
      <c r="A795" s="9" t="str">
        <f>IFERROR(__xludf.DUMMYFUNCTION("IF(B795="""","""",RIGHT(REGEXREPLACE(B795&amp;"""",""[^0-9]"",""""),9))"),"776118669")</f>
        <v>776118669</v>
      </c>
      <c r="B795" s="48">
        <v>7.76118669E8</v>
      </c>
      <c r="C795" s="10" t="s">
        <v>930</v>
      </c>
      <c r="D795" s="10" t="s">
        <v>50</v>
      </c>
      <c r="E795" s="13">
        <v>46227.0</v>
      </c>
      <c r="F795" s="10" t="s">
        <v>35</v>
      </c>
      <c r="G795" s="10">
        <v>11.0</v>
      </c>
      <c r="I795" s="10" t="s">
        <v>22</v>
      </c>
      <c r="J795" s="9" t="str">
        <f t="shared" si="30"/>
        <v>No</v>
      </c>
      <c r="K795" s="9" t="str">
        <f t="shared" si="31"/>
        <v/>
      </c>
      <c r="L795" s="9" t="str">
        <f t="shared" si="32"/>
        <v/>
      </c>
      <c r="M795" s="9"/>
      <c r="O795" s="9"/>
    </row>
    <row r="796" ht="15.75" customHeight="1">
      <c r="A796" s="9" t="str">
        <f>IFERROR(__xludf.DUMMYFUNCTION("IF(B796="""","""",RIGHT(REGEXREPLACE(B796&amp;"""",""[^0-9]"",""""),9))"),"714699079")</f>
        <v>714699079</v>
      </c>
      <c r="B796" s="48">
        <v>7.14699079E8</v>
      </c>
      <c r="C796" s="10" t="s">
        <v>931</v>
      </c>
      <c r="D796" s="10" t="s">
        <v>120</v>
      </c>
      <c r="E796" s="13">
        <v>46227.0</v>
      </c>
      <c r="F796" s="10" t="s">
        <v>35</v>
      </c>
      <c r="G796" s="10">
        <v>11.0</v>
      </c>
      <c r="I796" s="10" t="s">
        <v>22</v>
      </c>
      <c r="J796" s="9" t="str">
        <f t="shared" si="30"/>
        <v>No</v>
      </c>
      <c r="K796" s="9" t="str">
        <f t="shared" si="31"/>
        <v/>
      </c>
      <c r="L796" s="9" t="str">
        <f t="shared" si="32"/>
        <v/>
      </c>
      <c r="M796" s="9"/>
      <c r="O796" s="9"/>
    </row>
    <row r="797" ht="15.75" customHeight="1">
      <c r="A797" s="9" t="str">
        <f>IFERROR(__xludf.DUMMYFUNCTION("IF(B797="""","""",RIGHT(REGEXREPLACE(B797&amp;"""",""[^0-9]"",""""),9))"),"715666886")</f>
        <v>715666886</v>
      </c>
      <c r="B797" s="48">
        <v>7.15666886E8</v>
      </c>
      <c r="C797" s="10" t="s">
        <v>932</v>
      </c>
      <c r="D797" s="10" t="s">
        <v>69</v>
      </c>
      <c r="E797" s="13">
        <v>46227.0</v>
      </c>
      <c r="F797" s="10" t="s">
        <v>171</v>
      </c>
      <c r="H797" s="10" t="s">
        <v>737</v>
      </c>
      <c r="I797" s="10" t="s">
        <v>22</v>
      </c>
      <c r="J797" s="9" t="str">
        <f t="shared" si="30"/>
        <v>No</v>
      </c>
      <c r="K797" s="9" t="str">
        <f t="shared" si="31"/>
        <v/>
      </c>
      <c r="L797" s="9" t="str">
        <f t="shared" si="32"/>
        <v/>
      </c>
      <c r="M797" s="9"/>
      <c r="O797" s="9"/>
    </row>
    <row r="798" ht="15.75" customHeight="1">
      <c r="A798" s="9" t="str">
        <f>IFERROR(__xludf.DUMMYFUNCTION("IF(B798="""","""",RIGHT(REGEXREPLACE(B798&amp;"""",""[^0-9]"",""""),9))"),"715765133")</f>
        <v>715765133</v>
      </c>
      <c r="B798" s="48">
        <v>7.15765133E8</v>
      </c>
      <c r="C798" s="10" t="s">
        <v>933</v>
      </c>
      <c r="D798" s="10" t="s">
        <v>97</v>
      </c>
      <c r="E798" s="13">
        <v>46227.0</v>
      </c>
      <c r="F798" s="10" t="s">
        <v>21</v>
      </c>
      <c r="I798" s="10" t="s">
        <v>22</v>
      </c>
      <c r="J798" s="9" t="str">
        <f t="shared" si="30"/>
        <v>No</v>
      </c>
      <c r="K798" s="9" t="str">
        <f t="shared" si="31"/>
        <v/>
      </c>
      <c r="L798" s="9" t="str">
        <f t="shared" si="32"/>
        <v/>
      </c>
      <c r="M798" s="9"/>
      <c r="O798" s="9"/>
    </row>
    <row r="799" ht="15.75" customHeight="1">
      <c r="A799" s="9" t="str">
        <f>IFERROR(__xludf.DUMMYFUNCTION("IF(B799="""","""",RIGHT(REGEXREPLACE(B799&amp;"""",""[^0-9]"",""""),9))"),"772112466")</f>
        <v>772112466</v>
      </c>
      <c r="B799" s="48">
        <v>7.72112466E8</v>
      </c>
      <c r="C799" s="10" t="s">
        <v>934</v>
      </c>
      <c r="D799" s="10" t="s">
        <v>50</v>
      </c>
      <c r="E799" s="13">
        <v>46227.0</v>
      </c>
      <c r="F799" s="10" t="s">
        <v>35</v>
      </c>
      <c r="G799" s="10">
        <v>11.0</v>
      </c>
      <c r="I799" s="10" t="s">
        <v>22</v>
      </c>
      <c r="J799" s="9" t="str">
        <f t="shared" si="30"/>
        <v>No</v>
      </c>
      <c r="K799" s="9" t="str">
        <f t="shared" si="31"/>
        <v/>
      </c>
      <c r="L799" s="9" t="str">
        <f t="shared" si="32"/>
        <v/>
      </c>
      <c r="M799" s="9"/>
      <c r="O799" s="9"/>
    </row>
    <row r="800" ht="15.75" customHeight="1">
      <c r="A800" s="9" t="str">
        <f>IFERROR(__xludf.DUMMYFUNCTION("IF(B800="""","""",RIGHT(REGEXREPLACE(B800&amp;"""",""[^0-9]"",""""),9))"),"768484819")</f>
        <v>768484819</v>
      </c>
      <c r="B800" s="48">
        <v>7.68484819E8</v>
      </c>
      <c r="C800" s="10" t="s">
        <v>935</v>
      </c>
      <c r="D800" s="10" t="s">
        <v>69</v>
      </c>
      <c r="E800" s="13">
        <v>46227.0</v>
      </c>
      <c r="F800" s="10" t="s">
        <v>35</v>
      </c>
      <c r="G800" s="10">
        <v>11.0</v>
      </c>
      <c r="H800" s="10" t="s">
        <v>737</v>
      </c>
      <c r="I800" s="10" t="s">
        <v>22</v>
      </c>
      <c r="J800" s="9" t="str">
        <f t="shared" si="30"/>
        <v>No</v>
      </c>
      <c r="K800" s="9" t="str">
        <f t="shared" si="31"/>
        <v/>
      </c>
      <c r="L800" s="9" t="str">
        <f t="shared" si="32"/>
        <v/>
      </c>
      <c r="M800" s="9"/>
      <c r="O800" s="9"/>
    </row>
    <row r="801" ht="15.75" customHeight="1">
      <c r="A801" s="9" t="str">
        <f>IFERROR(__xludf.DUMMYFUNCTION("IF(B801="""","""",RIGHT(REGEXREPLACE(B801&amp;"""",""[^0-9]"",""""),9))"),"777561020")</f>
        <v>777561020</v>
      </c>
      <c r="B801" s="48">
        <v>7.7756102E8</v>
      </c>
      <c r="C801" s="10" t="s">
        <v>936</v>
      </c>
      <c r="D801" s="10" t="s">
        <v>97</v>
      </c>
      <c r="E801" s="13">
        <v>46227.0</v>
      </c>
      <c r="F801" s="10" t="s">
        <v>21</v>
      </c>
      <c r="I801" s="10" t="s">
        <v>22</v>
      </c>
      <c r="J801" s="9" t="str">
        <f t="shared" si="30"/>
        <v>No</v>
      </c>
      <c r="K801" s="9" t="str">
        <f t="shared" si="31"/>
        <v/>
      </c>
      <c r="L801" s="9" t="str">
        <f t="shared" si="32"/>
        <v/>
      </c>
      <c r="M801" s="9"/>
      <c r="O801" s="9"/>
    </row>
    <row r="802" ht="15.75" customHeight="1">
      <c r="A802" s="9" t="str">
        <f>IFERROR(__xludf.DUMMYFUNCTION("IF(B802="""","""",RIGHT(REGEXREPLACE(B802&amp;"""",""[^0-9]"",""""),9))"),"742838227")</f>
        <v>742838227</v>
      </c>
      <c r="B802" s="48">
        <v>7.42838227E8</v>
      </c>
      <c r="C802" s="10" t="s">
        <v>937</v>
      </c>
      <c r="D802" s="10" t="s">
        <v>50</v>
      </c>
      <c r="E802" s="13">
        <v>46227.0</v>
      </c>
      <c r="F802" s="10" t="s">
        <v>35</v>
      </c>
      <c r="G802" s="10">
        <v>11.0</v>
      </c>
      <c r="I802" s="10" t="s">
        <v>22</v>
      </c>
      <c r="J802" s="9" t="str">
        <f t="shared" si="30"/>
        <v>No</v>
      </c>
      <c r="K802" s="9" t="str">
        <f t="shared" si="31"/>
        <v/>
      </c>
      <c r="L802" s="9" t="str">
        <f t="shared" si="32"/>
        <v/>
      </c>
      <c r="M802" s="9"/>
      <c r="O802" s="9"/>
    </row>
    <row r="803" ht="15.75" customHeight="1">
      <c r="A803" s="9" t="str">
        <f>IFERROR(__xludf.DUMMYFUNCTION("IF(B803="""","""",RIGHT(REGEXREPLACE(B803&amp;"""",""[^0-9]"",""""),9))"),"778437675")</f>
        <v>778437675</v>
      </c>
      <c r="B803" s="48">
        <v>7.78437675E8</v>
      </c>
      <c r="C803" s="10" t="s">
        <v>938</v>
      </c>
      <c r="D803" s="10" t="s">
        <v>120</v>
      </c>
      <c r="E803" s="13">
        <v>46227.0</v>
      </c>
      <c r="F803" s="10" t="s">
        <v>35</v>
      </c>
      <c r="G803" s="10">
        <v>11.0</v>
      </c>
      <c r="I803" s="10" t="s">
        <v>22</v>
      </c>
      <c r="J803" s="9" t="str">
        <f t="shared" si="30"/>
        <v>No</v>
      </c>
      <c r="K803" s="9" t="str">
        <f t="shared" si="31"/>
        <v/>
      </c>
      <c r="L803" s="9" t="str">
        <f t="shared" si="32"/>
        <v/>
      </c>
      <c r="M803" s="9"/>
      <c r="O803" s="9"/>
    </row>
    <row r="804" ht="15.75" customHeight="1">
      <c r="A804" s="9" t="str">
        <f>IFERROR(__xludf.DUMMYFUNCTION("IF(B804="""","""",RIGHT(REGEXREPLACE(B804&amp;"""",""[^0-9]"",""""),9))"),"779171927")</f>
        <v>779171927</v>
      </c>
      <c r="B804" s="48">
        <v>7.79171927E8</v>
      </c>
      <c r="C804" s="10" t="s">
        <v>939</v>
      </c>
      <c r="D804" s="10" t="s">
        <v>97</v>
      </c>
      <c r="E804" s="13">
        <v>46227.0</v>
      </c>
      <c r="F804" s="10" t="s">
        <v>21</v>
      </c>
      <c r="I804" s="10" t="s">
        <v>22</v>
      </c>
      <c r="J804" s="9" t="str">
        <f t="shared" si="30"/>
        <v>No</v>
      </c>
      <c r="K804" s="9" t="str">
        <f t="shared" si="31"/>
        <v/>
      </c>
      <c r="L804" s="9" t="str">
        <f t="shared" si="32"/>
        <v/>
      </c>
      <c r="M804" s="9"/>
      <c r="O804" s="9"/>
    </row>
    <row r="805" ht="15.75" customHeight="1">
      <c r="A805" s="9" t="str">
        <f>IFERROR(__xludf.DUMMYFUNCTION("IF(B805="""","""",RIGHT(REGEXREPLACE(B805&amp;"""",""[^0-9]"",""""),9))"),"715451651")</f>
        <v>715451651</v>
      </c>
      <c r="B805" s="48">
        <v>7.15451651E8</v>
      </c>
      <c r="C805" s="10" t="s">
        <v>940</v>
      </c>
      <c r="D805" s="10" t="s">
        <v>34</v>
      </c>
      <c r="E805" s="13">
        <v>46227.0</v>
      </c>
      <c r="F805" s="10" t="s">
        <v>171</v>
      </c>
      <c r="H805" s="10" t="s">
        <v>622</v>
      </c>
      <c r="I805" s="10" t="s">
        <v>22</v>
      </c>
      <c r="J805" s="9" t="str">
        <f t="shared" si="30"/>
        <v>No</v>
      </c>
      <c r="K805" s="9" t="str">
        <f t="shared" si="31"/>
        <v/>
      </c>
      <c r="L805" s="9" t="str">
        <f t="shared" si="32"/>
        <v/>
      </c>
      <c r="M805" s="9"/>
      <c r="O805" s="9"/>
    </row>
    <row r="806" ht="15.75" customHeight="1">
      <c r="A806" s="9" t="str">
        <f>IFERROR(__xludf.DUMMYFUNCTION("IF(B806="""","""",RIGHT(REGEXREPLACE(B806&amp;"""",""[^0-9]"",""""),9))"),"778873713")</f>
        <v>778873713</v>
      </c>
      <c r="B806" s="48">
        <v>7.78873713E8</v>
      </c>
      <c r="C806" s="10" t="s">
        <v>941</v>
      </c>
      <c r="D806" s="10" t="s">
        <v>69</v>
      </c>
      <c r="E806" s="13">
        <v>46227.0</v>
      </c>
      <c r="F806" s="10" t="s">
        <v>542</v>
      </c>
      <c r="G806" s="10">
        <v>9.0</v>
      </c>
      <c r="H806" s="10" t="s">
        <v>600</v>
      </c>
      <c r="I806" s="10" t="s">
        <v>22</v>
      </c>
      <c r="J806" s="9" t="str">
        <f t="shared" si="30"/>
        <v>No</v>
      </c>
      <c r="K806" s="9" t="str">
        <f t="shared" si="31"/>
        <v/>
      </c>
      <c r="L806" s="9" t="str">
        <f t="shared" si="32"/>
        <v/>
      </c>
      <c r="M806" s="9"/>
      <c r="O806" s="9"/>
    </row>
    <row r="807" ht="15.75" customHeight="1">
      <c r="A807" s="9" t="str">
        <f>IFERROR(__xludf.DUMMYFUNCTION("IF(B807="""","""",RIGHT(REGEXREPLACE(B807&amp;"""",""[^0-9]"",""""),9))"),"767790020")</f>
        <v>767790020</v>
      </c>
      <c r="B807" s="48">
        <v>7.6779002E8</v>
      </c>
      <c r="C807" s="10" t="s">
        <v>942</v>
      </c>
      <c r="D807" s="10" t="s">
        <v>34</v>
      </c>
      <c r="E807" s="13">
        <v>46227.0</v>
      </c>
      <c r="F807" s="10" t="s">
        <v>35</v>
      </c>
      <c r="G807" s="10">
        <v>11.0</v>
      </c>
      <c r="I807" s="10" t="s">
        <v>22</v>
      </c>
      <c r="J807" s="9" t="str">
        <f t="shared" si="30"/>
        <v>No</v>
      </c>
      <c r="K807" s="9" t="str">
        <f t="shared" si="31"/>
        <v/>
      </c>
      <c r="L807" s="9" t="str">
        <f t="shared" si="32"/>
        <v/>
      </c>
      <c r="M807" s="9"/>
      <c r="O807" s="9"/>
    </row>
    <row r="808" ht="15.75" customHeight="1">
      <c r="A808" s="9" t="str">
        <f>IFERROR(__xludf.DUMMYFUNCTION("IF(B808="""","""",RIGHT(REGEXREPLACE(B808&amp;"""",""[^0-9]"",""""),9))"),"711407494")</f>
        <v>711407494</v>
      </c>
      <c r="B808" s="48">
        <v>7.11407494E8</v>
      </c>
      <c r="C808" s="10" t="s">
        <v>943</v>
      </c>
      <c r="D808" s="10" t="s">
        <v>97</v>
      </c>
      <c r="E808" s="13">
        <v>46227.0</v>
      </c>
      <c r="F808" s="10" t="s">
        <v>198</v>
      </c>
      <c r="I808" s="10" t="s">
        <v>22</v>
      </c>
      <c r="J808" s="9" t="str">
        <f t="shared" si="30"/>
        <v>No</v>
      </c>
      <c r="K808" s="9" t="str">
        <f t="shared" si="31"/>
        <v/>
      </c>
      <c r="L808" s="9" t="str">
        <f t="shared" si="32"/>
        <v/>
      </c>
      <c r="M808" s="9"/>
      <c r="O808" s="9"/>
    </row>
    <row r="809" ht="15.75" customHeight="1">
      <c r="A809" s="9" t="str">
        <f>IFERROR(__xludf.DUMMYFUNCTION("IF(B809="""","""",RIGHT(REGEXREPLACE(B809&amp;"""",""[^0-9]"",""""),9))"),"777035567")</f>
        <v>777035567</v>
      </c>
      <c r="B809" s="48">
        <v>7.77035567E8</v>
      </c>
      <c r="C809" s="10" t="s">
        <v>944</v>
      </c>
      <c r="D809" s="10" t="s">
        <v>50</v>
      </c>
      <c r="E809" s="13">
        <v>46227.0</v>
      </c>
      <c r="F809" s="10" t="s">
        <v>35</v>
      </c>
      <c r="G809" s="10">
        <v>9.0</v>
      </c>
      <c r="I809" s="10" t="s">
        <v>22</v>
      </c>
      <c r="J809" s="9" t="str">
        <f t="shared" si="30"/>
        <v>No</v>
      </c>
      <c r="K809" s="9" t="str">
        <f t="shared" si="31"/>
        <v/>
      </c>
      <c r="L809" s="9" t="str">
        <f t="shared" si="32"/>
        <v/>
      </c>
      <c r="M809" s="9"/>
      <c r="O809" s="9"/>
    </row>
    <row r="810" ht="15.75" customHeight="1">
      <c r="A810" s="9" t="str">
        <f>IFERROR(__xludf.DUMMYFUNCTION("IF(B810="""","""",RIGHT(REGEXREPLACE(B810&amp;"""",""[^0-9]"",""""),9))"),"779196928")</f>
        <v>779196928</v>
      </c>
      <c r="B810" s="48">
        <v>7.79196928E8</v>
      </c>
      <c r="C810" s="10" t="s">
        <v>945</v>
      </c>
      <c r="D810" s="10" t="s">
        <v>120</v>
      </c>
      <c r="E810" s="13">
        <v>46227.0</v>
      </c>
      <c r="F810" s="10" t="s">
        <v>35</v>
      </c>
      <c r="G810" s="10">
        <v>11.0</v>
      </c>
      <c r="I810" s="10" t="s">
        <v>22</v>
      </c>
      <c r="J810" s="9" t="str">
        <f t="shared" si="30"/>
        <v>No</v>
      </c>
      <c r="K810" s="9" t="str">
        <f t="shared" si="31"/>
        <v/>
      </c>
      <c r="L810" s="9" t="str">
        <f t="shared" si="32"/>
        <v/>
      </c>
      <c r="M810" s="9"/>
      <c r="O810" s="9"/>
    </row>
    <row r="811" ht="15.75" customHeight="1">
      <c r="A811" s="9" t="str">
        <f>IFERROR(__xludf.DUMMYFUNCTION("IF(B811="""","""",RIGHT(REGEXREPLACE(B811&amp;"""",""[^0-9]"",""""),9))"),"767641702")</f>
        <v>767641702</v>
      </c>
      <c r="B811" s="48">
        <v>7.67641702E8</v>
      </c>
      <c r="C811" s="10" t="s">
        <v>946</v>
      </c>
      <c r="D811" s="10" t="s">
        <v>97</v>
      </c>
      <c r="E811" s="13">
        <v>46227.0</v>
      </c>
      <c r="F811" s="10" t="s">
        <v>21</v>
      </c>
      <c r="G811" s="10">
        <v>11.0</v>
      </c>
      <c r="I811" s="10" t="s">
        <v>22</v>
      </c>
      <c r="J811" s="9" t="str">
        <f t="shared" si="30"/>
        <v>No</v>
      </c>
      <c r="K811" s="9" t="str">
        <f t="shared" si="31"/>
        <v/>
      </c>
      <c r="L811" s="9" t="str">
        <f t="shared" si="32"/>
        <v/>
      </c>
      <c r="M811" s="9"/>
      <c r="O811" s="9"/>
    </row>
    <row r="812" ht="15.75" customHeight="1">
      <c r="A812" s="9" t="str">
        <f>IFERROR(__xludf.DUMMYFUNCTION("IF(B812="""","""",RIGHT(REGEXREPLACE(B812&amp;"""",""[^0-9]"",""""),9))"),"777143113")</f>
        <v>777143113</v>
      </c>
      <c r="B812" s="48">
        <v>7.77143113E8</v>
      </c>
      <c r="C812" s="10" t="s">
        <v>947</v>
      </c>
      <c r="D812" s="10" t="s">
        <v>50</v>
      </c>
      <c r="E812" s="13">
        <v>46227.0</v>
      </c>
      <c r="F812" s="10" t="s">
        <v>35</v>
      </c>
      <c r="G812" s="10">
        <v>11.0</v>
      </c>
      <c r="I812" s="10" t="s">
        <v>22</v>
      </c>
      <c r="J812" s="9" t="str">
        <f t="shared" si="30"/>
        <v>No</v>
      </c>
      <c r="K812" s="9" t="str">
        <f t="shared" si="31"/>
        <v/>
      </c>
      <c r="L812" s="9" t="str">
        <f t="shared" si="32"/>
        <v/>
      </c>
      <c r="M812" s="9"/>
      <c r="O812" s="9"/>
    </row>
    <row r="813" ht="15.75" customHeight="1">
      <c r="A813" s="9" t="str">
        <f>IFERROR(__xludf.DUMMYFUNCTION("IF(B813="""","""",RIGHT(REGEXREPLACE(B813&amp;"""",""[^0-9]"",""""),9))"),"715921571")</f>
        <v>715921571</v>
      </c>
      <c r="B813" s="48">
        <v>7.15921571E8</v>
      </c>
      <c r="C813" s="10" t="s">
        <v>948</v>
      </c>
      <c r="D813" s="10" t="s">
        <v>69</v>
      </c>
      <c r="E813" s="13">
        <v>46227.0</v>
      </c>
      <c r="F813" s="10" t="s">
        <v>542</v>
      </c>
      <c r="G813" s="10">
        <v>11.0</v>
      </c>
      <c r="H813" s="10" t="s">
        <v>737</v>
      </c>
      <c r="I813" s="10" t="s">
        <v>22</v>
      </c>
      <c r="J813" s="9" t="str">
        <f t="shared" si="30"/>
        <v>No</v>
      </c>
      <c r="K813" s="9" t="str">
        <f t="shared" si="31"/>
        <v/>
      </c>
      <c r="L813" s="9" t="str">
        <f t="shared" si="32"/>
        <v/>
      </c>
      <c r="M813" s="9"/>
      <c r="O813" s="9"/>
    </row>
    <row r="814" ht="15.75" customHeight="1">
      <c r="A814" s="9" t="str">
        <f>IFERROR(__xludf.DUMMYFUNCTION("IF(B814="""","""",RIGHT(REGEXREPLACE(B814&amp;"""",""[^0-9]"",""""),9))"),"774367162")</f>
        <v>774367162</v>
      </c>
      <c r="B814" s="48">
        <v>7.74367162E8</v>
      </c>
      <c r="C814" s="10" t="s">
        <v>949</v>
      </c>
      <c r="D814" s="10" t="s">
        <v>34</v>
      </c>
      <c r="E814" s="13">
        <v>46227.0</v>
      </c>
      <c r="F814" s="10" t="s">
        <v>21</v>
      </c>
      <c r="H814" s="10" t="s">
        <v>622</v>
      </c>
      <c r="I814" s="10" t="s">
        <v>22</v>
      </c>
      <c r="J814" s="9" t="str">
        <f t="shared" si="30"/>
        <v>No</v>
      </c>
      <c r="K814" s="9" t="str">
        <f t="shared" si="31"/>
        <v/>
      </c>
      <c r="L814" s="9" t="str">
        <f t="shared" si="32"/>
        <v/>
      </c>
      <c r="M814" s="9"/>
      <c r="O814" s="9"/>
    </row>
    <row r="815" ht="15.75" customHeight="1">
      <c r="A815" s="9" t="str">
        <f>IFERROR(__xludf.DUMMYFUNCTION("IF(B815="""","""",RIGHT(REGEXREPLACE(B815&amp;"""",""[^0-9]"",""""),9))"),"742512935")</f>
        <v>742512935</v>
      </c>
      <c r="B815" s="48">
        <v>7.42512935E8</v>
      </c>
      <c r="C815" s="10" t="s">
        <v>950</v>
      </c>
      <c r="D815" s="10" t="s">
        <v>120</v>
      </c>
      <c r="E815" s="13">
        <v>46227.0</v>
      </c>
      <c r="F815" s="10" t="s">
        <v>35</v>
      </c>
      <c r="G815" s="10">
        <v>11.0</v>
      </c>
      <c r="I815" s="10" t="s">
        <v>22</v>
      </c>
      <c r="J815" s="9" t="str">
        <f t="shared" si="30"/>
        <v>No</v>
      </c>
      <c r="K815" s="9" t="str">
        <f t="shared" si="31"/>
        <v/>
      </c>
      <c r="L815" s="9" t="str">
        <f t="shared" si="32"/>
        <v/>
      </c>
      <c r="M815" s="9"/>
      <c r="O815" s="9"/>
    </row>
    <row r="816" ht="15.75" customHeight="1">
      <c r="A816" s="9" t="str">
        <f>IFERROR(__xludf.DUMMYFUNCTION("IF(B816="""","""",RIGHT(REGEXREPLACE(B816&amp;"""",""[^0-9]"",""""),9))"),"760473817")</f>
        <v>760473817</v>
      </c>
      <c r="B816" s="48">
        <v>7.60473817E8</v>
      </c>
      <c r="C816" s="10" t="s">
        <v>951</v>
      </c>
      <c r="D816" s="10" t="s">
        <v>34</v>
      </c>
      <c r="E816" s="13">
        <v>46227.0</v>
      </c>
      <c r="F816" s="10" t="s">
        <v>35</v>
      </c>
      <c r="G816" s="10">
        <v>10.0</v>
      </c>
      <c r="I816" s="10" t="s">
        <v>22</v>
      </c>
      <c r="J816" s="9" t="str">
        <f t="shared" si="30"/>
        <v>No</v>
      </c>
      <c r="K816" s="9" t="str">
        <f t="shared" si="31"/>
        <v/>
      </c>
      <c r="L816" s="9" t="str">
        <f t="shared" si="32"/>
        <v/>
      </c>
      <c r="M816" s="9"/>
      <c r="O816" s="9"/>
    </row>
    <row r="817" ht="15.75" customHeight="1">
      <c r="A817" s="9" t="str">
        <f>IFERROR(__xludf.DUMMYFUNCTION("IF(B817="""","""",RIGHT(REGEXREPLACE(B817&amp;"""",""[^0-9]"",""""),9))"),"766072409")</f>
        <v>766072409</v>
      </c>
      <c r="B817" s="48">
        <v>7.66072409E8</v>
      </c>
      <c r="C817" s="10" t="s">
        <v>952</v>
      </c>
      <c r="D817" s="10" t="s">
        <v>97</v>
      </c>
      <c r="E817" s="13">
        <v>46227.0</v>
      </c>
      <c r="F817" s="10" t="s">
        <v>145</v>
      </c>
      <c r="G817" s="10">
        <v>11.0</v>
      </c>
      <c r="I817" s="10" t="s">
        <v>22</v>
      </c>
      <c r="J817" s="9" t="str">
        <f t="shared" si="30"/>
        <v>No</v>
      </c>
      <c r="K817" s="9" t="str">
        <f t="shared" si="31"/>
        <v/>
      </c>
      <c r="L817" s="9" t="str">
        <f t="shared" si="32"/>
        <v/>
      </c>
      <c r="M817" s="9"/>
      <c r="O817" s="9"/>
    </row>
    <row r="818" ht="15.75" customHeight="1">
      <c r="A818" s="9" t="str">
        <f>IFERROR(__xludf.DUMMYFUNCTION("IF(B818="""","""",RIGHT(REGEXREPLACE(B818&amp;"""",""[^0-9]"",""""),9))"),"773580914")</f>
        <v>773580914</v>
      </c>
      <c r="B818" s="48">
        <v>7.73580914E8</v>
      </c>
      <c r="C818" s="10" t="s">
        <v>953</v>
      </c>
      <c r="D818" s="10" t="s">
        <v>50</v>
      </c>
      <c r="E818" s="13">
        <v>46227.0</v>
      </c>
      <c r="F818" s="10" t="s">
        <v>35</v>
      </c>
      <c r="G818" s="10">
        <v>11.0</v>
      </c>
      <c r="I818" s="10" t="s">
        <v>22</v>
      </c>
      <c r="J818" s="9" t="str">
        <f t="shared" si="30"/>
        <v>No</v>
      </c>
      <c r="K818" s="9" t="str">
        <f t="shared" si="31"/>
        <v/>
      </c>
      <c r="L818" s="9" t="str">
        <f t="shared" si="32"/>
        <v/>
      </c>
      <c r="M818" s="9"/>
      <c r="O818" s="9"/>
    </row>
    <row r="819" ht="15.75" customHeight="1">
      <c r="A819" s="9" t="str">
        <f>IFERROR(__xludf.DUMMYFUNCTION("IF(B819="""","""",RIGHT(REGEXREPLACE(B819&amp;"""",""[^0-9]"",""""),9))"),"775894433")</f>
        <v>775894433</v>
      </c>
      <c r="B819" s="48">
        <v>7.75894433E8</v>
      </c>
      <c r="C819" s="10" t="s">
        <v>954</v>
      </c>
      <c r="D819" s="10" t="s">
        <v>34</v>
      </c>
      <c r="E819" s="13">
        <v>46227.0</v>
      </c>
      <c r="F819" s="10" t="s">
        <v>21</v>
      </c>
      <c r="H819" s="10" t="s">
        <v>622</v>
      </c>
      <c r="I819" s="10" t="s">
        <v>22</v>
      </c>
      <c r="J819" s="9" t="str">
        <f t="shared" si="30"/>
        <v>No</v>
      </c>
      <c r="K819" s="9" t="str">
        <f t="shared" si="31"/>
        <v/>
      </c>
      <c r="L819" s="9" t="str">
        <f t="shared" si="32"/>
        <v/>
      </c>
      <c r="M819" s="9"/>
      <c r="O819" s="9"/>
    </row>
    <row r="820" ht="15.75" customHeight="1">
      <c r="A820" s="9" t="str">
        <f>IFERROR(__xludf.DUMMYFUNCTION("IF(B820="""","""",RIGHT(REGEXREPLACE(B820&amp;"""",""[^0-9]"",""""),9))"),"779540275")</f>
        <v>779540275</v>
      </c>
      <c r="B820" s="10">
        <v>7.79540275E8</v>
      </c>
      <c r="C820" s="10" t="s">
        <v>955</v>
      </c>
      <c r="D820" s="10" t="s">
        <v>20</v>
      </c>
      <c r="E820" s="13">
        <v>46227.0</v>
      </c>
      <c r="F820" s="10" t="s">
        <v>35</v>
      </c>
      <c r="G820" s="10">
        <v>11.0</v>
      </c>
      <c r="I820" s="10" t="s">
        <v>22</v>
      </c>
      <c r="J820" s="9" t="str">
        <f t="shared" si="30"/>
        <v>No</v>
      </c>
      <c r="K820" s="9" t="str">
        <f t="shared" si="31"/>
        <v/>
      </c>
      <c r="L820" s="9" t="str">
        <f t="shared" si="32"/>
        <v/>
      </c>
      <c r="M820" s="9"/>
      <c r="O820" s="9"/>
    </row>
    <row r="821" ht="15.75" customHeight="1">
      <c r="A821" s="9" t="str">
        <f>IFERROR(__xludf.DUMMYFUNCTION("IF(B821="""","""",RIGHT(REGEXREPLACE(B821&amp;"""",""[^0-9]"",""""),9))"),"772581629")</f>
        <v>772581629</v>
      </c>
      <c r="B821" s="48">
        <v>7.72581629E8</v>
      </c>
      <c r="C821" s="10" t="s">
        <v>956</v>
      </c>
      <c r="D821" s="10" t="s">
        <v>120</v>
      </c>
      <c r="E821" s="13">
        <v>46227.0</v>
      </c>
      <c r="F821" s="10" t="s">
        <v>35</v>
      </c>
      <c r="G821" s="10">
        <v>11.0</v>
      </c>
      <c r="I821" s="10" t="s">
        <v>22</v>
      </c>
      <c r="J821" s="9" t="str">
        <f t="shared" si="30"/>
        <v>No</v>
      </c>
      <c r="K821" s="9" t="str">
        <f t="shared" si="31"/>
        <v/>
      </c>
      <c r="L821" s="9" t="str">
        <f t="shared" si="32"/>
        <v/>
      </c>
      <c r="M821" s="9"/>
      <c r="O821" s="9"/>
    </row>
    <row r="822" ht="15.75" customHeight="1">
      <c r="A822" s="9" t="str">
        <f>IFERROR(__xludf.DUMMYFUNCTION("IF(B822="""","""",RIGHT(REGEXREPLACE(B822&amp;"""",""[^0-9]"",""""),9))"),"771580302")</f>
        <v>771580302</v>
      </c>
      <c r="B822" s="48">
        <v>7.71580302E8</v>
      </c>
      <c r="C822" s="10" t="s">
        <v>957</v>
      </c>
      <c r="D822" s="10" t="s">
        <v>97</v>
      </c>
      <c r="E822" s="13">
        <v>46227.0</v>
      </c>
      <c r="F822" s="10" t="s">
        <v>21</v>
      </c>
      <c r="G822" s="10">
        <v>8.0</v>
      </c>
      <c r="I822" s="10" t="s">
        <v>22</v>
      </c>
      <c r="J822" s="9" t="str">
        <f t="shared" si="30"/>
        <v>No</v>
      </c>
      <c r="K822" s="9" t="str">
        <f t="shared" si="31"/>
        <v/>
      </c>
      <c r="L822" s="9" t="str">
        <f t="shared" si="32"/>
        <v/>
      </c>
      <c r="M822" s="9"/>
      <c r="O822" s="9"/>
    </row>
    <row r="823" ht="15.75" customHeight="1">
      <c r="A823" s="9" t="str">
        <f>IFERROR(__xludf.DUMMYFUNCTION("IF(B823="""","""",RIGHT(REGEXREPLACE(B823&amp;"""",""[^0-9]"",""""),9))"),"778217337")</f>
        <v>778217337</v>
      </c>
      <c r="B823" s="48">
        <v>7.78217337E8</v>
      </c>
      <c r="C823" s="10" t="s">
        <v>958</v>
      </c>
      <c r="D823" s="10" t="s">
        <v>34</v>
      </c>
      <c r="E823" s="13">
        <v>46227.0</v>
      </c>
      <c r="F823" s="10" t="s">
        <v>21</v>
      </c>
      <c r="H823" s="10" t="s">
        <v>622</v>
      </c>
      <c r="I823" s="10" t="s">
        <v>22</v>
      </c>
      <c r="J823" s="9" t="str">
        <f t="shared" si="30"/>
        <v>No</v>
      </c>
      <c r="K823" s="9" t="str">
        <f t="shared" si="31"/>
        <v/>
      </c>
      <c r="L823" s="9" t="str">
        <f t="shared" si="32"/>
        <v/>
      </c>
      <c r="M823" s="9"/>
      <c r="O823" s="9"/>
    </row>
    <row r="824" ht="15.75" customHeight="1">
      <c r="A824" s="9" t="str">
        <f>IFERROR(__xludf.DUMMYFUNCTION("IF(B824="""","""",RIGHT(REGEXREPLACE(B824&amp;"""",""[^0-9]"",""""),9))"),"777776386")</f>
        <v>777776386</v>
      </c>
      <c r="B824" s="10">
        <v>7.77776386E8</v>
      </c>
      <c r="C824" s="10" t="s">
        <v>959</v>
      </c>
      <c r="D824" s="10" t="s">
        <v>20</v>
      </c>
      <c r="E824" s="13">
        <v>46227.0</v>
      </c>
      <c r="F824" s="10" t="s">
        <v>648</v>
      </c>
      <c r="I824" s="10" t="s">
        <v>22</v>
      </c>
      <c r="J824" s="9" t="str">
        <f t="shared" si="30"/>
        <v>No</v>
      </c>
      <c r="K824" s="9" t="str">
        <f t="shared" si="31"/>
        <v/>
      </c>
      <c r="L824" s="9" t="str">
        <f t="shared" si="32"/>
        <v/>
      </c>
      <c r="M824" s="9"/>
      <c r="O824" s="9"/>
    </row>
    <row r="825" ht="15.75" customHeight="1">
      <c r="A825" s="9" t="str">
        <f>IFERROR(__xludf.DUMMYFUNCTION("IF(B825="""","""",RIGHT(REGEXREPLACE(B825&amp;"""",""[^0-9]"",""""),9))"),"717117728")</f>
        <v>717117728</v>
      </c>
      <c r="B825" s="48">
        <v>7.17117728E8</v>
      </c>
      <c r="C825" s="10" t="s">
        <v>960</v>
      </c>
      <c r="D825" s="10" t="s">
        <v>50</v>
      </c>
      <c r="E825" s="13">
        <v>46227.0</v>
      </c>
      <c r="F825" s="10" t="s">
        <v>35</v>
      </c>
      <c r="G825" s="10" t="s">
        <v>162</v>
      </c>
      <c r="I825" s="10" t="s">
        <v>22</v>
      </c>
      <c r="J825" s="9" t="str">
        <f t="shared" si="30"/>
        <v>No</v>
      </c>
      <c r="K825" s="9" t="str">
        <f t="shared" si="31"/>
        <v/>
      </c>
      <c r="L825" s="9" t="str">
        <f t="shared" si="32"/>
        <v/>
      </c>
      <c r="M825" s="9"/>
      <c r="O825" s="9"/>
    </row>
    <row r="826" ht="15.75" customHeight="1">
      <c r="A826" s="9" t="str">
        <f>IFERROR(__xludf.DUMMYFUNCTION("IF(B826="""","""",RIGHT(REGEXREPLACE(B826&amp;"""",""[^0-9]"",""""),9))"),"703209403")</f>
        <v>703209403</v>
      </c>
      <c r="B826" s="10">
        <v>7.03209403E8</v>
      </c>
      <c r="C826" s="10" t="s">
        <v>961</v>
      </c>
      <c r="D826" s="10" t="s">
        <v>20</v>
      </c>
      <c r="E826" s="13">
        <v>46227.0</v>
      </c>
      <c r="F826" s="10" t="s">
        <v>648</v>
      </c>
      <c r="H826" s="10" t="s">
        <v>962</v>
      </c>
      <c r="I826" s="10" t="s">
        <v>22</v>
      </c>
      <c r="J826" s="9" t="str">
        <f t="shared" si="30"/>
        <v>No</v>
      </c>
      <c r="K826" s="9" t="str">
        <f t="shared" si="31"/>
        <v/>
      </c>
      <c r="L826" s="9" t="str">
        <f t="shared" si="32"/>
        <v/>
      </c>
      <c r="M826" s="9"/>
      <c r="O826" s="9"/>
    </row>
    <row r="827" ht="15.75" customHeight="1">
      <c r="A827" s="9" t="str">
        <f>IFERROR(__xludf.DUMMYFUNCTION("IF(B827="""","""",RIGHT(REGEXREPLACE(B827&amp;"""",""[^0-9]"",""""),9))"),"712487345")</f>
        <v>712487345</v>
      </c>
      <c r="B827" s="48">
        <v>7.12487345E8</v>
      </c>
      <c r="C827" s="10" t="s">
        <v>961</v>
      </c>
      <c r="D827" s="10" t="s">
        <v>69</v>
      </c>
      <c r="E827" s="13">
        <v>46227.0</v>
      </c>
      <c r="F827" s="10" t="s">
        <v>113</v>
      </c>
      <c r="H827" s="10" t="s">
        <v>315</v>
      </c>
      <c r="I827" s="10" t="s">
        <v>22</v>
      </c>
      <c r="J827" s="9" t="str">
        <f t="shared" si="30"/>
        <v>No</v>
      </c>
      <c r="K827" s="9" t="str">
        <f t="shared" si="31"/>
        <v/>
      </c>
      <c r="L827" s="9" t="str">
        <f t="shared" si="32"/>
        <v/>
      </c>
      <c r="M827" s="9"/>
      <c r="O827" s="9"/>
    </row>
    <row r="828" ht="15.75" customHeight="1">
      <c r="A828" s="9" t="str">
        <f>IFERROR(__xludf.DUMMYFUNCTION("IF(B828="""","""",RIGHT(REGEXREPLACE(B828&amp;"""",""[^0-9]"",""""),9))"),"786949242")</f>
        <v>786949242</v>
      </c>
      <c r="B828" s="10">
        <v>7.86949242E8</v>
      </c>
      <c r="C828" s="10" t="s">
        <v>963</v>
      </c>
      <c r="D828" s="10" t="s">
        <v>20</v>
      </c>
      <c r="E828" s="13">
        <v>46227.0</v>
      </c>
      <c r="F828" s="10" t="s">
        <v>35</v>
      </c>
      <c r="G828" s="10">
        <v>10.0</v>
      </c>
      <c r="H828" s="10" t="s">
        <v>962</v>
      </c>
      <c r="I828" s="10" t="s">
        <v>22</v>
      </c>
      <c r="J828" s="9" t="str">
        <f t="shared" si="30"/>
        <v>No</v>
      </c>
      <c r="K828" s="9" t="str">
        <f t="shared" si="31"/>
        <v/>
      </c>
      <c r="L828" s="9" t="str">
        <f t="shared" si="32"/>
        <v/>
      </c>
      <c r="M828" s="9"/>
      <c r="O828" s="9"/>
    </row>
    <row r="829" ht="15.75" customHeight="1">
      <c r="A829" s="9" t="str">
        <f>IFERROR(__xludf.DUMMYFUNCTION("IF(B829="""","""",RIGHT(REGEXREPLACE(B829&amp;"""",""[^0-9]"",""""),9))"),"705605666")</f>
        <v>705605666</v>
      </c>
      <c r="B829" s="48">
        <v>7.05605666E8</v>
      </c>
      <c r="C829" s="10" t="s">
        <v>587</v>
      </c>
      <c r="D829" s="10" t="s">
        <v>97</v>
      </c>
      <c r="E829" s="13">
        <v>46227.0</v>
      </c>
      <c r="F829" s="10" t="s">
        <v>113</v>
      </c>
      <c r="H829" s="10" t="s">
        <v>315</v>
      </c>
      <c r="I829" s="10" t="s">
        <v>22</v>
      </c>
      <c r="J829" s="9" t="str">
        <f t="shared" si="30"/>
        <v>Yes - see Previous F-Code</v>
      </c>
      <c r="K829" s="9" t="str">
        <f t="shared" si="31"/>
        <v>DUPLICATE - CHECK</v>
      </c>
      <c r="L829" s="9" t="str">
        <f t="shared" si="32"/>
        <v>F70441</v>
      </c>
      <c r="M829" s="9"/>
      <c r="O829" s="9"/>
    </row>
    <row r="830" ht="15.75" customHeight="1">
      <c r="A830" s="9" t="str">
        <f>IFERROR(__xludf.DUMMYFUNCTION("IF(B830="""","""",RIGHT(REGEXREPLACE(B830&amp;"""",""[^0-9]"",""""),9))"),"704254718")</f>
        <v>704254718</v>
      </c>
      <c r="B830" s="48">
        <v>7.04254718E8</v>
      </c>
      <c r="C830" s="10" t="s">
        <v>964</v>
      </c>
      <c r="D830" s="10" t="s">
        <v>69</v>
      </c>
      <c r="E830" s="13">
        <v>46227.0</v>
      </c>
      <c r="F830" s="10" t="s">
        <v>35</v>
      </c>
      <c r="G830" s="10">
        <v>11.0</v>
      </c>
      <c r="I830" s="10" t="s">
        <v>22</v>
      </c>
      <c r="J830" s="9" t="str">
        <f t="shared" si="30"/>
        <v>No</v>
      </c>
      <c r="K830" s="9" t="str">
        <f t="shared" si="31"/>
        <v/>
      </c>
      <c r="L830" s="9" t="str">
        <f t="shared" si="32"/>
        <v/>
      </c>
      <c r="M830" s="9"/>
      <c r="O830" s="9"/>
    </row>
    <row r="831" ht="15.75" customHeight="1">
      <c r="A831" s="9" t="str">
        <f>IFERROR(__xludf.DUMMYFUNCTION("IF(B831="""","""",RIGHT(REGEXREPLACE(B831&amp;"""",""[^0-9]"",""""),9))"),"769406204")</f>
        <v>769406204</v>
      </c>
      <c r="B831" s="48">
        <v>7.69406204E8</v>
      </c>
      <c r="C831" s="10" t="s">
        <v>965</v>
      </c>
      <c r="D831" s="10" t="s">
        <v>120</v>
      </c>
      <c r="E831" s="13">
        <v>46227.0</v>
      </c>
      <c r="F831" s="10" t="s">
        <v>35</v>
      </c>
      <c r="G831" s="10">
        <v>11.0</v>
      </c>
      <c r="I831" s="10" t="s">
        <v>22</v>
      </c>
      <c r="J831" s="9" t="str">
        <f t="shared" si="30"/>
        <v>No</v>
      </c>
      <c r="K831" s="9" t="str">
        <f t="shared" si="31"/>
        <v/>
      </c>
      <c r="L831" s="9" t="str">
        <f t="shared" si="32"/>
        <v/>
      </c>
      <c r="M831" s="9"/>
      <c r="O831" s="9"/>
    </row>
    <row r="832" ht="15.75" customHeight="1">
      <c r="A832" s="9" t="str">
        <f>IFERROR(__xludf.DUMMYFUNCTION("IF(B832="""","""",RIGHT(REGEXREPLACE(B832&amp;"""",""[^0-9]"",""""),9))"),"775661545")</f>
        <v>775661545</v>
      </c>
      <c r="B832" s="10">
        <v>7.75661545E8</v>
      </c>
      <c r="C832" s="10" t="s">
        <v>966</v>
      </c>
      <c r="D832" s="10" t="s">
        <v>20</v>
      </c>
      <c r="E832" s="13">
        <v>46227.0</v>
      </c>
      <c r="F832" s="10" t="s">
        <v>35</v>
      </c>
      <c r="G832" s="10">
        <v>11.0</v>
      </c>
      <c r="I832" s="10" t="s">
        <v>22</v>
      </c>
      <c r="J832" s="9" t="str">
        <f t="shared" si="30"/>
        <v>No</v>
      </c>
      <c r="K832" s="9" t="str">
        <f t="shared" si="31"/>
        <v/>
      </c>
      <c r="L832" s="9" t="str">
        <f t="shared" si="32"/>
        <v/>
      </c>
      <c r="M832" s="9"/>
      <c r="O832" s="9"/>
    </row>
    <row r="833" ht="15.75" customHeight="1">
      <c r="A833" s="9" t="str">
        <f>IFERROR(__xludf.DUMMYFUNCTION("IF(B833="""","""",RIGHT(REGEXREPLACE(B833&amp;"""",""[^0-9]"",""""),9))"),"761736790")</f>
        <v>761736790</v>
      </c>
      <c r="B833" s="48">
        <v>7.6173679E8</v>
      </c>
      <c r="C833" s="10" t="s">
        <v>967</v>
      </c>
      <c r="D833" s="10" t="s">
        <v>34</v>
      </c>
      <c r="E833" s="13">
        <v>46227.0</v>
      </c>
      <c r="F833" s="10" t="s">
        <v>35</v>
      </c>
      <c r="G833" s="10">
        <v>11.0</v>
      </c>
      <c r="I833" s="10" t="s">
        <v>22</v>
      </c>
      <c r="J833" s="9" t="str">
        <f t="shared" si="30"/>
        <v>No</v>
      </c>
      <c r="K833" s="9" t="str">
        <f t="shared" si="31"/>
        <v/>
      </c>
      <c r="L833" s="9" t="str">
        <f t="shared" si="32"/>
        <v/>
      </c>
      <c r="M833" s="9"/>
      <c r="O833" s="9"/>
    </row>
    <row r="834" ht="15.75" customHeight="1">
      <c r="A834" s="9" t="str">
        <f>IFERROR(__xludf.DUMMYFUNCTION("IF(B834="""","""",RIGHT(REGEXREPLACE(B834&amp;"""",""[^0-9]"",""""),9))"),"702771048")</f>
        <v>702771048</v>
      </c>
      <c r="B834" s="48">
        <v>7.02771048E8</v>
      </c>
      <c r="C834" s="10" t="s">
        <v>968</v>
      </c>
      <c r="D834" s="10" t="s">
        <v>50</v>
      </c>
      <c r="E834" s="13">
        <v>46227.0</v>
      </c>
      <c r="F834" s="10" t="s">
        <v>21</v>
      </c>
      <c r="G834" s="10">
        <v>10.0</v>
      </c>
      <c r="I834" s="10" t="s">
        <v>22</v>
      </c>
      <c r="J834" s="9" t="str">
        <f t="shared" si="30"/>
        <v>No</v>
      </c>
      <c r="K834" s="9" t="str">
        <f t="shared" si="31"/>
        <v/>
      </c>
      <c r="L834" s="9" t="str">
        <f t="shared" si="32"/>
        <v/>
      </c>
      <c r="M834" s="9"/>
      <c r="O834" s="9"/>
    </row>
    <row r="835" ht="15.75" customHeight="1">
      <c r="A835" s="9" t="str">
        <f>IFERROR(__xludf.DUMMYFUNCTION("IF(B835="""","""",RIGHT(REGEXREPLACE(B835&amp;"""",""[^0-9]"",""""),9))"),"702679587")</f>
        <v>702679587</v>
      </c>
      <c r="B835" s="48">
        <v>7.02679587E8</v>
      </c>
      <c r="C835" s="10" t="s">
        <v>969</v>
      </c>
      <c r="D835" s="10" t="s">
        <v>97</v>
      </c>
      <c r="E835" s="13">
        <v>46227.0</v>
      </c>
      <c r="F835" s="10" t="s">
        <v>198</v>
      </c>
      <c r="I835" s="10" t="s">
        <v>22</v>
      </c>
      <c r="J835" s="9" t="str">
        <f t="shared" si="30"/>
        <v>No</v>
      </c>
      <c r="K835" s="9" t="str">
        <f t="shared" si="31"/>
        <v/>
      </c>
      <c r="L835" s="9" t="str">
        <f t="shared" si="32"/>
        <v/>
      </c>
      <c r="M835" s="9"/>
      <c r="O835" s="9"/>
    </row>
    <row r="836" ht="15.75" customHeight="1">
      <c r="A836" s="9" t="str">
        <f>IFERROR(__xludf.DUMMYFUNCTION("IF(B836="""","""",RIGHT(REGEXREPLACE(B836&amp;"""",""[^0-9]"",""""),9))"),"772757255")</f>
        <v>772757255</v>
      </c>
      <c r="B836" s="48">
        <v>7.72757255E8</v>
      </c>
      <c r="C836" s="10" t="s">
        <v>970</v>
      </c>
      <c r="D836" s="10" t="s">
        <v>69</v>
      </c>
      <c r="E836" s="13">
        <v>46227.0</v>
      </c>
      <c r="F836" s="10" t="s">
        <v>542</v>
      </c>
      <c r="G836" s="10">
        <v>11.0</v>
      </c>
      <c r="H836" s="10" t="s">
        <v>737</v>
      </c>
      <c r="I836" s="10" t="s">
        <v>22</v>
      </c>
      <c r="J836" s="9" t="str">
        <f t="shared" si="30"/>
        <v>No</v>
      </c>
      <c r="K836" s="9" t="str">
        <f t="shared" si="31"/>
        <v/>
      </c>
      <c r="L836" s="9" t="str">
        <f t="shared" si="32"/>
        <v/>
      </c>
      <c r="M836" s="9"/>
      <c r="O836" s="9"/>
    </row>
    <row r="837" ht="15.75" customHeight="1">
      <c r="A837" s="9" t="str">
        <f>IFERROR(__xludf.DUMMYFUNCTION("IF(B837="""","""",RIGHT(REGEXREPLACE(B837&amp;"""",""[^0-9]"",""""),9))"),"710434499")</f>
        <v>710434499</v>
      </c>
      <c r="B837" s="48">
        <v>7.10434499E8</v>
      </c>
      <c r="C837" s="10" t="s">
        <v>971</v>
      </c>
      <c r="D837" s="10" t="s">
        <v>120</v>
      </c>
      <c r="E837" s="13">
        <v>46227.0</v>
      </c>
      <c r="F837" s="10" t="s">
        <v>35</v>
      </c>
      <c r="G837" s="10">
        <v>11.0</v>
      </c>
      <c r="I837" s="10" t="s">
        <v>22</v>
      </c>
      <c r="J837" s="9" t="str">
        <f t="shared" si="30"/>
        <v>No</v>
      </c>
      <c r="K837" s="9" t="str">
        <f t="shared" si="31"/>
        <v/>
      </c>
      <c r="L837" s="9" t="str">
        <f t="shared" si="32"/>
        <v/>
      </c>
      <c r="M837" s="9"/>
      <c r="O837" s="9"/>
    </row>
    <row r="838" ht="15.75" customHeight="1">
      <c r="A838" s="9" t="str">
        <f>IFERROR(__xludf.DUMMYFUNCTION("IF(B838="""","""",RIGHT(REGEXREPLACE(B838&amp;"""",""[^0-9]"",""""),9))"),"777316638")</f>
        <v>777316638</v>
      </c>
      <c r="B838" s="48">
        <v>7.77316638E8</v>
      </c>
      <c r="C838" s="10" t="s">
        <v>972</v>
      </c>
      <c r="D838" s="10" t="s">
        <v>50</v>
      </c>
      <c r="E838" s="13">
        <v>46227.0</v>
      </c>
      <c r="F838" s="10" t="s">
        <v>21</v>
      </c>
      <c r="G838" s="10">
        <v>11.0</v>
      </c>
      <c r="I838" s="10" t="s">
        <v>22</v>
      </c>
      <c r="J838" s="9" t="str">
        <f t="shared" si="30"/>
        <v>No</v>
      </c>
      <c r="K838" s="9" t="str">
        <f t="shared" si="31"/>
        <v/>
      </c>
      <c r="L838" s="9" t="str">
        <f t="shared" si="32"/>
        <v/>
      </c>
      <c r="M838" s="9"/>
      <c r="O838" s="9"/>
    </row>
    <row r="839" ht="15.75" customHeight="1">
      <c r="A839" s="9" t="str">
        <f>IFERROR(__xludf.DUMMYFUNCTION("IF(B839="""","""",RIGHT(REGEXREPLACE(B839&amp;"""",""[^0-9]"",""""),9))"),"713092019")</f>
        <v>713092019</v>
      </c>
      <c r="B839" s="10">
        <v>7.13092019E8</v>
      </c>
      <c r="C839" s="10" t="s">
        <v>973</v>
      </c>
      <c r="D839" s="10" t="s">
        <v>20</v>
      </c>
      <c r="E839" s="13">
        <v>46227.0</v>
      </c>
      <c r="F839" s="10" t="s">
        <v>35</v>
      </c>
      <c r="G839" s="10">
        <v>9.0</v>
      </c>
      <c r="H839" s="10" t="s">
        <v>974</v>
      </c>
      <c r="I839" s="10" t="s">
        <v>22</v>
      </c>
      <c r="J839" s="9" t="str">
        <f t="shared" si="30"/>
        <v>No</v>
      </c>
      <c r="K839" s="9" t="str">
        <f t="shared" si="31"/>
        <v/>
      </c>
      <c r="L839" s="9" t="str">
        <f t="shared" si="32"/>
        <v/>
      </c>
      <c r="M839" s="9"/>
      <c r="O839" s="9"/>
    </row>
    <row r="840" ht="15.75" customHeight="1">
      <c r="A840" s="9" t="str">
        <f>IFERROR(__xludf.DUMMYFUNCTION("IF(B840="""","""",RIGHT(REGEXREPLACE(B840&amp;"""",""[^0-9]"",""""),9))"),"773605233")</f>
        <v>773605233</v>
      </c>
      <c r="B840" s="48">
        <v>7.73605233E8</v>
      </c>
      <c r="C840" s="10" t="s">
        <v>975</v>
      </c>
      <c r="D840" s="10" t="s">
        <v>97</v>
      </c>
      <c r="E840" s="13">
        <v>46227.0</v>
      </c>
      <c r="F840" s="10" t="s">
        <v>145</v>
      </c>
      <c r="G840" s="10" t="s">
        <v>162</v>
      </c>
      <c r="I840" s="10" t="s">
        <v>22</v>
      </c>
      <c r="J840" s="9" t="str">
        <f t="shared" si="30"/>
        <v>No</v>
      </c>
      <c r="K840" s="9" t="str">
        <f t="shared" si="31"/>
        <v/>
      </c>
      <c r="L840" s="9" t="str">
        <f t="shared" si="32"/>
        <v/>
      </c>
      <c r="M840" s="9"/>
      <c r="O840" s="9"/>
    </row>
    <row r="841" ht="15.75" customHeight="1">
      <c r="A841" s="9" t="str">
        <f>IFERROR(__xludf.DUMMYFUNCTION("IF(B841="""","""",RIGHT(REGEXREPLACE(B841&amp;"""",""[^0-9]"",""""),9))"),"701593997")</f>
        <v>701593997</v>
      </c>
      <c r="B841" s="48">
        <v>7.01593997E8</v>
      </c>
      <c r="C841" s="10" t="s">
        <v>976</v>
      </c>
      <c r="D841" s="10" t="s">
        <v>50</v>
      </c>
      <c r="E841" s="13">
        <v>46227.0</v>
      </c>
      <c r="F841" s="10" t="s">
        <v>35</v>
      </c>
      <c r="G841" s="10">
        <v>11.0</v>
      </c>
      <c r="I841" s="10" t="s">
        <v>22</v>
      </c>
      <c r="J841" s="9" t="str">
        <f t="shared" si="30"/>
        <v>No</v>
      </c>
      <c r="K841" s="9" t="str">
        <f t="shared" si="31"/>
        <v/>
      </c>
      <c r="L841" s="9" t="str">
        <f t="shared" si="32"/>
        <v/>
      </c>
      <c r="M841" s="9"/>
      <c r="O841" s="9"/>
    </row>
    <row r="842" ht="15.75" customHeight="1">
      <c r="A842" s="9" t="str">
        <f>IFERROR(__xludf.DUMMYFUNCTION("IF(B842="""","""",RIGHT(REGEXREPLACE(B842&amp;"""",""[^0-9]"",""""),9))"),"766186527")</f>
        <v>766186527</v>
      </c>
      <c r="B842" s="10">
        <v>7.66186527E8</v>
      </c>
      <c r="C842" s="10" t="s">
        <v>977</v>
      </c>
      <c r="D842" s="10" t="s">
        <v>20</v>
      </c>
      <c r="E842" s="13">
        <v>46227.0</v>
      </c>
      <c r="F842" s="10" t="s">
        <v>21</v>
      </c>
      <c r="I842" s="10" t="s">
        <v>22</v>
      </c>
      <c r="J842" s="9" t="str">
        <f t="shared" si="30"/>
        <v>No</v>
      </c>
      <c r="K842" s="9" t="str">
        <f t="shared" si="31"/>
        <v/>
      </c>
      <c r="L842" s="9" t="str">
        <f t="shared" si="32"/>
        <v/>
      </c>
      <c r="M842" s="9"/>
      <c r="O842" s="9"/>
    </row>
    <row r="843" ht="15.75" customHeight="1">
      <c r="A843" s="9" t="str">
        <f>IFERROR(__xludf.DUMMYFUNCTION("IF(B843="""","""",RIGHT(REGEXREPLACE(B843&amp;"""",""[^0-9]"",""""),9))"),"765230025")</f>
        <v>765230025</v>
      </c>
      <c r="B843" s="48">
        <v>7.65230025E8</v>
      </c>
      <c r="C843" s="10" t="s">
        <v>978</v>
      </c>
      <c r="D843" s="10" t="s">
        <v>34</v>
      </c>
      <c r="E843" s="13">
        <v>46227.0</v>
      </c>
      <c r="F843" s="10" t="s">
        <v>21</v>
      </c>
      <c r="H843" s="10" t="s">
        <v>622</v>
      </c>
      <c r="I843" s="10" t="s">
        <v>22</v>
      </c>
      <c r="J843" s="9" t="str">
        <f t="shared" si="30"/>
        <v>No</v>
      </c>
      <c r="K843" s="9" t="str">
        <f t="shared" si="31"/>
        <v/>
      </c>
      <c r="L843" s="9" t="str">
        <f t="shared" si="32"/>
        <v/>
      </c>
      <c r="M843" s="9"/>
      <c r="O843" s="9"/>
    </row>
    <row r="844" ht="15.75" customHeight="1">
      <c r="A844" s="9" t="str">
        <f>IFERROR(__xludf.DUMMYFUNCTION("IF(B844="""","""",RIGHT(REGEXREPLACE(B844&amp;"""",""[^0-9]"",""""),9))"),"741988182")</f>
        <v>741988182</v>
      </c>
      <c r="B844" s="10">
        <v>7.41988182E8</v>
      </c>
      <c r="C844" s="10" t="s">
        <v>979</v>
      </c>
      <c r="D844" s="10" t="s">
        <v>69</v>
      </c>
      <c r="E844" s="13">
        <v>46227.0</v>
      </c>
      <c r="F844" s="10" t="s">
        <v>113</v>
      </c>
      <c r="G844" s="10">
        <v>11.0</v>
      </c>
      <c r="H844" s="10" t="s">
        <v>737</v>
      </c>
      <c r="I844" s="10" t="s">
        <v>22</v>
      </c>
      <c r="J844" s="9" t="str">
        <f t="shared" si="30"/>
        <v>No</v>
      </c>
      <c r="K844" s="9" t="str">
        <f t="shared" si="31"/>
        <v/>
      </c>
      <c r="L844" s="9" t="str">
        <f t="shared" si="32"/>
        <v/>
      </c>
      <c r="M844" s="9"/>
      <c r="O844" s="9"/>
    </row>
    <row r="845" ht="15.75" customHeight="1">
      <c r="A845" s="9" t="str">
        <f>IFERROR(__xludf.DUMMYFUNCTION("IF(B845="""","""",RIGHT(REGEXREPLACE(B845&amp;"""",""[^0-9]"",""""),9))"),"724736823")</f>
        <v>724736823</v>
      </c>
      <c r="B845" s="48">
        <v>7.24736823E8</v>
      </c>
      <c r="C845" s="10" t="s">
        <v>980</v>
      </c>
      <c r="D845" s="10" t="s">
        <v>120</v>
      </c>
      <c r="E845" s="13">
        <v>46227.0</v>
      </c>
      <c r="F845" s="10" t="s">
        <v>21</v>
      </c>
      <c r="I845" s="10" t="s">
        <v>22</v>
      </c>
      <c r="J845" s="9" t="str">
        <f t="shared" si="30"/>
        <v>No</v>
      </c>
      <c r="K845" s="9" t="str">
        <f t="shared" si="31"/>
        <v/>
      </c>
      <c r="L845" s="9" t="str">
        <f t="shared" si="32"/>
        <v/>
      </c>
      <c r="M845" s="9"/>
      <c r="O845" s="9"/>
    </row>
    <row r="846" ht="15.75" customHeight="1">
      <c r="A846" s="9" t="str">
        <f>IFERROR(__xludf.DUMMYFUNCTION("IF(B846="""","""",RIGHT(REGEXREPLACE(B846&amp;"""",""[^0-9]"",""""),9))"),"771715937")</f>
        <v>771715937</v>
      </c>
      <c r="B846" s="10">
        <v>7.71715937E8</v>
      </c>
      <c r="C846" s="10" t="s">
        <v>981</v>
      </c>
      <c r="D846" s="10" t="s">
        <v>20</v>
      </c>
      <c r="E846" s="13">
        <v>46227.0</v>
      </c>
      <c r="F846" s="10" t="s">
        <v>113</v>
      </c>
      <c r="G846" s="10">
        <v>11.0</v>
      </c>
      <c r="H846" s="10" t="s">
        <v>982</v>
      </c>
      <c r="I846" s="10" t="s">
        <v>22</v>
      </c>
      <c r="J846" s="9" t="str">
        <f t="shared" si="30"/>
        <v>No</v>
      </c>
      <c r="K846" s="9" t="str">
        <f t="shared" si="31"/>
        <v/>
      </c>
      <c r="L846" s="9" t="str">
        <f t="shared" si="32"/>
        <v/>
      </c>
      <c r="M846" s="9"/>
      <c r="O846" s="9"/>
    </row>
    <row r="847" ht="15.75" customHeight="1">
      <c r="A847" s="9" t="str">
        <f>IFERROR(__xludf.DUMMYFUNCTION("IF(B847="""","""",RIGHT(REGEXREPLACE(B847&amp;"""",""[^0-9]"",""""),9))"),"703871787")</f>
        <v>703871787</v>
      </c>
      <c r="B847" s="48">
        <v>7.03871787E8</v>
      </c>
      <c r="C847" s="10" t="s">
        <v>983</v>
      </c>
      <c r="D847" s="10" t="s">
        <v>97</v>
      </c>
      <c r="E847" s="13">
        <v>46227.0</v>
      </c>
      <c r="F847" s="10" t="s">
        <v>21</v>
      </c>
      <c r="G847" s="10">
        <v>11.0</v>
      </c>
      <c r="I847" s="10" t="s">
        <v>22</v>
      </c>
      <c r="J847" s="9" t="str">
        <f t="shared" si="30"/>
        <v>No</v>
      </c>
      <c r="K847" s="9" t="str">
        <f t="shared" si="31"/>
        <v/>
      </c>
      <c r="L847" s="9" t="str">
        <f t="shared" si="32"/>
        <v/>
      </c>
      <c r="M847" s="9"/>
      <c r="O847" s="9"/>
    </row>
    <row r="848" ht="15.75" customHeight="1">
      <c r="A848" s="9" t="str">
        <f>IFERROR(__xludf.DUMMYFUNCTION("IF(B848="""","""",RIGHT(REGEXREPLACE(B848&amp;"""",""[^0-9]"",""""),9))"),"767041558")</f>
        <v>767041558</v>
      </c>
      <c r="B848" s="48">
        <v>7.67041558E8</v>
      </c>
      <c r="C848" s="10" t="s">
        <v>984</v>
      </c>
      <c r="D848" s="10" t="s">
        <v>34</v>
      </c>
      <c r="E848" s="13">
        <v>46227.0</v>
      </c>
      <c r="F848" s="10" t="s">
        <v>21</v>
      </c>
      <c r="H848" s="10" t="s">
        <v>622</v>
      </c>
      <c r="I848" s="10" t="s">
        <v>22</v>
      </c>
      <c r="J848" s="9" t="str">
        <f t="shared" si="30"/>
        <v>No</v>
      </c>
      <c r="K848" s="9" t="str">
        <f t="shared" si="31"/>
        <v/>
      </c>
      <c r="L848" s="9" t="str">
        <f t="shared" si="32"/>
        <v/>
      </c>
      <c r="M848" s="9"/>
      <c r="O848" s="9"/>
    </row>
    <row r="849" ht="15.75" customHeight="1">
      <c r="A849" s="9" t="str">
        <f>IFERROR(__xludf.DUMMYFUNCTION("IF(B849="""","""",RIGHT(REGEXREPLACE(B849&amp;"""",""[^0-9]"",""""),9))"),"776535654")</f>
        <v>776535654</v>
      </c>
      <c r="B849" s="48">
        <v>7.76535654E8</v>
      </c>
      <c r="C849" s="10" t="s">
        <v>985</v>
      </c>
      <c r="D849" s="10" t="s">
        <v>69</v>
      </c>
      <c r="E849" s="13">
        <v>46227.0</v>
      </c>
      <c r="F849" s="10" t="s">
        <v>21</v>
      </c>
      <c r="H849" s="10" t="s">
        <v>737</v>
      </c>
      <c r="I849" s="10" t="s">
        <v>22</v>
      </c>
      <c r="J849" s="9" t="str">
        <f t="shared" si="30"/>
        <v>No</v>
      </c>
      <c r="K849" s="9" t="str">
        <f t="shared" si="31"/>
        <v/>
      </c>
      <c r="L849" s="9" t="str">
        <f t="shared" si="32"/>
        <v/>
      </c>
      <c r="M849" s="9"/>
      <c r="O849" s="9"/>
    </row>
    <row r="850" ht="15.75" customHeight="1">
      <c r="A850" s="9" t="str">
        <f>IFERROR(__xludf.DUMMYFUNCTION("IF(B850="""","""",RIGHT(REGEXREPLACE(B850&amp;"""",""[^0-9]"",""""),9))"),"717846077")</f>
        <v>717846077</v>
      </c>
      <c r="B850" s="48">
        <v>7.17846077E8</v>
      </c>
      <c r="C850" s="10" t="s">
        <v>986</v>
      </c>
      <c r="D850" s="10" t="s">
        <v>120</v>
      </c>
      <c r="E850" s="13">
        <v>46227.0</v>
      </c>
      <c r="F850" s="10" t="s">
        <v>198</v>
      </c>
      <c r="I850" s="10" t="s">
        <v>22</v>
      </c>
      <c r="J850" s="9" t="str">
        <f t="shared" si="30"/>
        <v>No</v>
      </c>
      <c r="K850" s="9" t="str">
        <f t="shared" si="31"/>
        <v/>
      </c>
      <c r="L850" s="9" t="str">
        <f t="shared" si="32"/>
        <v/>
      </c>
      <c r="M850" s="9"/>
      <c r="O850" s="9"/>
    </row>
    <row r="851" ht="15.75" customHeight="1">
      <c r="A851" s="9" t="str">
        <f>IFERROR(__xludf.DUMMYFUNCTION("IF(B851="""","""",RIGHT(REGEXREPLACE(B851&amp;"""",""[^0-9]"",""""),9))"),"779215559")</f>
        <v>779215559</v>
      </c>
      <c r="B851" s="48">
        <v>7.79215559E8</v>
      </c>
      <c r="C851" s="10" t="s">
        <v>987</v>
      </c>
      <c r="D851" s="10" t="s">
        <v>34</v>
      </c>
      <c r="E851" s="13">
        <v>46227.0</v>
      </c>
      <c r="F851" s="10" t="s">
        <v>113</v>
      </c>
      <c r="H851" s="10" t="s">
        <v>622</v>
      </c>
      <c r="I851" s="10" t="s">
        <v>22</v>
      </c>
      <c r="J851" s="9" t="str">
        <f t="shared" si="30"/>
        <v>No</v>
      </c>
      <c r="K851" s="9" t="str">
        <f t="shared" si="31"/>
        <v/>
      </c>
      <c r="L851" s="9" t="str">
        <f t="shared" si="32"/>
        <v/>
      </c>
      <c r="M851" s="9"/>
      <c r="O851" s="9"/>
    </row>
    <row r="852" ht="15.75" customHeight="1">
      <c r="A852" s="9" t="str">
        <f>IFERROR(__xludf.DUMMYFUNCTION("IF(B852="""","""",RIGHT(REGEXREPLACE(B852&amp;"""",""[^0-9]"",""""),9))"),"769211470")</f>
        <v>769211470</v>
      </c>
      <c r="B852" s="48">
        <v>7.6921147E8</v>
      </c>
      <c r="C852" s="10" t="s">
        <v>988</v>
      </c>
      <c r="D852" s="10" t="s">
        <v>97</v>
      </c>
      <c r="E852" s="13">
        <v>46227.0</v>
      </c>
      <c r="F852" s="10" t="s">
        <v>35</v>
      </c>
      <c r="G852" s="10">
        <v>11.0</v>
      </c>
      <c r="I852" s="10" t="s">
        <v>22</v>
      </c>
      <c r="J852" s="9" t="str">
        <f t="shared" si="30"/>
        <v>No</v>
      </c>
      <c r="K852" s="9" t="str">
        <f t="shared" si="31"/>
        <v/>
      </c>
      <c r="L852" s="9" t="str">
        <f t="shared" si="32"/>
        <v/>
      </c>
      <c r="M852" s="9"/>
      <c r="O852" s="9"/>
    </row>
    <row r="853" ht="15.75" customHeight="1">
      <c r="A853" s="9" t="str">
        <f>IFERROR(__xludf.DUMMYFUNCTION("IF(B853="""","""",RIGHT(REGEXREPLACE(B853&amp;"""",""[^0-9]"",""""),9))"),"711968171")</f>
        <v>711968171</v>
      </c>
      <c r="B853" s="48">
        <v>7.11968171E8</v>
      </c>
      <c r="C853" s="10" t="s">
        <v>989</v>
      </c>
      <c r="D853" s="10" t="s">
        <v>50</v>
      </c>
      <c r="E853" s="13">
        <v>46227.0</v>
      </c>
      <c r="F853" s="10" t="s">
        <v>35</v>
      </c>
      <c r="G853" s="10">
        <v>11.0</v>
      </c>
      <c r="I853" s="10" t="s">
        <v>22</v>
      </c>
      <c r="J853" s="9" t="str">
        <f t="shared" si="30"/>
        <v>No</v>
      </c>
      <c r="K853" s="9" t="str">
        <f t="shared" si="31"/>
        <v/>
      </c>
      <c r="L853" s="9" t="str">
        <f t="shared" si="32"/>
        <v/>
      </c>
      <c r="M853" s="9"/>
      <c r="O853" s="9"/>
    </row>
    <row r="854" ht="15.75" customHeight="1">
      <c r="A854" s="9" t="str">
        <f>IFERROR(__xludf.DUMMYFUNCTION("IF(B854="""","""",RIGHT(REGEXREPLACE(B854&amp;"""",""[^0-9]"",""""),9))"),"771465009")</f>
        <v>771465009</v>
      </c>
      <c r="B854" s="48">
        <v>7.71465009E8</v>
      </c>
      <c r="C854" s="10" t="s">
        <v>990</v>
      </c>
      <c r="D854" s="10" t="s">
        <v>120</v>
      </c>
      <c r="E854" s="13">
        <v>46227.0</v>
      </c>
      <c r="F854" s="10" t="s">
        <v>35</v>
      </c>
      <c r="G854" s="10">
        <v>11.0</v>
      </c>
      <c r="I854" s="10" t="s">
        <v>22</v>
      </c>
      <c r="J854" s="9" t="str">
        <f t="shared" si="30"/>
        <v>No</v>
      </c>
      <c r="K854" s="9" t="str">
        <f t="shared" si="31"/>
        <v/>
      </c>
      <c r="L854" s="9" t="str">
        <f t="shared" si="32"/>
        <v/>
      </c>
      <c r="M854" s="9"/>
      <c r="O854" s="9"/>
    </row>
    <row r="855" ht="15.75" customHeight="1">
      <c r="A855" s="9" t="str">
        <f>IFERROR(__xludf.DUMMYFUNCTION("IF(B855="""","""",RIGHT(REGEXREPLACE(B855&amp;"""",""[^0-9]"",""""),9))"),"714443723")</f>
        <v>714443723</v>
      </c>
      <c r="B855" s="48">
        <v>7.14443723E8</v>
      </c>
      <c r="C855" s="10" t="s">
        <v>991</v>
      </c>
      <c r="D855" s="10" t="s">
        <v>34</v>
      </c>
      <c r="E855" s="13">
        <v>46227.0</v>
      </c>
      <c r="F855" s="10" t="s">
        <v>21</v>
      </c>
      <c r="H855" s="10" t="s">
        <v>622</v>
      </c>
      <c r="I855" s="10" t="s">
        <v>22</v>
      </c>
      <c r="J855" s="9" t="str">
        <f t="shared" si="30"/>
        <v>No</v>
      </c>
      <c r="K855" s="9" t="str">
        <f t="shared" si="31"/>
        <v/>
      </c>
      <c r="L855" s="9" t="str">
        <f t="shared" si="32"/>
        <v/>
      </c>
      <c r="M855" s="9"/>
      <c r="O855" s="9"/>
    </row>
    <row r="856" ht="15.75" customHeight="1">
      <c r="A856" s="9" t="str">
        <f>IFERROR(__xludf.DUMMYFUNCTION("IF(B856="""","""",RIGHT(REGEXREPLACE(B856&amp;"""",""[^0-9]"",""""),9))"),"753354789")</f>
        <v>753354789</v>
      </c>
      <c r="B856" s="10">
        <v>7.53354789E8</v>
      </c>
      <c r="C856" s="10" t="s">
        <v>992</v>
      </c>
      <c r="D856" s="10" t="s">
        <v>69</v>
      </c>
      <c r="E856" s="13">
        <v>46227.0</v>
      </c>
      <c r="F856" s="10" t="s">
        <v>35</v>
      </c>
      <c r="G856" s="10">
        <v>11.0</v>
      </c>
      <c r="H856" s="10" t="s">
        <v>737</v>
      </c>
      <c r="I856" s="10" t="s">
        <v>22</v>
      </c>
      <c r="J856" s="9" t="str">
        <f t="shared" si="30"/>
        <v>No</v>
      </c>
      <c r="K856" s="9" t="str">
        <f t="shared" si="31"/>
        <v/>
      </c>
      <c r="L856" s="9" t="str">
        <f t="shared" si="32"/>
        <v/>
      </c>
      <c r="M856" s="9"/>
      <c r="O856" s="9"/>
    </row>
    <row r="857" ht="15.75" customHeight="1">
      <c r="A857" s="9" t="str">
        <f>IFERROR(__xludf.DUMMYFUNCTION("IF(B857="""","""",RIGHT(REGEXREPLACE(B857&amp;"""",""[^0-9]"",""""),9))"),"771830463")</f>
        <v>771830463</v>
      </c>
      <c r="B857" s="48">
        <v>7.71830463E8</v>
      </c>
      <c r="C857" s="10" t="s">
        <v>993</v>
      </c>
      <c r="D857" s="10" t="s">
        <v>34</v>
      </c>
      <c r="E857" s="13">
        <v>46227.0</v>
      </c>
      <c r="F857" s="10" t="s">
        <v>35</v>
      </c>
      <c r="G857" s="10">
        <v>11.0</v>
      </c>
      <c r="I857" s="10" t="s">
        <v>22</v>
      </c>
      <c r="J857" s="9" t="str">
        <f t="shared" si="30"/>
        <v>No</v>
      </c>
      <c r="K857" s="9" t="str">
        <f t="shared" si="31"/>
        <v/>
      </c>
      <c r="L857" s="9" t="str">
        <f t="shared" si="32"/>
        <v/>
      </c>
      <c r="M857" s="9"/>
      <c r="O857" s="9"/>
    </row>
    <row r="858" ht="15.75" customHeight="1">
      <c r="A858" s="9" t="str">
        <f>IFERROR(__xludf.DUMMYFUNCTION("IF(B858="""","""",RIGHT(REGEXREPLACE(B858&amp;"""",""[^0-9]"",""""),9))"),"717759394")</f>
        <v>717759394</v>
      </c>
      <c r="B858" s="48">
        <v>7.17759394E8</v>
      </c>
      <c r="C858" s="10" t="s">
        <v>994</v>
      </c>
      <c r="D858" s="10" t="s">
        <v>97</v>
      </c>
      <c r="E858" s="13">
        <v>46227.0</v>
      </c>
      <c r="F858" s="10" t="s">
        <v>198</v>
      </c>
      <c r="I858" s="10" t="s">
        <v>22</v>
      </c>
      <c r="J858" s="9" t="str">
        <f t="shared" si="30"/>
        <v>No</v>
      </c>
      <c r="K858" s="9" t="str">
        <f t="shared" si="31"/>
        <v/>
      </c>
      <c r="L858" s="9" t="str">
        <f t="shared" si="32"/>
        <v/>
      </c>
      <c r="M858" s="9"/>
      <c r="O858" s="9"/>
    </row>
    <row r="859" ht="15.75" customHeight="1">
      <c r="A859" s="9" t="str">
        <f>IFERROR(__xludf.DUMMYFUNCTION("IF(B859="""","""",RIGHT(REGEXREPLACE(B859&amp;"""",""[^0-9]"",""""),9))"),"701565363")</f>
        <v>701565363</v>
      </c>
      <c r="B859" s="48">
        <v>7.01565363E8</v>
      </c>
      <c r="C859" s="10" t="s">
        <v>995</v>
      </c>
      <c r="D859" s="10" t="s">
        <v>50</v>
      </c>
      <c r="E859" s="13">
        <v>46227.0</v>
      </c>
      <c r="F859" s="10" t="s">
        <v>35</v>
      </c>
      <c r="G859" s="10">
        <v>11.0</v>
      </c>
      <c r="I859" s="10" t="s">
        <v>22</v>
      </c>
      <c r="J859" s="9" t="str">
        <f t="shared" si="30"/>
        <v>No</v>
      </c>
      <c r="K859" s="9" t="str">
        <f t="shared" si="31"/>
        <v/>
      </c>
      <c r="L859" s="9" t="str">
        <f t="shared" si="32"/>
        <v/>
      </c>
      <c r="M859" s="9"/>
      <c r="O859" s="9"/>
    </row>
    <row r="860" ht="15.75" customHeight="1">
      <c r="A860" s="9" t="str">
        <f>IFERROR(__xludf.DUMMYFUNCTION("IF(B860="""","""",RIGHT(REGEXREPLACE(B860&amp;"""",""[^0-9]"",""""),9))"),"775253519")</f>
        <v>775253519</v>
      </c>
      <c r="B860" s="48">
        <v>7.75253519E8</v>
      </c>
      <c r="C860" s="10" t="s">
        <v>996</v>
      </c>
      <c r="D860" s="10" t="s">
        <v>97</v>
      </c>
      <c r="E860" s="13">
        <v>46227.0</v>
      </c>
      <c r="F860" s="10" t="s">
        <v>648</v>
      </c>
      <c r="H860" s="10" t="s">
        <v>997</v>
      </c>
      <c r="I860" s="10" t="s">
        <v>22</v>
      </c>
      <c r="J860" s="9" t="str">
        <f t="shared" si="30"/>
        <v>No</v>
      </c>
      <c r="K860" s="9" t="str">
        <f t="shared" si="31"/>
        <v/>
      </c>
      <c r="L860" s="9" t="str">
        <f t="shared" si="32"/>
        <v/>
      </c>
      <c r="M860" s="9"/>
      <c r="O860" s="9"/>
    </row>
    <row r="861" ht="15.75" customHeight="1">
      <c r="A861" s="9" t="str">
        <f>IFERROR(__xludf.DUMMYFUNCTION("IF(B861="""","""",RIGHT(REGEXREPLACE(B861&amp;"""",""[^0-9]"",""""),9))"),"773896506")</f>
        <v>773896506</v>
      </c>
      <c r="B861" s="48">
        <v>7.73896506E8</v>
      </c>
      <c r="C861" s="10" t="s">
        <v>998</v>
      </c>
      <c r="D861" s="10" t="s">
        <v>120</v>
      </c>
      <c r="E861" s="13">
        <v>46227.0</v>
      </c>
      <c r="F861" s="10" t="s">
        <v>35</v>
      </c>
      <c r="G861" s="10">
        <v>10.0</v>
      </c>
      <c r="I861" s="10" t="s">
        <v>22</v>
      </c>
      <c r="J861" s="9" t="str">
        <f t="shared" si="30"/>
        <v>No</v>
      </c>
      <c r="K861" s="9" t="str">
        <f t="shared" si="31"/>
        <v/>
      </c>
      <c r="L861" s="9" t="str">
        <f t="shared" si="32"/>
        <v/>
      </c>
      <c r="M861" s="9"/>
      <c r="O861" s="9"/>
    </row>
    <row r="862" ht="15.75" customHeight="1">
      <c r="A862" s="9" t="str">
        <f>IFERROR(__xludf.DUMMYFUNCTION("IF(B862="""","""",RIGHT(REGEXREPLACE(B862&amp;"""",""[^0-9]"",""""),9))"),"740467218")</f>
        <v>740467218</v>
      </c>
      <c r="B862" s="10">
        <v>7.40467218E8</v>
      </c>
      <c r="C862" s="10" t="s">
        <v>999</v>
      </c>
      <c r="D862" s="10" t="s">
        <v>20</v>
      </c>
      <c r="E862" s="13">
        <v>46227.0</v>
      </c>
      <c r="F862" s="10" t="s">
        <v>35</v>
      </c>
      <c r="G862" s="10">
        <v>8.0</v>
      </c>
      <c r="I862" s="10" t="s">
        <v>22</v>
      </c>
      <c r="J862" s="9" t="str">
        <f t="shared" si="30"/>
        <v>No</v>
      </c>
      <c r="K862" s="9" t="str">
        <f t="shared" si="31"/>
        <v/>
      </c>
      <c r="L862" s="9" t="str">
        <f t="shared" si="32"/>
        <v/>
      </c>
      <c r="M862" s="9"/>
      <c r="O862" s="9"/>
    </row>
    <row r="863" ht="15.75" customHeight="1">
      <c r="A863" s="9" t="str">
        <f>IFERROR(__xludf.DUMMYFUNCTION("IF(B863="""","""",RIGHT(REGEXREPLACE(B863&amp;"""",""[^0-9]"",""""),9))"),"718029606")</f>
        <v>718029606</v>
      </c>
      <c r="B863" s="48">
        <v>7.18029606E8</v>
      </c>
      <c r="C863" s="10" t="s">
        <v>1000</v>
      </c>
      <c r="D863" s="10" t="s">
        <v>50</v>
      </c>
      <c r="E863" s="13">
        <v>46227.0</v>
      </c>
      <c r="F863" s="10" t="s">
        <v>35</v>
      </c>
      <c r="G863" s="10">
        <v>11.0</v>
      </c>
      <c r="I863" s="10" t="s">
        <v>22</v>
      </c>
      <c r="J863" s="9" t="str">
        <f t="shared" si="30"/>
        <v>No</v>
      </c>
      <c r="K863" s="9" t="str">
        <f t="shared" si="31"/>
        <v/>
      </c>
      <c r="L863" s="9" t="str">
        <f t="shared" si="32"/>
        <v/>
      </c>
      <c r="M863" s="9"/>
      <c r="O863" s="9"/>
    </row>
    <row r="864" ht="15.75" customHeight="1">
      <c r="A864" s="9" t="str">
        <f>IFERROR(__xludf.DUMMYFUNCTION("IF(B864="""","""",RIGHT(REGEXREPLACE(B864&amp;"""",""[^0-9]"",""""),9))"),"723781602")</f>
        <v>723781602</v>
      </c>
      <c r="B864" s="48">
        <v>7.23781602E8</v>
      </c>
      <c r="C864" s="10" t="s">
        <v>1001</v>
      </c>
      <c r="D864" s="10" t="s">
        <v>69</v>
      </c>
      <c r="E864" s="13">
        <v>46227.0</v>
      </c>
      <c r="F864" s="10" t="s">
        <v>198</v>
      </c>
      <c r="G864" s="10">
        <v>11.0</v>
      </c>
      <c r="H864" s="10" t="s">
        <v>737</v>
      </c>
      <c r="I864" s="10" t="s">
        <v>22</v>
      </c>
      <c r="J864" s="9" t="str">
        <f t="shared" si="30"/>
        <v>No</v>
      </c>
      <c r="K864" s="9" t="str">
        <f t="shared" si="31"/>
        <v/>
      </c>
      <c r="L864" s="9" t="str">
        <f t="shared" si="32"/>
        <v/>
      </c>
      <c r="M864" s="9"/>
      <c r="O864" s="9"/>
    </row>
    <row r="865" ht="15.75" customHeight="1">
      <c r="A865" s="9" t="str">
        <f>IFERROR(__xludf.DUMMYFUNCTION("IF(B865="""","""",RIGHT(REGEXREPLACE(B865&amp;"""",""[^0-9]"",""""),9))"),"704930156")</f>
        <v>704930156</v>
      </c>
      <c r="B865" s="48">
        <v>7.04930156E8</v>
      </c>
      <c r="C865" s="10" t="s">
        <v>1002</v>
      </c>
      <c r="D865" s="10" t="s">
        <v>97</v>
      </c>
      <c r="E865" s="13">
        <v>46227.0</v>
      </c>
      <c r="F865" s="10" t="s">
        <v>198</v>
      </c>
      <c r="G865" s="10">
        <v>8.0</v>
      </c>
      <c r="I865" s="10" t="s">
        <v>22</v>
      </c>
      <c r="J865" s="9" t="str">
        <f t="shared" si="30"/>
        <v>No</v>
      </c>
      <c r="K865" s="9" t="str">
        <f t="shared" si="31"/>
        <v/>
      </c>
      <c r="L865" s="9" t="str">
        <f t="shared" si="32"/>
        <v/>
      </c>
      <c r="M865" s="9"/>
      <c r="O865" s="9"/>
    </row>
    <row r="866" ht="15.75" customHeight="1">
      <c r="A866" s="9" t="str">
        <f>IFERROR(__xludf.DUMMYFUNCTION("IF(B866="""","""",RIGHT(REGEXREPLACE(B866&amp;"""",""[^0-9]"",""""),9))"),"716064935")</f>
        <v>716064935</v>
      </c>
      <c r="B866" s="10">
        <v>7.16064935E8</v>
      </c>
      <c r="C866" s="10" t="s">
        <v>1003</v>
      </c>
      <c r="D866" s="10" t="s">
        <v>20</v>
      </c>
      <c r="E866" s="13">
        <v>46227.0</v>
      </c>
      <c r="F866" s="10" t="s">
        <v>171</v>
      </c>
      <c r="I866" s="10" t="s">
        <v>22</v>
      </c>
      <c r="J866" s="9" t="str">
        <f t="shared" si="30"/>
        <v>No</v>
      </c>
      <c r="K866" s="9" t="str">
        <f t="shared" si="31"/>
        <v/>
      </c>
      <c r="L866" s="9" t="str">
        <f t="shared" si="32"/>
        <v/>
      </c>
      <c r="M866" s="9"/>
      <c r="O866" s="9"/>
    </row>
    <row r="867" ht="15.75" customHeight="1">
      <c r="A867" s="9" t="str">
        <f>IFERROR(__xludf.DUMMYFUNCTION("IF(B867="""","""",RIGHT(REGEXREPLACE(B867&amp;"""",""[^0-9]"",""""),9))"),"773764890")</f>
        <v>773764890</v>
      </c>
      <c r="B867" s="48">
        <v>7.7376489E8</v>
      </c>
      <c r="C867" s="10" t="s">
        <v>1004</v>
      </c>
      <c r="D867" s="10" t="s">
        <v>120</v>
      </c>
      <c r="E867" s="13">
        <v>46227.0</v>
      </c>
      <c r="F867" s="10" t="s">
        <v>35</v>
      </c>
      <c r="G867" s="10">
        <v>11.0</v>
      </c>
      <c r="I867" s="10" t="s">
        <v>22</v>
      </c>
      <c r="J867" s="9" t="str">
        <f t="shared" si="30"/>
        <v>No</v>
      </c>
      <c r="K867" s="9" t="str">
        <f t="shared" si="31"/>
        <v/>
      </c>
      <c r="L867" s="9" t="str">
        <f t="shared" si="32"/>
        <v/>
      </c>
      <c r="M867" s="9"/>
      <c r="O867" s="9"/>
    </row>
    <row r="868" ht="15.75" customHeight="1">
      <c r="A868" s="9" t="str">
        <f>IFERROR(__xludf.DUMMYFUNCTION("IF(B868="""","""",RIGHT(REGEXREPLACE(B868&amp;"""",""[^0-9]"",""""),9))"),"765909766")</f>
        <v>765909766</v>
      </c>
      <c r="B868" s="10">
        <v>7.65909766E8</v>
      </c>
      <c r="C868" s="10" t="s">
        <v>1003</v>
      </c>
      <c r="D868" s="10" t="s">
        <v>20</v>
      </c>
      <c r="E868" s="13">
        <v>46227.0</v>
      </c>
      <c r="F868" s="10" t="s">
        <v>113</v>
      </c>
      <c r="G868" s="10">
        <v>11.0</v>
      </c>
      <c r="H868" s="10" t="s">
        <v>1005</v>
      </c>
      <c r="I868" s="10" t="s">
        <v>22</v>
      </c>
      <c r="J868" s="9" t="str">
        <f t="shared" si="30"/>
        <v>No</v>
      </c>
      <c r="K868" s="9" t="str">
        <f t="shared" si="31"/>
        <v/>
      </c>
      <c r="L868" s="9" t="str">
        <f t="shared" si="32"/>
        <v/>
      </c>
      <c r="M868" s="9"/>
      <c r="O868" s="9"/>
    </row>
    <row r="869" ht="15.75" customHeight="1">
      <c r="A869" s="9" t="str">
        <f>IFERROR(__xludf.DUMMYFUNCTION("IF(B869="""","""",RIGHT(REGEXREPLACE(B869&amp;"""",""[^0-9]"",""""),9))"),"770433130")</f>
        <v>770433130</v>
      </c>
      <c r="B869" s="48">
        <v>7.7043313E8</v>
      </c>
      <c r="C869" s="10" t="s">
        <v>1006</v>
      </c>
      <c r="D869" s="10" t="s">
        <v>50</v>
      </c>
      <c r="E869" s="13">
        <v>46227.0</v>
      </c>
      <c r="F869" s="10" t="s">
        <v>35</v>
      </c>
      <c r="G869" s="10">
        <v>11.0</v>
      </c>
      <c r="I869" s="10" t="s">
        <v>22</v>
      </c>
      <c r="J869" s="9" t="str">
        <f t="shared" si="30"/>
        <v>No</v>
      </c>
      <c r="K869" s="9" t="str">
        <f t="shared" si="31"/>
        <v/>
      </c>
      <c r="L869" s="9" t="str">
        <f t="shared" si="32"/>
        <v/>
      </c>
      <c r="M869" s="9"/>
      <c r="O869" s="9"/>
    </row>
    <row r="870" ht="15.75" customHeight="1">
      <c r="A870" s="9" t="str">
        <f>IFERROR(__xludf.DUMMYFUNCTION("IF(B870="""","""",RIGHT(REGEXREPLACE(B870&amp;"""",""[^0-9]"",""""),9))"),"782000062")</f>
        <v>782000062</v>
      </c>
      <c r="B870" s="48">
        <v>7.82000062E8</v>
      </c>
      <c r="C870" s="10" t="s">
        <v>1007</v>
      </c>
      <c r="D870" s="10" t="s">
        <v>69</v>
      </c>
      <c r="E870" s="13">
        <v>46227.0</v>
      </c>
      <c r="F870" s="10" t="s">
        <v>171</v>
      </c>
      <c r="G870" s="10">
        <v>11.0</v>
      </c>
      <c r="H870" s="10" t="s">
        <v>737</v>
      </c>
      <c r="I870" s="10" t="s">
        <v>22</v>
      </c>
      <c r="J870" s="9" t="str">
        <f t="shared" si="30"/>
        <v>No</v>
      </c>
      <c r="K870" s="9" t="str">
        <f t="shared" si="31"/>
        <v/>
      </c>
      <c r="L870" s="9" t="str">
        <f t="shared" si="32"/>
        <v/>
      </c>
      <c r="M870" s="9"/>
      <c r="O870" s="9"/>
    </row>
    <row r="871" ht="15.75" customHeight="1">
      <c r="A871" s="9" t="str">
        <f>IFERROR(__xludf.DUMMYFUNCTION("IF(B871="""","""",RIGHT(REGEXREPLACE(B871&amp;"""",""[^0-9]"",""""),9))"),"762647722")</f>
        <v>762647722</v>
      </c>
      <c r="B871" s="48">
        <v>7.62647722E8</v>
      </c>
      <c r="C871" s="10" t="s">
        <v>1008</v>
      </c>
      <c r="D871" s="10" t="s">
        <v>34</v>
      </c>
      <c r="E871" s="13">
        <v>46227.0</v>
      </c>
      <c r="F871" s="10" t="s">
        <v>21</v>
      </c>
      <c r="H871" s="10" t="s">
        <v>622</v>
      </c>
      <c r="I871" s="10" t="s">
        <v>22</v>
      </c>
      <c r="J871" s="9" t="str">
        <f t="shared" si="30"/>
        <v>No</v>
      </c>
      <c r="K871" s="9" t="str">
        <f t="shared" si="31"/>
        <v/>
      </c>
      <c r="L871" s="9" t="str">
        <f t="shared" si="32"/>
        <v/>
      </c>
      <c r="M871" s="9"/>
      <c r="O871" s="9"/>
    </row>
    <row r="872" ht="15.75" customHeight="1">
      <c r="A872" s="9" t="str">
        <f>IFERROR(__xludf.DUMMYFUNCTION("IF(B872="""","""",RIGHT(REGEXREPLACE(B872&amp;"""",""[^0-9]"",""""),9))"),"760581656")</f>
        <v>760581656</v>
      </c>
      <c r="B872" s="10">
        <v>7.60581656E8</v>
      </c>
      <c r="C872" s="10" t="s">
        <v>1009</v>
      </c>
      <c r="D872" s="10" t="s">
        <v>20</v>
      </c>
      <c r="E872" s="13">
        <v>46227.0</v>
      </c>
      <c r="F872" s="10" t="s">
        <v>113</v>
      </c>
      <c r="I872" s="10" t="s">
        <v>22</v>
      </c>
      <c r="J872" s="9" t="str">
        <f t="shared" si="30"/>
        <v>No</v>
      </c>
      <c r="K872" s="9" t="str">
        <f t="shared" si="31"/>
        <v/>
      </c>
      <c r="L872" s="9" t="str">
        <f t="shared" si="32"/>
        <v/>
      </c>
      <c r="M872" s="9"/>
      <c r="O872" s="9"/>
    </row>
    <row r="873" ht="15.75" customHeight="1">
      <c r="A873" s="9" t="str">
        <f>IFERROR(__xludf.DUMMYFUNCTION("IF(B873="""","""",RIGHT(REGEXREPLACE(B873&amp;"""",""[^0-9]"",""""),9))"),"775411574")</f>
        <v>775411574</v>
      </c>
      <c r="B873" s="48">
        <v>7.75411574E8</v>
      </c>
      <c r="C873" s="10" t="s">
        <v>1010</v>
      </c>
      <c r="D873" s="10" t="s">
        <v>97</v>
      </c>
      <c r="E873" s="13">
        <v>46227.0</v>
      </c>
      <c r="F873" s="10" t="s">
        <v>21</v>
      </c>
      <c r="G873" s="10">
        <v>11.0</v>
      </c>
      <c r="I873" s="10" t="s">
        <v>22</v>
      </c>
      <c r="J873" s="9" t="str">
        <f t="shared" si="30"/>
        <v>No</v>
      </c>
      <c r="K873" s="9" t="str">
        <f t="shared" si="31"/>
        <v/>
      </c>
      <c r="L873" s="9" t="str">
        <f t="shared" si="32"/>
        <v/>
      </c>
      <c r="M873" s="9"/>
      <c r="O873" s="9"/>
    </row>
    <row r="874" ht="15.75" customHeight="1">
      <c r="A874" s="9" t="str">
        <f>IFERROR(__xludf.DUMMYFUNCTION("IF(B874="""","""",RIGHT(REGEXREPLACE(B874&amp;"""",""[^0-9]"",""""),9))"),"771170437")</f>
        <v>771170437</v>
      </c>
      <c r="B874" s="48">
        <v>7.71170437E8</v>
      </c>
      <c r="C874" s="10" t="s">
        <v>1011</v>
      </c>
      <c r="D874" s="10" t="s">
        <v>50</v>
      </c>
      <c r="E874" s="13">
        <v>46227.0</v>
      </c>
      <c r="F874" s="10" t="s">
        <v>35</v>
      </c>
      <c r="G874" s="10">
        <v>9.0</v>
      </c>
      <c r="I874" s="10" t="s">
        <v>22</v>
      </c>
      <c r="J874" s="9" t="str">
        <f t="shared" si="30"/>
        <v>No</v>
      </c>
      <c r="K874" s="9" t="str">
        <f t="shared" si="31"/>
        <v/>
      </c>
      <c r="L874" s="9" t="str">
        <f t="shared" si="32"/>
        <v/>
      </c>
      <c r="M874" s="9"/>
      <c r="O874" s="9"/>
    </row>
    <row r="875" ht="15.75" customHeight="1">
      <c r="A875" s="9" t="str">
        <f>IFERROR(__xludf.DUMMYFUNCTION("IF(B875="""","""",RIGHT(REGEXREPLACE(B875&amp;"""",""[^0-9]"",""""),9))"),"768627215")</f>
        <v>768627215</v>
      </c>
      <c r="B875" s="10">
        <v>7.68627215E8</v>
      </c>
      <c r="C875" s="10" t="s">
        <v>1012</v>
      </c>
      <c r="D875" s="10" t="s">
        <v>20</v>
      </c>
      <c r="E875" s="13">
        <v>46227.0</v>
      </c>
      <c r="F875" s="10" t="s">
        <v>21</v>
      </c>
      <c r="I875" s="10" t="s">
        <v>22</v>
      </c>
      <c r="J875" s="9" t="str">
        <f t="shared" si="30"/>
        <v>No</v>
      </c>
      <c r="K875" s="9" t="str">
        <f t="shared" si="31"/>
        <v/>
      </c>
      <c r="L875" s="9" t="str">
        <f t="shared" si="32"/>
        <v/>
      </c>
      <c r="M875" s="9"/>
      <c r="O875" s="9"/>
    </row>
    <row r="876" ht="15.75" customHeight="1">
      <c r="A876" s="9" t="str">
        <f>IFERROR(__xludf.DUMMYFUNCTION("IF(B876="""","""",RIGHT(REGEXREPLACE(B876&amp;"""",""[^0-9]"",""""),9))"),"770367849")</f>
        <v>770367849</v>
      </c>
      <c r="B876" s="48">
        <v>7.70367849E8</v>
      </c>
      <c r="C876" s="10" t="s">
        <v>1013</v>
      </c>
      <c r="D876" s="10" t="s">
        <v>34</v>
      </c>
      <c r="E876" s="13">
        <v>46227.0</v>
      </c>
      <c r="F876" s="10" t="s">
        <v>171</v>
      </c>
      <c r="H876" s="10" t="s">
        <v>622</v>
      </c>
      <c r="I876" s="10" t="s">
        <v>22</v>
      </c>
      <c r="J876" s="9" t="str">
        <f t="shared" si="30"/>
        <v>No</v>
      </c>
      <c r="K876" s="9" t="str">
        <f t="shared" si="31"/>
        <v/>
      </c>
      <c r="L876" s="9" t="str">
        <f t="shared" si="32"/>
        <v/>
      </c>
      <c r="M876" s="9"/>
      <c r="O876" s="9"/>
    </row>
    <row r="877" ht="15.75" customHeight="1">
      <c r="A877" s="9" t="str">
        <f>IFERROR(__xludf.DUMMYFUNCTION("IF(B877="""","""",RIGHT(REGEXREPLACE(B877&amp;"""",""[^0-9]"",""""),9))"),"769681260")</f>
        <v>769681260</v>
      </c>
      <c r="B877" s="48">
        <v>7.6968126E8</v>
      </c>
      <c r="C877" s="10" t="s">
        <v>1014</v>
      </c>
      <c r="D877" s="10" t="s">
        <v>69</v>
      </c>
      <c r="E877" s="13">
        <v>46227.0</v>
      </c>
      <c r="F877" s="10" t="s">
        <v>542</v>
      </c>
      <c r="G877" s="10">
        <v>11.0</v>
      </c>
      <c r="H877" s="10" t="s">
        <v>737</v>
      </c>
      <c r="I877" s="10" t="s">
        <v>22</v>
      </c>
      <c r="J877" s="9" t="str">
        <f t="shared" si="30"/>
        <v>No</v>
      </c>
      <c r="K877" s="9" t="str">
        <f t="shared" si="31"/>
        <v/>
      </c>
      <c r="L877" s="9" t="str">
        <f t="shared" si="32"/>
        <v/>
      </c>
      <c r="M877" s="9"/>
      <c r="O877" s="9"/>
    </row>
    <row r="878" ht="15.75" customHeight="1">
      <c r="A878" s="9" t="str">
        <f>IFERROR(__xludf.DUMMYFUNCTION("IF(B878="""","""",RIGHT(REGEXREPLACE(B878&amp;"""",""[^0-9]"",""""),9))"),"770622577")</f>
        <v>770622577</v>
      </c>
      <c r="B878" s="48">
        <v>7.70622577E8</v>
      </c>
      <c r="C878" s="10" t="s">
        <v>1015</v>
      </c>
      <c r="D878" s="10" t="s">
        <v>97</v>
      </c>
      <c r="E878" s="13">
        <v>46227.0</v>
      </c>
      <c r="F878" s="10" t="s">
        <v>35</v>
      </c>
      <c r="G878" s="10">
        <v>11.0</v>
      </c>
      <c r="I878" s="10" t="s">
        <v>22</v>
      </c>
      <c r="J878" s="9" t="str">
        <f t="shared" si="30"/>
        <v>No</v>
      </c>
      <c r="K878" s="9" t="str">
        <f t="shared" si="31"/>
        <v/>
      </c>
      <c r="L878" s="9" t="str">
        <f t="shared" si="32"/>
        <v/>
      </c>
      <c r="M878" s="9"/>
      <c r="O878" s="9"/>
    </row>
    <row r="879" ht="15.75" customHeight="1">
      <c r="A879" s="9" t="str">
        <f>IFERROR(__xludf.DUMMYFUNCTION("IF(B879="""","""",RIGHT(REGEXREPLACE(B879&amp;"""",""[^0-9]"",""""),9))"),"716779140")</f>
        <v>716779140</v>
      </c>
      <c r="B879" s="48">
        <v>7.1677914E8</v>
      </c>
      <c r="C879" s="10" t="s">
        <v>1016</v>
      </c>
      <c r="D879" s="10" t="s">
        <v>120</v>
      </c>
      <c r="E879" s="13">
        <v>46227.0</v>
      </c>
      <c r="F879" s="10" t="s">
        <v>35</v>
      </c>
      <c r="G879" s="10">
        <v>11.0</v>
      </c>
      <c r="I879" s="10" t="s">
        <v>22</v>
      </c>
      <c r="J879" s="9" t="str">
        <f t="shared" si="30"/>
        <v>No</v>
      </c>
      <c r="K879" s="9" t="str">
        <f t="shared" si="31"/>
        <v/>
      </c>
      <c r="L879" s="9" t="str">
        <f t="shared" si="32"/>
        <v/>
      </c>
      <c r="M879" s="9"/>
      <c r="O879" s="9"/>
    </row>
    <row r="880" ht="15.75" customHeight="1">
      <c r="A880" s="9" t="str">
        <f>IFERROR(__xludf.DUMMYFUNCTION("IF(B880="""","""",RIGHT(REGEXREPLACE(B880&amp;"""",""[^0-9]"",""""),9))"),"767334916")</f>
        <v>767334916</v>
      </c>
      <c r="B880" s="48">
        <v>7.67334916E8</v>
      </c>
      <c r="C880" s="10" t="s">
        <v>1017</v>
      </c>
      <c r="D880" s="10" t="s">
        <v>50</v>
      </c>
      <c r="E880" s="13">
        <v>46227.0</v>
      </c>
      <c r="F880" s="10" t="s">
        <v>21</v>
      </c>
      <c r="G880" s="10">
        <v>11.0</v>
      </c>
      <c r="I880" s="10" t="s">
        <v>22</v>
      </c>
      <c r="J880" s="9" t="str">
        <f t="shared" si="30"/>
        <v>No</v>
      </c>
      <c r="K880" s="9" t="str">
        <f t="shared" si="31"/>
        <v/>
      </c>
      <c r="L880" s="9" t="str">
        <f t="shared" si="32"/>
        <v/>
      </c>
      <c r="M880" s="9"/>
      <c r="O880" s="9"/>
    </row>
    <row r="881" ht="15.75" customHeight="1">
      <c r="A881" s="9" t="str">
        <f>IFERROR(__xludf.DUMMYFUNCTION("IF(B881="""","""",RIGHT(REGEXREPLACE(B881&amp;"""",""[^0-9]"",""""),9))"),"779501701")</f>
        <v>779501701</v>
      </c>
      <c r="B881" s="48">
        <v>7.79501701E8</v>
      </c>
      <c r="C881" s="10" t="s">
        <v>1018</v>
      </c>
      <c r="D881" s="10" t="s">
        <v>34</v>
      </c>
      <c r="E881" s="13">
        <v>46227.0</v>
      </c>
      <c r="F881" s="10" t="s">
        <v>35</v>
      </c>
      <c r="G881" s="10">
        <v>11.0</v>
      </c>
      <c r="I881" s="10" t="s">
        <v>22</v>
      </c>
      <c r="J881" s="9" t="str">
        <f t="shared" si="30"/>
        <v>No</v>
      </c>
      <c r="K881" s="9" t="str">
        <f t="shared" si="31"/>
        <v/>
      </c>
      <c r="L881" s="9" t="str">
        <f t="shared" si="32"/>
        <v/>
      </c>
      <c r="M881" s="9"/>
      <c r="O881" s="9"/>
    </row>
    <row r="882" ht="15.75" customHeight="1">
      <c r="A882" s="9" t="str">
        <f>IFERROR(__xludf.DUMMYFUNCTION("IF(B882="""","""",RIGHT(REGEXREPLACE(B882&amp;"""",""[^0-9]"",""""),9))"),"763829353")</f>
        <v>763829353</v>
      </c>
      <c r="B882" s="48">
        <v>7.63829353E8</v>
      </c>
      <c r="C882" s="10" t="s">
        <v>1019</v>
      </c>
      <c r="D882" s="10" t="s">
        <v>50</v>
      </c>
      <c r="E882" s="13">
        <v>46227.0</v>
      </c>
      <c r="F882" s="10" t="s">
        <v>35</v>
      </c>
      <c r="G882" s="10">
        <v>11.0</v>
      </c>
      <c r="I882" s="10" t="s">
        <v>22</v>
      </c>
      <c r="J882" s="9" t="str">
        <f t="shared" si="30"/>
        <v>No</v>
      </c>
      <c r="K882" s="9" t="str">
        <f t="shared" si="31"/>
        <v/>
      </c>
      <c r="L882" s="9" t="str">
        <f t="shared" si="32"/>
        <v/>
      </c>
      <c r="M882" s="9"/>
      <c r="O882" s="9"/>
    </row>
    <row r="883" ht="15.75" customHeight="1">
      <c r="A883" s="9" t="str">
        <f>IFERROR(__xludf.DUMMYFUNCTION("IF(B883="""","""",RIGHT(REGEXREPLACE(B883&amp;"""",""[^0-9]"",""""),9))"),"771522764")</f>
        <v>771522764</v>
      </c>
      <c r="B883" s="48">
        <v>7.71522764E8</v>
      </c>
      <c r="C883" s="10" t="s">
        <v>1020</v>
      </c>
      <c r="D883" s="10" t="s">
        <v>120</v>
      </c>
      <c r="E883" s="13">
        <v>46227.0</v>
      </c>
      <c r="F883" s="10" t="s">
        <v>35</v>
      </c>
      <c r="G883" s="71">
        <v>46306.0</v>
      </c>
      <c r="I883" s="10" t="s">
        <v>22</v>
      </c>
      <c r="J883" s="9" t="str">
        <f t="shared" si="30"/>
        <v>No</v>
      </c>
      <c r="K883" s="9" t="str">
        <f t="shared" si="31"/>
        <v/>
      </c>
      <c r="L883" s="9" t="str">
        <f t="shared" si="32"/>
        <v/>
      </c>
      <c r="M883" s="9"/>
      <c r="O883" s="9"/>
    </row>
    <row r="884" ht="15.75" customHeight="1">
      <c r="A884" s="9" t="str">
        <f>IFERROR(__xludf.DUMMYFUNCTION("IF(B884="""","""",RIGHT(REGEXREPLACE(B884&amp;"""",""[^0-9]"",""""),9))"),"777572655")</f>
        <v>777572655</v>
      </c>
      <c r="B884" s="48">
        <v>7.77572655E8</v>
      </c>
      <c r="C884" s="10" t="s">
        <v>1021</v>
      </c>
      <c r="D884" s="10" t="s">
        <v>69</v>
      </c>
      <c r="E884" s="13">
        <v>46227.0</v>
      </c>
      <c r="F884" s="10" t="s">
        <v>35</v>
      </c>
      <c r="G884" s="10">
        <v>10.0</v>
      </c>
      <c r="H884" s="10" t="s">
        <v>737</v>
      </c>
      <c r="I884" s="10" t="s">
        <v>22</v>
      </c>
      <c r="J884" s="9" t="str">
        <f t="shared" si="30"/>
        <v>No</v>
      </c>
      <c r="K884" s="9" t="str">
        <f t="shared" si="31"/>
        <v/>
      </c>
      <c r="L884" s="9" t="str">
        <f t="shared" si="32"/>
        <v/>
      </c>
      <c r="M884" s="9"/>
      <c r="O884" s="9"/>
    </row>
    <row r="885" ht="15.75" customHeight="1">
      <c r="A885" s="9" t="str">
        <f>IFERROR(__xludf.DUMMYFUNCTION("IF(B885="""","""",RIGHT(REGEXREPLACE(B885&amp;"""",""[^0-9]"",""""),9))"),"717988774")</f>
        <v>717988774</v>
      </c>
      <c r="B885" s="48">
        <v>7.17988774E8</v>
      </c>
      <c r="C885" s="10" t="s">
        <v>1022</v>
      </c>
      <c r="D885" s="10" t="s">
        <v>97</v>
      </c>
      <c r="E885" s="13">
        <v>46227.0</v>
      </c>
      <c r="F885" s="10" t="s">
        <v>145</v>
      </c>
      <c r="G885" s="10" t="s">
        <v>1023</v>
      </c>
      <c r="I885" s="10" t="s">
        <v>22</v>
      </c>
      <c r="J885" s="9" t="str">
        <f t="shared" si="30"/>
        <v>No</v>
      </c>
      <c r="K885" s="9" t="str">
        <f t="shared" si="31"/>
        <v/>
      </c>
      <c r="L885" s="9" t="str">
        <f t="shared" si="32"/>
        <v/>
      </c>
      <c r="M885" s="9"/>
      <c r="O885" s="9"/>
    </row>
    <row r="886" ht="15.75" customHeight="1">
      <c r="A886" s="9" t="str">
        <f>IFERROR(__xludf.DUMMYFUNCTION("IF(B886="""","""",RIGHT(REGEXREPLACE(B886&amp;"""",""[^0-9]"",""""),9))"),"714465993")</f>
        <v>714465993</v>
      </c>
      <c r="B886" s="48">
        <v>7.14465993E8</v>
      </c>
      <c r="C886" s="10" t="s">
        <v>1024</v>
      </c>
      <c r="D886" s="10" t="s">
        <v>50</v>
      </c>
      <c r="E886" s="13">
        <v>46227.0</v>
      </c>
      <c r="F886" s="10" t="s">
        <v>35</v>
      </c>
      <c r="G886" s="10">
        <v>10.0</v>
      </c>
      <c r="I886" s="10" t="s">
        <v>22</v>
      </c>
      <c r="J886" s="9" t="str">
        <f t="shared" si="30"/>
        <v>No</v>
      </c>
      <c r="K886" s="9" t="str">
        <f t="shared" si="31"/>
        <v/>
      </c>
      <c r="L886" s="9" t="str">
        <f t="shared" si="32"/>
        <v/>
      </c>
      <c r="M886" s="9"/>
      <c r="O886" s="9"/>
    </row>
    <row r="887" ht="15.75" customHeight="1">
      <c r="A887" s="9" t="str">
        <f>IFERROR(__xludf.DUMMYFUNCTION("IF(B887="""","""",RIGHT(REGEXREPLACE(B887&amp;"""",""[^0-9]"",""""),9))"),"768914051")</f>
        <v>768914051</v>
      </c>
      <c r="B887" s="48">
        <v>7.68914051E8</v>
      </c>
      <c r="C887" s="10" t="s">
        <v>1025</v>
      </c>
      <c r="D887" s="10" t="s">
        <v>34</v>
      </c>
      <c r="E887" s="13">
        <v>46227.0</v>
      </c>
      <c r="F887" s="10" t="s">
        <v>35</v>
      </c>
      <c r="G887" s="10" t="s">
        <v>1026</v>
      </c>
      <c r="I887" s="10" t="s">
        <v>22</v>
      </c>
      <c r="J887" s="9" t="str">
        <f t="shared" si="30"/>
        <v>No</v>
      </c>
      <c r="K887" s="9" t="str">
        <f t="shared" si="31"/>
        <v/>
      </c>
      <c r="L887" s="9" t="str">
        <f t="shared" si="32"/>
        <v/>
      </c>
      <c r="M887" s="9"/>
      <c r="O887" s="9"/>
    </row>
    <row r="888" ht="15.75" customHeight="1">
      <c r="A888" s="9" t="str">
        <f>IFERROR(__xludf.DUMMYFUNCTION("IF(B888="""","""",RIGHT(REGEXREPLACE(B888&amp;"""",""[^0-9]"",""""),9))"),"717750002")</f>
        <v>717750002</v>
      </c>
      <c r="B888" s="48">
        <v>7.17750002E8</v>
      </c>
      <c r="C888" s="10" t="s">
        <v>1027</v>
      </c>
      <c r="D888" s="10" t="s">
        <v>69</v>
      </c>
      <c r="E888" s="13">
        <v>46227.0</v>
      </c>
      <c r="F888" s="10" t="s">
        <v>542</v>
      </c>
      <c r="G888" s="10">
        <v>11.0</v>
      </c>
      <c r="H888" s="10" t="s">
        <v>737</v>
      </c>
      <c r="I888" s="10" t="s">
        <v>22</v>
      </c>
      <c r="J888" s="9" t="str">
        <f t="shared" si="30"/>
        <v>No</v>
      </c>
      <c r="K888" s="9" t="str">
        <f t="shared" si="31"/>
        <v/>
      </c>
      <c r="L888" s="9" t="str">
        <f t="shared" si="32"/>
        <v/>
      </c>
      <c r="M888" s="9"/>
      <c r="O888" s="9"/>
    </row>
    <row r="889" ht="15.75" customHeight="1">
      <c r="A889" s="9" t="str">
        <f>IFERROR(__xludf.DUMMYFUNCTION("IF(B889="""","""",RIGHT(REGEXREPLACE(B889&amp;"""",""[^0-9]"",""""),9))"),"718820378")</f>
        <v>718820378</v>
      </c>
      <c r="B889" s="48">
        <v>7.18820378E8</v>
      </c>
      <c r="C889" s="10" t="s">
        <v>1028</v>
      </c>
      <c r="D889" s="10" t="s">
        <v>120</v>
      </c>
      <c r="E889" s="13">
        <v>46227.0</v>
      </c>
      <c r="F889" s="10" t="s">
        <v>35</v>
      </c>
      <c r="G889" s="10">
        <v>11.0</v>
      </c>
      <c r="I889" s="10" t="s">
        <v>22</v>
      </c>
      <c r="J889" s="9" t="str">
        <f t="shared" si="30"/>
        <v>No</v>
      </c>
      <c r="K889" s="9" t="str">
        <f t="shared" si="31"/>
        <v/>
      </c>
      <c r="L889" s="9" t="str">
        <f t="shared" si="32"/>
        <v/>
      </c>
      <c r="M889" s="9"/>
      <c r="O889" s="9"/>
    </row>
    <row r="890" ht="15.75" customHeight="1">
      <c r="A890" s="9" t="str">
        <f>IFERROR(__xludf.DUMMYFUNCTION("IF(B890="""","""",RIGHT(REGEXREPLACE(B890&amp;"""",""[^0-9]"",""""),9))"),"763050097")</f>
        <v>763050097</v>
      </c>
      <c r="B890" s="48">
        <v>7.63050097E8</v>
      </c>
      <c r="C890" s="10" t="s">
        <v>1029</v>
      </c>
      <c r="D890" s="10" t="s">
        <v>97</v>
      </c>
      <c r="E890" s="13">
        <v>46227.0</v>
      </c>
      <c r="F890" s="10" t="s">
        <v>35</v>
      </c>
      <c r="G890" s="10">
        <v>11.0</v>
      </c>
      <c r="I890" s="10" t="s">
        <v>22</v>
      </c>
      <c r="J890" s="9" t="str">
        <f t="shared" si="30"/>
        <v>No</v>
      </c>
      <c r="K890" s="9" t="str">
        <f t="shared" si="31"/>
        <v/>
      </c>
      <c r="L890" s="9" t="str">
        <f t="shared" si="32"/>
        <v/>
      </c>
      <c r="M890" s="9"/>
      <c r="O890" s="9"/>
    </row>
    <row r="891" ht="15.75" customHeight="1">
      <c r="A891" s="9" t="str">
        <f>IFERROR(__xludf.DUMMYFUNCTION("IF(B891="""","""",RIGHT(REGEXREPLACE(B891&amp;"""",""[^0-9]"",""""),9))"),"771756601")</f>
        <v>771756601</v>
      </c>
      <c r="B891" s="48">
        <v>7.71756601E8</v>
      </c>
      <c r="C891" s="10" t="s">
        <v>1030</v>
      </c>
      <c r="D891" s="10" t="s">
        <v>50</v>
      </c>
      <c r="E891" s="13">
        <v>46227.0</v>
      </c>
      <c r="F891" s="10" t="s">
        <v>21</v>
      </c>
      <c r="I891" s="10" t="s">
        <v>22</v>
      </c>
      <c r="J891" s="9" t="str">
        <f t="shared" si="30"/>
        <v>No</v>
      </c>
      <c r="K891" s="9" t="str">
        <f t="shared" si="31"/>
        <v/>
      </c>
      <c r="L891" s="9" t="str">
        <f t="shared" si="32"/>
        <v/>
      </c>
      <c r="M891" s="9"/>
      <c r="O891" s="9"/>
    </row>
    <row r="892" ht="15.75" customHeight="1">
      <c r="A892" s="9" t="str">
        <f>IFERROR(__xludf.DUMMYFUNCTION("IF(B892="""","""",RIGHT(REGEXREPLACE(B892&amp;"""",""[^0-9]"",""""),9))"),"762629964")</f>
        <v>762629964</v>
      </c>
      <c r="B892" s="48">
        <v>7.62629964E8</v>
      </c>
      <c r="C892" s="10" t="s">
        <v>1031</v>
      </c>
      <c r="D892" s="10" t="s">
        <v>34</v>
      </c>
      <c r="E892" s="13">
        <v>46227.0</v>
      </c>
      <c r="F892" s="10" t="s">
        <v>198</v>
      </c>
      <c r="H892" s="10" t="s">
        <v>622</v>
      </c>
      <c r="I892" s="10" t="s">
        <v>22</v>
      </c>
      <c r="J892" s="9" t="str">
        <f t="shared" si="30"/>
        <v>No</v>
      </c>
      <c r="K892" s="9" t="str">
        <f t="shared" si="31"/>
        <v/>
      </c>
      <c r="L892" s="9" t="str">
        <f t="shared" si="32"/>
        <v/>
      </c>
      <c r="M892" s="9"/>
      <c r="O892" s="9"/>
    </row>
    <row r="893" ht="15.75" customHeight="1">
      <c r="A893" s="9" t="str">
        <f>IFERROR(__xludf.DUMMYFUNCTION("IF(B893="""","""",RIGHT(REGEXREPLACE(B893&amp;"""",""[^0-9]"",""""),9))"),"786790804")</f>
        <v>786790804</v>
      </c>
      <c r="B893" s="48">
        <v>7.86790804E8</v>
      </c>
      <c r="C893" s="10" t="s">
        <v>1032</v>
      </c>
      <c r="D893" s="10" t="s">
        <v>50</v>
      </c>
      <c r="E893" s="13">
        <v>46227.0</v>
      </c>
      <c r="F893" s="10" t="s">
        <v>35</v>
      </c>
      <c r="G893" s="10">
        <v>11.0</v>
      </c>
      <c r="I893" s="10" t="s">
        <v>22</v>
      </c>
      <c r="J893" s="9" t="str">
        <f t="shared" si="30"/>
        <v>No</v>
      </c>
      <c r="K893" s="9" t="str">
        <f t="shared" si="31"/>
        <v/>
      </c>
      <c r="L893" s="9" t="str">
        <f t="shared" si="32"/>
        <v/>
      </c>
      <c r="M893" s="9"/>
      <c r="O893" s="9"/>
    </row>
    <row r="894" ht="15.75" customHeight="1">
      <c r="A894" s="9" t="str">
        <f>IFERROR(__xludf.DUMMYFUNCTION("IF(B894="""","""",RIGHT(REGEXREPLACE(B894&amp;"""",""[^0-9]"",""""),9))"),"762813565")</f>
        <v>762813565</v>
      </c>
      <c r="B894" s="48">
        <v>7.62813565E8</v>
      </c>
      <c r="C894" s="10" t="s">
        <v>1033</v>
      </c>
      <c r="D894" s="10" t="s">
        <v>120</v>
      </c>
      <c r="E894" s="13">
        <v>46227.0</v>
      </c>
      <c r="F894" s="10" t="s">
        <v>21</v>
      </c>
      <c r="G894" s="10">
        <v>11.0</v>
      </c>
      <c r="I894" s="10" t="s">
        <v>22</v>
      </c>
      <c r="J894" s="9" t="str">
        <f t="shared" si="30"/>
        <v>No</v>
      </c>
      <c r="K894" s="9" t="str">
        <f t="shared" si="31"/>
        <v/>
      </c>
      <c r="L894" s="9" t="str">
        <f t="shared" si="32"/>
        <v/>
      </c>
      <c r="M894" s="9"/>
      <c r="O894" s="9"/>
    </row>
    <row r="895" ht="15.75" customHeight="1">
      <c r="A895" s="9" t="str">
        <f>IFERROR(__xludf.DUMMYFUNCTION("IF(B895="""","""",RIGHT(REGEXREPLACE(B895&amp;"""",""[^0-9]"",""""),9))"),"716715322")</f>
        <v>716715322</v>
      </c>
      <c r="B895" s="48">
        <v>7.16715322E8</v>
      </c>
      <c r="C895" s="10" t="s">
        <v>1034</v>
      </c>
      <c r="D895" s="10" t="s">
        <v>34</v>
      </c>
      <c r="E895" s="13">
        <v>46227.0</v>
      </c>
      <c r="F895" s="10" t="s">
        <v>35</v>
      </c>
      <c r="G895" s="10">
        <v>10.0</v>
      </c>
      <c r="I895" s="10" t="s">
        <v>22</v>
      </c>
      <c r="J895" s="9" t="str">
        <f t="shared" si="30"/>
        <v>No</v>
      </c>
      <c r="K895" s="9" t="str">
        <f t="shared" si="31"/>
        <v/>
      </c>
      <c r="L895" s="9" t="str">
        <f t="shared" si="32"/>
        <v/>
      </c>
      <c r="M895" s="9"/>
      <c r="O895" s="9"/>
    </row>
    <row r="896" ht="15.75" customHeight="1">
      <c r="A896" s="9" t="str">
        <f>IFERROR(__xludf.DUMMYFUNCTION("IF(B896="""","""",RIGHT(REGEXREPLACE(B896&amp;"""",""[^0-9]"",""""),9))"),"707296831")</f>
        <v>707296831</v>
      </c>
      <c r="B896" s="48">
        <v>7.07296831E8</v>
      </c>
      <c r="C896" s="10" t="s">
        <v>1035</v>
      </c>
      <c r="D896" s="10" t="s">
        <v>97</v>
      </c>
      <c r="E896" s="13">
        <v>46227.0</v>
      </c>
      <c r="F896" s="10" t="s">
        <v>198</v>
      </c>
      <c r="G896" s="10">
        <v>11.0</v>
      </c>
      <c r="I896" s="10" t="s">
        <v>22</v>
      </c>
      <c r="J896" s="9" t="str">
        <f t="shared" si="30"/>
        <v>No</v>
      </c>
      <c r="K896" s="9" t="str">
        <f t="shared" si="31"/>
        <v/>
      </c>
      <c r="L896" s="9" t="str">
        <f t="shared" si="32"/>
        <v/>
      </c>
      <c r="M896" s="9"/>
      <c r="O896" s="9"/>
    </row>
    <row r="897" ht="15.75" customHeight="1">
      <c r="A897" s="9" t="str">
        <f>IFERROR(__xludf.DUMMYFUNCTION("IF(B897="""","""",RIGHT(REGEXREPLACE(B897&amp;"""",""[^0-9]"",""""),9))"),"771035237")</f>
        <v>771035237</v>
      </c>
      <c r="B897" s="48">
        <v>7.71035237E8</v>
      </c>
      <c r="C897" s="10" t="s">
        <v>1036</v>
      </c>
      <c r="D897" s="10" t="s">
        <v>69</v>
      </c>
      <c r="E897" s="13">
        <v>46227.0</v>
      </c>
      <c r="F897" s="10" t="s">
        <v>35</v>
      </c>
      <c r="G897" s="10">
        <v>11.0</v>
      </c>
      <c r="H897" s="10" t="s">
        <v>737</v>
      </c>
      <c r="I897" s="10" t="s">
        <v>22</v>
      </c>
      <c r="J897" s="9" t="str">
        <f t="shared" si="30"/>
        <v>No</v>
      </c>
      <c r="K897" s="9" t="str">
        <f t="shared" si="31"/>
        <v/>
      </c>
      <c r="L897" s="9" t="str">
        <f t="shared" si="32"/>
        <v/>
      </c>
      <c r="M897" s="9"/>
      <c r="O897" s="9"/>
    </row>
    <row r="898" ht="15.75" customHeight="1">
      <c r="A898" s="9" t="str">
        <f>IFERROR(__xludf.DUMMYFUNCTION("IF(B898="""","""",RIGHT(REGEXREPLACE(B898&amp;"""",""[^0-9]"",""""),9))"),"718003260")</f>
        <v>718003260</v>
      </c>
      <c r="B898" s="48">
        <v>7.1800326E8</v>
      </c>
      <c r="C898" s="10" t="s">
        <v>1037</v>
      </c>
      <c r="D898" s="10" t="s">
        <v>50</v>
      </c>
      <c r="E898" s="13">
        <v>46227.0</v>
      </c>
      <c r="F898" s="10" t="s">
        <v>35</v>
      </c>
      <c r="G898" s="10">
        <v>11.0</v>
      </c>
      <c r="I898" s="10" t="s">
        <v>22</v>
      </c>
      <c r="J898" s="9" t="str">
        <f t="shared" si="30"/>
        <v>No</v>
      </c>
      <c r="K898" s="9" t="str">
        <f t="shared" si="31"/>
        <v/>
      </c>
      <c r="L898" s="9" t="str">
        <f t="shared" si="32"/>
        <v/>
      </c>
      <c r="M898" s="9"/>
      <c r="O898" s="9"/>
    </row>
    <row r="899" ht="15.75" customHeight="1">
      <c r="A899" s="9" t="str">
        <f>IFERROR(__xludf.DUMMYFUNCTION("IF(B899="""","""",RIGHT(REGEXREPLACE(B899&amp;"""",""[^0-9]"",""""),9))"),"752755957")</f>
        <v>752755957</v>
      </c>
      <c r="B899" s="48">
        <v>7.52755957E8</v>
      </c>
      <c r="C899" s="10" t="s">
        <v>1038</v>
      </c>
      <c r="D899" s="10" t="s">
        <v>120</v>
      </c>
      <c r="E899" s="13">
        <v>46227.0</v>
      </c>
      <c r="F899" s="10" t="s">
        <v>648</v>
      </c>
      <c r="I899" s="10" t="s">
        <v>22</v>
      </c>
      <c r="J899" s="9" t="str">
        <f t="shared" si="30"/>
        <v>No</v>
      </c>
      <c r="K899" s="9" t="str">
        <f t="shared" si="31"/>
        <v/>
      </c>
      <c r="L899" s="9" t="str">
        <f t="shared" si="32"/>
        <v/>
      </c>
      <c r="M899" s="9"/>
      <c r="O899" s="9"/>
    </row>
    <row r="900" ht="15.75" customHeight="1">
      <c r="A900" s="9" t="str">
        <f>IFERROR(__xludf.DUMMYFUNCTION("IF(B900="""","""",RIGHT(REGEXREPLACE(B900&amp;"""",""[^0-9]"",""""),9))"),"770646123")</f>
        <v>770646123</v>
      </c>
      <c r="B900" s="10">
        <v>7.770646123E9</v>
      </c>
      <c r="C900" s="10" t="s">
        <v>1039</v>
      </c>
      <c r="D900" s="10" t="s">
        <v>20</v>
      </c>
      <c r="E900" s="13">
        <v>46227.0</v>
      </c>
      <c r="F900" s="10" t="s">
        <v>35</v>
      </c>
      <c r="G900" s="10">
        <v>11.0</v>
      </c>
      <c r="I900" s="10" t="s">
        <v>22</v>
      </c>
      <c r="J900" s="9" t="str">
        <f t="shared" si="30"/>
        <v>No</v>
      </c>
      <c r="K900" s="9" t="str">
        <f t="shared" si="31"/>
        <v/>
      </c>
      <c r="L900" s="9" t="str">
        <f t="shared" si="32"/>
        <v/>
      </c>
      <c r="M900" s="9"/>
      <c r="O900" s="9"/>
    </row>
    <row r="901" ht="15.75" customHeight="1">
      <c r="A901" s="9" t="str">
        <f>IFERROR(__xludf.DUMMYFUNCTION("IF(B901="""","""",RIGHT(REGEXREPLACE(B901&amp;"""",""[^0-9]"",""""),9))"),"777969977")</f>
        <v>777969977</v>
      </c>
      <c r="B901" s="48">
        <v>7.77969977E8</v>
      </c>
      <c r="C901" s="10" t="s">
        <v>1040</v>
      </c>
      <c r="D901" s="10" t="s">
        <v>34</v>
      </c>
      <c r="E901" s="13">
        <v>46227.0</v>
      </c>
      <c r="F901" s="10" t="s">
        <v>35</v>
      </c>
      <c r="G901" s="10">
        <v>10.0</v>
      </c>
      <c r="H901" s="10" t="s">
        <v>760</v>
      </c>
      <c r="I901" s="10" t="s">
        <v>22</v>
      </c>
      <c r="J901" s="9" t="str">
        <f t="shared" si="30"/>
        <v>No</v>
      </c>
      <c r="K901" s="9" t="str">
        <f t="shared" si="31"/>
        <v/>
      </c>
      <c r="L901" s="9" t="str">
        <f t="shared" si="32"/>
        <v/>
      </c>
      <c r="M901" s="9"/>
      <c r="O901" s="9"/>
    </row>
    <row r="902" ht="15.75" customHeight="1">
      <c r="A902" s="9" t="str">
        <f>IFERROR(__xludf.DUMMYFUNCTION("IF(B902="""","""",RIGHT(REGEXREPLACE(B902&amp;"""",""[^0-9]"",""""),9))"),"760837263")</f>
        <v>760837263</v>
      </c>
      <c r="B902" s="48">
        <v>7.60837263E8</v>
      </c>
      <c r="C902" s="10" t="s">
        <v>1041</v>
      </c>
      <c r="D902" s="10" t="s">
        <v>97</v>
      </c>
      <c r="E902" s="13">
        <v>46227.0</v>
      </c>
      <c r="F902" s="10" t="s">
        <v>21</v>
      </c>
      <c r="I902" s="10" t="s">
        <v>22</v>
      </c>
      <c r="J902" s="9" t="str">
        <f t="shared" si="30"/>
        <v>No</v>
      </c>
      <c r="K902" s="9" t="str">
        <f t="shared" si="31"/>
        <v/>
      </c>
      <c r="L902" s="9" t="str">
        <f t="shared" si="32"/>
        <v/>
      </c>
      <c r="M902" s="9"/>
      <c r="O902" s="9"/>
    </row>
    <row r="903" ht="15.75" customHeight="1">
      <c r="A903" s="9" t="str">
        <f>IFERROR(__xludf.DUMMYFUNCTION("IF(B903="""","""",RIGHT(REGEXREPLACE(B903&amp;"""",""[^0-9]"",""""),9))"),"766435267")</f>
        <v>766435267</v>
      </c>
      <c r="B903" s="48">
        <v>7.66435267E8</v>
      </c>
      <c r="C903" s="10" t="s">
        <v>1042</v>
      </c>
      <c r="D903" s="10" t="s">
        <v>120</v>
      </c>
      <c r="E903" s="13">
        <v>46227.0</v>
      </c>
      <c r="F903" s="10" t="s">
        <v>604</v>
      </c>
      <c r="G903" s="10">
        <v>11.0</v>
      </c>
      <c r="I903" s="10" t="s">
        <v>22</v>
      </c>
      <c r="J903" s="9" t="str">
        <f t="shared" si="30"/>
        <v>No</v>
      </c>
      <c r="K903" s="9" t="str">
        <f t="shared" si="31"/>
        <v/>
      </c>
      <c r="L903" s="9" t="str">
        <f t="shared" si="32"/>
        <v/>
      </c>
      <c r="M903" s="9"/>
      <c r="O903" s="9"/>
    </row>
    <row r="904" ht="15.75" customHeight="1">
      <c r="A904" s="9" t="str">
        <f>IFERROR(__xludf.DUMMYFUNCTION("IF(B904="""","""",RIGHT(REGEXREPLACE(B904&amp;"""",""[^0-9]"",""""),9))"),"717028258")</f>
        <v>717028258</v>
      </c>
      <c r="B904" s="48">
        <v>7.17028258E8</v>
      </c>
      <c r="C904" s="10" t="s">
        <v>1043</v>
      </c>
      <c r="D904" s="10" t="s">
        <v>50</v>
      </c>
      <c r="E904" s="13">
        <v>46227.0</v>
      </c>
      <c r="F904" s="10" t="s">
        <v>21</v>
      </c>
      <c r="I904" s="10" t="s">
        <v>22</v>
      </c>
      <c r="J904" s="9" t="str">
        <f t="shared" si="30"/>
        <v>No</v>
      </c>
      <c r="K904" s="9" t="str">
        <f t="shared" si="31"/>
        <v/>
      </c>
      <c r="L904" s="9" t="str">
        <f t="shared" si="32"/>
        <v/>
      </c>
      <c r="M904" s="9"/>
      <c r="O904" s="9"/>
    </row>
    <row r="905" ht="15.75" customHeight="1">
      <c r="A905" s="9" t="str">
        <f>IFERROR(__xludf.DUMMYFUNCTION("IF(B905="""","""",RIGHT(REGEXREPLACE(B905&amp;"""",""[^0-9]"",""""),9))"),"773124214")</f>
        <v>773124214</v>
      </c>
      <c r="B905" s="10">
        <v>7.73124214E8</v>
      </c>
      <c r="C905" s="10" t="s">
        <v>1044</v>
      </c>
      <c r="D905" s="10" t="s">
        <v>20</v>
      </c>
      <c r="E905" s="13">
        <v>46227.0</v>
      </c>
      <c r="F905" s="10" t="s">
        <v>21</v>
      </c>
      <c r="I905" s="10" t="s">
        <v>22</v>
      </c>
      <c r="J905" s="9" t="str">
        <f t="shared" si="30"/>
        <v>No</v>
      </c>
      <c r="K905" s="9" t="str">
        <f t="shared" si="31"/>
        <v/>
      </c>
      <c r="L905" s="9" t="str">
        <f t="shared" si="32"/>
        <v/>
      </c>
      <c r="M905" s="9"/>
      <c r="O905" s="9"/>
    </row>
    <row r="906" ht="15.75" customHeight="1">
      <c r="A906" s="9" t="str">
        <f>IFERROR(__xludf.DUMMYFUNCTION("IF(B906="""","""",RIGHT(REGEXREPLACE(B906&amp;"""",""[^0-9]"",""""),9))"),"768333800")</f>
        <v>768333800</v>
      </c>
      <c r="B906" s="48">
        <v>7.683338E8</v>
      </c>
      <c r="C906" s="10" t="s">
        <v>1045</v>
      </c>
      <c r="D906" s="10" t="s">
        <v>69</v>
      </c>
      <c r="E906" s="13">
        <v>46227.0</v>
      </c>
      <c r="F906" s="10" t="s">
        <v>21</v>
      </c>
      <c r="G906" s="10">
        <v>9.0</v>
      </c>
      <c r="H906" s="10" t="s">
        <v>737</v>
      </c>
      <c r="I906" s="10" t="s">
        <v>22</v>
      </c>
      <c r="J906" s="9" t="str">
        <f t="shared" si="30"/>
        <v>No</v>
      </c>
      <c r="K906" s="9" t="str">
        <f t="shared" si="31"/>
        <v/>
      </c>
      <c r="L906" s="9" t="str">
        <f t="shared" si="32"/>
        <v/>
      </c>
      <c r="M906" s="9"/>
      <c r="O906" s="9"/>
    </row>
    <row r="907" ht="15.75" customHeight="1">
      <c r="A907" s="9" t="str">
        <f>IFERROR(__xludf.DUMMYFUNCTION("IF(B907="""","""",RIGHT(REGEXREPLACE(B907&amp;"""",""[^0-9]"",""""),9))"),"773454155")</f>
        <v>773454155</v>
      </c>
      <c r="B907" s="48">
        <v>7.73454155E8</v>
      </c>
      <c r="C907" s="10" t="s">
        <v>1046</v>
      </c>
      <c r="D907" s="10" t="s">
        <v>34</v>
      </c>
      <c r="E907" s="13">
        <v>46227.0</v>
      </c>
      <c r="F907" s="10" t="s">
        <v>21</v>
      </c>
      <c r="I907" s="10" t="s">
        <v>22</v>
      </c>
      <c r="J907" s="9" t="str">
        <f t="shared" si="30"/>
        <v>No</v>
      </c>
      <c r="K907" s="9" t="str">
        <f t="shared" si="31"/>
        <v/>
      </c>
      <c r="L907" s="9" t="str">
        <f t="shared" si="32"/>
        <v/>
      </c>
      <c r="M907" s="9"/>
      <c r="O907" s="9"/>
    </row>
    <row r="908" ht="15.75" customHeight="1">
      <c r="A908" s="9" t="str">
        <f>IFERROR(__xludf.DUMMYFUNCTION("IF(B908="""","""",RIGHT(REGEXREPLACE(B908&amp;"""",""[^0-9]"",""""),9))"),"766586554")</f>
        <v>766586554</v>
      </c>
      <c r="B908" s="10">
        <v>7.66586554E8</v>
      </c>
      <c r="C908" s="10" t="s">
        <v>1047</v>
      </c>
      <c r="D908" s="10" t="s">
        <v>20</v>
      </c>
      <c r="E908" s="13">
        <v>46227.0</v>
      </c>
      <c r="F908" s="10" t="s">
        <v>113</v>
      </c>
      <c r="I908" s="10" t="s">
        <v>22</v>
      </c>
      <c r="J908" s="9" t="str">
        <f t="shared" si="30"/>
        <v>No</v>
      </c>
      <c r="K908" s="9" t="str">
        <f t="shared" si="31"/>
        <v/>
      </c>
      <c r="L908" s="9" t="str">
        <f t="shared" si="32"/>
        <v/>
      </c>
      <c r="M908" s="9"/>
      <c r="O908" s="9"/>
    </row>
    <row r="909" ht="15.75" customHeight="1">
      <c r="A909" s="9" t="str">
        <f>IFERROR(__xludf.DUMMYFUNCTION("IF(B909="""","""",RIGHT(REGEXREPLACE(B909&amp;"""",""[^0-9]"",""""),9))"),"771629720")</f>
        <v>771629720</v>
      </c>
      <c r="B909" s="48">
        <v>7.7162972E8</v>
      </c>
      <c r="C909" s="10" t="s">
        <v>1048</v>
      </c>
      <c r="D909" s="10" t="s">
        <v>97</v>
      </c>
      <c r="E909" s="13">
        <v>46227.0</v>
      </c>
      <c r="F909" s="10" t="s">
        <v>21</v>
      </c>
      <c r="I909" s="10" t="s">
        <v>22</v>
      </c>
      <c r="J909" s="9" t="str">
        <f t="shared" si="30"/>
        <v>No</v>
      </c>
      <c r="K909" s="9" t="str">
        <f t="shared" si="31"/>
        <v/>
      </c>
      <c r="L909" s="9" t="str">
        <f t="shared" si="32"/>
        <v/>
      </c>
      <c r="M909" s="9"/>
      <c r="O909" s="9"/>
    </row>
    <row r="910" ht="15.75" customHeight="1">
      <c r="A910" s="9" t="str">
        <f>IFERROR(__xludf.DUMMYFUNCTION("IF(B910="""","""",RIGHT(REGEXREPLACE(B910&amp;"""",""[^0-9]"",""""),9))"),"702894929")</f>
        <v>702894929</v>
      </c>
      <c r="B910" s="48">
        <v>7.02894929E8</v>
      </c>
      <c r="C910" s="10" t="s">
        <v>1049</v>
      </c>
      <c r="D910" s="10" t="s">
        <v>50</v>
      </c>
      <c r="E910" s="13">
        <v>46227.0</v>
      </c>
      <c r="F910" s="10" t="s">
        <v>21</v>
      </c>
      <c r="G910" s="10">
        <v>11.0</v>
      </c>
      <c r="I910" s="10" t="s">
        <v>22</v>
      </c>
      <c r="J910" s="9" t="str">
        <f t="shared" si="30"/>
        <v>No</v>
      </c>
      <c r="K910" s="9" t="str">
        <f t="shared" si="31"/>
        <v/>
      </c>
      <c r="L910" s="9" t="str">
        <f t="shared" si="32"/>
        <v/>
      </c>
      <c r="M910" s="9"/>
      <c r="O910" s="9"/>
    </row>
    <row r="911" ht="15.75" customHeight="1">
      <c r="A911" s="9" t="str">
        <f>IFERROR(__xludf.DUMMYFUNCTION("IF(B911="""","""",RIGHT(REGEXREPLACE(B911&amp;"""",""[^0-9]"",""""),9))"),"779293531")</f>
        <v>779293531</v>
      </c>
      <c r="B911" s="48">
        <v>4.779293531E9</v>
      </c>
      <c r="C911" s="10" t="s">
        <v>1050</v>
      </c>
      <c r="D911" s="10" t="s">
        <v>120</v>
      </c>
      <c r="E911" s="13">
        <v>46227.0</v>
      </c>
      <c r="F911" s="10" t="s">
        <v>35</v>
      </c>
      <c r="G911" s="10">
        <v>11.0</v>
      </c>
      <c r="I911" s="10" t="s">
        <v>22</v>
      </c>
      <c r="J911" s="9" t="str">
        <f t="shared" si="30"/>
        <v>No</v>
      </c>
      <c r="K911" s="9" t="str">
        <f t="shared" si="31"/>
        <v/>
      </c>
      <c r="L911" s="9" t="str">
        <f t="shared" si="32"/>
        <v/>
      </c>
      <c r="M911" s="9"/>
      <c r="O911" s="9"/>
    </row>
    <row r="912" ht="15.75" customHeight="1">
      <c r="A912" s="9" t="str">
        <f>IFERROR(__xludf.DUMMYFUNCTION("IF(B912="""","""",RIGHT(REGEXREPLACE(B912&amp;"""",""[^0-9]"",""""),9))"),"743628274")</f>
        <v>743628274</v>
      </c>
      <c r="B912" s="10">
        <v>7.43628274E8</v>
      </c>
      <c r="C912" s="10" t="s">
        <v>1051</v>
      </c>
      <c r="D912" s="10" t="s">
        <v>20</v>
      </c>
      <c r="E912" s="13">
        <v>46227.0</v>
      </c>
      <c r="F912" s="10" t="s">
        <v>171</v>
      </c>
      <c r="I912" s="10" t="s">
        <v>22</v>
      </c>
      <c r="J912" s="9" t="str">
        <f t="shared" si="30"/>
        <v>No</v>
      </c>
      <c r="K912" s="9" t="str">
        <f t="shared" si="31"/>
        <v/>
      </c>
      <c r="L912" s="9" t="str">
        <f t="shared" si="32"/>
        <v/>
      </c>
      <c r="M912" s="9"/>
      <c r="O912" s="9"/>
    </row>
    <row r="913" ht="15.75" customHeight="1">
      <c r="A913" s="9" t="str">
        <f>IFERROR(__xludf.DUMMYFUNCTION("IF(B913="""","""",RIGHT(REGEXREPLACE(B913&amp;"""",""[^0-9]"",""""),9))"),"761508884")</f>
        <v>761508884</v>
      </c>
      <c r="B913" s="10">
        <v>7.61508884E8</v>
      </c>
      <c r="C913" s="10" t="s">
        <v>1052</v>
      </c>
      <c r="D913" s="10" t="s">
        <v>20</v>
      </c>
      <c r="E913" s="13">
        <v>46227.0</v>
      </c>
      <c r="F913" s="10" t="s">
        <v>145</v>
      </c>
      <c r="I913" s="10" t="s">
        <v>22</v>
      </c>
      <c r="J913" s="9" t="str">
        <f t="shared" si="30"/>
        <v>No</v>
      </c>
      <c r="K913" s="9" t="str">
        <f t="shared" si="31"/>
        <v/>
      </c>
      <c r="L913" s="9" t="str">
        <f t="shared" si="32"/>
        <v/>
      </c>
      <c r="M913" s="9"/>
      <c r="O913" s="9"/>
    </row>
    <row r="914" ht="15.75" customHeight="1">
      <c r="A914" s="9" t="str">
        <f>IFERROR(__xludf.DUMMYFUNCTION("IF(B914="""","""",RIGHT(REGEXREPLACE(B914&amp;"""",""[^0-9]"",""""),9))"),"761802581")</f>
        <v>761802581</v>
      </c>
      <c r="B914" s="48">
        <v>7.61802581E8</v>
      </c>
      <c r="C914" s="10" t="s">
        <v>1053</v>
      </c>
      <c r="D914" s="10" t="s">
        <v>34</v>
      </c>
      <c r="E914" s="13">
        <v>46227.0</v>
      </c>
      <c r="F914" s="10" t="s">
        <v>35</v>
      </c>
      <c r="G914" s="10">
        <v>11.0</v>
      </c>
      <c r="I914" s="10" t="s">
        <v>22</v>
      </c>
      <c r="J914" s="9" t="str">
        <f t="shared" si="30"/>
        <v>No</v>
      </c>
      <c r="K914" s="9" t="str">
        <f t="shared" si="31"/>
        <v/>
      </c>
      <c r="L914" s="9" t="str">
        <f t="shared" si="32"/>
        <v/>
      </c>
      <c r="M914" s="9"/>
      <c r="O914" s="9"/>
    </row>
    <row r="915" ht="15.75" customHeight="1">
      <c r="A915" s="9" t="str">
        <f>IFERROR(__xludf.DUMMYFUNCTION("IF(B915="""","""",RIGHT(REGEXREPLACE(B915&amp;"""",""[^0-9]"",""""),9))"),"786770286")</f>
        <v>786770286</v>
      </c>
      <c r="B915" s="48">
        <v>7.86770286E8</v>
      </c>
      <c r="C915" s="10" t="s">
        <v>1054</v>
      </c>
      <c r="D915" s="10" t="s">
        <v>69</v>
      </c>
      <c r="E915" s="13">
        <v>46227.0</v>
      </c>
      <c r="F915" s="10" t="s">
        <v>198</v>
      </c>
      <c r="G915" s="10">
        <v>10.0</v>
      </c>
      <c r="I915" s="10" t="s">
        <v>22</v>
      </c>
      <c r="J915" s="9" t="str">
        <f t="shared" si="30"/>
        <v>No</v>
      </c>
      <c r="K915" s="9" t="str">
        <f t="shared" si="31"/>
        <v/>
      </c>
      <c r="L915" s="9" t="str">
        <f t="shared" si="32"/>
        <v/>
      </c>
      <c r="M915" s="9"/>
      <c r="O915" s="9"/>
    </row>
    <row r="916" ht="15.75" customHeight="1">
      <c r="A916" s="9" t="str">
        <f>IFERROR(__xludf.DUMMYFUNCTION("IF(B916="""","""",RIGHT(REGEXREPLACE(B916&amp;"""",""[^0-9]"",""""),9))"),"711234868")</f>
        <v>711234868</v>
      </c>
      <c r="B916" s="48">
        <v>7.11234868E8</v>
      </c>
      <c r="C916" s="10" t="s">
        <v>1055</v>
      </c>
      <c r="D916" s="10" t="s">
        <v>97</v>
      </c>
      <c r="E916" s="13">
        <v>46227.0</v>
      </c>
      <c r="F916" s="10" t="s">
        <v>35</v>
      </c>
      <c r="G916" s="10">
        <v>11.0</v>
      </c>
      <c r="I916" s="10" t="s">
        <v>22</v>
      </c>
      <c r="J916" s="9" t="str">
        <f t="shared" si="30"/>
        <v>No</v>
      </c>
      <c r="K916" s="9" t="str">
        <f t="shared" si="31"/>
        <v/>
      </c>
      <c r="L916" s="9" t="str">
        <f t="shared" si="32"/>
        <v/>
      </c>
      <c r="M916" s="9"/>
      <c r="O916" s="9"/>
    </row>
    <row r="917" ht="15.75" customHeight="1">
      <c r="A917" s="9" t="str">
        <f>IFERROR(__xludf.DUMMYFUNCTION("IF(B917="""","""",RIGHT(REGEXREPLACE(B917&amp;"""",""[^0-9]"",""""),9))"),"769795321")</f>
        <v>769795321</v>
      </c>
      <c r="B917" s="48">
        <v>7.69795321E8</v>
      </c>
      <c r="C917" s="10" t="s">
        <v>1056</v>
      </c>
      <c r="D917" s="10" t="s">
        <v>50</v>
      </c>
      <c r="E917" s="13">
        <v>46227.0</v>
      </c>
      <c r="F917" s="10" t="s">
        <v>35</v>
      </c>
      <c r="G917" s="10">
        <v>11.0</v>
      </c>
      <c r="I917" s="10" t="s">
        <v>22</v>
      </c>
      <c r="J917" s="9" t="str">
        <f t="shared" si="30"/>
        <v>No</v>
      </c>
      <c r="K917" s="9" t="str">
        <f t="shared" si="31"/>
        <v/>
      </c>
      <c r="L917" s="9" t="str">
        <f t="shared" si="32"/>
        <v/>
      </c>
      <c r="M917" s="9"/>
      <c r="O917" s="9"/>
    </row>
    <row r="918" ht="15.75" customHeight="1">
      <c r="A918" s="9" t="str">
        <f>IFERROR(__xludf.DUMMYFUNCTION("IF(B918="""","""",RIGHT(REGEXREPLACE(B918&amp;"""",""[^0-9]"",""""),9))"),"779892476")</f>
        <v>779892476</v>
      </c>
      <c r="B918" s="10">
        <v>7.79892476E8</v>
      </c>
      <c r="C918" s="10" t="s">
        <v>1057</v>
      </c>
      <c r="D918" s="10" t="s">
        <v>20</v>
      </c>
      <c r="E918" s="13">
        <v>46227.0</v>
      </c>
      <c r="F918" s="10" t="s">
        <v>35</v>
      </c>
      <c r="G918" s="10">
        <v>11.0</v>
      </c>
      <c r="I918" s="10" t="s">
        <v>22</v>
      </c>
      <c r="J918" s="9" t="str">
        <f t="shared" si="30"/>
        <v>No</v>
      </c>
      <c r="K918" s="9" t="str">
        <f t="shared" si="31"/>
        <v/>
      </c>
      <c r="L918" s="9" t="str">
        <f t="shared" si="32"/>
        <v/>
      </c>
      <c r="M918" s="9"/>
      <c r="O918" s="9"/>
    </row>
    <row r="919" ht="15.75" customHeight="1">
      <c r="A919" s="9" t="str">
        <f>IFERROR(__xludf.DUMMYFUNCTION("IF(B919="""","""",RIGHT(REGEXREPLACE(B919&amp;"""",""[^0-9]"",""""),9))"),"779416081")</f>
        <v>779416081</v>
      </c>
      <c r="B919" s="10">
        <v>7.79416081E8</v>
      </c>
      <c r="C919" s="10" t="s">
        <v>1058</v>
      </c>
      <c r="D919" s="10" t="s">
        <v>20</v>
      </c>
      <c r="E919" s="13">
        <v>46227.0</v>
      </c>
      <c r="F919" s="10" t="s">
        <v>542</v>
      </c>
      <c r="G919" s="10">
        <v>11.0</v>
      </c>
      <c r="I919" s="10" t="s">
        <v>22</v>
      </c>
      <c r="J919" s="9" t="str">
        <f t="shared" si="30"/>
        <v>No</v>
      </c>
      <c r="K919" s="9" t="str">
        <f t="shared" si="31"/>
        <v/>
      </c>
      <c r="L919" s="9" t="str">
        <f t="shared" si="32"/>
        <v/>
      </c>
      <c r="M919" s="9"/>
      <c r="O919" s="9"/>
    </row>
    <row r="920" ht="15.75" customHeight="1">
      <c r="A920" s="9" t="str">
        <f>IFERROR(__xludf.DUMMYFUNCTION("IF(B920="""","""",RIGHT(REGEXREPLACE(B920&amp;"""",""[^0-9]"",""""),9))"),"751510091")</f>
        <v>751510091</v>
      </c>
      <c r="B920" s="48">
        <v>7.51510091E8</v>
      </c>
      <c r="C920" s="10" t="s">
        <v>1059</v>
      </c>
      <c r="D920" s="10" t="s">
        <v>120</v>
      </c>
      <c r="E920" s="13">
        <v>46227.0</v>
      </c>
      <c r="F920" s="10" t="s">
        <v>35</v>
      </c>
      <c r="G920" s="10">
        <v>11.0</v>
      </c>
      <c r="I920" s="10" t="s">
        <v>22</v>
      </c>
      <c r="J920" s="9" t="str">
        <f t="shared" si="30"/>
        <v>No</v>
      </c>
      <c r="K920" s="9" t="str">
        <f t="shared" si="31"/>
        <v/>
      </c>
      <c r="L920" s="9" t="str">
        <f t="shared" si="32"/>
        <v/>
      </c>
      <c r="M920" s="9"/>
      <c r="O920" s="9"/>
    </row>
    <row r="921" ht="15.75" customHeight="1">
      <c r="A921" s="9" t="str">
        <f>IFERROR(__xludf.DUMMYFUNCTION("IF(B921="""","""",RIGHT(REGEXREPLACE(B921&amp;"""",""[^0-9]"",""""),9))"),"763436579")</f>
        <v>763436579</v>
      </c>
      <c r="B921" s="48">
        <v>7.63436579E8</v>
      </c>
      <c r="C921" s="10" t="s">
        <v>1060</v>
      </c>
      <c r="D921" s="10" t="s">
        <v>69</v>
      </c>
      <c r="E921" s="13">
        <v>46227.0</v>
      </c>
      <c r="F921" s="10" t="s">
        <v>21</v>
      </c>
      <c r="G921" s="10">
        <v>11.0</v>
      </c>
      <c r="I921" s="10" t="s">
        <v>22</v>
      </c>
      <c r="J921" s="9" t="str">
        <f t="shared" si="30"/>
        <v>No</v>
      </c>
      <c r="K921" s="9" t="str">
        <f t="shared" si="31"/>
        <v/>
      </c>
      <c r="L921" s="9" t="str">
        <f t="shared" si="32"/>
        <v/>
      </c>
      <c r="M921" s="9"/>
      <c r="O921" s="9"/>
    </row>
    <row r="922" ht="15.75" customHeight="1">
      <c r="A922" s="9" t="str">
        <f>IFERROR(__xludf.DUMMYFUNCTION("IF(B922="""","""",RIGHT(REGEXREPLACE(B922&amp;"""",""[^0-9]"",""""),9))"),"763837360")</f>
        <v>763837360</v>
      </c>
      <c r="B922" s="10">
        <v>7.6383736E8</v>
      </c>
      <c r="C922" s="10" t="s">
        <v>1061</v>
      </c>
      <c r="D922" s="10" t="s">
        <v>20</v>
      </c>
      <c r="E922" s="13">
        <v>46227.0</v>
      </c>
      <c r="F922" s="10" t="s">
        <v>542</v>
      </c>
      <c r="G922" s="10">
        <v>11.0</v>
      </c>
      <c r="I922" s="10" t="s">
        <v>22</v>
      </c>
      <c r="J922" s="9" t="str">
        <f t="shared" si="30"/>
        <v>No</v>
      </c>
      <c r="K922" s="9" t="str">
        <f t="shared" si="31"/>
        <v/>
      </c>
      <c r="L922" s="9" t="str">
        <f t="shared" si="32"/>
        <v/>
      </c>
      <c r="M922" s="9"/>
      <c r="O922" s="9"/>
    </row>
    <row r="923" ht="15.75" customHeight="1">
      <c r="A923" s="9" t="str">
        <f>IFERROR(__xludf.DUMMYFUNCTION("IF(B923="""","""",RIGHT(REGEXREPLACE(B923&amp;"""",""[^0-9]"",""""),9))"),"705190395")</f>
        <v>705190395</v>
      </c>
      <c r="B923" s="48">
        <v>7.05190395E8</v>
      </c>
      <c r="C923" s="10" t="s">
        <v>1062</v>
      </c>
      <c r="D923" s="10" t="s">
        <v>50</v>
      </c>
      <c r="E923" s="13">
        <v>46227.0</v>
      </c>
      <c r="F923" s="10" t="s">
        <v>35</v>
      </c>
      <c r="G923" s="10">
        <v>11.0</v>
      </c>
      <c r="I923" s="10" t="s">
        <v>22</v>
      </c>
      <c r="J923" s="9" t="str">
        <f t="shared" si="30"/>
        <v>No</v>
      </c>
      <c r="K923" s="9" t="str">
        <f t="shared" si="31"/>
        <v/>
      </c>
      <c r="L923" s="9" t="str">
        <f t="shared" si="32"/>
        <v/>
      </c>
      <c r="M923" s="9"/>
      <c r="O923" s="9"/>
    </row>
    <row r="924" ht="15.75" customHeight="1">
      <c r="A924" s="9" t="str">
        <f>IFERROR(__xludf.DUMMYFUNCTION("IF(B924="""","""",RIGHT(REGEXREPLACE(B924&amp;"""",""[^0-9]"",""""),9))"),"703559549")</f>
        <v>703559549</v>
      </c>
      <c r="B924" s="10">
        <v>7.03559549E8</v>
      </c>
      <c r="C924" s="10" t="s">
        <v>1063</v>
      </c>
      <c r="D924" s="10" t="s">
        <v>20</v>
      </c>
      <c r="E924" s="13">
        <v>46227.0</v>
      </c>
      <c r="F924" s="10" t="s">
        <v>35</v>
      </c>
      <c r="G924" s="10">
        <v>10.0</v>
      </c>
      <c r="I924" s="10" t="s">
        <v>22</v>
      </c>
      <c r="J924" s="9" t="str">
        <f t="shared" si="30"/>
        <v>No</v>
      </c>
      <c r="K924" s="9" t="str">
        <f t="shared" si="31"/>
        <v/>
      </c>
      <c r="L924" s="9" t="str">
        <f t="shared" si="32"/>
        <v/>
      </c>
      <c r="M924" s="9"/>
      <c r="O924" s="9"/>
    </row>
    <row r="925" ht="15.75" customHeight="1">
      <c r="A925" s="9" t="str">
        <f>IFERROR(__xludf.DUMMYFUNCTION("IF(B925="""","""",RIGHT(REGEXREPLACE(B925&amp;"""",""[^0-9]"",""""),9))"),"767212683")</f>
        <v>767212683</v>
      </c>
      <c r="B925" s="48">
        <v>7.67212683E8</v>
      </c>
      <c r="C925" s="10" t="s">
        <v>1064</v>
      </c>
      <c r="D925" s="10" t="s">
        <v>34</v>
      </c>
      <c r="E925" s="13">
        <v>46227.0</v>
      </c>
      <c r="F925" s="10" t="s">
        <v>35</v>
      </c>
      <c r="G925" s="10">
        <v>11.0</v>
      </c>
      <c r="I925" s="10" t="s">
        <v>22</v>
      </c>
      <c r="J925" s="9" t="str">
        <f t="shared" si="30"/>
        <v>No</v>
      </c>
      <c r="K925" s="9" t="str">
        <f t="shared" si="31"/>
        <v/>
      </c>
      <c r="L925" s="9" t="str">
        <f t="shared" si="32"/>
        <v/>
      </c>
      <c r="M925" s="9"/>
      <c r="O925" s="9"/>
    </row>
    <row r="926" ht="15.75" customHeight="1">
      <c r="A926" s="9" t="str">
        <f>IFERROR(__xludf.DUMMYFUNCTION("IF(B926="""","""",RIGHT(REGEXREPLACE(B926&amp;"""",""[^0-9]"",""""),9))"),"756976844")</f>
        <v>756976844</v>
      </c>
      <c r="B926" s="48">
        <v>7.56976844E8</v>
      </c>
      <c r="C926" s="10" t="s">
        <v>1065</v>
      </c>
      <c r="D926" s="10" t="s">
        <v>69</v>
      </c>
      <c r="E926" s="13">
        <v>46227.0</v>
      </c>
      <c r="F926" s="10" t="s">
        <v>35</v>
      </c>
      <c r="G926" s="10">
        <v>11.0</v>
      </c>
      <c r="I926" s="10" t="s">
        <v>22</v>
      </c>
      <c r="J926" s="9" t="str">
        <f t="shared" si="30"/>
        <v>No</v>
      </c>
      <c r="K926" s="9" t="str">
        <f t="shared" si="31"/>
        <v/>
      </c>
      <c r="L926" s="9" t="str">
        <f t="shared" si="32"/>
        <v/>
      </c>
      <c r="M926" s="9"/>
      <c r="O926" s="9"/>
    </row>
    <row r="927" ht="15.75" customHeight="1">
      <c r="A927" s="9" t="str">
        <f>IFERROR(__xludf.DUMMYFUNCTION("IF(B927="""","""",RIGHT(REGEXREPLACE(B927&amp;"""",""[^0-9]"",""""),9))"),"771422789")</f>
        <v>771422789</v>
      </c>
      <c r="B927" s="48">
        <v>7.71422789E8</v>
      </c>
      <c r="C927" s="10" t="s">
        <v>1066</v>
      </c>
      <c r="D927" s="10" t="s">
        <v>97</v>
      </c>
      <c r="E927" s="13">
        <v>46227.0</v>
      </c>
      <c r="F927" s="10" t="s">
        <v>21</v>
      </c>
      <c r="G927" s="10">
        <v>11.0</v>
      </c>
      <c r="I927" s="10" t="s">
        <v>22</v>
      </c>
      <c r="J927" s="9" t="str">
        <f t="shared" si="30"/>
        <v>No</v>
      </c>
      <c r="K927" s="9" t="str">
        <f t="shared" si="31"/>
        <v/>
      </c>
      <c r="L927" s="9" t="str">
        <f t="shared" si="32"/>
        <v/>
      </c>
      <c r="M927" s="9"/>
      <c r="O927" s="9"/>
    </row>
    <row r="928" ht="15.75" customHeight="1">
      <c r="A928" s="9" t="str">
        <f>IFERROR(__xludf.DUMMYFUNCTION("IF(B928="""","""",RIGHT(REGEXREPLACE(B928&amp;"""",""[^0-9]"",""""),9))"),"714132104")</f>
        <v>714132104</v>
      </c>
      <c r="B928" s="10">
        <v>7.14132104E8</v>
      </c>
      <c r="C928" s="10" t="s">
        <v>1067</v>
      </c>
      <c r="D928" s="10" t="s">
        <v>20</v>
      </c>
      <c r="E928" s="13">
        <v>46227.0</v>
      </c>
      <c r="F928" s="10" t="s">
        <v>648</v>
      </c>
      <c r="I928" s="10" t="s">
        <v>22</v>
      </c>
      <c r="J928" s="9" t="str">
        <f t="shared" si="30"/>
        <v>No</v>
      </c>
      <c r="K928" s="9" t="str">
        <f t="shared" si="31"/>
        <v/>
      </c>
      <c r="L928" s="9" t="str">
        <f t="shared" si="32"/>
        <v/>
      </c>
      <c r="M928" s="9"/>
      <c r="O928" s="9"/>
    </row>
    <row r="929" ht="15.75" customHeight="1">
      <c r="A929" s="9" t="str">
        <f>IFERROR(__xludf.DUMMYFUNCTION("IF(B929="""","""",RIGHT(REGEXREPLACE(B929&amp;"""",""[^0-9]"",""""),9))"),"763896553")</f>
        <v>763896553</v>
      </c>
      <c r="B929" s="48">
        <v>7.63896553E8</v>
      </c>
      <c r="C929" s="10" t="s">
        <v>1068</v>
      </c>
      <c r="D929" s="10" t="s">
        <v>120</v>
      </c>
      <c r="E929" s="13">
        <v>46227.0</v>
      </c>
      <c r="F929" s="10" t="s">
        <v>21</v>
      </c>
      <c r="G929" s="10">
        <v>11.0</v>
      </c>
      <c r="I929" s="10" t="s">
        <v>22</v>
      </c>
      <c r="J929" s="9" t="str">
        <f t="shared" si="30"/>
        <v>No</v>
      </c>
      <c r="K929" s="9" t="str">
        <f t="shared" si="31"/>
        <v/>
      </c>
      <c r="L929" s="9" t="str">
        <f t="shared" si="32"/>
        <v/>
      </c>
      <c r="M929" s="9"/>
      <c r="O929" s="9"/>
    </row>
    <row r="930" ht="15.75" customHeight="1">
      <c r="A930" s="9" t="str">
        <f>IFERROR(__xludf.DUMMYFUNCTION("IF(B930="""","""",RIGHT(REGEXREPLACE(B930&amp;"""",""[^0-9]"",""""),9))"),"762987524")</f>
        <v>762987524</v>
      </c>
      <c r="B930" s="48">
        <v>7.62987524E8</v>
      </c>
      <c r="C930" s="10" t="s">
        <v>1069</v>
      </c>
      <c r="D930" s="10" t="s">
        <v>50</v>
      </c>
      <c r="E930" s="13">
        <v>46227.0</v>
      </c>
      <c r="F930" s="10" t="s">
        <v>35</v>
      </c>
      <c r="G930" s="10">
        <v>11.0</v>
      </c>
      <c r="I930" s="10" t="s">
        <v>22</v>
      </c>
      <c r="J930" s="9" t="str">
        <f t="shared" si="30"/>
        <v>No</v>
      </c>
      <c r="K930" s="9" t="str">
        <f t="shared" si="31"/>
        <v/>
      </c>
      <c r="L930" s="9" t="str">
        <f t="shared" si="32"/>
        <v/>
      </c>
      <c r="M930" s="9"/>
      <c r="O930" s="9"/>
    </row>
    <row r="931" ht="15.75" customHeight="1">
      <c r="A931" s="9" t="str">
        <f>IFERROR(__xludf.DUMMYFUNCTION("IF(B931="""","""",RIGHT(REGEXREPLACE(B931&amp;"""",""[^0-9]"",""""),9))"),"787006004")</f>
        <v>787006004</v>
      </c>
      <c r="B931" s="10">
        <v>7.87006004E8</v>
      </c>
      <c r="C931" s="10" t="s">
        <v>1070</v>
      </c>
      <c r="D931" s="10" t="s">
        <v>20</v>
      </c>
      <c r="E931" s="13">
        <v>46227.0</v>
      </c>
      <c r="F931" s="10" t="s">
        <v>21</v>
      </c>
      <c r="G931" s="10">
        <v>11.0</v>
      </c>
      <c r="I931" s="10" t="s">
        <v>22</v>
      </c>
      <c r="J931" s="9" t="str">
        <f t="shared" si="30"/>
        <v>No</v>
      </c>
      <c r="K931" s="9" t="str">
        <f t="shared" si="31"/>
        <v/>
      </c>
      <c r="L931" s="9" t="str">
        <f t="shared" si="32"/>
        <v/>
      </c>
      <c r="M931" s="9"/>
      <c r="O931" s="9"/>
    </row>
    <row r="932" ht="15.75" customHeight="1">
      <c r="A932" s="9" t="str">
        <f>IFERROR(__xludf.DUMMYFUNCTION("IF(B932="""","""",RIGHT(REGEXREPLACE(B932&amp;"""",""[^0-9]"",""""),9))"),"777787558")</f>
        <v>777787558</v>
      </c>
      <c r="B932" s="48">
        <v>7.77787558E8</v>
      </c>
      <c r="C932" s="10" t="s">
        <v>1071</v>
      </c>
      <c r="D932" s="10" t="s">
        <v>97</v>
      </c>
      <c r="E932" s="13">
        <v>46227.0</v>
      </c>
      <c r="F932" s="10" t="s">
        <v>21</v>
      </c>
      <c r="G932" s="10">
        <v>11.0</v>
      </c>
      <c r="I932" s="10" t="s">
        <v>22</v>
      </c>
      <c r="J932" s="9" t="str">
        <f t="shared" si="30"/>
        <v>No</v>
      </c>
      <c r="K932" s="9" t="str">
        <f t="shared" si="31"/>
        <v/>
      </c>
      <c r="L932" s="9" t="str">
        <f t="shared" si="32"/>
        <v/>
      </c>
      <c r="M932" s="9"/>
      <c r="O932" s="9"/>
    </row>
    <row r="933" ht="15.75" customHeight="1">
      <c r="A933" s="9" t="str">
        <f>IFERROR(__xludf.DUMMYFUNCTION("IF(B933="""","""",RIGHT(REGEXREPLACE(B933&amp;"""",""[^0-9]"",""""),9))"),"771355719")</f>
        <v>771355719</v>
      </c>
      <c r="B933" s="48">
        <v>7.71355719E8</v>
      </c>
      <c r="C933" s="10" t="s">
        <v>1072</v>
      </c>
      <c r="D933" s="10" t="s">
        <v>34</v>
      </c>
      <c r="E933" s="13">
        <v>46227.0</v>
      </c>
      <c r="F933" s="10" t="s">
        <v>35</v>
      </c>
      <c r="G933" s="10">
        <v>11.0</v>
      </c>
      <c r="I933" s="10" t="s">
        <v>22</v>
      </c>
      <c r="J933" s="9" t="str">
        <f t="shared" si="30"/>
        <v>No</v>
      </c>
      <c r="K933" s="9" t="str">
        <f t="shared" si="31"/>
        <v/>
      </c>
      <c r="L933" s="9" t="str">
        <f t="shared" si="32"/>
        <v/>
      </c>
      <c r="M933" s="9"/>
      <c r="O933" s="9"/>
    </row>
    <row r="934" ht="15.75" customHeight="1">
      <c r="A934" s="9" t="str">
        <f>IFERROR(__xludf.DUMMYFUNCTION("IF(B934="""","""",RIGHT(REGEXREPLACE(B934&amp;"""",""[^0-9]"",""""),9))"),"773832160")</f>
        <v>773832160</v>
      </c>
      <c r="B934" s="48">
        <v>7.7383216E8</v>
      </c>
      <c r="C934" s="10" t="s">
        <v>1073</v>
      </c>
      <c r="D934" s="10" t="s">
        <v>69</v>
      </c>
      <c r="E934" s="13">
        <v>46227.0</v>
      </c>
      <c r="F934" s="10" t="s">
        <v>21</v>
      </c>
      <c r="I934" s="10" t="s">
        <v>22</v>
      </c>
      <c r="J934" s="9" t="str">
        <f t="shared" si="30"/>
        <v>No</v>
      </c>
      <c r="K934" s="9" t="str">
        <f t="shared" si="31"/>
        <v/>
      </c>
      <c r="L934" s="9" t="str">
        <f t="shared" si="32"/>
        <v/>
      </c>
      <c r="M934" s="9"/>
      <c r="O934" s="9"/>
    </row>
    <row r="935" ht="15.75" customHeight="1">
      <c r="A935" s="9" t="str">
        <f>IFERROR(__xludf.DUMMYFUNCTION("IF(B935="""","""",RIGHT(REGEXREPLACE(B935&amp;"""",""[^0-9]"",""""),9))"),"711228937")</f>
        <v>711228937</v>
      </c>
      <c r="B935" s="48">
        <v>7.11228937E8</v>
      </c>
      <c r="C935" s="10" t="s">
        <v>1074</v>
      </c>
      <c r="D935" s="10" t="s">
        <v>50</v>
      </c>
      <c r="E935" s="13">
        <v>46227.0</v>
      </c>
      <c r="F935" s="10" t="s">
        <v>35</v>
      </c>
      <c r="G935" s="10">
        <v>11.0</v>
      </c>
      <c r="I935" s="10" t="s">
        <v>22</v>
      </c>
      <c r="J935" s="9" t="str">
        <f t="shared" si="30"/>
        <v>No</v>
      </c>
      <c r="K935" s="9" t="str">
        <f t="shared" si="31"/>
        <v/>
      </c>
      <c r="L935" s="9" t="str">
        <f t="shared" si="32"/>
        <v/>
      </c>
      <c r="M935" s="9"/>
      <c r="O935" s="9"/>
    </row>
    <row r="936" ht="15.75" customHeight="1">
      <c r="A936" s="9" t="str">
        <f>IFERROR(__xludf.DUMMYFUNCTION("IF(B936="""","""",RIGHT(REGEXREPLACE(B936&amp;"""",""[^0-9]"",""""),9))"),"758810644")</f>
        <v>758810644</v>
      </c>
      <c r="B936" s="48">
        <v>7.58810644E8</v>
      </c>
      <c r="C936" s="10" t="s">
        <v>1075</v>
      </c>
      <c r="D936" s="10" t="s">
        <v>97</v>
      </c>
      <c r="E936" s="13">
        <v>46227.0</v>
      </c>
      <c r="F936" s="10" t="s">
        <v>35</v>
      </c>
      <c r="G936" s="10">
        <v>11.0</v>
      </c>
      <c r="I936" s="10" t="s">
        <v>22</v>
      </c>
      <c r="J936" s="9" t="str">
        <f t="shared" si="30"/>
        <v>No</v>
      </c>
      <c r="K936" s="9" t="str">
        <f t="shared" si="31"/>
        <v/>
      </c>
      <c r="L936" s="9" t="str">
        <f t="shared" si="32"/>
        <v/>
      </c>
      <c r="M936" s="9"/>
      <c r="O936" s="9"/>
    </row>
    <row r="937" ht="15.75" customHeight="1">
      <c r="A937" s="9" t="str">
        <f>IFERROR(__xludf.DUMMYFUNCTION("IF(B937="""","""",RIGHT(REGEXREPLACE(B937&amp;"""",""[^0-9]"",""""),9))"),"778668009")</f>
        <v>778668009</v>
      </c>
      <c r="B937" s="10">
        <v>7.78668009E8</v>
      </c>
      <c r="C937" s="10" t="s">
        <v>1076</v>
      </c>
      <c r="D937" s="10" t="s">
        <v>20</v>
      </c>
      <c r="E937" s="13">
        <v>46227.0</v>
      </c>
      <c r="F937" s="10" t="s">
        <v>35</v>
      </c>
      <c r="G937" s="10">
        <v>11.0</v>
      </c>
      <c r="I937" s="10" t="s">
        <v>22</v>
      </c>
      <c r="J937" s="9" t="str">
        <f t="shared" si="30"/>
        <v>No</v>
      </c>
      <c r="K937" s="9" t="str">
        <f t="shared" si="31"/>
        <v/>
      </c>
      <c r="L937" s="9" t="str">
        <f t="shared" si="32"/>
        <v/>
      </c>
      <c r="M937" s="9"/>
      <c r="O937" s="9"/>
    </row>
    <row r="938" ht="15.75" customHeight="1">
      <c r="A938" s="9" t="str">
        <f>IFERROR(__xludf.DUMMYFUNCTION("IF(B938="""","""",RIGHT(REGEXREPLACE(B938&amp;"""",""[^0-9]"",""""),9))"),"778004311")</f>
        <v>778004311</v>
      </c>
      <c r="B938" s="48">
        <v>7.78004311E8</v>
      </c>
      <c r="C938" s="10" t="s">
        <v>1077</v>
      </c>
      <c r="D938" s="10" t="s">
        <v>69</v>
      </c>
      <c r="E938" s="13">
        <v>46227.0</v>
      </c>
      <c r="F938" s="10" t="s">
        <v>35</v>
      </c>
      <c r="G938" s="10">
        <v>11.0</v>
      </c>
      <c r="I938" s="10" t="s">
        <v>22</v>
      </c>
      <c r="J938" s="9" t="str">
        <f t="shared" si="30"/>
        <v>No</v>
      </c>
      <c r="K938" s="9" t="str">
        <f t="shared" si="31"/>
        <v/>
      </c>
      <c r="L938" s="9" t="str">
        <f t="shared" si="32"/>
        <v/>
      </c>
      <c r="M938" s="9"/>
      <c r="O938" s="9"/>
    </row>
    <row r="939" ht="15.75" customHeight="1">
      <c r="A939" s="9" t="str">
        <f>IFERROR(__xludf.DUMMYFUNCTION("IF(B939="""","""",RIGHT(REGEXREPLACE(B939&amp;"""",""[^0-9]"",""""),9))"),"775135507")</f>
        <v>775135507</v>
      </c>
      <c r="B939" s="48">
        <v>7.75135507E8</v>
      </c>
      <c r="C939" s="10" t="s">
        <v>1078</v>
      </c>
      <c r="D939" s="10" t="s">
        <v>120</v>
      </c>
      <c r="E939" s="13">
        <v>46227.0</v>
      </c>
      <c r="F939" s="10" t="s">
        <v>35</v>
      </c>
      <c r="G939" s="10">
        <v>11.0</v>
      </c>
      <c r="I939" s="10" t="s">
        <v>22</v>
      </c>
      <c r="J939" s="9" t="str">
        <f t="shared" si="30"/>
        <v>No</v>
      </c>
      <c r="K939" s="9" t="str">
        <f t="shared" si="31"/>
        <v/>
      </c>
      <c r="L939" s="9" t="str">
        <f t="shared" si="32"/>
        <v/>
      </c>
      <c r="M939" s="9"/>
      <c r="O939" s="9"/>
    </row>
    <row r="940" ht="15.75" customHeight="1">
      <c r="A940" s="9" t="str">
        <f>IFERROR(__xludf.DUMMYFUNCTION("IF(B940="""","""",RIGHT(REGEXREPLACE(B940&amp;"""",""[^0-9]"",""""),9))"),"722311955")</f>
        <v>722311955</v>
      </c>
      <c r="B940" s="10">
        <v>7.22311955E8</v>
      </c>
      <c r="C940" s="10" t="s">
        <v>1079</v>
      </c>
      <c r="D940" s="10" t="s">
        <v>20</v>
      </c>
      <c r="E940" s="13">
        <v>46227.0</v>
      </c>
      <c r="F940" s="10" t="s">
        <v>35</v>
      </c>
      <c r="H940" s="10" t="s">
        <v>1080</v>
      </c>
      <c r="I940" s="10" t="s">
        <v>22</v>
      </c>
      <c r="J940" s="9" t="str">
        <f t="shared" si="30"/>
        <v>No</v>
      </c>
      <c r="K940" s="9" t="str">
        <f t="shared" si="31"/>
        <v/>
      </c>
      <c r="L940" s="9" t="str">
        <f t="shared" si="32"/>
        <v/>
      </c>
      <c r="M940" s="9"/>
      <c r="O940" s="9"/>
    </row>
    <row r="941" ht="15.75" customHeight="1">
      <c r="A941" s="9" t="str">
        <f>IFERROR(__xludf.DUMMYFUNCTION("IF(B941="""","""",RIGHT(REGEXREPLACE(B941&amp;"""",""[^0-9]"",""""),9))"),"773892928")</f>
        <v>773892928</v>
      </c>
      <c r="B941" s="48">
        <v>7.73892928E8</v>
      </c>
      <c r="C941" s="10" t="s">
        <v>1081</v>
      </c>
      <c r="D941" s="10" t="s">
        <v>34</v>
      </c>
      <c r="E941" s="13">
        <v>46227.0</v>
      </c>
      <c r="F941" s="10" t="s">
        <v>35</v>
      </c>
      <c r="G941" s="10">
        <v>10.0</v>
      </c>
      <c r="I941" s="10" t="s">
        <v>22</v>
      </c>
      <c r="J941" s="9" t="str">
        <f t="shared" si="30"/>
        <v>No</v>
      </c>
      <c r="K941" s="9" t="str">
        <f t="shared" si="31"/>
        <v/>
      </c>
      <c r="L941" s="9" t="str">
        <f t="shared" si="32"/>
        <v/>
      </c>
      <c r="M941" s="9"/>
      <c r="O941" s="9"/>
    </row>
    <row r="942" ht="15.75" customHeight="1">
      <c r="A942" s="9" t="str">
        <f>IFERROR(__xludf.DUMMYFUNCTION("IF(B942="""","""",RIGHT(REGEXREPLACE(B942&amp;"""",""[^0-9]"",""""),9))"),"773356494")</f>
        <v>773356494</v>
      </c>
      <c r="B942" s="48">
        <v>7.73356494E8</v>
      </c>
      <c r="C942" s="10" t="s">
        <v>1082</v>
      </c>
      <c r="D942" s="10" t="s">
        <v>50</v>
      </c>
      <c r="E942" s="13">
        <v>46227.0</v>
      </c>
      <c r="F942" s="10" t="s">
        <v>21</v>
      </c>
      <c r="I942" s="10" t="s">
        <v>22</v>
      </c>
      <c r="J942" s="9" t="str">
        <f t="shared" si="30"/>
        <v>No</v>
      </c>
      <c r="K942" s="9" t="str">
        <f t="shared" si="31"/>
        <v/>
      </c>
      <c r="L942" s="9" t="str">
        <f t="shared" si="32"/>
        <v/>
      </c>
      <c r="M942" s="9"/>
      <c r="O942" s="9"/>
    </row>
    <row r="943" ht="15.75" customHeight="1">
      <c r="A943" s="9" t="str">
        <f>IFERROR(__xludf.DUMMYFUNCTION("IF(B943="""","""",RIGHT(REGEXREPLACE(B943&amp;"""",""[^0-9]"",""""),9))"),"761239472")</f>
        <v>761239472</v>
      </c>
      <c r="B943" s="48">
        <v>7.61239472E8</v>
      </c>
      <c r="C943" s="10" t="s">
        <v>1083</v>
      </c>
      <c r="D943" s="10" t="s">
        <v>97</v>
      </c>
      <c r="E943" s="13">
        <v>46227.0</v>
      </c>
      <c r="F943" s="10" t="s">
        <v>648</v>
      </c>
      <c r="I943" s="10" t="s">
        <v>22</v>
      </c>
      <c r="J943" s="9" t="str">
        <f t="shared" si="30"/>
        <v>No</v>
      </c>
      <c r="K943" s="9" t="str">
        <f t="shared" si="31"/>
        <v/>
      </c>
      <c r="L943" s="9" t="str">
        <f t="shared" si="32"/>
        <v/>
      </c>
      <c r="M943" s="9"/>
      <c r="O943" s="9"/>
    </row>
    <row r="944" ht="15.75" customHeight="1">
      <c r="A944" s="9" t="str">
        <f>IFERROR(__xludf.DUMMYFUNCTION("IF(B944="""","""",RIGHT(REGEXREPLACE(B944&amp;"""",""[^0-9]"",""""),9))"),"727020092")</f>
        <v>727020092</v>
      </c>
      <c r="B944" s="10">
        <v>7.27020092E8</v>
      </c>
      <c r="C944" s="10" t="s">
        <v>1084</v>
      </c>
      <c r="D944" s="10" t="s">
        <v>20</v>
      </c>
      <c r="E944" s="13">
        <v>46227.0</v>
      </c>
      <c r="F944" s="10" t="s">
        <v>21</v>
      </c>
      <c r="I944" s="10" t="s">
        <v>22</v>
      </c>
      <c r="J944" s="9" t="str">
        <f t="shared" si="30"/>
        <v>No</v>
      </c>
      <c r="K944" s="9" t="str">
        <f t="shared" si="31"/>
        <v/>
      </c>
      <c r="L944" s="9" t="str">
        <f t="shared" si="32"/>
        <v/>
      </c>
      <c r="M944" s="9"/>
      <c r="O944" s="9"/>
    </row>
    <row r="945" ht="15.75" customHeight="1">
      <c r="A945" s="9" t="str">
        <f>IFERROR(__xludf.DUMMYFUNCTION("IF(B945="""","""",RIGHT(REGEXREPLACE(B945&amp;"""",""[^0-9]"",""""),9))"),"742943512")</f>
        <v>742943512</v>
      </c>
      <c r="B945" s="48">
        <v>7.42943512E8</v>
      </c>
      <c r="C945" s="10" t="s">
        <v>1085</v>
      </c>
      <c r="D945" s="10" t="s">
        <v>50</v>
      </c>
      <c r="E945" s="13">
        <v>46227.0</v>
      </c>
      <c r="F945" s="10" t="s">
        <v>21</v>
      </c>
      <c r="G945" s="10">
        <v>11.0</v>
      </c>
      <c r="I945" s="10" t="s">
        <v>22</v>
      </c>
      <c r="J945" s="9" t="str">
        <f t="shared" si="30"/>
        <v>No</v>
      </c>
      <c r="K945" s="9" t="str">
        <f t="shared" si="31"/>
        <v/>
      </c>
      <c r="L945" s="9" t="str">
        <f t="shared" si="32"/>
        <v/>
      </c>
      <c r="M945" s="9"/>
      <c r="O945" s="9"/>
    </row>
    <row r="946" ht="15.75" customHeight="1">
      <c r="A946" s="9" t="str">
        <f>IFERROR(__xludf.DUMMYFUNCTION("IF(B946="""","""",RIGHT(REGEXREPLACE(B946&amp;"""",""[^0-9]"",""""),9))"),"776502272")</f>
        <v>776502272</v>
      </c>
      <c r="B946" s="10">
        <v>7.76502272E8</v>
      </c>
      <c r="C946" s="10" t="s">
        <v>1086</v>
      </c>
      <c r="D946" s="10" t="s">
        <v>20</v>
      </c>
      <c r="E946" s="13">
        <v>46227.0</v>
      </c>
      <c r="F946" s="10" t="s">
        <v>21</v>
      </c>
      <c r="G946" s="10">
        <v>10.0</v>
      </c>
      <c r="I946" s="10" t="s">
        <v>22</v>
      </c>
      <c r="J946" s="9" t="str">
        <f t="shared" si="30"/>
        <v>No</v>
      </c>
      <c r="K946" s="9" t="str">
        <f t="shared" si="31"/>
        <v/>
      </c>
      <c r="L946" s="9" t="str">
        <f t="shared" si="32"/>
        <v/>
      </c>
      <c r="M946" s="9"/>
      <c r="O946" s="9"/>
    </row>
    <row r="947" ht="15.75" customHeight="1">
      <c r="A947" s="9" t="str">
        <f>IFERROR(__xludf.DUMMYFUNCTION("IF(B947="""","""",RIGHT(REGEXREPLACE(B947&amp;"""",""[^0-9]"",""""),9))"),"771760171")</f>
        <v>771760171</v>
      </c>
      <c r="B947" s="48">
        <v>7.71760171E8</v>
      </c>
      <c r="C947" s="10" t="s">
        <v>1087</v>
      </c>
      <c r="D947" s="10" t="s">
        <v>97</v>
      </c>
      <c r="E947" s="13">
        <v>46227.0</v>
      </c>
      <c r="F947" s="10" t="s">
        <v>21</v>
      </c>
      <c r="I947" s="10" t="s">
        <v>22</v>
      </c>
      <c r="J947" s="9" t="str">
        <f t="shared" si="30"/>
        <v>No</v>
      </c>
      <c r="K947" s="9" t="str">
        <f t="shared" si="31"/>
        <v/>
      </c>
      <c r="L947" s="9" t="str">
        <f t="shared" si="32"/>
        <v/>
      </c>
      <c r="M947" s="9"/>
      <c r="O947" s="9"/>
    </row>
    <row r="948" ht="15.75" customHeight="1">
      <c r="A948" s="9" t="str">
        <f>IFERROR(__xludf.DUMMYFUNCTION("IF(B948="""","""",RIGHT(REGEXREPLACE(B948&amp;"""",""[^0-9]"",""""),9))"),"729663227")</f>
        <v>729663227</v>
      </c>
      <c r="B948" s="10">
        <v>7.29663227E8</v>
      </c>
      <c r="C948" s="10" t="s">
        <v>1088</v>
      </c>
      <c r="D948" s="10" t="s">
        <v>69</v>
      </c>
      <c r="E948" s="13">
        <v>46227.0</v>
      </c>
      <c r="F948" s="10" t="s">
        <v>21</v>
      </c>
      <c r="G948" s="10">
        <v>11.0</v>
      </c>
      <c r="I948" s="10" t="s">
        <v>22</v>
      </c>
      <c r="J948" s="9" t="str">
        <f t="shared" si="30"/>
        <v>No</v>
      </c>
      <c r="K948" s="9" t="str">
        <f t="shared" si="31"/>
        <v/>
      </c>
      <c r="L948" s="9" t="str">
        <f t="shared" si="32"/>
        <v/>
      </c>
      <c r="M948" s="9"/>
      <c r="O948" s="9"/>
    </row>
    <row r="949" ht="15.75" customHeight="1">
      <c r="A949" s="9" t="str">
        <f>IFERROR(__xludf.DUMMYFUNCTION("IF(B949="""","""",RIGHT(REGEXREPLACE(B949&amp;"""",""[^0-9]"",""""),9))"),"768650055")</f>
        <v>768650055</v>
      </c>
      <c r="B949" s="10">
        <v>7.68650055E8</v>
      </c>
      <c r="C949" s="10" t="s">
        <v>1089</v>
      </c>
      <c r="D949" s="10" t="s">
        <v>20</v>
      </c>
      <c r="E949" s="13">
        <v>46227.0</v>
      </c>
      <c r="F949" s="10" t="s">
        <v>173</v>
      </c>
      <c r="G949" s="10">
        <v>11.0</v>
      </c>
      <c r="I949" s="10" t="s">
        <v>22</v>
      </c>
      <c r="J949" s="9" t="str">
        <f t="shared" si="30"/>
        <v>No</v>
      </c>
      <c r="K949" s="9" t="str">
        <f t="shared" si="31"/>
        <v/>
      </c>
      <c r="L949" s="9" t="str">
        <f t="shared" si="32"/>
        <v/>
      </c>
      <c r="M949" s="9"/>
      <c r="O949" s="9"/>
    </row>
    <row r="950" ht="15.75" customHeight="1">
      <c r="A950" s="9" t="str">
        <f>IFERROR(__xludf.DUMMYFUNCTION("IF(B950="""","""",RIGHT(REGEXREPLACE(B950&amp;"""",""[^0-9]"",""""),9))"),"767368399")</f>
        <v>767368399</v>
      </c>
      <c r="B950" s="48">
        <v>7.67368399E8</v>
      </c>
      <c r="C950" s="10" t="s">
        <v>1090</v>
      </c>
      <c r="D950" s="10" t="s">
        <v>120</v>
      </c>
      <c r="E950" s="13">
        <v>46227.0</v>
      </c>
      <c r="F950" s="10" t="s">
        <v>145</v>
      </c>
      <c r="G950" s="10">
        <v>11.0</v>
      </c>
      <c r="I950" s="10" t="s">
        <v>22</v>
      </c>
      <c r="J950" s="9" t="str">
        <f t="shared" si="30"/>
        <v>No</v>
      </c>
      <c r="K950" s="9" t="str">
        <f t="shared" si="31"/>
        <v/>
      </c>
      <c r="L950" s="9" t="str">
        <f t="shared" si="32"/>
        <v/>
      </c>
      <c r="M950" s="9"/>
      <c r="O950" s="9"/>
    </row>
    <row r="951" ht="15.75" customHeight="1">
      <c r="A951" s="9" t="str">
        <f>IFERROR(__xludf.DUMMYFUNCTION("IF(B951="""","""",RIGHT(REGEXREPLACE(B951&amp;"""",""[^0-9]"",""""),9))"),"787078333")</f>
        <v>787078333</v>
      </c>
      <c r="B951" s="48">
        <v>7.87078333E8</v>
      </c>
      <c r="C951" s="10" t="s">
        <v>1091</v>
      </c>
      <c r="D951" s="10" t="s">
        <v>34</v>
      </c>
      <c r="E951" s="13">
        <v>46227.0</v>
      </c>
      <c r="F951" s="10" t="s">
        <v>35</v>
      </c>
      <c r="G951" s="10">
        <v>11.0</v>
      </c>
      <c r="I951" s="10" t="s">
        <v>22</v>
      </c>
      <c r="J951" s="9" t="str">
        <f t="shared" si="30"/>
        <v>No</v>
      </c>
      <c r="K951" s="9" t="str">
        <f t="shared" si="31"/>
        <v/>
      </c>
      <c r="L951" s="9" t="str">
        <f t="shared" si="32"/>
        <v/>
      </c>
      <c r="M951" s="9"/>
      <c r="O951" s="9"/>
    </row>
    <row r="952" ht="15.75" customHeight="1">
      <c r="A952" s="9" t="str">
        <f>IFERROR(__xludf.DUMMYFUNCTION("IF(B952="""","""",RIGHT(REGEXREPLACE(B952&amp;"""",""[^0-9]"",""""),9))"),"760281495")</f>
        <v>760281495</v>
      </c>
      <c r="B952" s="48">
        <v>7.60281495E8</v>
      </c>
      <c r="C952" s="10" t="s">
        <v>1092</v>
      </c>
      <c r="D952" s="10" t="s">
        <v>50</v>
      </c>
      <c r="E952" s="13">
        <v>46227.0</v>
      </c>
      <c r="F952" s="10" t="s">
        <v>35</v>
      </c>
      <c r="G952" s="10">
        <v>9.0</v>
      </c>
      <c r="I952" s="10" t="s">
        <v>22</v>
      </c>
      <c r="J952" s="9" t="str">
        <f t="shared" si="30"/>
        <v>No</v>
      </c>
      <c r="K952" s="9" t="str">
        <f t="shared" si="31"/>
        <v/>
      </c>
      <c r="L952" s="9" t="str">
        <f t="shared" si="32"/>
        <v/>
      </c>
      <c r="M952" s="9"/>
      <c r="O952" s="9"/>
    </row>
    <row r="953" ht="15.75" customHeight="1">
      <c r="A953" s="9" t="str">
        <f>IFERROR(__xludf.DUMMYFUNCTION("IF(B953="""","""",RIGHT(REGEXREPLACE(B953&amp;"""",""[^0-9]"",""""),9))"),"715748092")</f>
        <v>715748092</v>
      </c>
      <c r="B953" s="48">
        <v>7.15748092E8</v>
      </c>
      <c r="C953" s="10" t="s">
        <v>1093</v>
      </c>
      <c r="D953" s="10" t="s">
        <v>97</v>
      </c>
      <c r="E953" s="13">
        <v>46227.0</v>
      </c>
      <c r="F953" s="10" t="s">
        <v>35</v>
      </c>
      <c r="G953" s="10">
        <v>11.0</v>
      </c>
      <c r="I953" s="10" t="s">
        <v>22</v>
      </c>
      <c r="J953" s="9" t="str">
        <f t="shared" si="30"/>
        <v>No</v>
      </c>
      <c r="K953" s="9" t="str">
        <f t="shared" si="31"/>
        <v/>
      </c>
      <c r="L953" s="9" t="str">
        <f t="shared" si="32"/>
        <v/>
      </c>
      <c r="M953" s="9"/>
      <c r="O953" s="9"/>
    </row>
    <row r="954" ht="15.75" customHeight="1">
      <c r="A954" s="9" t="str">
        <f>IFERROR(__xludf.DUMMYFUNCTION("IF(B954="""","""",RIGHT(REGEXREPLACE(B954&amp;"""",""[^0-9]"",""""),9))"),"761807450")</f>
        <v>761807450</v>
      </c>
      <c r="B954" s="10">
        <v>7.6180745E8</v>
      </c>
      <c r="C954" s="10" t="s">
        <v>1094</v>
      </c>
      <c r="D954" s="10" t="s">
        <v>20</v>
      </c>
      <c r="E954" s="13">
        <v>46227.0</v>
      </c>
      <c r="F954" s="10" t="s">
        <v>35</v>
      </c>
      <c r="G954" s="10">
        <v>11.0</v>
      </c>
      <c r="I954" s="10" t="s">
        <v>22</v>
      </c>
      <c r="J954" s="9" t="str">
        <f t="shared" si="30"/>
        <v>No</v>
      </c>
      <c r="K954" s="9" t="str">
        <f t="shared" si="31"/>
        <v/>
      </c>
      <c r="L954" s="9" t="str">
        <f t="shared" si="32"/>
        <v/>
      </c>
      <c r="M954" s="9"/>
      <c r="O954" s="9"/>
    </row>
    <row r="955" ht="15.75" customHeight="1">
      <c r="A955" s="9" t="str">
        <f>IFERROR(__xludf.DUMMYFUNCTION("IF(B955="""","""",RIGHT(REGEXREPLACE(B955&amp;"""",""[^0-9]"",""""),9))"),"711918797")</f>
        <v>711918797</v>
      </c>
      <c r="B955" s="48">
        <v>7.11918797E8</v>
      </c>
      <c r="C955" s="10" t="s">
        <v>1095</v>
      </c>
      <c r="D955" s="10" t="s">
        <v>120</v>
      </c>
      <c r="E955" s="13">
        <v>46227.0</v>
      </c>
      <c r="F955" s="10" t="s">
        <v>21</v>
      </c>
      <c r="G955" s="10">
        <v>11.0</v>
      </c>
      <c r="I955" s="10" t="s">
        <v>22</v>
      </c>
      <c r="J955" s="9" t="str">
        <f t="shared" si="30"/>
        <v>No</v>
      </c>
      <c r="K955" s="9" t="str">
        <f t="shared" si="31"/>
        <v/>
      </c>
      <c r="L955" s="9" t="str">
        <f t="shared" si="32"/>
        <v/>
      </c>
      <c r="M955" s="9"/>
      <c r="O955" s="9"/>
    </row>
    <row r="956" ht="15.75" customHeight="1">
      <c r="A956" s="9" t="str">
        <f>IFERROR(__xludf.DUMMYFUNCTION("IF(B956="""","""",RIGHT(REGEXREPLACE(B956&amp;"""",""[^0-9]"",""""),9))"),"769624269")</f>
        <v>769624269</v>
      </c>
      <c r="B956" s="10">
        <v>7.69624269E8</v>
      </c>
      <c r="C956" s="10" t="s">
        <v>1096</v>
      </c>
      <c r="D956" s="10" t="s">
        <v>20</v>
      </c>
      <c r="E956" s="13">
        <v>46227.0</v>
      </c>
      <c r="F956" s="10" t="s">
        <v>648</v>
      </c>
      <c r="G956" s="10">
        <v>11.0</v>
      </c>
      <c r="H956" s="10" t="s">
        <v>431</v>
      </c>
      <c r="I956" s="10" t="s">
        <v>22</v>
      </c>
      <c r="J956" s="9" t="str">
        <f t="shared" si="30"/>
        <v>No</v>
      </c>
      <c r="K956" s="9" t="str">
        <f t="shared" si="31"/>
        <v/>
      </c>
      <c r="L956" s="9" t="str">
        <f t="shared" si="32"/>
        <v/>
      </c>
      <c r="M956" s="9"/>
      <c r="O956" s="9"/>
    </row>
    <row r="957" ht="15.75" customHeight="1">
      <c r="A957" s="9" t="str">
        <f>IFERROR(__xludf.DUMMYFUNCTION("IF(B957="""","""",RIGHT(REGEXREPLACE(B957&amp;"""",""[^0-9]"",""""),9))"),"778765081")</f>
        <v>778765081</v>
      </c>
      <c r="B957" s="48">
        <v>7.78765081E8</v>
      </c>
      <c r="C957" s="10" t="s">
        <v>1097</v>
      </c>
      <c r="D957" s="10" t="s">
        <v>69</v>
      </c>
      <c r="E957" s="13">
        <v>46227.0</v>
      </c>
      <c r="F957" s="10" t="s">
        <v>21</v>
      </c>
      <c r="G957" s="10">
        <v>10.0</v>
      </c>
      <c r="I957" s="10" t="s">
        <v>22</v>
      </c>
      <c r="J957" s="9" t="str">
        <f t="shared" si="30"/>
        <v>No</v>
      </c>
      <c r="K957" s="9" t="str">
        <f t="shared" si="31"/>
        <v/>
      </c>
      <c r="L957" s="9" t="str">
        <f t="shared" si="32"/>
        <v/>
      </c>
      <c r="M957" s="9"/>
      <c r="O957" s="9"/>
    </row>
    <row r="958" ht="15.75" customHeight="1">
      <c r="A958" s="9" t="str">
        <f>IFERROR(__xludf.DUMMYFUNCTION("IF(B958="""","""",RIGHT(REGEXREPLACE(B958&amp;"""",""[^0-9]"",""""),9))"),"710754717")</f>
        <v>710754717</v>
      </c>
      <c r="B958" s="48">
        <v>7.10754717E8</v>
      </c>
      <c r="C958" s="10" t="s">
        <v>1098</v>
      </c>
      <c r="D958" s="10" t="s">
        <v>34</v>
      </c>
      <c r="E958" s="13">
        <v>46227.0</v>
      </c>
      <c r="F958" s="10" t="s">
        <v>648</v>
      </c>
      <c r="H958" s="10" t="s">
        <v>1099</v>
      </c>
      <c r="I958" s="10" t="s">
        <v>22</v>
      </c>
      <c r="J958" s="9" t="str">
        <f t="shared" si="30"/>
        <v>No</v>
      </c>
      <c r="K958" s="9" t="str">
        <f t="shared" si="31"/>
        <v/>
      </c>
      <c r="L958" s="9" t="str">
        <f t="shared" si="32"/>
        <v/>
      </c>
      <c r="M958" s="9"/>
      <c r="O958" s="9"/>
    </row>
    <row r="959" ht="15.75" customHeight="1">
      <c r="A959" s="9" t="str">
        <f>IFERROR(__xludf.DUMMYFUNCTION("IF(B959="""","""",RIGHT(REGEXREPLACE(B959&amp;"""",""[^0-9]"",""""),9))"),"774580007")</f>
        <v>774580007</v>
      </c>
      <c r="B959" s="48">
        <v>7.74580007E8</v>
      </c>
      <c r="C959" s="10" t="s">
        <v>1100</v>
      </c>
      <c r="D959" s="10" t="s">
        <v>50</v>
      </c>
      <c r="E959" s="13">
        <v>46227.0</v>
      </c>
      <c r="F959" s="10" t="s">
        <v>21</v>
      </c>
      <c r="G959" s="10">
        <v>11.0</v>
      </c>
      <c r="I959" s="10" t="s">
        <v>22</v>
      </c>
      <c r="J959" s="9" t="str">
        <f t="shared" si="30"/>
        <v>No</v>
      </c>
      <c r="K959" s="9" t="str">
        <f t="shared" si="31"/>
        <v/>
      </c>
      <c r="L959" s="9" t="str">
        <f t="shared" si="32"/>
        <v/>
      </c>
      <c r="M959" s="9"/>
      <c r="O959" s="9"/>
    </row>
    <row r="960" ht="15.75" customHeight="1">
      <c r="A960" s="9" t="str">
        <f>IFERROR(__xludf.DUMMYFUNCTION("IF(B960="""","""",RIGHT(REGEXREPLACE(B960&amp;"""",""[^0-9]"",""""),9))"),"761160680")</f>
        <v>761160680</v>
      </c>
      <c r="B960" s="10">
        <v>7.6116068E8</v>
      </c>
      <c r="C960" s="10" t="s">
        <v>1101</v>
      </c>
      <c r="D960" s="10" t="s">
        <v>20</v>
      </c>
      <c r="E960" s="13">
        <v>46227.0</v>
      </c>
      <c r="F960" s="10" t="s">
        <v>35</v>
      </c>
      <c r="G960" s="10">
        <v>11.0</v>
      </c>
      <c r="I960" s="10" t="s">
        <v>22</v>
      </c>
      <c r="J960" s="9" t="str">
        <f t="shared" si="30"/>
        <v>No</v>
      </c>
      <c r="K960" s="9" t="str">
        <f t="shared" si="31"/>
        <v/>
      </c>
      <c r="L960" s="9" t="str">
        <f t="shared" si="32"/>
        <v/>
      </c>
      <c r="M960" s="9"/>
      <c r="O960" s="9"/>
    </row>
    <row r="961" ht="15.75" customHeight="1">
      <c r="A961" s="9" t="str">
        <f>IFERROR(__xludf.DUMMYFUNCTION("IF(B961="""","""",RIGHT(REGEXREPLACE(B961&amp;"""",""[^0-9]"",""""),9))"),"762365863")</f>
        <v>762365863</v>
      </c>
      <c r="B961" s="48">
        <v>7.62365863E8</v>
      </c>
      <c r="C961" s="10" t="s">
        <v>1102</v>
      </c>
      <c r="D961" s="10" t="s">
        <v>69</v>
      </c>
      <c r="E961" s="13">
        <v>46227.0</v>
      </c>
      <c r="F961" s="10" t="s">
        <v>35</v>
      </c>
      <c r="G961" s="10">
        <v>11.0</v>
      </c>
      <c r="I961" s="10" t="s">
        <v>22</v>
      </c>
      <c r="J961" s="9" t="str">
        <f t="shared" si="30"/>
        <v>No</v>
      </c>
      <c r="K961" s="9" t="str">
        <f t="shared" si="31"/>
        <v/>
      </c>
      <c r="L961" s="9" t="str">
        <f t="shared" si="32"/>
        <v/>
      </c>
      <c r="M961" s="9"/>
      <c r="O961" s="9"/>
    </row>
    <row r="962" ht="15.75" customHeight="1">
      <c r="A962" s="9" t="str">
        <f>IFERROR(__xludf.DUMMYFUNCTION("IF(B962="""","""",RIGHT(REGEXREPLACE(B962&amp;"""",""[^0-9]"",""""),9))"),"761708411")</f>
        <v>761708411</v>
      </c>
      <c r="B962" s="48">
        <v>7.61708411E8</v>
      </c>
      <c r="C962" s="10" t="s">
        <v>1103</v>
      </c>
      <c r="D962" s="10" t="s">
        <v>97</v>
      </c>
      <c r="E962" s="13">
        <v>46227.0</v>
      </c>
      <c r="F962" s="10" t="s">
        <v>198</v>
      </c>
      <c r="I962" s="10" t="s">
        <v>22</v>
      </c>
      <c r="J962" s="9" t="str">
        <f t="shared" si="30"/>
        <v>No</v>
      </c>
      <c r="K962" s="9" t="str">
        <f t="shared" si="31"/>
        <v/>
      </c>
      <c r="L962" s="9" t="str">
        <f t="shared" si="32"/>
        <v/>
      </c>
      <c r="M962" s="9"/>
      <c r="O962" s="9"/>
    </row>
    <row r="963" ht="15.75" customHeight="1">
      <c r="A963" s="9" t="str">
        <f>IFERROR(__xludf.DUMMYFUNCTION("IF(B963="""","""",RIGHT(REGEXREPLACE(B963&amp;"""",""[^0-9]"",""""),9))"),"701236290")</f>
        <v>701236290</v>
      </c>
      <c r="B963" s="10">
        <v>7.0123629E8</v>
      </c>
      <c r="C963" s="10" t="s">
        <v>1104</v>
      </c>
      <c r="D963" s="10" t="s">
        <v>20</v>
      </c>
      <c r="E963" s="13">
        <v>46227.0</v>
      </c>
      <c r="F963" s="10" t="s">
        <v>198</v>
      </c>
      <c r="I963" s="10" t="s">
        <v>22</v>
      </c>
      <c r="J963" s="9" t="str">
        <f t="shared" si="30"/>
        <v>No</v>
      </c>
      <c r="K963" s="9" t="str">
        <f t="shared" si="31"/>
        <v/>
      </c>
      <c r="L963" s="9" t="str">
        <f t="shared" si="32"/>
        <v/>
      </c>
      <c r="M963" s="9"/>
      <c r="O963" s="9"/>
    </row>
    <row r="964" ht="15.75" customHeight="1">
      <c r="A964" s="9" t="str">
        <f>IFERROR(__xludf.DUMMYFUNCTION("IF(B964="""","""",RIGHT(REGEXREPLACE(B964&amp;"""",""[^0-9]"",""""),9))"),"718550330")</f>
        <v>718550330</v>
      </c>
      <c r="B964" s="48">
        <v>7.1855033E8</v>
      </c>
      <c r="C964" s="10" t="s">
        <v>1105</v>
      </c>
      <c r="D964" s="10" t="s">
        <v>120</v>
      </c>
      <c r="E964" s="13">
        <v>46227.0</v>
      </c>
      <c r="F964" s="10" t="s">
        <v>21</v>
      </c>
      <c r="G964" s="10">
        <v>10.0</v>
      </c>
      <c r="I964" s="10" t="s">
        <v>22</v>
      </c>
      <c r="J964" s="9" t="str">
        <f t="shared" si="30"/>
        <v>No</v>
      </c>
      <c r="K964" s="9" t="str">
        <f t="shared" si="31"/>
        <v/>
      </c>
      <c r="L964" s="9" t="str">
        <f t="shared" si="32"/>
        <v/>
      </c>
      <c r="M964" s="9"/>
      <c r="O964" s="9"/>
    </row>
    <row r="965" ht="15.75" customHeight="1">
      <c r="A965" s="9" t="str">
        <f>IFERROR(__xludf.DUMMYFUNCTION("IF(B965="""","""",RIGHT(REGEXREPLACE(B965&amp;"""",""[^0-9]"",""""),9))"),"760198393")</f>
        <v>760198393</v>
      </c>
      <c r="B965" s="48">
        <v>7.60198393E8</v>
      </c>
      <c r="C965" s="10" t="s">
        <v>1106</v>
      </c>
      <c r="D965" s="10" t="s">
        <v>34</v>
      </c>
      <c r="E965" s="13">
        <v>46227.0</v>
      </c>
      <c r="F965" s="10" t="s">
        <v>35</v>
      </c>
      <c r="G965" s="10">
        <v>11.0</v>
      </c>
      <c r="I965" s="10" t="s">
        <v>22</v>
      </c>
      <c r="J965" s="9" t="str">
        <f t="shared" si="30"/>
        <v>No</v>
      </c>
      <c r="K965" s="9" t="str">
        <f t="shared" si="31"/>
        <v/>
      </c>
      <c r="L965" s="9" t="str">
        <f t="shared" si="32"/>
        <v/>
      </c>
      <c r="M965" s="9"/>
      <c r="O965" s="9"/>
    </row>
    <row r="966" ht="15.75" customHeight="1">
      <c r="A966" s="9" t="str">
        <f>IFERROR(__xludf.DUMMYFUNCTION("IF(B966="""","""",RIGHT(REGEXREPLACE(B966&amp;"""",""[^0-9]"",""""),9))"),"774430413")</f>
        <v>774430413</v>
      </c>
      <c r="B966" s="48">
        <v>7.74430413E8</v>
      </c>
      <c r="C966" s="10" t="s">
        <v>1107</v>
      </c>
      <c r="D966" s="10" t="s">
        <v>50</v>
      </c>
      <c r="E966" s="13">
        <v>46227.0</v>
      </c>
      <c r="F966" s="10" t="s">
        <v>35</v>
      </c>
      <c r="G966" s="10">
        <v>11.0</v>
      </c>
      <c r="I966" s="10" t="s">
        <v>22</v>
      </c>
      <c r="J966" s="9" t="str">
        <f t="shared" si="30"/>
        <v>No</v>
      </c>
      <c r="K966" s="9" t="str">
        <f t="shared" si="31"/>
        <v/>
      </c>
      <c r="L966" s="9" t="str">
        <f t="shared" si="32"/>
        <v/>
      </c>
      <c r="M966" s="9"/>
      <c r="O966" s="9"/>
    </row>
    <row r="967" ht="15.75" customHeight="1">
      <c r="A967" s="9" t="str">
        <f>IFERROR(__xludf.DUMMYFUNCTION("IF(B967="""","""",RIGHT(REGEXREPLACE(B967&amp;"""",""[^0-9]"",""""),9))"),"771032641")</f>
        <v>771032641</v>
      </c>
      <c r="B967" s="10">
        <v>7.71032641E8</v>
      </c>
      <c r="C967" s="10" t="s">
        <v>1108</v>
      </c>
      <c r="D967" s="10" t="s">
        <v>20</v>
      </c>
      <c r="E967" s="13">
        <v>46227.0</v>
      </c>
      <c r="F967" s="10" t="s">
        <v>198</v>
      </c>
      <c r="I967" s="10" t="s">
        <v>22</v>
      </c>
      <c r="J967" s="9" t="str">
        <f t="shared" si="30"/>
        <v>No</v>
      </c>
      <c r="K967" s="9" t="str">
        <f t="shared" si="31"/>
        <v/>
      </c>
      <c r="L967" s="9" t="str">
        <f t="shared" si="32"/>
        <v/>
      </c>
      <c r="M967" s="9"/>
      <c r="O967" s="9"/>
    </row>
    <row r="968" ht="15.75" customHeight="1">
      <c r="A968" s="9" t="str">
        <f>IFERROR(__xludf.DUMMYFUNCTION("IF(B968="""","""",RIGHT(REGEXREPLACE(B968&amp;"""",""[^0-9]"",""""),9))"),"771056350")</f>
        <v>771056350</v>
      </c>
      <c r="B968" s="10">
        <v>7.7105635E8</v>
      </c>
      <c r="C968" s="10" t="s">
        <v>1109</v>
      </c>
      <c r="D968" s="10" t="s">
        <v>20</v>
      </c>
      <c r="E968" s="13">
        <v>46227.0</v>
      </c>
      <c r="F968" s="10" t="s">
        <v>35</v>
      </c>
      <c r="G968" s="10">
        <v>11.0</v>
      </c>
      <c r="I968" s="10" t="s">
        <v>22</v>
      </c>
      <c r="J968" s="9" t="str">
        <f t="shared" si="30"/>
        <v>No</v>
      </c>
      <c r="K968" s="9" t="str">
        <f t="shared" si="31"/>
        <v/>
      </c>
      <c r="L968" s="9" t="str">
        <f t="shared" si="32"/>
        <v/>
      </c>
      <c r="M968" s="9"/>
      <c r="O968" s="9"/>
    </row>
    <row r="969" ht="15.75" customHeight="1">
      <c r="A969" s="9" t="str">
        <f>IFERROR(__xludf.DUMMYFUNCTION("IF(B969="""","""",RIGHT(REGEXREPLACE(B969&amp;"""",""[^0-9]"",""""),9))"),"723146156")</f>
        <v>723146156</v>
      </c>
      <c r="B969" s="48">
        <v>7.23146156E8</v>
      </c>
      <c r="C969" s="10" t="s">
        <v>1110</v>
      </c>
      <c r="D969" s="10" t="s">
        <v>120</v>
      </c>
      <c r="E969" s="13">
        <v>46227.0</v>
      </c>
      <c r="F969" s="10" t="s">
        <v>145</v>
      </c>
      <c r="I969" s="10" t="s">
        <v>22</v>
      </c>
      <c r="J969" s="9" t="str">
        <f t="shared" si="30"/>
        <v>No</v>
      </c>
      <c r="K969" s="9" t="str">
        <f t="shared" si="31"/>
        <v/>
      </c>
      <c r="L969" s="9" t="str">
        <f t="shared" si="32"/>
        <v/>
      </c>
      <c r="M969" s="9"/>
      <c r="O969" s="9"/>
    </row>
    <row r="970" ht="15.75" customHeight="1">
      <c r="A970" s="9" t="str">
        <f>IFERROR(__xludf.DUMMYFUNCTION("IF(B970="""","""",RIGHT(REGEXREPLACE(B970&amp;"""",""[^0-9]"",""""),9))"),"779749907")</f>
        <v>779749907</v>
      </c>
      <c r="B970" s="10">
        <v>7.79749907E8</v>
      </c>
      <c r="C970" s="10" t="s">
        <v>1111</v>
      </c>
      <c r="D970" s="10" t="s">
        <v>69</v>
      </c>
      <c r="E970" s="13">
        <v>46227.0</v>
      </c>
      <c r="F970" s="10" t="s">
        <v>198</v>
      </c>
      <c r="I970" s="10" t="s">
        <v>22</v>
      </c>
      <c r="J970" s="9" t="str">
        <f t="shared" si="30"/>
        <v>No</v>
      </c>
      <c r="K970" s="9" t="str">
        <f t="shared" si="31"/>
        <v/>
      </c>
      <c r="L970" s="9" t="str">
        <f t="shared" si="32"/>
        <v/>
      </c>
      <c r="M970" s="9"/>
      <c r="O970" s="9"/>
    </row>
    <row r="971" ht="15.75" customHeight="1">
      <c r="A971" s="9" t="str">
        <f>IFERROR(__xludf.DUMMYFUNCTION("IF(B971="""","""",RIGHT(REGEXREPLACE(B971&amp;"""",""[^0-9]"",""""),9))"),"779797057")</f>
        <v>779797057</v>
      </c>
      <c r="B971" s="48">
        <v>7.79797057E8</v>
      </c>
      <c r="C971" s="10" t="s">
        <v>1112</v>
      </c>
      <c r="D971" s="10" t="s">
        <v>97</v>
      </c>
      <c r="E971" s="13">
        <v>46227.0</v>
      </c>
      <c r="F971" s="10" t="s">
        <v>35</v>
      </c>
      <c r="G971" s="10">
        <v>9.0</v>
      </c>
      <c r="I971" s="10" t="s">
        <v>22</v>
      </c>
      <c r="J971" s="9" t="str">
        <f t="shared" si="30"/>
        <v>No</v>
      </c>
      <c r="K971" s="9" t="str">
        <f t="shared" si="31"/>
        <v/>
      </c>
      <c r="L971" s="9" t="str">
        <f t="shared" si="32"/>
        <v/>
      </c>
      <c r="M971" s="9"/>
      <c r="O971" s="9"/>
    </row>
    <row r="972" ht="15.75" customHeight="1">
      <c r="A972" s="9" t="str">
        <f>IFERROR(__xludf.DUMMYFUNCTION("IF(B972="""","""",RIGHT(REGEXREPLACE(B972&amp;"""",""[^0-9]"",""""),9))"),"765532178")</f>
        <v>765532178</v>
      </c>
      <c r="B972" s="48">
        <v>7.65532178E8</v>
      </c>
      <c r="C972" s="10" t="s">
        <v>1113</v>
      </c>
      <c r="D972" s="10" t="s">
        <v>50</v>
      </c>
      <c r="E972" s="13">
        <v>46227.0</v>
      </c>
      <c r="F972" s="10" t="s">
        <v>35</v>
      </c>
      <c r="G972" s="10">
        <v>11.0</v>
      </c>
      <c r="I972" s="10" t="s">
        <v>22</v>
      </c>
      <c r="J972" s="9" t="str">
        <f t="shared" si="30"/>
        <v>No</v>
      </c>
      <c r="K972" s="9" t="str">
        <f t="shared" si="31"/>
        <v/>
      </c>
      <c r="L972" s="9" t="str">
        <f t="shared" si="32"/>
        <v/>
      </c>
      <c r="M972" s="9"/>
      <c r="O972" s="9"/>
    </row>
    <row r="973" ht="15.75" customHeight="1">
      <c r="A973" s="9" t="str">
        <f>IFERROR(__xludf.DUMMYFUNCTION("IF(B973="""","""",RIGHT(REGEXREPLACE(B973&amp;"""",""[^0-9]"",""""),9))"),"779716436")</f>
        <v>779716436</v>
      </c>
      <c r="B973" s="10">
        <v>7.79716436E8</v>
      </c>
      <c r="C973" s="10" t="s">
        <v>1114</v>
      </c>
      <c r="D973" s="10" t="s">
        <v>20</v>
      </c>
      <c r="E973" s="13">
        <v>46227.0</v>
      </c>
      <c r="F973" s="10" t="s">
        <v>648</v>
      </c>
      <c r="I973" s="10" t="s">
        <v>22</v>
      </c>
      <c r="J973" s="9" t="str">
        <f t="shared" si="30"/>
        <v>No</v>
      </c>
      <c r="K973" s="9" t="str">
        <f t="shared" si="31"/>
        <v/>
      </c>
      <c r="L973" s="9" t="str">
        <f t="shared" si="32"/>
        <v/>
      </c>
      <c r="M973" s="9"/>
      <c r="O973" s="9"/>
    </row>
    <row r="974" ht="15.75" customHeight="1">
      <c r="A974" s="9" t="str">
        <f>IFERROR(__xludf.DUMMYFUNCTION("IF(B974="""","""",RIGHT(REGEXREPLACE(B974&amp;"""",""[^0-9]"",""""),9))"),"785328353")</f>
        <v>785328353</v>
      </c>
      <c r="B974" s="48">
        <v>7.85328353E8</v>
      </c>
      <c r="C974" s="10" t="s">
        <v>1115</v>
      </c>
      <c r="D974" s="10" t="s">
        <v>120</v>
      </c>
      <c r="E974" s="13">
        <v>46227.0</v>
      </c>
      <c r="F974" s="10" t="s">
        <v>145</v>
      </c>
      <c r="G974" s="106">
        <v>46334.0</v>
      </c>
      <c r="I974" s="10" t="s">
        <v>22</v>
      </c>
      <c r="J974" s="9" t="str">
        <f t="shared" si="30"/>
        <v>No</v>
      </c>
      <c r="K974" s="9" t="str">
        <f t="shared" si="31"/>
        <v/>
      </c>
      <c r="L974" s="9" t="str">
        <f t="shared" si="32"/>
        <v/>
      </c>
      <c r="M974" s="9"/>
      <c r="O974" s="9"/>
    </row>
    <row r="975" ht="15.75" customHeight="1">
      <c r="A975" s="9" t="str">
        <f>IFERROR(__xludf.DUMMYFUNCTION("IF(B975="""","""",RIGHT(REGEXREPLACE(B975&amp;"""",""[^0-9]"",""""),9))"),"774533509")</f>
        <v>774533509</v>
      </c>
      <c r="B975" s="48">
        <v>7.74533509E8</v>
      </c>
      <c r="C975" s="10" t="s">
        <v>1116</v>
      </c>
      <c r="D975" s="10" t="s">
        <v>50</v>
      </c>
      <c r="E975" s="13">
        <v>46227.0</v>
      </c>
      <c r="F975" s="10" t="s">
        <v>21</v>
      </c>
      <c r="G975" s="10">
        <v>11.0</v>
      </c>
      <c r="I975" s="10" t="s">
        <v>22</v>
      </c>
      <c r="J975" s="9" t="str">
        <f t="shared" si="30"/>
        <v>No</v>
      </c>
      <c r="K975" s="9" t="str">
        <f t="shared" si="31"/>
        <v/>
      </c>
      <c r="L975" s="9" t="str">
        <f t="shared" si="32"/>
        <v/>
      </c>
      <c r="M975" s="9"/>
      <c r="O975" s="9"/>
    </row>
    <row r="976" ht="15.75" customHeight="1">
      <c r="A976" s="9" t="str">
        <f>IFERROR(__xludf.DUMMYFUNCTION("IF(B976="""","""",RIGHT(REGEXREPLACE(B976&amp;"""",""[^0-9]"",""""),9))"),"717219051")</f>
        <v>717219051</v>
      </c>
      <c r="B976" s="48">
        <v>7.17219051E8</v>
      </c>
      <c r="C976" s="10" t="s">
        <v>1117</v>
      </c>
      <c r="D976" s="10" t="s">
        <v>34</v>
      </c>
      <c r="E976" s="13">
        <v>46227.0</v>
      </c>
      <c r="F976" s="10" t="s">
        <v>35</v>
      </c>
      <c r="G976" s="10">
        <v>11.0</v>
      </c>
      <c r="I976" s="10" t="s">
        <v>22</v>
      </c>
      <c r="J976" s="9" t="str">
        <f t="shared" si="30"/>
        <v>No</v>
      </c>
      <c r="K976" s="9" t="str">
        <f t="shared" si="31"/>
        <v/>
      </c>
      <c r="L976" s="9" t="str">
        <f t="shared" si="32"/>
        <v/>
      </c>
      <c r="M976" s="9"/>
      <c r="O976" s="9"/>
    </row>
    <row r="977" ht="15.75" customHeight="1">
      <c r="A977" s="9" t="str">
        <f>IFERROR(__xludf.DUMMYFUNCTION("IF(B977="""","""",RIGHT(REGEXREPLACE(B977&amp;"""",""[^0-9]"",""""),9))"),"770518148")</f>
        <v>770518148</v>
      </c>
      <c r="B977" s="48">
        <v>7.70518148E8</v>
      </c>
      <c r="C977" s="10" t="s">
        <v>1118</v>
      </c>
      <c r="D977" s="10" t="s">
        <v>69</v>
      </c>
      <c r="E977" s="13">
        <v>46227.0</v>
      </c>
      <c r="F977" s="10" t="s">
        <v>35</v>
      </c>
      <c r="H977" s="10" t="s">
        <v>1119</v>
      </c>
      <c r="I977" s="10" t="s">
        <v>22</v>
      </c>
      <c r="J977" s="9" t="str">
        <f t="shared" si="30"/>
        <v>No</v>
      </c>
      <c r="K977" s="9" t="str">
        <f t="shared" si="31"/>
        <v/>
      </c>
      <c r="L977" s="9" t="str">
        <f t="shared" si="32"/>
        <v/>
      </c>
      <c r="M977" s="9"/>
      <c r="O977" s="9"/>
    </row>
    <row r="978" ht="15.75" customHeight="1">
      <c r="A978" s="9" t="str">
        <f>IFERROR(__xludf.DUMMYFUNCTION("IF(B978="""","""",RIGHT(REGEXREPLACE(B978&amp;"""",""[^0-9]"",""""),9))"),"777513880")</f>
        <v>777513880</v>
      </c>
      <c r="B978" s="48">
        <v>7.7751388E8</v>
      </c>
      <c r="C978" s="10" t="s">
        <v>1120</v>
      </c>
      <c r="D978" s="10" t="s">
        <v>97</v>
      </c>
      <c r="E978" s="13">
        <v>46227.0</v>
      </c>
      <c r="F978" s="10" t="s">
        <v>113</v>
      </c>
      <c r="I978" s="10" t="s">
        <v>22</v>
      </c>
      <c r="J978" s="9" t="str">
        <f t="shared" si="30"/>
        <v>No</v>
      </c>
      <c r="K978" s="9" t="str">
        <f t="shared" si="31"/>
        <v/>
      </c>
      <c r="L978" s="9" t="str">
        <f t="shared" si="32"/>
        <v/>
      </c>
      <c r="M978" s="9"/>
      <c r="O978" s="9"/>
    </row>
    <row r="979" ht="15.75" customHeight="1">
      <c r="A979" s="9" t="str">
        <f>IFERROR(__xludf.DUMMYFUNCTION("IF(B979="""","""",RIGHT(REGEXREPLACE(B979&amp;"""",""[^0-9]"",""""),9))"),"773028602")</f>
        <v>773028602</v>
      </c>
      <c r="B979" s="48">
        <v>7.73028602E8</v>
      </c>
      <c r="C979" s="10" t="s">
        <v>1121</v>
      </c>
      <c r="D979" s="10" t="s">
        <v>120</v>
      </c>
      <c r="E979" s="13">
        <v>46227.0</v>
      </c>
      <c r="F979" s="10" t="s">
        <v>35</v>
      </c>
      <c r="G979" s="10">
        <v>9.0</v>
      </c>
      <c r="I979" s="10" t="s">
        <v>22</v>
      </c>
      <c r="J979" s="9" t="str">
        <f t="shared" si="30"/>
        <v>No</v>
      </c>
      <c r="K979" s="9" t="str">
        <f t="shared" si="31"/>
        <v/>
      </c>
      <c r="L979" s="9" t="str">
        <f t="shared" si="32"/>
        <v/>
      </c>
      <c r="M979" s="9"/>
      <c r="O979" s="9"/>
    </row>
    <row r="980" ht="15.75" customHeight="1">
      <c r="A980" s="9" t="str">
        <f>IFERROR(__xludf.DUMMYFUNCTION("IF(B980="""","""",RIGHT(REGEXREPLACE(B980&amp;"""",""[^0-9]"",""""),9))"),"717633005")</f>
        <v>717633005</v>
      </c>
      <c r="B980" s="48">
        <v>7.17633005E8</v>
      </c>
      <c r="C980" s="10" t="s">
        <v>1122</v>
      </c>
      <c r="D980" s="10" t="s">
        <v>120</v>
      </c>
      <c r="E980" s="13">
        <v>46227.0</v>
      </c>
      <c r="F980" s="10" t="s">
        <v>35</v>
      </c>
      <c r="G980" s="10">
        <v>11.0</v>
      </c>
      <c r="I980" s="10" t="s">
        <v>22</v>
      </c>
      <c r="J980" s="9" t="str">
        <f t="shared" si="30"/>
        <v>No</v>
      </c>
      <c r="K980" s="9" t="str">
        <f t="shared" si="31"/>
        <v/>
      </c>
      <c r="L980" s="9" t="str">
        <f t="shared" si="32"/>
        <v/>
      </c>
      <c r="M980" s="9"/>
      <c r="O980" s="9"/>
    </row>
    <row r="981" ht="15.75" customHeight="1">
      <c r="A981" s="9" t="str">
        <f>IFERROR(__xludf.DUMMYFUNCTION("IF(B981="""","""",RIGHT(REGEXREPLACE(B981&amp;"""",""[^0-9]"",""""),9))"),"769097039")</f>
        <v>769097039</v>
      </c>
      <c r="B981" s="48">
        <v>7.69097039E8</v>
      </c>
      <c r="C981" s="10" t="s">
        <v>1123</v>
      </c>
      <c r="D981" s="10" t="s">
        <v>50</v>
      </c>
      <c r="E981" s="13">
        <v>46227.0</v>
      </c>
      <c r="F981" s="10" t="s">
        <v>35</v>
      </c>
      <c r="G981" s="10">
        <v>11.0</v>
      </c>
      <c r="I981" s="10" t="s">
        <v>22</v>
      </c>
      <c r="J981" s="9" t="str">
        <f t="shared" si="30"/>
        <v>No</v>
      </c>
      <c r="K981" s="9" t="str">
        <f t="shared" si="31"/>
        <v/>
      </c>
      <c r="L981" s="9" t="str">
        <f t="shared" si="32"/>
        <v/>
      </c>
      <c r="M981" s="9"/>
      <c r="O981" s="9"/>
    </row>
    <row r="982" ht="15.75" customHeight="1">
      <c r="A982" s="9" t="str">
        <f>IFERROR(__xludf.DUMMYFUNCTION("IF(B982="""","""",RIGHT(REGEXREPLACE(B982&amp;"""",""[^0-9]"",""""),9))"),"762711774")</f>
        <v>762711774</v>
      </c>
      <c r="B982" s="48">
        <v>7.62711774E8</v>
      </c>
      <c r="C982" s="10" t="s">
        <v>265</v>
      </c>
      <c r="D982" s="10" t="s">
        <v>69</v>
      </c>
      <c r="E982" s="13">
        <v>46227.0</v>
      </c>
      <c r="F982" s="10" t="s">
        <v>21</v>
      </c>
      <c r="G982" s="10">
        <v>11.0</v>
      </c>
      <c r="I982" s="10" t="s">
        <v>22</v>
      </c>
      <c r="J982" s="9" t="str">
        <f t="shared" si="30"/>
        <v>No</v>
      </c>
      <c r="K982" s="9" t="str">
        <f t="shared" si="31"/>
        <v/>
      </c>
      <c r="L982" s="9" t="str">
        <f t="shared" si="32"/>
        <v/>
      </c>
      <c r="M982" s="9"/>
      <c r="O982" s="9"/>
    </row>
    <row r="983" ht="15.75" customHeight="1">
      <c r="A983" s="9" t="str">
        <f>IFERROR(__xludf.DUMMYFUNCTION("IF(B983="""","""",RIGHT(REGEXREPLACE(B983&amp;"""",""[^0-9]"",""""),9))"),"775886395")</f>
        <v>775886395</v>
      </c>
      <c r="B983" s="48">
        <v>7.75886395E8</v>
      </c>
      <c r="C983" s="10" t="s">
        <v>1124</v>
      </c>
      <c r="D983" s="10" t="s">
        <v>97</v>
      </c>
      <c r="E983" s="13">
        <v>46227.0</v>
      </c>
      <c r="F983" s="10" t="s">
        <v>21</v>
      </c>
      <c r="G983" s="10">
        <v>11.0</v>
      </c>
      <c r="I983" s="10" t="s">
        <v>22</v>
      </c>
      <c r="J983" s="9" t="str">
        <f t="shared" si="30"/>
        <v>No</v>
      </c>
      <c r="K983" s="9" t="str">
        <f t="shared" si="31"/>
        <v/>
      </c>
      <c r="L983" s="9" t="str">
        <f t="shared" si="32"/>
        <v/>
      </c>
      <c r="M983" s="9"/>
      <c r="O983" s="9"/>
    </row>
    <row r="984" ht="15.75" customHeight="1">
      <c r="A984" s="9" t="str">
        <f>IFERROR(__xludf.DUMMYFUNCTION("IF(B984="""","""",RIGHT(REGEXREPLACE(B984&amp;"""",""[^0-9]"",""""),9))"),"726600479")</f>
        <v>726600479</v>
      </c>
      <c r="B984" s="48">
        <v>7.26600479E8</v>
      </c>
      <c r="C984" s="10" t="s">
        <v>1125</v>
      </c>
      <c r="D984" s="10" t="s">
        <v>50</v>
      </c>
      <c r="E984" s="13">
        <v>46227.0</v>
      </c>
      <c r="F984" s="10" t="s">
        <v>21</v>
      </c>
      <c r="I984" s="10" t="s">
        <v>22</v>
      </c>
      <c r="J984" s="9" t="str">
        <f t="shared" si="30"/>
        <v>No</v>
      </c>
      <c r="K984" s="9" t="str">
        <f t="shared" si="31"/>
        <v/>
      </c>
      <c r="L984" s="9" t="str">
        <f t="shared" si="32"/>
        <v/>
      </c>
      <c r="M984" s="9"/>
      <c r="O984" s="9"/>
    </row>
    <row r="985" ht="15.75" customHeight="1">
      <c r="A985" s="9" t="str">
        <f>IFERROR(__xludf.DUMMYFUNCTION("IF(B985="""","""",RIGHT(REGEXREPLACE(B985&amp;"""",""[^0-9]"",""""),9))"),"759537720")</f>
        <v>759537720</v>
      </c>
      <c r="B985" s="48">
        <v>7.5953772E8</v>
      </c>
      <c r="C985" s="10" t="s">
        <v>1126</v>
      </c>
      <c r="D985" s="10" t="s">
        <v>97</v>
      </c>
      <c r="E985" s="13">
        <v>46227.0</v>
      </c>
      <c r="F985" s="10" t="s">
        <v>21</v>
      </c>
      <c r="I985" s="10" t="s">
        <v>22</v>
      </c>
      <c r="J985" s="9" t="str">
        <f t="shared" si="30"/>
        <v>No</v>
      </c>
      <c r="K985" s="9" t="str">
        <f t="shared" si="31"/>
        <v/>
      </c>
      <c r="L985" s="9" t="str">
        <f t="shared" si="32"/>
        <v/>
      </c>
      <c r="M985" s="9"/>
      <c r="O985" s="9"/>
    </row>
    <row r="986" ht="15.75" customHeight="1">
      <c r="A986" s="9" t="str">
        <f>IFERROR(__xludf.DUMMYFUNCTION("IF(B986="""","""",RIGHT(REGEXREPLACE(B986&amp;"""",""[^0-9]"",""""),9))"),"761363824")</f>
        <v>761363824</v>
      </c>
      <c r="B986" s="48">
        <v>7.61363824E8</v>
      </c>
      <c r="C986" s="10" t="s">
        <v>1127</v>
      </c>
      <c r="D986" s="10" t="s">
        <v>50</v>
      </c>
      <c r="E986" s="13">
        <v>46227.0</v>
      </c>
      <c r="F986" s="10" t="s">
        <v>35</v>
      </c>
      <c r="G986" s="10">
        <v>11.0</v>
      </c>
      <c r="I986" s="10" t="s">
        <v>22</v>
      </c>
      <c r="J986" s="9" t="str">
        <f t="shared" si="30"/>
        <v>No</v>
      </c>
      <c r="K986" s="9" t="str">
        <f t="shared" si="31"/>
        <v/>
      </c>
      <c r="L986" s="9" t="str">
        <f t="shared" si="32"/>
        <v/>
      </c>
      <c r="M986" s="9"/>
      <c r="O986" s="9"/>
    </row>
    <row r="987" ht="15.75" customHeight="1">
      <c r="A987" s="9" t="str">
        <f>IFERROR(__xludf.DUMMYFUNCTION("IF(B987="""","""",RIGHT(REGEXREPLACE(B987&amp;"""",""[^0-9]"",""""),9))"),"766704837")</f>
        <v>766704837</v>
      </c>
      <c r="B987" s="48">
        <v>7.66704837E8</v>
      </c>
      <c r="C987" s="10" t="s">
        <v>249</v>
      </c>
      <c r="D987" s="10" t="s">
        <v>69</v>
      </c>
      <c r="E987" s="13">
        <v>46227.0</v>
      </c>
      <c r="F987" s="10" t="s">
        <v>198</v>
      </c>
      <c r="G987" s="10">
        <v>11.0</v>
      </c>
      <c r="I987" s="10" t="s">
        <v>22</v>
      </c>
      <c r="J987" s="9" t="str">
        <f t="shared" si="30"/>
        <v>Yes - see Previous F-Code</v>
      </c>
      <c r="K987" s="9" t="str">
        <f t="shared" si="31"/>
        <v>DUPLICATE - CHECK</v>
      </c>
      <c r="L987" s="9" t="str">
        <f t="shared" si="32"/>
        <v>F70140</v>
      </c>
      <c r="M987" s="9"/>
      <c r="O987" s="9"/>
    </row>
    <row r="988" ht="15.75" customHeight="1">
      <c r="A988" s="9" t="str">
        <f>IFERROR(__xludf.DUMMYFUNCTION("IF(B988="""","""",RIGHT(REGEXREPLACE(B988&amp;"""",""[^0-9]"",""""),9))"),"772050967")</f>
        <v>772050967</v>
      </c>
      <c r="B988" s="48">
        <v>7.72050967E8</v>
      </c>
      <c r="C988" s="10" t="s">
        <v>1128</v>
      </c>
      <c r="D988" s="10" t="s">
        <v>34</v>
      </c>
      <c r="E988" s="13">
        <v>46227.0</v>
      </c>
      <c r="F988" s="10" t="s">
        <v>35</v>
      </c>
      <c r="G988" s="10">
        <v>11.0</v>
      </c>
      <c r="I988" s="10" t="s">
        <v>22</v>
      </c>
      <c r="J988" s="9" t="str">
        <f t="shared" si="30"/>
        <v>No</v>
      </c>
      <c r="K988" s="9" t="str">
        <f t="shared" si="31"/>
        <v/>
      </c>
      <c r="L988" s="9" t="str">
        <f t="shared" si="32"/>
        <v/>
      </c>
      <c r="M988" s="9"/>
      <c r="O988" s="9"/>
    </row>
    <row r="989" ht="15.75" customHeight="1">
      <c r="A989" s="9" t="str">
        <f>IFERROR(__xludf.DUMMYFUNCTION("IF(B989="""","""",RIGHT(REGEXREPLACE(B989&amp;"""",""[^0-9]"",""""),9))"),"765826272")</f>
        <v>765826272</v>
      </c>
      <c r="B989" s="48">
        <v>4.765826272E9</v>
      </c>
      <c r="C989" s="10" t="s">
        <v>1129</v>
      </c>
      <c r="D989" s="10" t="s">
        <v>97</v>
      </c>
      <c r="E989" s="13">
        <v>46227.0</v>
      </c>
      <c r="F989" s="10" t="s">
        <v>21</v>
      </c>
      <c r="I989" s="10" t="s">
        <v>22</v>
      </c>
      <c r="J989" s="9" t="str">
        <f t="shared" si="30"/>
        <v>No</v>
      </c>
      <c r="K989" s="9" t="str">
        <f t="shared" si="31"/>
        <v/>
      </c>
      <c r="L989" s="9" t="str">
        <f t="shared" si="32"/>
        <v/>
      </c>
      <c r="M989" s="9"/>
      <c r="O989" s="9"/>
    </row>
    <row r="990" ht="15.75" customHeight="1">
      <c r="A990" s="9" t="str">
        <f>IFERROR(__xludf.DUMMYFUNCTION("IF(B990="""","""",RIGHT(REGEXREPLACE(B990&amp;"""",""[^0-9]"",""""),9))"),"701816201")</f>
        <v>701816201</v>
      </c>
      <c r="B990" s="48">
        <v>7.01816201E8</v>
      </c>
      <c r="C990" s="10" t="s">
        <v>1130</v>
      </c>
      <c r="D990" s="10" t="s">
        <v>120</v>
      </c>
      <c r="E990" s="13">
        <v>46227.0</v>
      </c>
      <c r="F990" s="10" t="s">
        <v>35</v>
      </c>
      <c r="G990" s="10">
        <v>11.0</v>
      </c>
      <c r="I990" s="10" t="s">
        <v>22</v>
      </c>
      <c r="J990" s="9" t="str">
        <f t="shared" si="30"/>
        <v>No</v>
      </c>
      <c r="K990" s="9" t="str">
        <f t="shared" si="31"/>
        <v/>
      </c>
      <c r="L990" s="9" t="str">
        <f t="shared" si="32"/>
        <v/>
      </c>
      <c r="M990" s="9"/>
      <c r="O990" s="9"/>
    </row>
    <row r="991" ht="15.75" customHeight="1">
      <c r="A991" s="9" t="str">
        <f>IFERROR(__xludf.DUMMYFUNCTION("IF(B991="""","""",RIGHT(REGEXREPLACE(B991&amp;"""",""[^0-9]"",""""),9))"),"768137338")</f>
        <v>768137338</v>
      </c>
      <c r="B991" s="48">
        <v>7.68137338E8</v>
      </c>
      <c r="C991" s="10" t="s">
        <v>1131</v>
      </c>
      <c r="D991" s="10" t="s">
        <v>50</v>
      </c>
      <c r="E991" s="13">
        <v>46227.0</v>
      </c>
      <c r="F991" s="10" t="s">
        <v>21</v>
      </c>
      <c r="G991" s="10">
        <v>11.0</v>
      </c>
      <c r="I991" s="10" t="s">
        <v>22</v>
      </c>
      <c r="J991" s="9" t="str">
        <f t="shared" si="30"/>
        <v>No</v>
      </c>
      <c r="K991" s="9" t="str">
        <f t="shared" si="31"/>
        <v/>
      </c>
      <c r="L991" s="9" t="str">
        <f t="shared" si="32"/>
        <v/>
      </c>
      <c r="M991" s="9"/>
      <c r="O991" s="9"/>
    </row>
    <row r="992" ht="15.75" customHeight="1">
      <c r="A992" s="9" t="str">
        <f>IFERROR(__xludf.DUMMYFUNCTION("IF(B992="""","""",RIGHT(REGEXREPLACE(B992&amp;"""",""[^0-9]"",""""),9))"),"718087900")</f>
        <v>718087900</v>
      </c>
      <c r="B992" s="48">
        <v>7.180879E8</v>
      </c>
      <c r="C992" s="10" t="s">
        <v>1132</v>
      </c>
      <c r="D992" s="10" t="s">
        <v>69</v>
      </c>
      <c r="E992" s="13">
        <v>46227.0</v>
      </c>
      <c r="F992" s="10" t="s">
        <v>198</v>
      </c>
      <c r="G992" s="10">
        <v>11.0</v>
      </c>
      <c r="I992" s="10" t="s">
        <v>22</v>
      </c>
      <c r="J992" s="9" t="str">
        <f t="shared" si="30"/>
        <v>No</v>
      </c>
      <c r="K992" s="9" t="str">
        <f t="shared" si="31"/>
        <v/>
      </c>
      <c r="L992" s="9" t="str">
        <f t="shared" si="32"/>
        <v/>
      </c>
      <c r="M992" s="9"/>
      <c r="O992" s="9"/>
    </row>
    <row r="993" ht="15.75" customHeight="1">
      <c r="A993" s="9" t="str">
        <f>IFERROR(__xludf.DUMMYFUNCTION("IF(B993="""","""",RIGHT(REGEXREPLACE(B993&amp;"""",""[^0-9]"",""""),9))"),"774716363")</f>
        <v>774716363</v>
      </c>
      <c r="B993" s="48">
        <v>7.74716363E8</v>
      </c>
      <c r="C993" s="10" t="s">
        <v>367</v>
      </c>
      <c r="D993" s="10" t="s">
        <v>97</v>
      </c>
      <c r="E993" s="13">
        <v>46227.0</v>
      </c>
      <c r="F993" s="10" t="s">
        <v>145</v>
      </c>
      <c r="I993" s="10" t="s">
        <v>22</v>
      </c>
      <c r="J993" s="9" t="str">
        <f t="shared" si="30"/>
        <v>No</v>
      </c>
      <c r="K993" s="9" t="str">
        <f t="shared" si="31"/>
        <v/>
      </c>
      <c r="L993" s="9" t="str">
        <f t="shared" si="32"/>
        <v/>
      </c>
      <c r="M993" s="9"/>
      <c r="O993" s="9"/>
    </row>
    <row r="994" ht="15.75" customHeight="1">
      <c r="A994" s="9" t="str">
        <f>IFERROR(__xludf.DUMMYFUNCTION("IF(B994="""","""",RIGHT(REGEXREPLACE(B994&amp;"""",""[^0-9]"",""""),9))"),"774619322")</f>
        <v>774619322</v>
      </c>
      <c r="B994" s="48">
        <v>7.74619322E8</v>
      </c>
      <c r="C994" s="10" t="s">
        <v>1133</v>
      </c>
      <c r="D994" s="10" t="s">
        <v>34</v>
      </c>
      <c r="E994" s="13">
        <v>46227.0</v>
      </c>
      <c r="F994" s="10" t="s">
        <v>35</v>
      </c>
      <c r="G994" s="10">
        <v>11.0</v>
      </c>
      <c r="H994" s="10" t="s">
        <v>760</v>
      </c>
      <c r="I994" s="10" t="s">
        <v>22</v>
      </c>
      <c r="J994" s="9" t="str">
        <f t="shared" si="30"/>
        <v>No</v>
      </c>
      <c r="K994" s="9" t="str">
        <f t="shared" si="31"/>
        <v/>
      </c>
      <c r="L994" s="9" t="str">
        <f t="shared" si="32"/>
        <v/>
      </c>
      <c r="M994" s="9"/>
      <c r="O994" s="9"/>
    </row>
    <row r="995" ht="15.75" customHeight="1">
      <c r="A995" s="9" t="str">
        <f>IFERROR(__xludf.DUMMYFUNCTION("IF(B995="""","""",RIGHT(REGEXREPLACE(B995&amp;"""",""[^0-9]"",""""),9))"),"765946121")</f>
        <v>765946121</v>
      </c>
      <c r="B995" s="48">
        <v>7.65946121E8</v>
      </c>
      <c r="C995" s="10" t="s">
        <v>1134</v>
      </c>
      <c r="D995" s="10" t="s">
        <v>120</v>
      </c>
      <c r="E995" s="13">
        <v>46227.0</v>
      </c>
      <c r="F995" s="10" t="s">
        <v>113</v>
      </c>
      <c r="I995" s="10" t="s">
        <v>22</v>
      </c>
      <c r="J995" s="9" t="str">
        <f t="shared" si="30"/>
        <v>No</v>
      </c>
      <c r="K995" s="9" t="str">
        <f t="shared" si="31"/>
        <v/>
      </c>
      <c r="L995" s="9" t="str">
        <f t="shared" si="32"/>
        <v/>
      </c>
      <c r="M995" s="9"/>
      <c r="O995" s="9"/>
    </row>
    <row r="996" ht="15.75" customHeight="1">
      <c r="A996" s="9" t="str">
        <f>IFERROR(__xludf.DUMMYFUNCTION("IF(B996="""","""",RIGHT(REGEXREPLACE(B996&amp;"""",""[^0-9]"",""""),9))"),"775551863")</f>
        <v>775551863</v>
      </c>
      <c r="B996" s="48">
        <v>7.75551863E8</v>
      </c>
      <c r="C996" s="10" t="s">
        <v>1135</v>
      </c>
      <c r="D996" s="10" t="s">
        <v>34</v>
      </c>
      <c r="E996" s="13">
        <v>46227.0</v>
      </c>
      <c r="F996" s="10" t="s">
        <v>35</v>
      </c>
      <c r="G996" s="10">
        <v>11.0</v>
      </c>
      <c r="I996" s="10" t="s">
        <v>22</v>
      </c>
      <c r="J996" s="9" t="str">
        <f t="shared" si="30"/>
        <v>No</v>
      </c>
      <c r="K996" s="9" t="str">
        <f t="shared" si="31"/>
        <v/>
      </c>
      <c r="L996" s="9" t="str">
        <f t="shared" si="32"/>
        <v/>
      </c>
      <c r="M996" s="9"/>
      <c r="O996" s="9"/>
    </row>
    <row r="997" ht="15.75" customHeight="1">
      <c r="A997" s="9" t="str">
        <f>IFERROR(__xludf.DUMMYFUNCTION("IF(B997="""","""",RIGHT(REGEXREPLACE(B997&amp;"""",""[^0-9]"",""""),9))"),"715309061")</f>
        <v>715309061</v>
      </c>
      <c r="B997" s="10">
        <v>7.15309061E8</v>
      </c>
      <c r="C997" s="10" t="s">
        <v>1136</v>
      </c>
      <c r="D997" s="10" t="s">
        <v>20</v>
      </c>
      <c r="E997" s="13">
        <v>46227.0</v>
      </c>
      <c r="F997" s="10" t="s">
        <v>21</v>
      </c>
      <c r="I997" s="10" t="s">
        <v>22</v>
      </c>
      <c r="J997" s="9" t="str">
        <f t="shared" si="30"/>
        <v>No</v>
      </c>
      <c r="K997" s="9" t="str">
        <f t="shared" si="31"/>
        <v/>
      </c>
      <c r="L997" s="9" t="str">
        <f t="shared" si="32"/>
        <v/>
      </c>
      <c r="M997" s="9"/>
      <c r="O997" s="9"/>
    </row>
    <row r="998" ht="15.75" customHeight="1">
      <c r="A998" s="9" t="str">
        <f>IFERROR(__xludf.DUMMYFUNCTION("IF(B998="""","""",RIGHT(REGEXREPLACE(B998&amp;"""",""[^0-9]"",""""),9))"),"764248741")</f>
        <v>764248741</v>
      </c>
      <c r="B998" s="48">
        <v>7.64248741E8</v>
      </c>
      <c r="C998" s="10" t="s">
        <v>1137</v>
      </c>
      <c r="D998" s="10" t="s">
        <v>50</v>
      </c>
      <c r="E998" s="13">
        <v>46227.0</v>
      </c>
      <c r="F998" s="10" t="s">
        <v>21</v>
      </c>
      <c r="G998" s="10">
        <v>11.0</v>
      </c>
      <c r="I998" s="10" t="s">
        <v>22</v>
      </c>
      <c r="J998" s="9" t="str">
        <f t="shared" si="30"/>
        <v>No</v>
      </c>
      <c r="K998" s="9" t="str">
        <f t="shared" si="31"/>
        <v/>
      </c>
      <c r="L998" s="9" t="str">
        <f t="shared" si="32"/>
        <v/>
      </c>
      <c r="M998" s="9"/>
      <c r="O998" s="9"/>
    </row>
    <row r="999" ht="15.75" customHeight="1">
      <c r="A999" s="9" t="str">
        <f>IFERROR(__xludf.DUMMYFUNCTION("IF(B999="""","""",RIGHT(REGEXREPLACE(B999&amp;"""",""[^0-9]"",""""),9))"),"763897803")</f>
        <v>763897803</v>
      </c>
      <c r="B999" s="48">
        <v>7.63897803E8</v>
      </c>
      <c r="C999" s="10" t="s">
        <v>408</v>
      </c>
      <c r="D999" s="10" t="s">
        <v>97</v>
      </c>
      <c r="E999" s="13">
        <v>46227.0</v>
      </c>
      <c r="F999" s="10" t="s">
        <v>198</v>
      </c>
      <c r="G999" s="10">
        <v>11.0</v>
      </c>
      <c r="I999" s="10" t="s">
        <v>22</v>
      </c>
      <c r="J999" s="9" t="str">
        <f t="shared" si="30"/>
        <v>Yes - see Previous F-Code</v>
      </c>
      <c r="K999" s="9" t="str">
        <f t="shared" si="31"/>
        <v>DUPLICATE - CHECK</v>
      </c>
      <c r="L999" s="9" t="str">
        <f t="shared" si="32"/>
        <v>F70290</v>
      </c>
      <c r="M999" s="9"/>
      <c r="O999" s="9"/>
    </row>
    <row r="1000" ht="15.75" customHeight="1">
      <c r="A1000" s="9" t="str">
        <f>IFERROR(__xludf.DUMMYFUNCTION("IF(B1000="""","""",RIGHT(REGEXREPLACE(B1000&amp;"""",""[^0-9]"",""""),9))"),"774054931")</f>
        <v>774054931</v>
      </c>
      <c r="B1000" s="10">
        <v>7.74054931E8</v>
      </c>
      <c r="C1000" s="10" t="s">
        <v>1138</v>
      </c>
      <c r="D1000" s="10" t="s">
        <v>20</v>
      </c>
      <c r="E1000" s="13">
        <v>46227.0</v>
      </c>
      <c r="F1000" s="10" t="s">
        <v>171</v>
      </c>
      <c r="G1000" s="10">
        <v>9.0</v>
      </c>
      <c r="I1000" s="10" t="s">
        <v>22</v>
      </c>
      <c r="J1000" s="9" t="str">
        <f t="shared" si="30"/>
        <v>No</v>
      </c>
      <c r="K1000" s="9" t="str">
        <f t="shared" si="31"/>
        <v/>
      </c>
      <c r="L1000" s="9" t="str">
        <f t="shared" si="32"/>
        <v/>
      </c>
      <c r="M1000" s="9"/>
      <c r="O1000" s="9"/>
    </row>
    <row r="1001" ht="15.75" customHeight="1">
      <c r="A1001" s="9" t="str">
        <f>IFERROR(__xludf.DUMMYFUNCTION("IF(B1001="""","""",RIGHT(REGEXREPLACE(B1001&amp;"""",""[^0-9]"",""""),9))"),"740316587")</f>
        <v>740316587</v>
      </c>
      <c r="B1001" s="48">
        <v>7.40316587E8</v>
      </c>
      <c r="C1001" s="10" t="s">
        <v>1139</v>
      </c>
      <c r="D1001" s="10" t="s">
        <v>120</v>
      </c>
      <c r="E1001" s="13">
        <v>46227.0</v>
      </c>
      <c r="F1001" s="10" t="s">
        <v>21</v>
      </c>
      <c r="I1001" s="10" t="s">
        <v>22</v>
      </c>
      <c r="J1001" s="9" t="str">
        <f t="shared" si="30"/>
        <v>No</v>
      </c>
      <c r="K1001" s="9" t="str">
        <f t="shared" si="31"/>
        <v/>
      </c>
      <c r="L1001" s="9" t="str">
        <f t="shared" si="32"/>
        <v/>
      </c>
      <c r="M1001" s="9"/>
      <c r="O1001" s="9"/>
    </row>
    <row r="1002" ht="15.75" customHeight="1">
      <c r="A1002" s="9" t="str">
        <f>IFERROR(__xludf.DUMMYFUNCTION("IF(B1002="""","""",RIGHT(REGEXREPLACE(B1002&amp;"""",""[^0-9]"",""""),9))"),"741958883")</f>
        <v>741958883</v>
      </c>
      <c r="B1002" s="48">
        <v>7.41958883E8</v>
      </c>
      <c r="C1002" s="10" t="s">
        <v>1140</v>
      </c>
      <c r="D1002" s="10" t="s">
        <v>69</v>
      </c>
      <c r="E1002" s="13">
        <v>46227.0</v>
      </c>
      <c r="F1002" s="10" t="s">
        <v>35</v>
      </c>
      <c r="G1002" s="10">
        <v>9.0</v>
      </c>
      <c r="H1002" s="10" t="s">
        <v>1141</v>
      </c>
      <c r="I1002" s="10" t="s">
        <v>22</v>
      </c>
      <c r="J1002" s="9" t="str">
        <f t="shared" si="30"/>
        <v>No</v>
      </c>
      <c r="K1002" s="9" t="str">
        <f t="shared" si="31"/>
        <v/>
      </c>
      <c r="L1002" s="9" t="str">
        <f t="shared" si="32"/>
        <v/>
      </c>
      <c r="M1002" s="9"/>
      <c r="O1002" s="9"/>
    </row>
    <row r="1003" ht="15.75" customHeight="1">
      <c r="A1003" s="9" t="str">
        <f>IFERROR(__xludf.DUMMYFUNCTION("IF(B1003="""","""",RIGHT(REGEXREPLACE(B1003&amp;"""",""[^0-9]"",""""),9))"),"763993075")</f>
        <v>763993075</v>
      </c>
      <c r="B1003" s="48">
        <v>7.63993075E8</v>
      </c>
      <c r="C1003" s="10" t="s">
        <v>1142</v>
      </c>
      <c r="D1003" s="10" t="s">
        <v>34</v>
      </c>
      <c r="E1003" s="13">
        <v>46227.0</v>
      </c>
      <c r="F1003" s="10" t="s">
        <v>35</v>
      </c>
      <c r="G1003" s="10">
        <v>11.0</v>
      </c>
      <c r="I1003" s="10" t="s">
        <v>22</v>
      </c>
      <c r="J1003" s="9" t="str">
        <f t="shared" si="30"/>
        <v>No</v>
      </c>
      <c r="K1003" s="9" t="str">
        <f t="shared" si="31"/>
        <v/>
      </c>
      <c r="L1003" s="9" t="str">
        <f t="shared" si="32"/>
        <v/>
      </c>
      <c r="M1003" s="9"/>
      <c r="O1003" s="9"/>
    </row>
    <row r="1004" ht="15.75" customHeight="1">
      <c r="A1004" s="9" t="str">
        <f>IFERROR(__xludf.DUMMYFUNCTION("IF(B1004="""","""",RIGHT(REGEXREPLACE(B1004&amp;"""",""[^0-9]"",""""),9))"),"786198723")</f>
        <v>786198723</v>
      </c>
      <c r="B1004" s="10">
        <v>7.86198723E8</v>
      </c>
      <c r="C1004" s="10" t="s">
        <v>1143</v>
      </c>
      <c r="D1004" s="10" t="s">
        <v>20</v>
      </c>
      <c r="E1004" s="13">
        <v>46227.0</v>
      </c>
      <c r="F1004" s="10" t="s">
        <v>35</v>
      </c>
      <c r="G1004" s="10">
        <v>11.0</v>
      </c>
      <c r="H1004" s="10" t="s">
        <v>1144</v>
      </c>
      <c r="I1004" s="10" t="s">
        <v>22</v>
      </c>
      <c r="J1004" s="9" t="str">
        <f t="shared" si="30"/>
        <v>No</v>
      </c>
      <c r="K1004" s="9" t="str">
        <f t="shared" si="31"/>
        <v/>
      </c>
      <c r="L1004" s="9" t="str">
        <f t="shared" si="32"/>
        <v/>
      </c>
      <c r="M1004" s="9"/>
      <c r="O1004" s="9"/>
    </row>
    <row r="1005" ht="15.75" customHeight="1">
      <c r="A1005" s="9" t="str">
        <f>IFERROR(__xludf.DUMMYFUNCTION("IF(B1005="""","""",RIGHT(REGEXREPLACE(B1005&amp;"""",""[^0-9]"",""""),9))"),"766088248")</f>
        <v>766088248</v>
      </c>
      <c r="B1005" s="48">
        <v>7.66088248E8</v>
      </c>
      <c r="C1005" s="10" t="s">
        <v>1145</v>
      </c>
      <c r="D1005" s="10" t="s">
        <v>50</v>
      </c>
      <c r="E1005" s="13">
        <v>46227.0</v>
      </c>
      <c r="F1005" s="10" t="s">
        <v>35</v>
      </c>
      <c r="G1005" s="10">
        <v>11.0</v>
      </c>
      <c r="I1005" s="10" t="s">
        <v>22</v>
      </c>
      <c r="J1005" s="9" t="str">
        <f t="shared" si="30"/>
        <v>No</v>
      </c>
      <c r="K1005" s="9" t="str">
        <f t="shared" si="31"/>
        <v/>
      </c>
      <c r="L1005" s="9" t="str">
        <f t="shared" si="32"/>
        <v/>
      </c>
      <c r="M1005" s="9"/>
      <c r="O1005" s="9"/>
    </row>
    <row r="1006" ht="15.75" customHeight="1">
      <c r="A1006" s="9" t="str">
        <f>IFERROR(__xludf.DUMMYFUNCTION("IF(B1006="""","""",RIGHT(REGEXREPLACE(B1006&amp;"""",""[^0-9]"",""""),9))"),"703227791")</f>
        <v>703227791</v>
      </c>
      <c r="B1006" s="10">
        <v>7.03227791E8</v>
      </c>
      <c r="C1006" s="10" t="s">
        <v>1146</v>
      </c>
      <c r="D1006" s="10" t="s">
        <v>20</v>
      </c>
      <c r="E1006" s="13">
        <v>46227.0</v>
      </c>
      <c r="F1006" s="10" t="s">
        <v>21</v>
      </c>
      <c r="I1006" s="10" t="s">
        <v>22</v>
      </c>
      <c r="J1006" s="9" t="str">
        <f t="shared" si="30"/>
        <v>No</v>
      </c>
      <c r="K1006" s="9" t="str">
        <f t="shared" si="31"/>
        <v/>
      </c>
      <c r="L1006" s="9" t="str">
        <f t="shared" si="32"/>
        <v/>
      </c>
      <c r="M1006" s="9"/>
      <c r="O1006" s="9"/>
    </row>
    <row r="1007" ht="15.75" customHeight="1">
      <c r="A1007" s="9" t="str">
        <f>IFERROR(__xludf.DUMMYFUNCTION("IF(B1007="""","""",RIGHT(REGEXREPLACE(B1007&amp;"""",""[^0-9]"",""""),9))"),"767286116")</f>
        <v>767286116</v>
      </c>
      <c r="B1007" s="48">
        <v>7.67286116E8</v>
      </c>
      <c r="C1007" s="10" t="s">
        <v>1147</v>
      </c>
      <c r="D1007" s="10" t="s">
        <v>69</v>
      </c>
      <c r="E1007" s="13">
        <v>46227.0</v>
      </c>
      <c r="F1007" s="10" t="s">
        <v>21</v>
      </c>
      <c r="G1007" s="10">
        <v>7.0</v>
      </c>
      <c r="I1007" s="10" t="s">
        <v>22</v>
      </c>
      <c r="J1007" s="9" t="str">
        <f t="shared" si="30"/>
        <v>No</v>
      </c>
      <c r="K1007" s="9" t="str">
        <f t="shared" si="31"/>
        <v/>
      </c>
      <c r="L1007" s="9" t="str">
        <f t="shared" si="32"/>
        <v/>
      </c>
      <c r="M1007" s="9"/>
      <c r="O1007" s="9"/>
    </row>
    <row r="1008" ht="15.75" customHeight="1">
      <c r="A1008" s="9" t="str">
        <f>IFERROR(__xludf.DUMMYFUNCTION("IF(B1008="""","""",RIGHT(REGEXREPLACE(B1008&amp;"""",""[^0-9]"",""""),9))"),"760914424")</f>
        <v>760914424</v>
      </c>
      <c r="B1008" s="48">
        <v>7.60914424E8</v>
      </c>
      <c r="C1008" s="10" t="s">
        <v>1148</v>
      </c>
      <c r="D1008" s="10" t="s">
        <v>97</v>
      </c>
      <c r="E1008" s="13">
        <v>46227.0</v>
      </c>
      <c r="F1008" s="10" t="s">
        <v>21</v>
      </c>
      <c r="I1008" s="10" t="s">
        <v>22</v>
      </c>
      <c r="J1008" s="9" t="str">
        <f t="shared" si="30"/>
        <v>No</v>
      </c>
      <c r="K1008" s="9" t="str">
        <f t="shared" si="31"/>
        <v/>
      </c>
      <c r="L1008" s="9" t="str">
        <f t="shared" si="32"/>
        <v/>
      </c>
      <c r="M1008" s="9"/>
      <c r="O1008" s="9"/>
    </row>
    <row r="1009" ht="15.75" customHeight="1">
      <c r="A1009" s="9" t="str">
        <f>IFERROR(__xludf.DUMMYFUNCTION("IF(B1009="""","""",RIGHT(REGEXREPLACE(B1009&amp;"""",""[^0-9]"",""""),9))"),"757183909")</f>
        <v>757183909</v>
      </c>
      <c r="B1009" s="48">
        <v>7.57183909E8</v>
      </c>
      <c r="C1009" s="10" t="s">
        <v>1149</v>
      </c>
      <c r="D1009" s="10" t="s">
        <v>34</v>
      </c>
      <c r="E1009" s="13">
        <v>46227.0</v>
      </c>
      <c r="F1009" s="10" t="s">
        <v>35</v>
      </c>
      <c r="G1009" s="107">
        <v>11.0</v>
      </c>
      <c r="I1009" s="10" t="s">
        <v>22</v>
      </c>
      <c r="J1009" s="9" t="str">
        <f t="shared" si="30"/>
        <v>No</v>
      </c>
      <c r="K1009" s="9" t="str">
        <f t="shared" si="31"/>
        <v/>
      </c>
      <c r="L1009" s="9" t="str">
        <f t="shared" si="32"/>
        <v/>
      </c>
      <c r="M1009" s="9"/>
      <c r="O1009" s="9"/>
    </row>
    <row r="1010" ht="15.75" customHeight="1">
      <c r="A1010" s="9" t="str">
        <f>IFERROR(__xludf.DUMMYFUNCTION("IF(B1010="""","""",RIGHT(REGEXREPLACE(B1010&amp;"""",""[^0-9]"",""""),9))"),"706529309")</f>
        <v>706529309</v>
      </c>
      <c r="B1010" s="48">
        <v>7.06529309E8</v>
      </c>
      <c r="C1010" s="10" t="s">
        <v>1150</v>
      </c>
      <c r="D1010" s="10" t="s">
        <v>50</v>
      </c>
      <c r="E1010" s="13">
        <v>46227.0</v>
      </c>
      <c r="F1010" s="10" t="s">
        <v>21</v>
      </c>
      <c r="I1010" s="10" t="s">
        <v>22</v>
      </c>
      <c r="J1010" s="9" t="str">
        <f t="shared" si="30"/>
        <v>No</v>
      </c>
      <c r="K1010" s="9" t="str">
        <f t="shared" si="31"/>
        <v/>
      </c>
      <c r="L1010" s="9" t="str">
        <f t="shared" si="32"/>
        <v/>
      </c>
      <c r="M1010" s="9"/>
      <c r="O1010" s="9"/>
    </row>
    <row r="1011" ht="15.75" customHeight="1">
      <c r="A1011" s="9" t="str">
        <f>IFERROR(__xludf.DUMMYFUNCTION("IF(B1011="""","""",RIGHT(REGEXREPLACE(B1011&amp;"""",""[^0-9]"",""""),9))"),"765344916")</f>
        <v>765344916</v>
      </c>
      <c r="B1011" s="10">
        <v>7.65344916E8</v>
      </c>
      <c r="C1011" s="10" t="s">
        <v>1151</v>
      </c>
      <c r="D1011" s="10" t="s">
        <v>20</v>
      </c>
      <c r="E1011" s="13">
        <v>46227.0</v>
      </c>
      <c r="F1011" s="10" t="s">
        <v>648</v>
      </c>
      <c r="G1011" s="10">
        <v>11.0</v>
      </c>
      <c r="I1011" s="10" t="s">
        <v>22</v>
      </c>
      <c r="J1011" s="9" t="str">
        <f t="shared" si="30"/>
        <v>No</v>
      </c>
      <c r="K1011" s="9" t="str">
        <f t="shared" si="31"/>
        <v/>
      </c>
      <c r="L1011" s="9" t="str">
        <f t="shared" si="32"/>
        <v/>
      </c>
      <c r="M1011" s="9"/>
      <c r="O1011" s="9"/>
    </row>
    <row r="1012" ht="15.75" customHeight="1">
      <c r="A1012" s="9" t="str">
        <f>IFERROR(__xludf.DUMMYFUNCTION("IF(B1012="""","""",RIGHT(REGEXREPLACE(B1012&amp;"""",""[^0-9]"",""""),9))"),"783270702")</f>
        <v>783270702</v>
      </c>
      <c r="B1012" s="48">
        <v>7.83270702E8</v>
      </c>
      <c r="C1012" s="10" t="s">
        <v>1152</v>
      </c>
      <c r="D1012" s="10" t="s">
        <v>97</v>
      </c>
      <c r="E1012" s="13">
        <v>46227.0</v>
      </c>
      <c r="F1012" s="10" t="s">
        <v>35</v>
      </c>
      <c r="G1012" s="10">
        <v>11.0</v>
      </c>
      <c r="I1012" s="10" t="s">
        <v>22</v>
      </c>
      <c r="J1012" s="9" t="str">
        <f t="shared" si="30"/>
        <v>No</v>
      </c>
      <c r="K1012" s="9" t="str">
        <f t="shared" si="31"/>
        <v/>
      </c>
      <c r="L1012" s="9" t="str">
        <f t="shared" si="32"/>
        <v/>
      </c>
      <c r="M1012" s="9"/>
      <c r="O1012" s="9"/>
    </row>
    <row r="1013" ht="15.75" customHeight="1">
      <c r="A1013" s="9" t="str">
        <f>IFERROR(__xludf.DUMMYFUNCTION("IF(B1013="""","""",RIGHT(REGEXREPLACE(B1013&amp;"""",""[^0-9]"",""""),9))"),"723635690")</f>
        <v>723635690</v>
      </c>
      <c r="B1013" s="10">
        <v>7.2363569E8</v>
      </c>
      <c r="C1013" s="10" t="s">
        <v>1153</v>
      </c>
      <c r="D1013" s="10" t="s">
        <v>20</v>
      </c>
      <c r="E1013" s="13">
        <v>46227.0</v>
      </c>
      <c r="F1013" s="10" t="s">
        <v>198</v>
      </c>
      <c r="G1013" s="10">
        <v>10.0</v>
      </c>
      <c r="I1013" s="10" t="s">
        <v>22</v>
      </c>
      <c r="J1013" s="9" t="str">
        <f t="shared" si="30"/>
        <v>No</v>
      </c>
      <c r="K1013" s="9" t="str">
        <f t="shared" si="31"/>
        <v/>
      </c>
      <c r="L1013" s="9" t="str">
        <f t="shared" si="32"/>
        <v/>
      </c>
      <c r="M1013" s="9"/>
      <c r="O1013" s="9"/>
    </row>
    <row r="1014" ht="15.75" customHeight="1">
      <c r="A1014" s="9" t="str">
        <f>IFERROR(__xludf.DUMMYFUNCTION("IF(B1014="""","""",RIGHT(REGEXREPLACE(B1014&amp;"""",""[^0-9]"",""""),9))"),"722154737")</f>
        <v>722154737</v>
      </c>
      <c r="B1014" s="48">
        <v>7.22154737E8</v>
      </c>
      <c r="C1014" s="10" t="s">
        <v>1149</v>
      </c>
      <c r="D1014" s="10" t="s">
        <v>34</v>
      </c>
      <c r="E1014" s="13">
        <v>46227.0</v>
      </c>
      <c r="F1014" s="10" t="s">
        <v>35</v>
      </c>
      <c r="G1014" s="10">
        <v>10.0</v>
      </c>
      <c r="I1014" s="10" t="s">
        <v>22</v>
      </c>
      <c r="J1014" s="9" t="str">
        <f t="shared" si="30"/>
        <v>No</v>
      </c>
      <c r="K1014" s="9" t="str">
        <f t="shared" si="31"/>
        <v/>
      </c>
      <c r="L1014" s="9" t="str">
        <f t="shared" si="32"/>
        <v/>
      </c>
      <c r="M1014" s="9"/>
      <c r="O1014" s="9"/>
    </row>
    <row r="1015" ht="15.75" customHeight="1">
      <c r="A1015" s="9" t="str">
        <f>IFERROR(__xludf.DUMMYFUNCTION("IF(B1015="""","""",RIGHT(REGEXREPLACE(B1015&amp;"""",""[^0-9]"",""""),9))"),"766591621")</f>
        <v>766591621</v>
      </c>
      <c r="B1015" s="48">
        <v>7.66591621E8</v>
      </c>
      <c r="C1015" s="10" t="s">
        <v>1154</v>
      </c>
      <c r="D1015" s="10" t="s">
        <v>69</v>
      </c>
      <c r="E1015" s="13">
        <v>46227.0</v>
      </c>
      <c r="F1015" s="10" t="s">
        <v>145</v>
      </c>
      <c r="G1015" s="10">
        <v>10.0</v>
      </c>
      <c r="I1015" s="10" t="s">
        <v>22</v>
      </c>
      <c r="J1015" s="9" t="str">
        <f t="shared" si="30"/>
        <v>No</v>
      </c>
      <c r="K1015" s="9" t="str">
        <f t="shared" si="31"/>
        <v/>
      </c>
      <c r="L1015" s="9" t="str">
        <f t="shared" si="32"/>
        <v/>
      </c>
      <c r="M1015" s="9"/>
      <c r="O1015" s="9"/>
    </row>
    <row r="1016" ht="15.75" customHeight="1">
      <c r="A1016" s="9" t="str">
        <f>IFERROR(__xludf.DUMMYFUNCTION("IF(B1016="""","""",RIGHT(REGEXREPLACE(B1016&amp;"""",""[^0-9]"",""""),9))"),"778402308")</f>
        <v>778402308</v>
      </c>
      <c r="B1016" s="48">
        <v>7.78402308E8</v>
      </c>
      <c r="C1016" s="10" t="s">
        <v>1155</v>
      </c>
      <c r="D1016" s="10" t="s">
        <v>50</v>
      </c>
      <c r="E1016" s="13">
        <v>46227.0</v>
      </c>
      <c r="F1016" s="10" t="s">
        <v>35</v>
      </c>
      <c r="G1016" s="10">
        <v>11.0</v>
      </c>
      <c r="I1016" s="10" t="s">
        <v>22</v>
      </c>
      <c r="J1016" s="9" t="str">
        <f t="shared" si="30"/>
        <v>No</v>
      </c>
      <c r="K1016" s="9" t="str">
        <f t="shared" si="31"/>
        <v/>
      </c>
      <c r="L1016" s="9" t="str">
        <f t="shared" si="32"/>
        <v/>
      </c>
      <c r="M1016" s="9"/>
      <c r="O1016" s="9"/>
    </row>
    <row r="1017" ht="15.75" customHeight="1">
      <c r="A1017" s="9" t="str">
        <f>IFERROR(__xludf.DUMMYFUNCTION("IF(B1017="""","""",RIGHT(REGEXREPLACE(B1017&amp;"""",""[^0-9]"",""""),9))"),"766074479")</f>
        <v>766074479</v>
      </c>
      <c r="B1017" s="10">
        <v>7.66074479E8</v>
      </c>
      <c r="C1017" s="10" t="s">
        <v>1156</v>
      </c>
      <c r="D1017" s="10" t="s">
        <v>20</v>
      </c>
      <c r="E1017" s="13">
        <v>46227.0</v>
      </c>
      <c r="F1017" s="10" t="s">
        <v>35</v>
      </c>
      <c r="G1017" s="10">
        <v>11.0</v>
      </c>
      <c r="H1017" s="10" t="s">
        <v>1157</v>
      </c>
      <c r="I1017" s="10" t="s">
        <v>22</v>
      </c>
      <c r="J1017" s="9" t="str">
        <f t="shared" si="30"/>
        <v>No</v>
      </c>
      <c r="K1017" s="9" t="str">
        <f t="shared" si="31"/>
        <v/>
      </c>
      <c r="L1017" s="9" t="str">
        <f t="shared" si="32"/>
        <v/>
      </c>
      <c r="M1017" s="9"/>
      <c r="O1017" s="9"/>
    </row>
    <row r="1018" ht="15.75" customHeight="1">
      <c r="A1018" s="9" t="str">
        <f>IFERROR(__xludf.DUMMYFUNCTION("IF(B1018="""","""",RIGHT(REGEXREPLACE(B1018&amp;"""",""[^0-9]"",""""),9))"),"774991369")</f>
        <v>774991369</v>
      </c>
      <c r="B1018" s="48">
        <v>7.74991369E8</v>
      </c>
      <c r="C1018" s="10" t="s">
        <v>1158</v>
      </c>
      <c r="D1018" s="10" t="s">
        <v>120</v>
      </c>
      <c r="E1018" s="13">
        <v>46227.0</v>
      </c>
      <c r="F1018" s="10" t="s">
        <v>35</v>
      </c>
      <c r="G1018" s="10">
        <v>10.0</v>
      </c>
      <c r="I1018" s="10" t="s">
        <v>22</v>
      </c>
      <c r="J1018" s="9" t="str">
        <f t="shared" si="30"/>
        <v>No</v>
      </c>
      <c r="K1018" s="9" t="str">
        <f t="shared" si="31"/>
        <v/>
      </c>
      <c r="L1018" s="9" t="str">
        <f t="shared" si="32"/>
        <v/>
      </c>
      <c r="M1018" s="9"/>
      <c r="O1018" s="9"/>
    </row>
    <row r="1019" ht="15.75" customHeight="1">
      <c r="A1019" s="9" t="str">
        <f>IFERROR(__xludf.DUMMYFUNCTION("IF(B1019="""","""",RIGHT(REGEXREPLACE(B1019&amp;"""",""[^0-9]"",""""),9))"),"761513765")</f>
        <v>761513765</v>
      </c>
      <c r="B1019" s="10">
        <v>7.61513765E8</v>
      </c>
      <c r="C1019" s="10" t="s">
        <v>1159</v>
      </c>
      <c r="D1019" s="10" t="s">
        <v>20</v>
      </c>
      <c r="E1019" s="13">
        <v>46227.0</v>
      </c>
      <c r="F1019" s="10" t="s">
        <v>198</v>
      </c>
      <c r="G1019" s="10">
        <v>11.0</v>
      </c>
      <c r="I1019" s="10" t="s">
        <v>22</v>
      </c>
      <c r="J1019" s="9" t="str">
        <f t="shared" si="30"/>
        <v>No</v>
      </c>
      <c r="K1019" s="9" t="str">
        <f t="shared" si="31"/>
        <v/>
      </c>
      <c r="L1019" s="9" t="str">
        <f t="shared" si="32"/>
        <v/>
      </c>
      <c r="M1019" s="9"/>
      <c r="O1019" s="9"/>
    </row>
    <row r="1020" ht="15.75" customHeight="1">
      <c r="A1020" s="9" t="str">
        <f>IFERROR(__xludf.DUMMYFUNCTION("IF(B1020="""","""",RIGHT(REGEXREPLACE(B1020&amp;"""",""[^0-9]"",""""),9))"),"716082203")</f>
        <v>716082203</v>
      </c>
      <c r="B1020" s="10">
        <v>7.16082203E8</v>
      </c>
      <c r="C1020" s="10" t="s">
        <v>1160</v>
      </c>
      <c r="D1020" s="10" t="s">
        <v>20</v>
      </c>
      <c r="E1020" s="13">
        <v>46227.0</v>
      </c>
      <c r="F1020" s="10" t="s">
        <v>35</v>
      </c>
      <c r="G1020" s="10">
        <v>11.0</v>
      </c>
      <c r="I1020" s="10" t="s">
        <v>22</v>
      </c>
      <c r="J1020" s="9" t="str">
        <f t="shared" si="30"/>
        <v>No</v>
      </c>
      <c r="K1020" s="9" t="str">
        <f t="shared" si="31"/>
        <v/>
      </c>
      <c r="L1020" s="9" t="str">
        <f t="shared" si="32"/>
        <v/>
      </c>
      <c r="M1020" s="9"/>
      <c r="O1020" s="9"/>
    </row>
    <row r="1021" ht="15.75" customHeight="1">
      <c r="A1021" s="9" t="str">
        <f>IFERROR(__xludf.DUMMYFUNCTION("IF(B1021="""","""",RIGHT(REGEXREPLACE(B1021&amp;"""",""[^0-9]"",""""),9))"),"787878084")</f>
        <v>787878084</v>
      </c>
      <c r="B1021" s="48">
        <v>7.87878084E8</v>
      </c>
      <c r="C1021" s="10" t="s">
        <v>1161</v>
      </c>
      <c r="D1021" s="10" t="s">
        <v>50</v>
      </c>
      <c r="E1021" s="13">
        <v>46227.0</v>
      </c>
      <c r="F1021" s="10" t="s">
        <v>21</v>
      </c>
      <c r="G1021" s="10">
        <v>10.0</v>
      </c>
      <c r="I1021" s="10" t="s">
        <v>22</v>
      </c>
      <c r="J1021" s="9" t="str">
        <f t="shared" si="30"/>
        <v>No</v>
      </c>
      <c r="K1021" s="9" t="str">
        <f t="shared" si="31"/>
        <v/>
      </c>
      <c r="L1021" s="9" t="str">
        <f t="shared" si="32"/>
        <v/>
      </c>
      <c r="M1021" s="9"/>
      <c r="O1021" s="9"/>
    </row>
    <row r="1022" ht="15.75" customHeight="1">
      <c r="A1022" s="9" t="str">
        <f>IFERROR(__xludf.DUMMYFUNCTION("IF(B1022="""","""",RIGHT(REGEXREPLACE(B1022&amp;"""",""[^0-9]"",""""),9))"),"773835786")</f>
        <v>773835786</v>
      </c>
      <c r="B1022" s="10">
        <v>7.73835786E8</v>
      </c>
      <c r="C1022" s="10" t="s">
        <v>1162</v>
      </c>
      <c r="D1022" s="10" t="s">
        <v>20</v>
      </c>
      <c r="E1022" s="13">
        <v>46227.0</v>
      </c>
      <c r="F1022" s="10" t="s">
        <v>35</v>
      </c>
      <c r="G1022" s="10">
        <v>11.0</v>
      </c>
      <c r="I1022" s="10" t="s">
        <v>22</v>
      </c>
      <c r="J1022" s="9" t="str">
        <f t="shared" si="30"/>
        <v>No</v>
      </c>
      <c r="K1022" s="9" t="str">
        <f t="shared" si="31"/>
        <v/>
      </c>
      <c r="L1022" s="9" t="str">
        <f t="shared" si="32"/>
        <v/>
      </c>
      <c r="M1022" s="9"/>
      <c r="O1022" s="9"/>
    </row>
    <row r="1023" ht="15.75" customHeight="1">
      <c r="A1023" s="9" t="str">
        <f>IFERROR(__xludf.DUMMYFUNCTION("IF(B1023="""","""",RIGHT(REGEXREPLACE(B1023&amp;"""",""[^0-9]"",""""),9))"),"775558406")</f>
        <v>775558406</v>
      </c>
      <c r="B1023" s="10">
        <v>7.75558406E8</v>
      </c>
      <c r="C1023" s="10" t="s">
        <v>1163</v>
      </c>
      <c r="D1023" s="10" t="s">
        <v>20</v>
      </c>
      <c r="E1023" s="13">
        <v>46227.0</v>
      </c>
      <c r="F1023" s="10" t="s">
        <v>35</v>
      </c>
      <c r="G1023" s="10">
        <v>11.0</v>
      </c>
      <c r="I1023" s="10" t="s">
        <v>22</v>
      </c>
      <c r="J1023" s="9" t="str">
        <f t="shared" si="30"/>
        <v>No</v>
      </c>
      <c r="K1023" s="9" t="str">
        <f t="shared" si="31"/>
        <v/>
      </c>
      <c r="L1023" s="9" t="str">
        <f t="shared" si="32"/>
        <v/>
      </c>
      <c r="M1023" s="9"/>
      <c r="O1023" s="9"/>
    </row>
    <row r="1024" ht="15.75" customHeight="1">
      <c r="A1024" s="9" t="str">
        <f>IFERROR(__xludf.DUMMYFUNCTION("IF(B1024="""","""",RIGHT(REGEXREPLACE(B1024&amp;"""",""[^0-9]"",""""),9))"),"783626550")</f>
        <v>783626550</v>
      </c>
      <c r="B1024" s="48">
        <v>7.8362655E8</v>
      </c>
      <c r="C1024" s="10" t="s">
        <v>1164</v>
      </c>
      <c r="D1024" s="10" t="s">
        <v>69</v>
      </c>
      <c r="E1024" s="13">
        <v>46227.0</v>
      </c>
      <c r="F1024" s="10" t="s">
        <v>21</v>
      </c>
      <c r="G1024" s="10">
        <v>11.0</v>
      </c>
      <c r="I1024" s="10" t="s">
        <v>22</v>
      </c>
      <c r="J1024" s="9" t="str">
        <f t="shared" si="30"/>
        <v>No</v>
      </c>
      <c r="K1024" s="9" t="str">
        <f t="shared" si="31"/>
        <v/>
      </c>
      <c r="L1024" s="9" t="str">
        <f t="shared" si="32"/>
        <v/>
      </c>
      <c r="M1024" s="9"/>
      <c r="O1024" s="9"/>
    </row>
    <row r="1025" ht="15.75" customHeight="1">
      <c r="A1025" s="9" t="str">
        <f>IFERROR(__xludf.DUMMYFUNCTION("IF(B1025="""","""",RIGHT(REGEXREPLACE(B1025&amp;"""",""[^0-9]"",""""),9))"),"775485002")</f>
        <v>775485002</v>
      </c>
      <c r="B1025" s="48">
        <v>7.75485002E8</v>
      </c>
      <c r="C1025" s="10" t="s">
        <v>1165</v>
      </c>
      <c r="D1025" s="10" t="s">
        <v>97</v>
      </c>
      <c r="E1025" s="13">
        <v>46227.0</v>
      </c>
      <c r="F1025" s="10" t="s">
        <v>35</v>
      </c>
      <c r="G1025" s="10">
        <v>11.0</v>
      </c>
      <c r="I1025" s="10" t="s">
        <v>22</v>
      </c>
      <c r="J1025" s="9" t="str">
        <f t="shared" si="30"/>
        <v>No</v>
      </c>
      <c r="K1025" s="9" t="str">
        <f t="shared" si="31"/>
        <v/>
      </c>
      <c r="L1025" s="9" t="str">
        <f t="shared" si="32"/>
        <v/>
      </c>
      <c r="M1025" s="9"/>
      <c r="O1025" s="9"/>
    </row>
    <row r="1026" ht="15.75" customHeight="1">
      <c r="A1026" s="9" t="str">
        <f>IFERROR(__xludf.DUMMYFUNCTION("IF(B1026="""","""",RIGHT(REGEXREPLACE(B1026&amp;"""",""[^0-9]"",""""),9))"),"705202895")</f>
        <v>705202895</v>
      </c>
      <c r="B1026" s="10">
        <v>7.05202895E8</v>
      </c>
      <c r="C1026" s="10" t="s">
        <v>1166</v>
      </c>
      <c r="D1026" s="10" t="s">
        <v>20</v>
      </c>
      <c r="E1026" s="13">
        <v>46227.0</v>
      </c>
      <c r="F1026" s="10" t="s">
        <v>21</v>
      </c>
      <c r="I1026" s="10" t="s">
        <v>22</v>
      </c>
      <c r="J1026" s="9" t="str">
        <f t="shared" si="30"/>
        <v>No</v>
      </c>
      <c r="K1026" s="9" t="str">
        <f t="shared" si="31"/>
        <v/>
      </c>
      <c r="L1026" s="9" t="str">
        <f t="shared" si="32"/>
        <v/>
      </c>
      <c r="M1026" s="9"/>
      <c r="O1026" s="9"/>
    </row>
    <row r="1027" ht="15.75" customHeight="1">
      <c r="A1027" s="9" t="str">
        <f>IFERROR(__xludf.DUMMYFUNCTION("IF(B1027="""","""",RIGHT(REGEXREPLACE(B1027&amp;"""",""[^0-9]"",""""),9))"),"716898071")</f>
        <v>716898071</v>
      </c>
      <c r="B1027" s="48">
        <v>7.16898071E8</v>
      </c>
      <c r="C1027" s="10" t="s">
        <v>1167</v>
      </c>
      <c r="D1027" s="10" t="s">
        <v>120</v>
      </c>
      <c r="E1027" s="13">
        <v>46227.0</v>
      </c>
      <c r="F1027" s="10" t="s">
        <v>145</v>
      </c>
      <c r="I1027" s="10" t="s">
        <v>22</v>
      </c>
      <c r="J1027" s="9" t="str">
        <f t="shared" si="30"/>
        <v>No</v>
      </c>
      <c r="K1027" s="9" t="str">
        <f t="shared" si="31"/>
        <v/>
      </c>
      <c r="L1027" s="9" t="str">
        <f t="shared" si="32"/>
        <v/>
      </c>
      <c r="M1027" s="9"/>
      <c r="O1027" s="9"/>
    </row>
    <row r="1028" ht="15.75" customHeight="1">
      <c r="A1028" s="9" t="str">
        <f>IFERROR(__xludf.DUMMYFUNCTION("IF(B1028="""","""",RIGHT(REGEXREPLACE(B1028&amp;"""",""[^0-9]"",""""),9))"),"777526506")</f>
        <v>777526506</v>
      </c>
      <c r="B1028" s="48">
        <v>7.77526506E8</v>
      </c>
      <c r="C1028" s="10" t="s">
        <v>1168</v>
      </c>
      <c r="D1028" s="10" t="s">
        <v>50</v>
      </c>
      <c r="E1028" s="13">
        <v>46227.0</v>
      </c>
      <c r="F1028" s="10" t="s">
        <v>35</v>
      </c>
      <c r="G1028" s="10">
        <v>11.0</v>
      </c>
      <c r="I1028" s="10" t="s">
        <v>22</v>
      </c>
      <c r="J1028" s="9" t="str">
        <f t="shared" si="30"/>
        <v>No</v>
      </c>
      <c r="K1028" s="9" t="str">
        <f t="shared" si="31"/>
        <v/>
      </c>
      <c r="L1028" s="9" t="str">
        <f t="shared" si="32"/>
        <v/>
      </c>
      <c r="M1028" s="9"/>
      <c r="O1028" s="9"/>
    </row>
    <row r="1029" ht="15.75" customHeight="1">
      <c r="A1029" s="9" t="str">
        <f>IFERROR(__xludf.DUMMYFUNCTION("IF(B1029="""","""",RIGHT(REGEXREPLACE(B1029&amp;"""",""[^0-9]"",""""),9))"),"755082225")</f>
        <v>755082225</v>
      </c>
      <c r="B1029" s="48">
        <v>7.55082225E8</v>
      </c>
      <c r="C1029" s="10" t="s">
        <v>1169</v>
      </c>
      <c r="D1029" s="10" t="s">
        <v>69</v>
      </c>
      <c r="E1029" s="13">
        <v>46227.0</v>
      </c>
      <c r="F1029" s="10" t="s">
        <v>21</v>
      </c>
      <c r="G1029" s="10">
        <v>11.0</v>
      </c>
      <c r="I1029" s="10" t="s">
        <v>22</v>
      </c>
      <c r="J1029" s="9" t="str">
        <f t="shared" si="30"/>
        <v>No</v>
      </c>
      <c r="K1029" s="9" t="str">
        <f t="shared" si="31"/>
        <v/>
      </c>
      <c r="L1029" s="9" t="str">
        <f t="shared" si="32"/>
        <v/>
      </c>
      <c r="M1029" s="9"/>
      <c r="O1029" s="9"/>
    </row>
    <row r="1030" ht="15.75" customHeight="1">
      <c r="A1030" s="9" t="str">
        <f>IFERROR(__xludf.DUMMYFUNCTION("IF(B1030="""","""",RIGHT(REGEXREPLACE(B1030&amp;"""",""[^0-9]"",""""),9))"),"762505191")</f>
        <v>762505191</v>
      </c>
      <c r="B1030" s="10">
        <v>7.62505191E8</v>
      </c>
      <c r="C1030" s="10" t="s">
        <v>1170</v>
      </c>
      <c r="D1030" s="10" t="s">
        <v>20</v>
      </c>
      <c r="E1030" s="13">
        <v>46227.0</v>
      </c>
      <c r="F1030" s="10" t="s">
        <v>171</v>
      </c>
      <c r="I1030" s="10" t="s">
        <v>22</v>
      </c>
      <c r="J1030" s="9" t="str">
        <f t="shared" si="30"/>
        <v>No</v>
      </c>
      <c r="K1030" s="9" t="str">
        <f t="shared" si="31"/>
        <v/>
      </c>
      <c r="L1030" s="9" t="str">
        <f t="shared" si="32"/>
        <v/>
      </c>
      <c r="M1030" s="9"/>
      <c r="O1030" s="9"/>
    </row>
    <row r="1031" ht="15.75" customHeight="1">
      <c r="A1031" s="9" t="str">
        <f>IFERROR(__xludf.DUMMYFUNCTION("IF(B1031="""","""",RIGHT(REGEXREPLACE(B1031&amp;"""",""[^0-9]"",""""),9))"),"777201405")</f>
        <v>777201405</v>
      </c>
      <c r="B1031" s="48">
        <v>7.77201405E8</v>
      </c>
      <c r="C1031" s="10" t="s">
        <v>1171</v>
      </c>
      <c r="D1031" s="10" t="s">
        <v>120</v>
      </c>
      <c r="E1031" s="13">
        <v>46227.0</v>
      </c>
      <c r="F1031" s="10" t="s">
        <v>21</v>
      </c>
      <c r="I1031" s="10" t="s">
        <v>22</v>
      </c>
      <c r="J1031" s="9" t="str">
        <f t="shared" si="30"/>
        <v>No</v>
      </c>
      <c r="K1031" s="9" t="str">
        <f t="shared" si="31"/>
        <v/>
      </c>
      <c r="L1031" s="9" t="str">
        <f t="shared" si="32"/>
        <v/>
      </c>
      <c r="M1031" s="9"/>
      <c r="O1031" s="9"/>
    </row>
    <row r="1032" ht="15.75" customHeight="1">
      <c r="A1032" s="9" t="str">
        <f>IFERROR(__xludf.DUMMYFUNCTION("IF(B1032="""","""",RIGHT(REGEXREPLACE(B1032&amp;"""",""[^0-9]"",""""),9))"),"779348336")</f>
        <v>779348336</v>
      </c>
      <c r="B1032" s="10">
        <v>7.79348336E8</v>
      </c>
      <c r="C1032" s="10" t="s">
        <v>1172</v>
      </c>
      <c r="D1032" s="10" t="s">
        <v>20</v>
      </c>
      <c r="E1032" s="13">
        <v>46227.0</v>
      </c>
      <c r="F1032" s="10" t="s">
        <v>21</v>
      </c>
      <c r="I1032" s="10" t="s">
        <v>22</v>
      </c>
      <c r="J1032" s="9" t="str">
        <f t="shared" si="30"/>
        <v>No</v>
      </c>
      <c r="K1032" s="9" t="str">
        <f t="shared" si="31"/>
        <v/>
      </c>
      <c r="L1032" s="9" t="str">
        <f t="shared" si="32"/>
        <v/>
      </c>
      <c r="M1032" s="9"/>
      <c r="O1032" s="9"/>
    </row>
    <row r="1033" ht="15.75" customHeight="1">
      <c r="A1033" s="9" t="str">
        <f>IFERROR(__xludf.DUMMYFUNCTION("IF(B1033="""","""",RIGHT(REGEXREPLACE(B1033&amp;"""",""[^0-9]"",""""),9))"),"715420316")</f>
        <v>715420316</v>
      </c>
      <c r="B1033" s="48">
        <v>7.15420316E8</v>
      </c>
      <c r="C1033" s="10" t="s">
        <v>1173</v>
      </c>
      <c r="D1033" s="10" t="s">
        <v>34</v>
      </c>
      <c r="E1033" s="13">
        <v>46227.0</v>
      </c>
      <c r="F1033" s="10" t="s">
        <v>21</v>
      </c>
      <c r="I1033" s="10" t="s">
        <v>22</v>
      </c>
      <c r="J1033" s="9" t="str">
        <f t="shared" si="30"/>
        <v>No</v>
      </c>
      <c r="K1033" s="9" t="str">
        <f t="shared" si="31"/>
        <v/>
      </c>
      <c r="L1033" s="9" t="str">
        <f t="shared" si="32"/>
        <v/>
      </c>
      <c r="M1033" s="9"/>
      <c r="O1033" s="9"/>
    </row>
    <row r="1034" ht="15.75" customHeight="1">
      <c r="A1034" s="9" t="str">
        <f>IFERROR(__xludf.DUMMYFUNCTION("IF(B1034="""","""",RIGHT(REGEXREPLACE(B1034&amp;"""",""[^0-9]"",""""),9))"),"765744971")</f>
        <v>765744971</v>
      </c>
      <c r="B1034" s="48">
        <v>7.65744971E8</v>
      </c>
      <c r="C1034" s="10" t="s">
        <v>1174</v>
      </c>
      <c r="D1034" s="10" t="s">
        <v>50</v>
      </c>
      <c r="E1034" s="13">
        <v>46227.0</v>
      </c>
      <c r="F1034" s="10" t="s">
        <v>35</v>
      </c>
      <c r="G1034" s="10">
        <v>11.0</v>
      </c>
      <c r="I1034" s="10" t="s">
        <v>22</v>
      </c>
      <c r="J1034" s="9" t="str">
        <f t="shared" si="30"/>
        <v>No</v>
      </c>
      <c r="K1034" s="9" t="str">
        <f t="shared" si="31"/>
        <v/>
      </c>
      <c r="L1034" s="9" t="str">
        <f t="shared" si="32"/>
        <v/>
      </c>
      <c r="M1034" s="9"/>
      <c r="O1034" s="9"/>
    </row>
    <row r="1035" ht="15.75" customHeight="1">
      <c r="A1035" s="9" t="str">
        <f>IFERROR(__xludf.DUMMYFUNCTION("IF(B1035="""","""",RIGHT(REGEXREPLACE(B1035&amp;"""",""[^0-9]"",""""),9))"),"776678616")</f>
        <v>776678616</v>
      </c>
      <c r="B1035" s="48">
        <v>7.76678616E8</v>
      </c>
      <c r="C1035" s="10" t="s">
        <v>1175</v>
      </c>
      <c r="D1035" s="10" t="s">
        <v>69</v>
      </c>
      <c r="E1035" s="13">
        <v>46227.0</v>
      </c>
      <c r="F1035" s="10" t="s">
        <v>542</v>
      </c>
      <c r="G1035" s="10">
        <v>10.0</v>
      </c>
      <c r="I1035" s="10" t="s">
        <v>22</v>
      </c>
      <c r="J1035" s="9" t="str">
        <f t="shared" si="30"/>
        <v>No</v>
      </c>
      <c r="K1035" s="9" t="str">
        <f t="shared" si="31"/>
        <v/>
      </c>
      <c r="L1035" s="9" t="str">
        <f t="shared" si="32"/>
        <v/>
      </c>
      <c r="M1035" s="9"/>
      <c r="O1035" s="9"/>
    </row>
    <row r="1036" ht="15.75" customHeight="1">
      <c r="A1036" s="9" t="str">
        <f>IFERROR(__xludf.DUMMYFUNCTION("IF(B1036="""","""",RIGHT(REGEXREPLACE(B1036&amp;"""",""[^0-9]"",""""),9))"),"766499659")</f>
        <v>766499659</v>
      </c>
      <c r="B1036" s="10">
        <v>7.66499659E8</v>
      </c>
      <c r="C1036" s="10" t="s">
        <v>1176</v>
      </c>
      <c r="D1036" s="10" t="s">
        <v>20</v>
      </c>
      <c r="E1036" s="13">
        <v>46227.0</v>
      </c>
      <c r="F1036" s="10" t="s">
        <v>21</v>
      </c>
      <c r="I1036" s="10" t="s">
        <v>22</v>
      </c>
      <c r="J1036" s="9" t="str">
        <f t="shared" si="30"/>
        <v>No</v>
      </c>
      <c r="K1036" s="9" t="str">
        <f t="shared" si="31"/>
        <v/>
      </c>
      <c r="L1036" s="9" t="str">
        <f t="shared" si="32"/>
        <v/>
      </c>
      <c r="M1036" s="9"/>
      <c r="O1036" s="9"/>
    </row>
    <row r="1037" ht="15.75" customHeight="1">
      <c r="A1037" s="9" t="str">
        <f>IFERROR(__xludf.DUMMYFUNCTION("IF(B1037="""","""",RIGHT(REGEXREPLACE(B1037&amp;"""",""[^0-9]"",""""),9))"),"773239198")</f>
        <v>773239198</v>
      </c>
      <c r="B1037" s="48">
        <v>7.73239198E8</v>
      </c>
      <c r="C1037" s="10" t="s">
        <v>1177</v>
      </c>
      <c r="D1037" s="10" t="s">
        <v>120</v>
      </c>
      <c r="E1037" s="13">
        <v>46227.0</v>
      </c>
      <c r="F1037" s="10" t="s">
        <v>35</v>
      </c>
      <c r="G1037" s="10">
        <v>11.0</v>
      </c>
      <c r="I1037" s="10" t="s">
        <v>22</v>
      </c>
      <c r="J1037" s="9" t="str">
        <f t="shared" si="30"/>
        <v>No</v>
      </c>
      <c r="K1037" s="9" t="str">
        <f t="shared" si="31"/>
        <v/>
      </c>
      <c r="L1037" s="9" t="str">
        <f t="shared" si="32"/>
        <v/>
      </c>
      <c r="M1037" s="9"/>
      <c r="O1037" s="9"/>
    </row>
    <row r="1038" ht="15.75" customHeight="1">
      <c r="A1038" s="9" t="str">
        <f>IFERROR(__xludf.DUMMYFUNCTION("IF(B1038="""","""",RIGHT(REGEXREPLACE(B1038&amp;"""",""[^0-9]"",""""),9))"),"760656858")</f>
        <v>760656858</v>
      </c>
      <c r="B1038" s="48">
        <v>7.60656858E8</v>
      </c>
      <c r="C1038" s="10" t="s">
        <v>1178</v>
      </c>
      <c r="D1038" s="10" t="s">
        <v>97</v>
      </c>
      <c r="E1038" s="13">
        <v>46227.0</v>
      </c>
      <c r="F1038" s="10" t="s">
        <v>145</v>
      </c>
      <c r="G1038" s="10">
        <v>10.0</v>
      </c>
      <c r="I1038" s="10" t="s">
        <v>22</v>
      </c>
      <c r="J1038" s="9" t="str">
        <f t="shared" si="30"/>
        <v>No</v>
      </c>
      <c r="K1038" s="9" t="str">
        <f t="shared" si="31"/>
        <v/>
      </c>
      <c r="L1038" s="9" t="str">
        <f t="shared" si="32"/>
        <v/>
      </c>
      <c r="M1038" s="9"/>
      <c r="O1038" s="9"/>
    </row>
    <row r="1039" ht="15.75" customHeight="1">
      <c r="A1039" s="9" t="str">
        <f>IFERROR(__xludf.DUMMYFUNCTION("IF(B1039="""","""",RIGHT(REGEXREPLACE(B1039&amp;"""",""[^0-9]"",""""),9))"),"760684435")</f>
        <v>760684435</v>
      </c>
      <c r="B1039" s="48">
        <v>7.60684435E8</v>
      </c>
      <c r="C1039" s="10" t="s">
        <v>1179</v>
      </c>
      <c r="D1039" s="10" t="s">
        <v>34</v>
      </c>
      <c r="E1039" s="13">
        <v>46227.0</v>
      </c>
      <c r="F1039" s="10" t="s">
        <v>35</v>
      </c>
      <c r="H1039" s="108" t="s">
        <v>1180</v>
      </c>
      <c r="I1039" s="10" t="s">
        <v>22</v>
      </c>
      <c r="J1039" s="9" t="str">
        <f t="shared" si="30"/>
        <v>No</v>
      </c>
      <c r="K1039" s="9" t="str">
        <f t="shared" si="31"/>
        <v/>
      </c>
      <c r="L1039" s="9" t="str">
        <f t="shared" si="32"/>
        <v/>
      </c>
      <c r="M1039" s="9"/>
      <c r="O1039" s="9"/>
    </row>
    <row r="1040" ht="15.75" customHeight="1">
      <c r="A1040" s="9" t="str">
        <f>IFERROR(__xludf.DUMMYFUNCTION("IF(B1040="""","""",RIGHT(REGEXREPLACE(B1040&amp;"""",""[^0-9]"",""""),9))"),"769433973")</f>
        <v>769433973</v>
      </c>
      <c r="B1040" s="10">
        <v>7.69433973E8</v>
      </c>
      <c r="C1040" s="10" t="s">
        <v>1181</v>
      </c>
      <c r="D1040" s="10" t="s">
        <v>20</v>
      </c>
      <c r="E1040" s="13">
        <v>46227.0</v>
      </c>
      <c r="F1040" s="10" t="s">
        <v>35</v>
      </c>
      <c r="G1040" s="10">
        <v>11.0</v>
      </c>
      <c r="I1040" s="10" t="s">
        <v>22</v>
      </c>
      <c r="J1040" s="9" t="str">
        <f t="shared" si="30"/>
        <v>No</v>
      </c>
      <c r="K1040" s="9" t="str">
        <f t="shared" si="31"/>
        <v/>
      </c>
      <c r="L1040" s="9" t="str">
        <f t="shared" si="32"/>
        <v/>
      </c>
      <c r="M1040" s="9"/>
      <c r="O1040" s="9"/>
    </row>
    <row r="1041" ht="15.75" customHeight="1">
      <c r="A1041" s="9" t="str">
        <f>IFERROR(__xludf.DUMMYFUNCTION("IF(B1041="""","""",RIGHT(REGEXREPLACE(B1041&amp;"""",""[^0-9]"",""""),9))"),"726875365")</f>
        <v>726875365</v>
      </c>
      <c r="B1041" s="10">
        <v>7.26875365E8</v>
      </c>
      <c r="C1041" s="10" t="s">
        <v>1182</v>
      </c>
      <c r="D1041" s="10" t="s">
        <v>20</v>
      </c>
      <c r="E1041" s="13">
        <v>46227.0</v>
      </c>
      <c r="F1041" s="10" t="s">
        <v>21</v>
      </c>
      <c r="G1041" s="10">
        <v>11.0</v>
      </c>
      <c r="I1041" s="10" t="s">
        <v>22</v>
      </c>
      <c r="J1041" s="9" t="str">
        <f t="shared" si="30"/>
        <v>No</v>
      </c>
      <c r="K1041" s="9" t="str">
        <f t="shared" si="31"/>
        <v/>
      </c>
      <c r="L1041" s="9" t="str">
        <f t="shared" si="32"/>
        <v/>
      </c>
      <c r="M1041" s="9"/>
      <c r="O1041" s="9"/>
    </row>
    <row r="1042" ht="15.75" customHeight="1">
      <c r="A1042" s="9" t="str">
        <f>IFERROR(__xludf.DUMMYFUNCTION("IF(B1042="""","""",RIGHT(REGEXREPLACE(B1042&amp;"""",""[^0-9]"",""""),9))"),"770876099")</f>
        <v>770876099</v>
      </c>
      <c r="B1042" s="48">
        <v>7.70876099E8</v>
      </c>
      <c r="C1042" s="10" t="s">
        <v>1183</v>
      </c>
      <c r="D1042" s="10" t="s">
        <v>50</v>
      </c>
      <c r="E1042" s="13">
        <v>46227.0</v>
      </c>
      <c r="F1042" s="10" t="s">
        <v>604</v>
      </c>
      <c r="G1042" s="10">
        <v>11.0</v>
      </c>
      <c r="I1042" s="10" t="s">
        <v>22</v>
      </c>
      <c r="J1042" s="9" t="str">
        <f t="shared" si="30"/>
        <v>No</v>
      </c>
      <c r="K1042" s="9" t="str">
        <f t="shared" si="31"/>
        <v/>
      </c>
      <c r="L1042" s="9" t="str">
        <f t="shared" si="32"/>
        <v/>
      </c>
      <c r="M1042" s="9"/>
      <c r="O1042" s="9"/>
    </row>
    <row r="1043" ht="15.75" customHeight="1">
      <c r="A1043" s="9" t="str">
        <f>IFERROR(__xludf.DUMMYFUNCTION("IF(B1043="""","""",RIGHT(REGEXREPLACE(B1043&amp;"""",""[^0-9]"",""""),9))"),"764138738")</f>
        <v>764138738</v>
      </c>
      <c r="B1043" s="48">
        <v>7.64138738E8</v>
      </c>
      <c r="C1043" s="10" t="s">
        <v>1184</v>
      </c>
      <c r="D1043" s="10" t="s">
        <v>34</v>
      </c>
      <c r="E1043" s="13">
        <v>46227.0</v>
      </c>
      <c r="F1043" s="10" t="s">
        <v>35</v>
      </c>
      <c r="G1043" s="10">
        <v>10.0</v>
      </c>
      <c r="I1043" s="10" t="s">
        <v>22</v>
      </c>
      <c r="J1043" s="9" t="str">
        <f t="shared" si="30"/>
        <v>No</v>
      </c>
      <c r="K1043" s="9" t="str">
        <f t="shared" si="31"/>
        <v/>
      </c>
      <c r="L1043" s="9" t="str">
        <f t="shared" si="32"/>
        <v/>
      </c>
      <c r="M1043" s="9"/>
      <c r="O1043" s="9"/>
    </row>
    <row r="1044" ht="15.75" customHeight="1">
      <c r="A1044" s="9" t="str">
        <f>IFERROR(__xludf.DUMMYFUNCTION("IF(B1044="""","""",RIGHT(REGEXREPLACE(B1044&amp;"""",""[^0-9]"",""""),9))"),"721463500")</f>
        <v>721463500</v>
      </c>
      <c r="B1044" s="48">
        <v>7.214635E8</v>
      </c>
      <c r="C1044" s="10" t="s">
        <v>1185</v>
      </c>
      <c r="D1044" s="10" t="s">
        <v>97</v>
      </c>
      <c r="E1044" s="13">
        <v>46227.0</v>
      </c>
      <c r="F1044" s="10" t="s">
        <v>21</v>
      </c>
      <c r="G1044" s="10">
        <v>11.0</v>
      </c>
      <c r="I1044" s="10" t="s">
        <v>22</v>
      </c>
      <c r="J1044" s="9" t="str">
        <f t="shared" si="30"/>
        <v>No</v>
      </c>
      <c r="K1044" s="9" t="str">
        <f t="shared" si="31"/>
        <v/>
      </c>
      <c r="L1044" s="9" t="str">
        <f t="shared" si="32"/>
        <v/>
      </c>
      <c r="M1044" s="9"/>
      <c r="O1044" s="9"/>
    </row>
    <row r="1045" ht="15.75" customHeight="1">
      <c r="A1045" s="9" t="str">
        <f>IFERROR(__xludf.DUMMYFUNCTION("IF(B1045="""","""",RIGHT(REGEXREPLACE(B1045&amp;"""",""[^0-9]"",""""),9))"),"742314378")</f>
        <v>742314378</v>
      </c>
      <c r="B1045" s="48">
        <v>7.42314378E8</v>
      </c>
      <c r="C1045" s="10" t="s">
        <v>1186</v>
      </c>
      <c r="D1045" s="10" t="s">
        <v>50</v>
      </c>
      <c r="E1045" s="13">
        <v>46227.0</v>
      </c>
      <c r="F1045" s="10" t="s">
        <v>35</v>
      </c>
      <c r="G1045" s="10">
        <v>11.0</v>
      </c>
      <c r="I1045" s="10" t="s">
        <v>22</v>
      </c>
      <c r="J1045" s="9" t="str">
        <f t="shared" si="30"/>
        <v>No</v>
      </c>
      <c r="K1045" s="9" t="str">
        <f t="shared" si="31"/>
        <v/>
      </c>
      <c r="L1045" s="9" t="str">
        <f t="shared" si="32"/>
        <v/>
      </c>
      <c r="M1045" s="9"/>
      <c r="O1045" s="9"/>
    </row>
    <row r="1046" ht="15.75" customHeight="1">
      <c r="A1046" s="9" t="str">
        <f>IFERROR(__xludf.DUMMYFUNCTION("IF(B1046="""","""",RIGHT(REGEXREPLACE(B1046&amp;"""",""[^0-9]"",""""),9))"),"787013132")</f>
        <v>787013132</v>
      </c>
      <c r="B1046" s="48">
        <v>7.87013132E8</v>
      </c>
      <c r="C1046" s="10" t="s">
        <v>1187</v>
      </c>
      <c r="D1046" s="10" t="s">
        <v>69</v>
      </c>
      <c r="E1046" s="13">
        <v>46227.0</v>
      </c>
      <c r="F1046" s="10" t="s">
        <v>198</v>
      </c>
      <c r="I1046" s="10" t="s">
        <v>22</v>
      </c>
      <c r="J1046" s="9" t="str">
        <f t="shared" si="30"/>
        <v>No</v>
      </c>
      <c r="K1046" s="9" t="str">
        <f t="shared" si="31"/>
        <v/>
      </c>
      <c r="L1046" s="9" t="str">
        <f t="shared" si="32"/>
        <v/>
      </c>
      <c r="M1046" s="9"/>
      <c r="O1046" s="9"/>
    </row>
    <row r="1047" ht="15.75" customHeight="1">
      <c r="A1047" s="9" t="str">
        <f>IFERROR(__xludf.DUMMYFUNCTION("IF(B1047="""","""",RIGHT(REGEXREPLACE(B1047&amp;"""",""[^0-9]"",""""),9))"),"772027895")</f>
        <v>772027895</v>
      </c>
      <c r="B1047" s="48">
        <v>7.72027895E8</v>
      </c>
      <c r="C1047" s="10" t="s">
        <v>1188</v>
      </c>
      <c r="D1047" s="10" t="s">
        <v>34</v>
      </c>
      <c r="E1047" s="13">
        <v>46227.0</v>
      </c>
      <c r="F1047" s="10" t="s">
        <v>171</v>
      </c>
      <c r="G1047" s="10">
        <v>10.0</v>
      </c>
      <c r="I1047" s="10" t="s">
        <v>22</v>
      </c>
      <c r="J1047" s="9" t="str">
        <f t="shared" si="30"/>
        <v>No</v>
      </c>
      <c r="K1047" s="9" t="str">
        <f t="shared" si="31"/>
        <v/>
      </c>
      <c r="L1047" s="9" t="str">
        <f t="shared" si="32"/>
        <v/>
      </c>
      <c r="M1047" s="9"/>
      <c r="O1047" s="9"/>
    </row>
    <row r="1048" ht="15.75" customHeight="1">
      <c r="A1048" s="9" t="str">
        <f>IFERROR(__xludf.DUMMYFUNCTION("IF(B1048="""","""",RIGHT(REGEXREPLACE(B1048&amp;"""",""[^0-9]"",""""),9))"),"704220209")</f>
        <v>704220209</v>
      </c>
      <c r="B1048" s="48">
        <v>7.04220209E8</v>
      </c>
      <c r="C1048" s="10" t="s">
        <v>1189</v>
      </c>
      <c r="D1048" s="10" t="s">
        <v>69</v>
      </c>
      <c r="E1048" s="13">
        <v>46227.0</v>
      </c>
      <c r="F1048" s="10" t="s">
        <v>198</v>
      </c>
      <c r="G1048" s="10">
        <v>11.0</v>
      </c>
      <c r="I1048" s="10" t="s">
        <v>22</v>
      </c>
      <c r="J1048" s="9" t="str">
        <f t="shared" si="30"/>
        <v>No</v>
      </c>
      <c r="K1048" s="9" t="str">
        <f t="shared" si="31"/>
        <v/>
      </c>
      <c r="L1048" s="9" t="str">
        <f t="shared" si="32"/>
        <v/>
      </c>
      <c r="M1048" s="9"/>
      <c r="O1048" s="9"/>
    </row>
    <row r="1049" ht="15.75" customHeight="1">
      <c r="A1049" s="9" t="str">
        <f>IFERROR(__xludf.DUMMYFUNCTION("IF(B1049="""","""",RIGHT(REGEXREPLACE(B1049&amp;"""",""[^0-9]"",""""),9))"),"774585457")</f>
        <v>774585457</v>
      </c>
      <c r="B1049" s="10">
        <v>7.74585457E8</v>
      </c>
      <c r="C1049" s="10" t="s">
        <v>1190</v>
      </c>
      <c r="D1049" s="10" t="s">
        <v>20</v>
      </c>
      <c r="E1049" s="13">
        <v>46227.0</v>
      </c>
      <c r="F1049" s="10" t="s">
        <v>21</v>
      </c>
      <c r="I1049" s="10" t="s">
        <v>22</v>
      </c>
      <c r="J1049" s="9" t="str">
        <f t="shared" si="30"/>
        <v>No</v>
      </c>
      <c r="K1049" s="9" t="str">
        <f t="shared" si="31"/>
        <v/>
      </c>
      <c r="L1049" s="9" t="str">
        <f t="shared" si="32"/>
        <v/>
      </c>
      <c r="M1049" s="9"/>
      <c r="O1049" s="9"/>
    </row>
    <row r="1050" ht="15.75" customHeight="1">
      <c r="A1050" s="9" t="str">
        <f>IFERROR(__xludf.DUMMYFUNCTION("IF(B1050="""","""",RIGHT(REGEXREPLACE(B1050&amp;"""",""[^0-9]"",""""),9))"),"763514884")</f>
        <v>763514884</v>
      </c>
      <c r="B1050" s="48">
        <v>7.63514884E8</v>
      </c>
      <c r="C1050" s="10" t="s">
        <v>1191</v>
      </c>
      <c r="D1050" s="10" t="s">
        <v>50</v>
      </c>
      <c r="E1050" s="13">
        <v>46227.0</v>
      </c>
      <c r="F1050" s="10" t="s">
        <v>35</v>
      </c>
      <c r="G1050" s="10">
        <v>11.0</v>
      </c>
      <c r="I1050" s="10" t="s">
        <v>22</v>
      </c>
      <c r="J1050" s="9" t="str">
        <f t="shared" si="30"/>
        <v>No</v>
      </c>
      <c r="K1050" s="9" t="str">
        <f t="shared" si="31"/>
        <v/>
      </c>
      <c r="L1050" s="9" t="str">
        <f t="shared" si="32"/>
        <v/>
      </c>
      <c r="M1050" s="9"/>
      <c r="O1050" s="9"/>
    </row>
    <row r="1051" ht="15.75" customHeight="1">
      <c r="A1051" s="9" t="str">
        <f>IFERROR(__xludf.DUMMYFUNCTION("IF(B1051="""","""",RIGHT(REGEXREPLACE(B1051&amp;"""",""[^0-9]"",""""),9))"),"761648211")</f>
        <v>761648211</v>
      </c>
      <c r="B1051" s="48">
        <v>7.61648211E8</v>
      </c>
      <c r="C1051" s="10" t="s">
        <v>1192</v>
      </c>
      <c r="D1051" s="10" t="s">
        <v>97</v>
      </c>
      <c r="E1051" s="13">
        <v>46227.0</v>
      </c>
      <c r="F1051" s="10" t="s">
        <v>113</v>
      </c>
      <c r="G1051" s="10">
        <v>11.0</v>
      </c>
      <c r="I1051" s="10" t="s">
        <v>22</v>
      </c>
      <c r="J1051" s="9" t="str">
        <f t="shared" si="30"/>
        <v>No</v>
      </c>
      <c r="K1051" s="9" t="str">
        <f t="shared" si="31"/>
        <v/>
      </c>
      <c r="L1051" s="9" t="str">
        <f t="shared" si="32"/>
        <v/>
      </c>
      <c r="M1051" s="9"/>
      <c r="O1051" s="9"/>
    </row>
    <row r="1052" ht="15.75" customHeight="1">
      <c r="A1052" s="9" t="str">
        <f>IFERROR(__xludf.DUMMYFUNCTION("IF(B1052="""","""",RIGHT(REGEXREPLACE(B1052&amp;"""",""[^0-9]"",""""),9))"),"714810249")</f>
        <v>714810249</v>
      </c>
      <c r="B1052" s="48">
        <v>7.14810249E8</v>
      </c>
      <c r="C1052" s="10" t="s">
        <v>1193</v>
      </c>
      <c r="D1052" s="10" t="s">
        <v>34</v>
      </c>
      <c r="E1052" s="13">
        <v>46227.0</v>
      </c>
      <c r="F1052" s="10" t="s">
        <v>198</v>
      </c>
      <c r="I1052" s="10" t="s">
        <v>22</v>
      </c>
      <c r="J1052" s="9" t="str">
        <f t="shared" si="30"/>
        <v>No</v>
      </c>
      <c r="K1052" s="9" t="str">
        <f t="shared" si="31"/>
        <v/>
      </c>
      <c r="L1052" s="9" t="str">
        <f t="shared" si="32"/>
        <v/>
      </c>
      <c r="M1052" s="9"/>
      <c r="O1052" s="9"/>
    </row>
    <row r="1053" ht="15.75" customHeight="1">
      <c r="A1053" s="9" t="str">
        <f>IFERROR(__xludf.DUMMYFUNCTION("IF(B1053="""","""",RIGHT(REGEXREPLACE(B1053&amp;"""",""[^0-9]"",""""),9))"),"776271969")</f>
        <v>776271969</v>
      </c>
      <c r="B1053" s="10">
        <v>7.76271969E8</v>
      </c>
      <c r="C1053" s="10" t="s">
        <v>1194</v>
      </c>
      <c r="D1053" s="10" t="s">
        <v>20</v>
      </c>
      <c r="E1053" s="13">
        <v>46227.0</v>
      </c>
      <c r="F1053" s="10" t="s">
        <v>35</v>
      </c>
      <c r="G1053" s="10">
        <v>8.0</v>
      </c>
      <c r="H1053" s="10" t="s">
        <v>573</v>
      </c>
      <c r="I1053" s="10" t="s">
        <v>22</v>
      </c>
      <c r="J1053" s="9" t="str">
        <f t="shared" si="30"/>
        <v>No</v>
      </c>
      <c r="K1053" s="9" t="str">
        <f t="shared" si="31"/>
        <v/>
      </c>
      <c r="L1053" s="9" t="str">
        <f t="shared" si="32"/>
        <v/>
      </c>
      <c r="M1053" s="9"/>
      <c r="O1053" s="9"/>
    </row>
    <row r="1054" ht="15.75" customHeight="1">
      <c r="A1054" s="9" t="str">
        <f>IFERROR(__xludf.DUMMYFUNCTION("IF(B1054="""","""",RIGHT(REGEXREPLACE(B1054&amp;"""",""[^0-9]"",""""),9))"),"783264917")</f>
        <v>783264917</v>
      </c>
      <c r="B1054" s="48">
        <v>7.83264917E8</v>
      </c>
      <c r="C1054" s="10" t="s">
        <v>1195</v>
      </c>
      <c r="D1054" s="10" t="s">
        <v>34</v>
      </c>
      <c r="E1054" s="13">
        <v>46227.0</v>
      </c>
      <c r="F1054" s="10" t="s">
        <v>198</v>
      </c>
      <c r="G1054" s="10">
        <v>11.0</v>
      </c>
      <c r="I1054" s="10" t="s">
        <v>22</v>
      </c>
      <c r="J1054" s="9" t="str">
        <f t="shared" si="30"/>
        <v>No</v>
      </c>
      <c r="K1054" s="9" t="str">
        <f t="shared" si="31"/>
        <v/>
      </c>
      <c r="L1054" s="9" t="str">
        <f t="shared" si="32"/>
        <v/>
      </c>
      <c r="M1054" s="9"/>
      <c r="O1054" s="9"/>
    </row>
    <row r="1055" ht="15.75" customHeight="1">
      <c r="A1055" s="9" t="str">
        <f>IFERROR(__xludf.DUMMYFUNCTION("IF(B1055="""","""",RIGHT(REGEXREPLACE(B1055&amp;"""",""[^0-9]"",""""),9))"),"703994643")</f>
        <v>703994643</v>
      </c>
      <c r="B1055" s="48">
        <v>7.03994643E8</v>
      </c>
      <c r="C1055" s="10" t="s">
        <v>1196</v>
      </c>
      <c r="D1055" s="10" t="s">
        <v>69</v>
      </c>
      <c r="E1055" s="13">
        <v>46227.0</v>
      </c>
      <c r="F1055" s="10" t="s">
        <v>198</v>
      </c>
      <c r="G1055" s="10">
        <v>8.0</v>
      </c>
      <c r="I1055" s="10" t="s">
        <v>22</v>
      </c>
      <c r="J1055" s="9" t="str">
        <f t="shared" si="30"/>
        <v>No</v>
      </c>
      <c r="K1055" s="9" t="str">
        <f t="shared" si="31"/>
        <v/>
      </c>
      <c r="L1055" s="9" t="str">
        <f t="shared" si="32"/>
        <v/>
      </c>
      <c r="M1055" s="9"/>
      <c r="O1055" s="9"/>
    </row>
    <row r="1056" ht="15.75" customHeight="1">
      <c r="A1056" s="9" t="str">
        <f>IFERROR(__xludf.DUMMYFUNCTION("IF(B1056="""","""",RIGHT(REGEXREPLACE(B1056&amp;"""",""[^0-9]"",""""),9))"),"767212545")</f>
        <v>767212545</v>
      </c>
      <c r="B1056" s="48">
        <v>7.67212545E8</v>
      </c>
      <c r="C1056" s="10" t="s">
        <v>1197</v>
      </c>
      <c r="D1056" s="10" t="s">
        <v>120</v>
      </c>
      <c r="E1056" s="13">
        <v>46227.0</v>
      </c>
      <c r="F1056" s="10" t="s">
        <v>35</v>
      </c>
      <c r="G1056" s="10">
        <v>11.0</v>
      </c>
      <c r="I1056" s="10" t="s">
        <v>22</v>
      </c>
      <c r="J1056" s="9" t="str">
        <f t="shared" si="30"/>
        <v>No</v>
      </c>
      <c r="K1056" s="9" t="str">
        <f t="shared" si="31"/>
        <v/>
      </c>
      <c r="L1056" s="9" t="str">
        <f t="shared" si="32"/>
        <v/>
      </c>
      <c r="M1056" s="9"/>
      <c r="O1056" s="9"/>
    </row>
    <row r="1057" ht="15.75" customHeight="1">
      <c r="A1057" s="9" t="str">
        <f>IFERROR(__xludf.DUMMYFUNCTION("IF(B1057="""","""",RIGHT(REGEXREPLACE(B1057&amp;"""",""[^0-9]"",""""),9))"),"743832546")</f>
        <v>743832546</v>
      </c>
      <c r="B1057" s="48">
        <v>7.43832546E8</v>
      </c>
      <c r="C1057" s="10" t="s">
        <v>1198</v>
      </c>
      <c r="D1057" s="10" t="s">
        <v>97</v>
      </c>
      <c r="E1057" s="13">
        <v>46227.0</v>
      </c>
      <c r="F1057" s="10" t="s">
        <v>145</v>
      </c>
      <c r="I1057" s="10" t="s">
        <v>22</v>
      </c>
      <c r="J1057" s="9" t="str">
        <f t="shared" si="30"/>
        <v>No</v>
      </c>
      <c r="K1057" s="9" t="str">
        <f t="shared" si="31"/>
        <v/>
      </c>
      <c r="L1057" s="9" t="str">
        <f t="shared" si="32"/>
        <v/>
      </c>
      <c r="M1057" s="9"/>
      <c r="O1057" s="9"/>
    </row>
    <row r="1058" ht="15.75" customHeight="1">
      <c r="A1058" s="9" t="str">
        <f>IFERROR(__xludf.DUMMYFUNCTION("IF(B1058="""","""",RIGHT(REGEXREPLACE(B1058&amp;"""",""[^0-9]"",""""),9))"),"762182434")</f>
        <v>762182434</v>
      </c>
      <c r="B1058" s="10">
        <v>7.62182434E8</v>
      </c>
      <c r="C1058" s="10" t="s">
        <v>1199</v>
      </c>
      <c r="D1058" s="10" t="s">
        <v>20</v>
      </c>
      <c r="E1058" s="13">
        <v>46227.0</v>
      </c>
      <c r="F1058" s="10" t="s">
        <v>171</v>
      </c>
      <c r="G1058" s="10">
        <v>11.0</v>
      </c>
      <c r="I1058" s="10" t="s">
        <v>22</v>
      </c>
      <c r="J1058" s="9" t="str">
        <f t="shared" si="30"/>
        <v>No</v>
      </c>
      <c r="K1058" s="9" t="str">
        <f t="shared" si="31"/>
        <v/>
      </c>
      <c r="L1058" s="9" t="str">
        <f t="shared" si="32"/>
        <v/>
      </c>
      <c r="M1058" s="9"/>
      <c r="O1058" s="9"/>
    </row>
    <row r="1059" ht="15.75" customHeight="1">
      <c r="A1059" s="9" t="str">
        <f>IFERROR(__xludf.DUMMYFUNCTION("IF(B1059="""","""",RIGHT(REGEXREPLACE(B1059&amp;"""",""[^0-9]"",""""),9))"),"774030393")</f>
        <v>774030393</v>
      </c>
      <c r="B1059" s="48">
        <v>7.74030393E8</v>
      </c>
      <c r="C1059" s="10" t="s">
        <v>1200</v>
      </c>
      <c r="D1059" s="10" t="s">
        <v>50</v>
      </c>
      <c r="E1059" s="13">
        <v>46227.0</v>
      </c>
      <c r="F1059" s="10" t="s">
        <v>648</v>
      </c>
      <c r="I1059" s="10" t="s">
        <v>22</v>
      </c>
      <c r="J1059" s="9" t="str">
        <f t="shared" si="30"/>
        <v>No</v>
      </c>
      <c r="K1059" s="9" t="str">
        <f t="shared" si="31"/>
        <v/>
      </c>
      <c r="L1059" s="9" t="str">
        <f t="shared" si="32"/>
        <v/>
      </c>
      <c r="M1059" s="9"/>
      <c r="O1059" s="9"/>
    </row>
    <row r="1060" ht="15.75" customHeight="1">
      <c r="A1060" s="9" t="str">
        <f>IFERROR(__xludf.DUMMYFUNCTION("IF(B1060="""","""",RIGHT(REGEXREPLACE(B1060&amp;"""",""[^0-9]"",""""),9))"),"775203945")</f>
        <v>775203945</v>
      </c>
      <c r="B1060" s="48">
        <v>7.75203945E8</v>
      </c>
      <c r="C1060" s="10" t="s">
        <v>1201</v>
      </c>
      <c r="D1060" s="10" t="s">
        <v>69</v>
      </c>
      <c r="E1060" s="13">
        <v>46227.0</v>
      </c>
      <c r="F1060" s="10" t="s">
        <v>35</v>
      </c>
      <c r="G1060" s="10">
        <v>11.0</v>
      </c>
      <c r="I1060" s="10" t="s">
        <v>22</v>
      </c>
      <c r="J1060" s="9" t="str">
        <f t="shared" si="30"/>
        <v>No</v>
      </c>
      <c r="K1060" s="9" t="str">
        <f t="shared" si="31"/>
        <v/>
      </c>
      <c r="L1060" s="9" t="str">
        <f t="shared" si="32"/>
        <v/>
      </c>
      <c r="M1060" s="9"/>
      <c r="O1060" s="9"/>
    </row>
    <row r="1061" ht="15.75" customHeight="1">
      <c r="A1061" s="9" t="str">
        <f>IFERROR(__xludf.DUMMYFUNCTION("IF(B1061="""","""",RIGHT(REGEXREPLACE(B1061&amp;"""",""[^0-9]"",""""),9))"),"716882802")</f>
        <v>716882802</v>
      </c>
      <c r="B1061" s="10">
        <v>7.16882802E8</v>
      </c>
      <c r="C1061" s="10" t="s">
        <v>1202</v>
      </c>
      <c r="D1061" s="10" t="s">
        <v>20</v>
      </c>
      <c r="E1061" s="13">
        <v>46227.0</v>
      </c>
      <c r="F1061" s="10" t="s">
        <v>21</v>
      </c>
      <c r="I1061" s="10" t="s">
        <v>22</v>
      </c>
      <c r="J1061" s="9" t="str">
        <f t="shared" si="30"/>
        <v>No</v>
      </c>
      <c r="K1061" s="9" t="str">
        <f t="shared" si="31"/>
        <v/>
      </c>
      <c r="L1061" s="9" t="str">
        <f t="shared" si="32"/>
        <v/>
      </c>
      <c r="M1061" s="9"/>
      <c r="O1061" s="9"/>
    </row>
    <row r="1062" ht="15.75" customHeight="1">
      <c r="A1062" s="9" t="str">
        <f>IFERROR(__xludf.DUMMYFUNCTION("IF(B1062="""","""",RIGHT(REGEXREPLACE(B1062&amp;"""",""[^0-9]"",""""),9))"),"763245533")</f>
        <v>763245533</v>
      </c>
      <c r="B1062" s="10">
        <v>7.63245533E8</v>
      </c>
      <c r="C1062" s="10" t="s">
        <v>1203</v>
      </c>
      <c r="D1062" s="10" t="s">
        <v>20</v>
      </c>
      <c r="E1062" s="13">
        <v>46227.0</v>
      </c>
      <c r="F1062" s="10" t="s">
        <v>35</v>
      </c>
      <c r="G1062" s="10">
        <v>11.0</v>
      </c>
      <c r="H1062" s="10" t="s">
        <v>1204</v>
      </c>
      <c r="I1062" s="10" t="s">
        <v>22</v>
      </c>
      <c r="J1062" s="9" t="str">
        <f t="shared" si="30"/>
        <v>No</v>
      </c>
      <c r="K1062" s="9" t="str">
        <f t="shared" si="31"/>
        <v/>
      </c>
      <c r="L1062" s="9" t="str">
        <f t="shared" si="32"/>
        <v/>
      </c>
      <c r="M1062" s="9"/>
      <c r="O1062" s="9"/>
    </row>
    <row r="1063" ht="15.75" customHeight="1">
      <c r="A1063" s="9" t="str">
        <f>IFERROR(__xludf.DUMMYFUNCTION("IF(B1063="""","""",RIGHT(REGEXREPLACE(B1063&amp;"""",""[^0-9]"",""""),9))"),"771051814")</f>
        <v>771051814</v>
      </c>
      <c r="B1063" s="48">
        <v>7.71051814E8</v>
      </c>
      <c r="C1063" s="10" t="s">
        <v>1205</v>
      </c>
      <c r="D1063" s="10" t="s">
        <v>50</v>
      </c>
      <c r="E1063" s="13">
        <v>46227.0</v>
      </c>
      <c r="F1063" s="10" t="s">
        <v>35</v>
      </c>
      <c r="G1063" s="10">
        <v>10.0</v>
      </c>
      <c r="I1063" s="10" t="s">
        <v>22</v>
      </c>
      <c r="J1063" s="9" t="str">
        <f t="shared" si="30"/>
        <v>No</v>
      </c>
      <c r="K1063" s="9" t="str">
        <f t="shared" si="31"/>
        <v/>
      </c>
      <c r="L1063" s="9" t="str">
        <f t="shared" si="32"/>
        <v/>
      </c>
      <c r="M1063" s="9"/>
      <c r="O1063" s="9"/>
    </row>
    <row r="1064" ht="15.75" customHeight="1">
      <c r="A1064" s="9" t="str">
        <f>IFERROR(__xludf.DUMMYFUNCTION("IF(B1064="""","""",RIGHT(REGEXREPLACE(B1064&amp;"""",""[^0-9]"",""""),9))"),"705005700")</f>
        <v>705005700</v>
      </c>
      <c r="B1064" s="48">
        <v>7.050057E8</v>
      </c>
      <c r="C1064" s="10" t="s">
        <v>1206</v>
      </c>
      <c r="D1064" s="10" t="s">
        <v>97</v>
      </c>
      <c r="E1064" s="13">
        <v>46227.0</v>
      </c>
      <c r="F1064" s="10" t="s">
        <v>145</v>
      </c>
      <c r="G1064" s="10">
        <v>11.0</v>
      </c>
      <c r="I1064" s="10" t="s">
        <v>22</v>
      </c>
      <c r="J1064" s="9" t="str">
        <f t="shared" si="30"/>
        <v>No</v>
      </c>
      <c r="K1064" s="9" t="str">
        <f t="shared" si="31"/>
        <v/>
      </c>
      <c r="L1064" s="9" t="str">
        <f t="shared" si="32"/>
        <v/>
      </c>
      <c r="M1064" s="9"/>
      <c r="O1064" s="9"/>
    </row>
    <row r="1065" ht="15.75" customHeight="1">
      <c r="A1065" s="9" t="str">
        <f>IFERROR(__xludf.DUMMYFUNCTION("IF(B1065="""","""",RIGHT(REGEXREPLACE(B1065&amp;"""",""[^0-9]"",""""),9))"),"778262446")</f>
        <v>778262446</v>
      </c>
      <c r="B1065" s="48">
        <v>7.78262446E8</v>
      </c>
      <c r="C1065" s="10" t="s">
        <v>1207</v>
      </c>
      <c r="D1065" s="10" t="s">
        <v>34</v>
      </c>
      <c r="E1065" s="13">
        <v>46227.0</v>
      </c>
      <c r="F1065" s="10" t="s">
        <v>198</v>
      </c>
      <c r="I1065" s="10" t="s">
        <v>22</v>
      </c>
      <c r="J1065" s="9" t="str">
        <f t="shared" si="30"/>
        <v>No</v>
      </c>
      <c r="K1065" s="9" t="str">
        <f t="shared" si="31"/>
        <v/>
      </c>
      <c r="L1065" s="9" t="str">
        <f t="shared" si="32"/>
        <v/>
      </c>
      <c r="M1065" s="9"/>
      <c r="O1065" s="9"/>
    </row>
    <row r="1066" ht="15.75" customHeight="1">
      <c r="A1066" s="9" t="str">
        <f>IFERROR(__xludf.DUMMYFUNCTION("IF(B1066="""","""",RIGHT(REGEXREPLACE(B1066&amp;"""",""[^0-9]"",""""),9))"),"776076147")</f>
        <v>776076147</v>
      </c>
      <c r="B1066" s="48">
        <v>7.76076147E8</v>
      </c>
      <c r="C1066" s="10" t="s">
        <v>1208</v>
      </c>
      <c r="D1066" s="10" t="s">
        <v>120</v>
      </c>
      <c r="E1066" s="13">
        <v>46227.0</v>
      </c>
      <c r="F1066" s="10" t="s">
        <v>35</v>
      </c>
      <c r="G1066" s="10">
        <v>11.0</v>
      </c>
      <c r="I1066" s="10" t="s">
        <v>22</v>
      </c>
      <c r="J1066" s="9" t="str">
        <f t="shared" si="30"/>
        <v>No</v>
      </c>
      <c r="K1066" s="9" t="str">
        <f t="shared" si="31"/>
        <v/>
      </c>
      <c r="L1066" s="9" t="str">
        <f t="shared" si="32"/>
        <v/>
      </c>
      <c r="M1066" s="9"/>
      <c r="O1066" s="9"/>
    </row>
    <row r="1067" ht="15.75" customHeight="1">
      <c r="A1067" s="9" t="str">
        <f>IFERROR(__xludf.DUMMYFUNCTION("IF(B1067="""","""",RIGHT(REGEXREPLACE(B1067&amp;"""",""[^0-9]"",""""),9))"),"767996222")</f>
        <v>767996222</v>
      </c>
      <c r="B1067" s="48">
        <v>7.67996222E8</v>
      </c>
      <c r="C1067" s="10" t="s">
        <v>1209</v>
      </c>
      <c r="D1067" s="10" t="s">
        <v>69</v>
      </c>
      <c r="E1067" s="13">
        <v>46227.0</v>
      </c>
      <c r="F1067" s="10" t="s">
        <v>35</v>
      </c>
      <c r="G1067" s="10">
        <v>11.0</v>
      </c>
      <c r="I1067" s="10" t="s">
        <v>22</v>
      </c>
      <c r="J1067" s="9" t="str">
        <f t="shared" si="30"/>
        <v>No</v>
      </c>
      <c r="K1067" s="9" t="str">
        <f t="shared" si="31"/>
        <v/>
      </c>
      <c r="L1067" s="9" t="str">
        <f t="shared" si="32"/>
        <v/>
      </c>
      <c r="M1067" s="9"/>
      <c r="O1067" s="9"/>
    </row>
    <row r="1068" ht="15.75" customHeight="1">
      <c r="A1068" s="9" t="str">
        <f>IFERROR(__xludf.DUMMYFUNCTION("IF(B1068="""","""",RIGHT(REGEXREPLACE(B1068&amp;"""",""[^0-9]"",""""),9))"),"702476959")</f>
        <v>702476959</v>
      </c>
      <c r="B1068" s="10">
        <v>7.02476959E8</v>
      </c>
      <c r="C1068" s="10" t="s">
        <v>1210</v>
      </c>
      <c r="D1068" s="10" t="s">
        <v>20</v>
      </c>
      <c r="E1068" s="13">
        <v>46227.0</v>
      </c>
      <c r="F1068" s="10" t="s">
        <v>21</v>
      </c>
      <c r="I1068" s="10" t="s">
        <v>22</v>
      </c>
      <c r="J1068" s="9" t="str">
        <f t="shared" si="30"/>
        <v>No</v>
      </c>
      <c r="K1068" s="9" t="str">
        <f t="shared" si="31"/>
        <v/>
      </c>
      <c r="L1068" s="9" t="str">
        <f t="shared" si="32"/>
        <v/>
      </c>
      <c r="M1068" s="9"/>
      <c r="O1068" s="9"/>
    </row>
    <row r="1069" ht="15.75" customHeight="1">
      <c r="A1069" s="9" t="str">
        <f>IFERROR(__xludf.DUMMYFUNCTION("IF(B1069="""","""",RIGHT(REGEXREPLACE(B1069&amp;"""",""[^0-9]"",""""),9))"),"741505656")</f>
        <v>741505656</v>
      </c>
      <c r="B1069" s="48">
        <v>7.41505656E8</v>
      </c>
      <c r="C1069" s="10" t="s">
        <v>1211</v>
      </c>
      <c r="D1069" s="10" t="s">
        <v>34</v>
      </c>
      <c r="E1069" s="13">
        <v>46227.0</v>
      </c>
      <c r="F1069" s="10" t="s">
        <v>648</v>
      </c>
      <c r="H1069" s="10" t="s">
        <v>1099</v>
      </c>
      <c r="I1069" s="10" t="s">
        <v>22</v>
      </c>
      <c r="J1069" s="9" t="str">
        <f t="shared" si="30"/>
        <v>No</v>
      </c>
      <c r="K1069" s="9" t="str">
        <f t="shared" si="31"/>
        <v/>
      </c>
      <c r="L1069" s="9" t="str">
        <f t="shared" si="32"/>
        <v/>
      </c>
      <c r="M1069" s="9"/>
      <c r="O1069" s="9"/>
    </row>
    <row r="1070" ht="15.75" customHeight="1">
      <c r="A1070" s="9" t="str">
        <f>IFERROR(__xludf.DUMMYFUNCTION("IF(B1070="""","""",RIGHT(REGEXREPLACE(B1070&amp;"""",""[^0-9]"",""""),9))"),"769986930")</f>
        <v>769986930</v>
      </c>
      <c r="B1070" s="10">
        <v>7.6998693E8</v>
      </c>
      <c r="C1070" s="10" t="s">
        <v>1212</v>
      </c>
      <c r="D1070" s="10" t="s">
        <v>20</v>
      </c>
      <c r="E1070" s="13">
        <v>46227.0</v>
      </c>
      <c r="F1070" s="10" t="s">
        <v>35</v>
      </c>
      <c r="G1070" s="10">
        <v>11.0</v>
      </c>
      <c r="I1070" s="10" t="s">
        <v>22</v>
      </c>
      <c r="J1070" s="9" t="str">
        <f t="shared" si="30"/>
        <v>No</v>
      </c>
      <c r="K1070" s="9" t="str">
        <f t="shared" si="31"/>
        <v/>
      </c>
      <c r="L1070" s="9" t="str">
        <f t="shared" si="32"/>
        <v/>
      </c>
      <c r="M1070" s="9"/>
      <c r="O1070" s="9"/>
    </row>
    <row r="1071" ht="15.75" customHeight="1">
      <c r="A1071" s="9" t="str">
        <f>IFERROR(__xludf.DUMMYFUNCTION("IF(B1071="""","""",RIGHT(REGEXREPLACE(B1071&amp;"""",""[^0-9]"",""""),9))"),"770035223")</f>
        <v>770035223</v>
      </c>
      <c r="B1071" s="48">
        <v>7.70035223E8</v>
      </c>
      <c r="C1071" s="10" t="s">
        <v>1213</v>
      </c>
      <c r="D1071" s="10" t="s">
        <v>97</v>
      </c>
      <c r="E1071" s="13">
        <v>46227.0</v>
      </c>
      <c r="F1071" s="10" t="s">
        <v>35</v>
      </c>
      <c r="G1071" s="10">
        <v>11.0</v>
      </c>
      <c r="I1071" s="10" t="s">
        <v>22</v>
      </c>
      <c r="J1071" s="9" t="str">
        <f t="shared" si="30"/>
        <v>No</v>
      </c>
      <c r="K1071" s="9" t="str">
        <f t="shared" si="31"/>
        <v/>
      </c>
      <c r="L1071" s="9" t="str">
        <f t="shared" si="32"/>
        <v/>
      </c>
      <c r="M1071" s="9"/>
      <c r="O1071" s="9"/>
    </row>
    <row r="1072" ht="15.75" customHeight="1">
      <c r="A1072" s="9" t="str">
        <f>IFERROR(__xludf.DUMMYFUNCTION("IF(B1072="""","""",RIGHT(REGEXREPLACE(B1072&amp;"""",""[^0-9]"",""""),9))"),"710738575")</f>
        <v>710738575</v>
      </c>
      <c r="B1072" s="10">
        <v>7.10738575E8</v>
      </c>
      <c r="C1072" s="10" t="s">
        <v>1214</v>
      </c>
      <c r="D1072" s="10" t="s">
        <v>20</v>
      </c>
      <c r="E1072" s="13">
        <v>46227.0</v>
      </c>
      <c r="F1072" s="10" t="s">
        <v>35</v>
      </c>
      <c r="G1072" s="10">
        <v>6.0</v>
      </c>
      <c r="I1072" s="10" t="s">
        <v>22</v>
      </c>
      <c r="J1072" s="9" t="str">
        <f t="shared" si="30"/>
        <v>No</v>
      </c>
      <c r="K1072" s="9" t="str">
        <f t="shared" si="31"/>
        <v/>
      </c>
      <c r="L1072" s="9" t="str">
        <f t="shared" si="32"/>
        <v/>
      </c>
      <c r="M1072" s="9"/>
      <c r="O1072" s="9"/>
    </row>
    <row r="1073" ht="15.75" customHeight="1">
      <c r="A1073" s="9" t="str">
        <f>IFERROR(__xludf.DUMMYFUNCTION("IF(B1073="""","""",RIGHT(REGEXREPLACE(B1073&amp;"""",""[^0-9]"",""""),9))"),"715306378")</f>
        <v>715306378</v>
      </c>
      <c r="B1073" s="48">
        <v>7.15306378E8</v>
      </c>
      <c r="C1073" s="10" t="s">
        <v>1215</v>
      </c>
      <c r="D1073" s="10" t="s">
        <v>34</v>
      </c>
      <c r="E1073" s="13">
        <v>46227.0</v>
      </c>
      <c r="F1073" s="10" t="s">
        <v>21</v>
      </c>
      <c r="I1073" s="10" t="s">
        <v>22</v>
      </c>
      <c r="J1073" s="9" t="str">
        <f t="shared" si="30"/>
        <v>No</v>
      </c>
      <c r="K1073" s="9" t="str">
        <f t="shared" si="31"/>
        <v/>
      </c>
      <c r="L1073" s="9" t="str">
        <f t="shared" si="32"/>
        <v/>
      </c>
      <c r="M1073" s="9"/>
      <c r="O1073" s="9"/>
    </row>
    <row r="1074" ht="15.75" customHeight="1">
      <c r="A1074" s="9" t="str">
        <f>IFERROR(__xludf.DUMMYFUNCTION("IF(B1074="""","""",RIGHT(REGEXREPLACE(B1074&amp;"""",""[^0-9]"",""""),9))"),"741689167")</f>
        <v>741689167</v>
      </c>
      <c r="B1074" s="48">
        <v>7.41689167E8</v>
      </c>
      <c r="C1074" s="10" t="s">
        <v>1216</v>
      </c>
      <c r="D1074" s="10" t="s">
        <v>69</v>
      </c>
      <c r="E1074" s="13">
        <v>46227.0</v>
      </c>
      <c r="F1074" s="10" t="s">
        <v>21</v>
      </c>
      <c r="I1074" s="10" t="s">
        <v>22</v>
      </c>
      <c r="J1074" s="9" t="str">
        <f t="shared" si="30"/>
        <v>No</v>
      </c>
      <c r="K1074" s="9" t="str">
        <f t="shared" si="31"/>
        <v/>
      </c>
      <c r="L1074" s="9" t="str">
        <f t="shared" si="32"/>
        <v/>
      </c>
      <c r="M1074" s="9"/>
      <c r="O1074" s="9"/>
    </row>
    <row r="1075" ht="15.75" customHeight="1">
      <c r="A1075" s="9" t="str">
        <f>IFERROR(__xludf.DUMMYFUNCTION("IF(B1075="""","""",RIGHT(REGEXREPLACE(B1075&amp;"""",""[^0-9]"",""""),9))"),"760632164")</f>
        <v>760632164</v>
      </c>
      <c r="B1075" s="10">
        <v>7.60632164E8</v>
      </c>
      <c r="C1075" s="10" t="s">
        <v>1217</v>
      </c>
      <c r="D1075" s="10" t="s">
        <v>20</v>
      </c>
      <c r="E1075" s="13">
        <v>46227.0</v>
      </c>
      <c r="F1075" s="10" t="s">
        <v>198</v>
      </c>
      <c r="G1075" s="10">
        <v>11.0</v>
      </c>
      <c r="I1075" s="10" t="s">
        <v>22</v>
      </c>
      <c r="J1075" s="9" t="str">
        <f t="shared" si="30"/>
        <v>No</v>
      </c>
      <c r="K1075" s="9" t="str">
        <f t="shared" si="31"/>
        <v/>
      </c>
      <c r="L1075" s="9" t="str">
        <f t="shared" si="32"/>
        <v/>
      </c>
      <c r="M1075" s="9"/>
      <c r="O1075" s="9"/>
    </row>
    <row r="1076" ht="15.75" customHeight="1">
      <c r="A1076" s="9" t="str">
        <f>IFERROR(__xludf.DUMMYFUNCTION("IF(B1076="""","""",RIGHT(REGEXREPLACE(B1076&amp;"""",""[^0-9]"",""""),9))"),"764166943")</f>
        <v>764166943</v>
      </c>
      <c r="B1076" s="48">
        <v>7.64166943E8</v>
      </c>
      <c r="C1076" s="10" t="s">
        <v>1218</v>
      </c>
      <c r="D1076" s="10" t="s">
        <v>50</v>
      </c>
      <c r="E1076" s="13">
        <v>46227.0</v>
      </c>
      <c r="F1076" s="10" t="s">
        <v>35</v>
      </c>
      <c r="G1076" s="10">
        <v>11.0</v>
      </c>
      <c r="I1076" s="10" t="s">
        <v>22</v>
      </c>
      <c r="J1076" s="9" t="str">
        <f t="shared" si="30"/>
        <v>No</v>
      </c>
      <c r="K1076" s="9" t="str">
        <f t="shared" si="31"/>
        <v/>
      </c>
      <c r="L1076" s="9" t="str">
        <f t="shared" si="32"/>
        <v/>
      </c>
      <c r="M1076" s="9"/>
      <c r="O1076" s="9"/>
    </row>
    <row r="1077" ht="15.75" customHeight="1">
      <c r="A1077" s="9" t="str">
        <f>IFERROR(__xludf.DUMMYFUNCTION("IF(B1077="""","""",RIGHT(REGEXREPLACE(B1077&amp;"""",""[^0-9]"",""""),9))"),"787928863")</f>
        <v>787928863</v>
      </c>
      <c r="B1077" s="48">
        <v>7.87928863E8</v>
      </c>
      <c r="C1077" s="10" t="s">
        <v>1219</v>
      </c>
      <c r="D1077" s="10" t="s">
        <v>120</v>
      </c>
      <c r="E1077" s="13">
        <v>46227.0</v>
      </c>
      <c r="F1077" s="10" t="s">
        <v>21</v>
      </c>
      <c r="I1077" s="10" t="s">
        <v>22</v>
      </c>
      <c r="J1077" s="9" t="str">
        <f t="shared" si="30"/>
        <v>No</v>
      </c>
      <c r="K1077" s="9" t="str">
        <f t="shared" si="31"/>
        <v/>
      </c>
      <c r="L1077" s="9" t="str">
        <f t="shared" si="32"/>
        <v/>
      </c>
      <c r="M1077" s="9"/>
      <c r="O1077" s="9"/>
    </row>
    <row r="1078" ht="15.75" customHeight="1">
      <c r="A1078" s="9" t="str">
        <f>IFERROR(__xludf.DUMMYFUNCTION("IF(B1078="""","""",RIGHT(REGEXREPLACE(B1078&amp;"""",""[^0-9]"",""""),9))"),"701972947")</f>
        <v>701972947</v>
      </c>
      <c r="B1078" s="10">
        <v>7.01972947E8</v>
      </c>
      <c r="C1078" s="10" t="s">
        <v>1220</v>
      </c>
      <c r="D1078" s="10" t="s">
        <v>20</v>
      </c>
      <c r="E1078" s="13">
        <v>46227.0</v>
      </c>
      <c r="F1078" s="10" t="s">
        <v>648</v>
      </c>
      <c r="G1078" s="10">
        <v>11.0</v>
      </c>
      <c r="H1078" s="10" t="s">
        <v>238</v>
      </c>
      <c r="I1078" s="10" t="s">
        <v>22</v>
      </c>
      <c r="J1078" s="9" t="str">
        <f t="shared" si="30"/>
        <v>No</v>
      </c>
      <c r="K1078" s="9" t="str">
        <f t="shared" si="31"/>
        <v/>
      </c>
      <c r="L1078" s="9" t="str">
        <f t="shared" si="32"/>
        <v/>
      </c>
      <c r="M1078" s="9"/>
      <c r="O1078" s="9"/>
    </row>
    <row r="1079" ht="15.75" customHeight="1">
      <c r="A1079" s="9" t="str">
        <f>IFERROR(__xludf.DUMMYFUNCTION("IF(B1079="""","""",RIGHT(REGEXREPLACE(B1079&amp;"""",""[^0-9]"",""""),9))"),"764757842")</f>
        <v>764757842</v>
      </c>
      <c r="B1079" s="48">
        <v>7.64757842E8</v>
      </c>
      <c r="C1079" s="10" t="s">
        <v>1221</v>
      </c>
      <c r="D1079" s="10" t="s">
        <v>69</v>
      </c>
      <c r="E1079" s="13">
        <v>46227.0</v>
      </c>
      <c r="F1079" s="10" t="s">
        <v>35</v>
      </c>
      <c r="G1079" s="10">
        <v>11.0</v>
      </c>
      <c r="I1079" s="10" t="s">
        <v>22</v>
      </c>
      <c r="J1079" s="9" t="str">
        <f t="shared" si="30"/>
        <v>No</v>
      </c>
      <c r="K1079" s="9" t="str">
        <f t="shared" si="31"/>
        <v/>
      </c>
      <c r="L1079" s="9" t="str">
        <f t="shared" si="32"/>
        <v/>
      </c>
      <c r="M1079" s="9"/>
      <c r="O1079" s="9"/>
    </row>
    <row r="1080" ht="15.75" customHeight="1">
      <c r="A1080" s="9" t="str">
        <f>IFERROR(__xludf.DUMMYFUNCTION("IF(B1080="""","""",RIGHT(REGEXREPLACE(B1080&amp;"""",""[^0-9]"",""""),9))"),"773859686")</f>
        <v>773859686</v>
      </c>
      <c r="B1080" s="10">
        <v>7.73859686E8</v>
      </c>
      <c r="C1080" s="10" t="s">
        <v>1222</v>
      </c>
      <c r="D1080" s="10" t="s">
        <v>20</v>
      </c>
      <c r="E1080" s="13">
        <v>46227.0</v>
      </c>
      <c r="F1080" s="10" t="s">
        <v>35</v>
      </c>
      <c r="G1080" s="10">
        <v>11.0</v>
      </c>
      <c r="I1080" s="10" t="s">
        <v>22</v>
      </c>
      <c r="J1080" s="9" t="str">
        <f t="shared" si="30"/>
        <v>No</v>
      </c>
      <c r="K1080" s="9" t="str">
        <f t="shared" si="31"/>
        <v/>
      </c>
      <c r="L1080" s="9" t="str">
        <f t="shared" si="32"/>
        <v/>
      </c>
      <c r="M1080" s="9"/>
      <c r="O1080" s="9"/>
    </row>
    <row r="1081" ht="15.75" customHeight="1">
      <c r="A1081" s="9" t="str">
        <f>IFERROR(__xludf.DUMMYFUNCTION("IF(B1081="""","""",RIGHT(REGEXREPLACE(B1081&amp;"""",""[^0-9]"",""""),9))"),"704571004")</f>
        <v>704571004</v>
      </c>
      <c r="B1081" s="10">
        <v>7.04571004E8</v>
      </c>
      <c r="C1081" s="10" t="s">
        <v>1223</v>
      </c>
      <c r="D1081" s="10" t="s">
        <v>20</v>
      </c>
      <c r="E1081" s="13">
        <v>46227.0</v>
      </c>
      <c r="F1081" s="10" t="s">
        <v>35</v>
      </c>
      <c r="G1081" s="10">
        <v>11.0</v>
      </c>
      <c r="I1081" s="10" t="s">
        <v>22</v>
      </c>
      <c r="J1081" s="9" t="str">
        <f t="shared" si="30"/>
        <v>No</v>
      </c>
      <c r="K1081" s="9" t="str">
        <f t="shared" si="31"/>
        <v/>
      </c>
      <c r="L1081" s="9" t="str">
        <f t="shared" si="32"/>
        <v/>
      </c>
      <c r="M1081" s="9"/>
      <c r="O1081" s="9"/>
    </row>
    <row r="1082" ht="15.75" customHeight="1">
      <c r="A1082" s="9" t="str">
        <f>IFERROR(__xludf.DUMMYFUNCTION("IF(B1082="""","""",RIGHT(REGEXREPLACE(B1082&amp;"""",""[^0-9]"",""""),9))"),"715564569")</f>
        <v>715564569</v>
      </c>
      <c r="B1082" s="48">
        <v>7.15564569E8</v>
      </c>
      <c r="C1082" s="10" t="s">
        <v>1224</v>
      </c>
      <c r="D1082" s="10" t="s">
        <v>120</v>
      </c>
      <c r="E1082" s="13">
        <v>46227.0</v>
      </c>
      <c r="F1082" s="10" t="s">
        <v>145</v>
      </c>
      <c r="G1082" s="10">
        <v>11.0</v>
      </c>
      <c r="I1082" s="10" t="s">
        <v>22</v>
      </c>
      <c r="J1082" s="9" t="str">
        <f t="shared" si="30"/>
        <v>No</v>
      </c>
      <c r="K1082" s="9" t="str">
        <f t="shared" si="31"/>
        <v/>
      </c>
      <c r="L1082" s="9" t="str">
        <f t="shared" si="32"/>
        <v/>
      </c>
      <c r="M1082" s="9"/>
      <c r="O1082" s="9"/>
    </row>
    <row r="1083" ht="15.75" customHeight="1">
      <c r="A1083" s="9" t="str">
        <f>IFERROR(__xludf.DUMMYFUNCTION("IF(B1083="""","""",RIGHT(REGEXREPLACE(B1083&amp;"""",""[^0-9]"",""""),9))"),"741598249")</f>
        <v>741598249</v>
      </c>
      <c r="B1083" s="48">
        <v>4.741598249E9</v>
      </c>
      <c r="C1083" s="10" t="s">
        <v>1225</v>
      </c>
      <c r="D1083" s="10" t="s">
        <v>50</v>
      </c>
      <c r="E1083" s="13">
        <v>46227.0</v>
      </c>
      <c r="F1083" s="10" t="s">
        <v>35</v>
      </c>
      <c r="G1083" s="10">
        <v>11.0</v>
      </c>
      <c r="I1083" s="10" t="s">
        <v>22</v>
      </c>
      <c r="J1083" s="9" t="str">
        <f t="shared" si="30"/>
        <v>No</v>
      </c>
      <c r="K1083" s="9" t="str">
        <f t="shared" si="31"/>
        <v/>
      </c>
      <c r="L1083" s="9" t="str">
        <f t="shared" si="32"/>
        <v/>
      </c>
      <c r="M1083" s="9"/>
      <c r="O1083" s="9"/>
    </row>
    <row r="1084" ht="15.75" customHeight="1">
      <c r="A1084" s="9" t="str">
        <f>IFERROR(__xludf.DUMMYFUNCTION("IF(B1084="""","""",RIGHT(REGEXREPLACE(B1084&amp;"""",""[^0-9]"",""""),9))"),"717132982")</f>
        <v>717132982</v>
      </c>
      <c r="B1084" s="48">
        <v>7.17132982E8</v>
      </c>
      <c r="C1084" s="10" t="s">
        <v>1226</v>
      </c>
      <c r="D1084" s="10" t="s">
        <v>69</v>
      </c>
      <c r="E1084" s="13">
        <v>46227.0</v>
      </c>
      <c r="F1084" s="10" t="s">
        <v>542</v>
      </c>
      <c r="G1084" s="10">
        <v>11.0</v>
      </c>
      <c r="I1084" s="10" t="s">
        <v>22</v>
      </c>
      <c r="J1084" s="9" t="str">
        <f t="shared" si="30"/>
        <v>No</v>
      </c>
      <c r="K1084" s="9" t="str">
        <f t="shared" si="31"/>
        <v/>
      </c>
      <c r="L1084" s="9" t="str">
        <f t="shared" si="32"/>
        <v/>
      </c>
      <c r="M1084" s="9"/>
      <c r="O1084" s="9"/>
    </row>
    <row r="1085" ht="15.75" customHeight="1">
      <c r="A1085" s="9" t="str">
        <f>IFERROR(__xludf.DUMMYFUNCTION("IF(B1085="""","""",RIGHT(REGEXREPLACE(B1085&amp;"""",""[^0-9]"",""""),9))"),"771081382")</f>
        <v>771081382</v>
      </c>
      <c r="B1085" s="10">
        <v>7.71081382E8</v>
      </c>
      <c r="C1085" s="10" t="s">
        <v>1227</v>
      </c>
      <c r="D1085" s="10" t="s">
        <v>20</v>
      </c>
      <c r="E1085" s="13">
        <v>46227.0</v>
      </c>
      <c r="F1085" s="10" t="s">
        <v>198</v>
      </c>
      <c r="G1085" s="10">
        <v>11.0</v>
      </c>
      <c r="I1085" s="10" t="s">
        <v>22</v>
      </c>
      <c r="J1085" s="9" t="str">
        <f t="shared" si="30"/>
        <v>No</v>
      </c>
      <c r="K1085" s="9" t="str">
        <f t="shared" si="31"/>
        <v/>
      </c>
      <c r="L1085" s="9" t="str">
        <f t="shared" si="32"/>
        <v/>
      </c>
      <c r="M1085" s="9"/>
      <c r="O1085" s="9"/>
    </row>
    <row r="1086" ht="15.75" customHeight="1">
      <c r="A1086" s="9" t="str">
        <f>IFERROR(__xludf.DUMMYFUNCTION("IF(B1086="""","""",RIGHT(REGEXREPLACE(B1086&amp;"""",""[^0-9]"",""""),9))"),"778495795")</f>
        <v>778495795</v>
      </c>
      <c r="B1086" s="10">
        <v>7.78495795E8</v>
      </c>
      <c r="C1086" s="10" t="s">
        <v>1228</v>
      </c>
      <c r="D1086" s="10" t="s">
        <v>34</v>
      </c>
      <c r="E1086" s="13">
        <v>46227.0</v>
      </c>
      <c r="F1086" s="10" t="s">
        <v>35</v>
      </c>
      <c r="G1086" s="10">
        <v>11.0</v>
      </c>
      <c r="I1086" s="10" t="s">
        <v>22</v>
      </c>
      <c r="J1086" s="9" t="str">
        <f t="shared" si="30"/>
        <v>No</v>
      </c>
      <c r="K1086" s="9" t="str">
        <f t="shared" si="31"/>
        <v/>
      </c>
      <c r="L1086" s="9" t="str">
        <f t="shared" si="32"/>
        <v/>
      </c>
      <c r="M1086" s="9"/>
      <c r="O1086" s="9"/>
    </row>
    <row r="1087" ht="15.75" customHeight="1">
      <c r="A1087" s="9" t="str">
        <f>IFERROR(__xludf.DUMMYFUNCTION("IF(B1087="""","""",RIGHT(REGEXREPLACE(B1087&amp;"""",""[^0-9]"",""""),9))"),"743065113")</f>
        <v>743065113</v>
      </c>
      <c r="B1087" s="10">
        <v>7.43065113E8</v>
      </c>
      <c r="C1087" s="10" t="s">
        <v>1229</v>
      </c>
      <c r="D1087" s="10" t="s">
        <v>20</v>
      </c>
      <c r="E1087" s="13">
        <v>46227.0</v>
      </c>
      <c r="F1087" s="10" t="s">
        <v>35</v>
      </c>
      <c r="G1087" s="10">
        <v>11.0</v>
      </c>
      <c r="H1087" s="10" t="s">
        <v>1230</v>
      </c>
      <c r="I1087" s="10" t="s">
        <v>22</v>
      </c>
      <c r="J1087" s="9" t="str">
        <f t="shared" si="30"/>
        <v>No</v>
      </c>
      <c r="K1087" s="9" t="str">
        <f t="shared" si="31"/>
        <v/>
      </c>
      <c r="L1087" s="9" t="str">
        <f t="shared" si="32"/>
        <v/>
      </c>
      <c r="M1087" s="9"/>
      <c r="O1087" s="9"/>
    </row>
    <row r="1088" ht="15.75" customHeight="1">
      <c r="A1088" s="9" t="str">
        <f>IFERROR(__xludf.DUMMYFUNCTION("IF(B1088="""","""",RIGHT(REGEXREPLACE(B1088&amp;"""",""[^0-9]"",""""),9))"),"713331979")</f>
        <v>713331979</v>
      </c>
      <c r="B1088" s="48">
        <v>7.13331979E8</v>
      </c>
      <c r="C1088" s="10" t="s">
        <v>1231</v>
      </c>
      <c r="D1088" s="10" t="s">
        <v>120</v>
      </c>
      <c r="E1088" s="13">
        <v>46227.0</v>
      </c>
      <c r="F1088" s="10" t="s">
        <v>35</v>
      </c>
      <c r="G1088" s="10">
        <v>11.0</v>
      </c>
      <c r="I1088" s="10" t="s">
        <v>22</v>
      </c>
      <c r="J1088" s="9" t="str">
        <f t="shared" si="30"/>
        <v>No</v>
      </c>
      <c r="K1088" s="9" t="str">
        <f t="shared" si="31"/>
        <v/>
      </c>
      <c r="L1088" s="9" t="str">
        <f t="shared" si="32"/>
        <v/>
      </c>
      <c r="M1088" s="9"/>
      <c r="O1088" s="9"/>
    </row>
    <row r="1089" ht="15.75" customHeight="1">
      <c r="A1089" s="9" t="str">
        <f>IFERROR(__xludf.DUMMYFUNCTION("IF(B1089="""","""",RIGHT(REGEXREPLACE(B1089&amp;"""",""[^0-9]"",""""),9))"),"760454800")</f>
        <v>760454800</v>
      </c>
      <c r="B1089" s="10">
        <v>7.604548E8</v>
      </c>
      <c r="C1089" s="10" t="s">
        <v>1232</v>
      </c>
      <c r="D1089" s="10" t="s">
        <v>20</v>
      </c>
      <c r="E1089" s="13">
        <v>46227.0</v>
      </c>
      <c r="F1089" s="10" t="s">
        <v>35</v>
      </c>
      <c r="G1089" s="10">
        <v>11.0</v>
      </c>
      <c r="H1089" s="10" t="s">
        <v>1233</v>
      </c>
      <c r="I1089" s="10" t="s">
        <v>22</v>
      </c>
      <c r="J1089" s="9" t="str">
        <f t="shared" si="30"/>
        <v>No</v>
      </c>
      <c r="K1089" s="9" t="str">
        <f t="shared" si="31"/>
        <v/>
      </c>
      <c r="L1089" s="9" t="str">
        <f t="shared" si="32"/>
        <v/>
      </c>
      <c r="M1089" s="9"/>
      <c r="O1089" s="9"/>
    </row>
    <row r="1090" ht="15.75" customHeight="1">
      <c r="A1090" s="9" t="str">
        <f>IFERROR(__xludf.DUMMYFUNCTION("IF(B1090="""","""",RIGHT(REGEXREPLACE(B1090&amp;"""",""[^0-9]"",""""),9))"),"712760515")</f>
        <v>712760515</v>
      </c>
      <c r="B1090" s="48">
        <v>7.12760515E8</v>
      </c>
      <c r="C1090" s="10" t="s">
        <v>1234</v>
      </c>
      <c r="D1090" s="10" t="s">
        <v>50</v>
      </c>
      <c r="E1090" s="13">
        <v>46227.0</v>
      </c>
      <c r="F1090" s="10" t="s">
        <v>21</v>
      </c>
      <c r="G1090" s="10">
        <v>11.0</v>
      </c>
      <c r="I1090" s="10" t="s">
        <v>22</v>
      </c>
      <c r="J1090" s="9" t="str">
        <f t="shared" si="30"/>
        <v>No</v>
      </c>
      <c r="K1090" s="9" t="str">
        <f t="shared" si="31"/>
        <v/>
      </c>
      <c r="L1090" s="9" t="str">
        <f t="shared" si="32"/>
        <v/>
      </c>
      <c r="M1090" s="9"/>
      <c r="O1090" s="9"/>
    </row>
    <row r="1091" ht="15.75" customHeight="1">
      <c r="A1091" s="9" t="str">
        <f>IFERROR(__xludf.DUMMYFUNCTION("IF(B1091="""","""",RIGHT(REGEXREPLACE(B1091&amp;"""",""[^0-9]"",""""),9))"),"772061243")</f>
        <v>772061243</v>
      </c>
      <c r="B1091" s="48">
        <v>7.72061243E8</v>
      </c>
      <c r="C1091" s="10" t="s">
        <v>1235</v>
      </c>
      <c r="D1091" s="10" t="s">
        <v>34</v>
      </c>
      <c r="E1091" s="13">
        <v>46227.0</v>
      </c>
      <c r="F1091" s="10" t="s">
        <v>35</v>
      </c>
      <c r="G1091" s="10">
        <v>11.0</v>
      </c>
      <c r="I1091" s="10" t="s">
        <v>22</v>
      </c>
      <c r="J1091" s="9" t="str">
        <f t="shared" si="30"/>
        <v>No</v>
      </c>
      <c r="K1091" s="9" t="str">
        <f t="shared" si="31"/>
        <v/>
      </c>
      <c r="L1091" s="9" t="str">
        <f t="shared" si="32"/>
        <v/>
      </c>
      <c r="M1091" s="9"/>
      <c r="O1091" s="9"/>
    </row>
    <row r="1092" ht="15.75" customHeight="1">
      <c r="A1092" s="9" t="str">
        <f>IFERROR(__xludf.DUMMYFUNCTION("IF(B1092="""","""",RIGHT(REGEXREPLACE(B1092&amp;"""",""[^0-9]"",""""),9))"),"755954915")</f>
        <v>755954915</v>
      </c>
      <c r="B1092" s="10">
        <v>7.55954915E8</v>
      </c>
      <c r="C1092" s="10" t="s">
        <v>1236</v>
      </c>
      <c r="D1092" s="10" t="s">
        <v>20</v>
      </c>
      <c r="E1092" s="13">
        <v>46227.0</v>
      </c>
      <c r="F1092" s="10" t="s">
        <v>198</v>
      </c>
      <c r="G1092" s="10">
        <v>11.0</v>
      </c>
      <c r="I1092" s="10" t="s">
        <v>22</v>
      </c>
      <c r="J1092" s="9" t="str">
        <f t="shared" si="30"/>
        <v>No</v>
      </c>
      <c r="K1092" s="9" t="str">
        <f t="shared" si="31"/>
        <v/>
      </c>
      <c r="L1092" s="9" t="str">
        <f t="shared" si="32"/>
        <v/>
      </c>
      <c r="M1092" s="9"/>
      <c r="O1092" s="9"/>
    </row>
    <row r="1093" ht="15.75" customHeight="1">
      <c r="A1093" s="9" t="str">
        <f>IFERROR(__xludf.DUMMYFUNCTION("IF(B1093="""","""",RIGHT(REGEXREPLACE(B1093&amp;"""",""[^0-9]"",""""),9))"),"761684926")</f>
        <v>761684926</v>
      </c>
      <c r="B1093" s="48">
        <v>7.61684926E8</v>
      </c>
      <c r="C1093" s="10" t="s">
        <v>1237</v>
      </c>
      <c r="D1093" s="10" t="s">
        <v>69</v>
      </c>
      <c r="E1093" s="13">
        <v>46227.0</v>
      </c>
      <c r="F1093" s="10" t="s">
        <v>198</v>
      </c>
      <c r="G1093" s="10">
        <v>11.0</v>
      </c>
      <c r="I1093" s="10" t="s">
        <v>22</v>
      </c>
      <c r="J1093" s="9" t="str">
        <f t="shared" si="30"/>
        <v>No</v>
      </c>
      <c r="K1093" s="9" t="str">
        <f t="shared" si="31"/>
        <v/>
      </c>
      <c r="L1093" s="9" t="str">
        <f t="shared" si="32"/>
        <v/>
      </c>
      <c r="M1093" s="9"/>
      <c r="O1093" s="9"/>
    </row>
    <row r="1094" ht="15.75" customHeight="1">
      <c r="A1094" s="9" t="str">
        <f>IFERROR(__xludf.DUMMYFUNCTION("IF(B1094="""","""",RIGHT(REGEXREPLACE(B1094&amp;"""",""[^0-9]"",""""),9))"),"763618539")</f>
        <v>763618539</v>
      </c>
      <c r="B1094" s="10">
        <v>7.63618539E8</v>
      </c>
      <c r="C1094" s="10" t="s">
        <v>1238</v>
      </c>
      <c r="D1094" s="10" t="s">
        <v>20</v>
      </c>
      <c r="E1094" s="13">
        <v>46227.0</v>
      </c>
      <c r="F1094" s="10" t="s">
        <v>35</v>
      </c>
      <c r="G1094" s="10">
        <v>11.0</v>
      </c>
      <c r="I1094" s="10" t="s">
        <v>22</v>
      </c>
      <c r="J1094" s="9" t="str">
        <f t="shared" si="30"/>
        <v>No</v>
      </c>
      <c r="K1094" s="9" t="str">
        <f t="shared" si="31"/>
        <v/>
      </c>
      <c r="L1094" s="9" t="str">
        <f t="shared" si="32"/>
        <v/>
      </c>
      <c r="M1094" s="9"/>
      <c r="O1094" s="9"/>
    </row>
    <row r="1095" ht="15.75" customHeight="1">
      <c r="A1095" s="9" t="str">
        <f>IFERROR(__xludf.DUMMYFUNCTION("IF(B1095="""","""",RIGHT(REGEXREPLACE(B1095&amp;"""",""[^0-9]"",""""),9))"),"703033001")</f>
        <v>703033001</v>
      </c>
      <c r="B1095" s="48">
        <v>7.03033001E8</v>
      </c>
      <c r="C1095" s="10" t="s">
        <v>1239</v>
      </c>
      <c r="D1095" s="10" t="s">
        <v>50</v>
      </c>
      <c r="E1095" s="13">
        <v>46227.0</v>
      </c>
      <c r="F1095" s="10" t="s">
        <v>21</v>
      </c>
      <c r="G1095" s="10">
        <v>11.0</v>
      </c>
      <c r="I1095" s="10" t="s">
        <v>22</v>
      </c>
      <c r="J1095" s="9" t="str">
        <f t="shared" si="30"/>
        <v>No</v>
      </c>
      <c r="K1095" s="9" t="str">
        <f t="shared" si="31"/>
        <v/>
      </c>
      <c r="L1095" s="9" t="str">
        <f t="shared" si="32"/>
        <v/>
      </c>
      <c r="M1095" s="9"/>
      <c r="O1095" s="9"/>
    </row>
    <row r="1096" ht="15.75" customHeight="1">
      <c r="A1096" s="9" t="str">
        <f>IFERROR(__xludf.DUMMYFUNCTION("IF(B1096="""","""",RIGHT(REGEXREPLACE(B1096&amp;"""",""[^0-9]"",""""),9))"),"768774623")</f>
        <v>768774623</v>
      </c>
      <c r="B1096" s="48">
        <v>7.68774623E8</v>
      </c>
      <c r="C1096" s="10" t="s">
        <v>1240</v>
      </c>
      <c r="D1096" s="10" t="s">
        <v>69</v>
      </c>
      <c r="E1096" s="13">
        <v>46227.0</v>
      </c>
      <c r="F1096" s="10" t="s">
        <v>21</v>
      </c>
      <c r="G1096" s="10">
        <v>11.0</v>
      </c>
      <c r="I1096" s="10" t="s">
        <v>22</v>
      </c>
      <c r="J1096" s="9" t="str">
        <f t="shared" si="30"/>
        <v>No</v>
      </c>
      <c r="K1096" s="9" t="str">
        <f t="shared" si="31"/>
        <v/>
      </c>
      <c r="L1096" s="9" t="str">
        <f t="shared" si="32"/>
        <v/>
      </c>
      <c r="M1096" s="9"/>
      <c r="O1096" s="9"/>
    </row>
    <row r="1097" ht="15.75" customHeight="1">
      <c r="A1097" s="9" t="str">
        <f>IFERROR(__xludf.DUMMYFUNCTION("IF(B1097="""","""",RIGHT(REGEXREPLACE(B1097&amp;"""",""[^0-9]"",""""),9))"),"711416533")</f>
        <v>711416533</v>
      </c>
      <c r="B1097" s="48">
        <v>7.11416533E8</v>
      </c>
      <c r="C1097" s="10" t="s">
        <v>1241</v>
      </c>
      <c r="D1097" s="10" t="s">
        <v>34</v>
      </c>
      <c r="E1097" s="13">
        <v>46227.0</v>
      </c>
      <c r="F1097" s="10" t="s">
        <v>35</v>
      </c>
      <c r="G1097" s="10">
        <v>11.0</v>
      </c>
      <c r="I1097" s="10" t="s">
        <v>22</v>
      </c>
      <c r="J1097" s="9" t="str">
        <f t="shared" si="30"/>
        <v>No</v>
      </c>
      <c r="K1097" s="9" t="str">
        <f t="shared" si="31"/>
        <v/>
      </c>
      <c r="L1097" s="9" t="str">
        <f t="shared" si="32"/>
        <v/>
      </c>
      <c r="M1097" s="9"/>
      <c r="O1097" s="9"/>
    </row>
    <row r="1098" ht="15.75" customHeight="1">
      <c r="A1098" s="9" t="str">
        <f>IFERROR(__xludf.DUMMYFUNCTION("IF(B1098="""","""",RIGHT(REGEXREPLACE(B1098&amp;"""",""[^0-9]"",""""),9))"),"767510514")</f>
        <v>767510514</v>
      </c>
      <c r="B1098" s="10">
        <v>7.67510514E8</v>
      </c>
      <c r="C1098" s="10" t="s">
        <v>1242</v>
      </c>
      <c r="D1098" s="10" t="s">
        <v>20</v>
      </c>
      <c r="E1098" s="13">
        <v>46227.0</v>
      </c>
      <c r="F1098" s="10" t="s">
        <v>21</v>
      </c>
      <c r="G1098" s="10">
        <v>9.0</v>
      </c>
      <c r="I1098" s="10" t="s">
        <v>22</v>
      </c>
      <c r="J1098" s="9" t="str">
        <f t="shared" si="30"/>
        <v>No</v>
      </c>
      <c r="K1098" s="9" t="str">
        <f t="shared" si="31"/>
        <v/>
      </c>
      <c r="L1098" s="9" t="str">
        <f t="shared" si="32"/>
        <v/>
      </c>
      <c r="M1098" s="9"/>
      <c r="O1098" s="9"/>
    </row>
    <row r="1099" ht="15.75" customHeight="1">
      <c r="A1099" s="9" t="str">
        <f>IFERROR(__xludf.DUMMYFUNCTION("IF(B1099="""","""",RIGHT(REGEXREPLACE(B1099&amp;"""",""[^0-9]"",""""),9))"),"718258496")</f>
        <v>718258496</v>
      </c>
      <c r="B1099" s="48">
        <v>7.18258496E8</v>
      </c>
      <c r="C1099" s="10" t="s">
        <v>1243</v>
      </c>
      <c r="D1099" s="10" t="s">
        <v>69</v>
      </c>
      <c r="E1099" s="13">
        <v>46227.0</v>
      </c>
      <c r="F1099" s="10" t="s">
        <v>35</v>
      </c>
      <c r="G1099" s="10">
        <v>10.0</v>
      </c>
      <c r="I1099" s="10" t="s">
        <v>22</v>
      </c>
      <c r="J1099" s="9" t="str">
        <f t="shared" si="30"/>
        <v>No</v>
      </c>
      <c r="K1099" s="9" t="str">
        <f t="shared" si="31"/>
        <v/>
      </c>
      <c r="L1099" s="9" t="str">
        <f t="shared" si="32"/>
        <v/>
      </c>
      <c r="M1099" s="9"/>
      <c r="O1099" s="9"/>
    </row>
    <row r="1100" ht="15.75" customHeight="1">
      <c r="A1100" s="9" t="str">
        <f>IFERROR(__xludf.DUMMYFUNCTION("IF(B1100="""","""",RIGHT(REGEXREPLACE(B1100&amp;"""",""[^0-9]"",""""),9))"),"719446262")</f>
        <v>719446262</v>
      </c>
      <c r="B1100" s="48">
        <v>7.19446262E8</v>
      </c>
      <c r="C1100" s="10" t="s">
        <v>1244</v>
      </c>
      <c r="D1100" s="10" t="s">
        <v>120</v>
      </c>
      <c r="E1100" s="13">
        <v>46227.0</v>
      </c>
      <c r="F1100" s="10" t="s">
        <v>35</v>
      </c>
      <c r="G1100" s="10">
        <v>11.0</v>
      </c>
      <c r="I1100" s="10" t="s">
        <v>22</v>
      </c>
      <c r="J1100" s="9" t="str">
        <f t="shared" si="30"/>
        <v>No</v>
      </c>
      <c r="K1100" s="9" t="str">
        <f t="shared" si="31"/>
        <v/>
      </c>
      <c r="L1100" s="9" t="str">
        <f t="shared" si="32"/>
        <v/>
      </c>
      <c r="M1100" s="9"/>
      <c r="O1100" s="9"/>
    </row>
    <row r="1101" ht="15.75" customHeight="1">
      <c r="A1101" s="9" t="str">
        <f>IFERROR(__xludf.DUMMYFUNCTION("IF(B1101="""","""",RIGHT(REGEXREPLACE(B1101&amp;"""",""[^0-9]"",""""),9))"),"767867665")</f>
        <v>767867665</v>
      </c>
      <c r="B1101" s="48">
        <v>7.67867665E8</v>
      </c>
      <c r="C1101" s="10" t="s">
        <v>1245</v>
      </c>
      <c r="D1101" s="10" t="s">
        <v>50</v>
      </c>
      <c r="E1101" s="13">
        <v>46227.0</v>
      </c>
      <c r="F1101" s="10" t="s">
        <v>21</v>
      </c>
      <c r="G1101" s="10">
        <v>11.0</v>
      </c>
      <c r="I1101" s="10" t="s">
        <v>22</v>
      </c>
      <c r="J1101" s="9" t="str">
        <f t="shared" si="30"/>
        <v>No</v>
      </c>
      <c r="K1101" s="9" t="str">
        <f t="shared" si="31"/>
        <v/>
      </c>
      <c r="L1101" s="9" t="str">
        <f t="shared" si="32"/>
        <v/>
      </c>
      <c r="M1101" s="9"/>
      <c r="O1101" s="9"/>
    </row>
    <row r="1102" ht="15.75" customHeight="1">
      <c r="A1102" s="9" t="str">
        <f>IFERROR(__xludf.DUMMYFUNCTION("IF(B1102="""","""",RIGHT(REGEXREPLACE(B1102&amp;"""",""[^0-9]"",""""),9))"),"713856219")</f>
        <v>713856219</v>
      </c>
      <c r="B1102" s="10">
        <v>7.13856219E8</v>
      </c>
      <c r="C1102" s="10" t="s">
        <v>1246</v>
      </c>
      <c r="D1102" s="10" t="s">
        <v>20</v>
      </c>
      <c r="E1102" s="13">
        <v>46227.0</v>
      </c>
      <c r="F1102" s="10" t="s">
        <v>21</v>
      </c>
      <c r="I1102" s="10" t="s">
        <v>22</v>
      </c>
      <c r="J1102" s="9" t="str">
        <f t="shared" si="30"/>
        <v>No</v>
      </c>
      <c r="K1102" s="9" t="str">
        <f t="shared" si="31"/>
        <v/>
      </c>
      <c r="L1102" s="9" t="str">
        <f t="shared" si="32"/>
        <v/>
      </c>
      <c r="M1102" s="9"/>
      <c r="O1102" s="9"/>
    </row>
    <row r="1103" ht="15.75" customHeight="1">
      <c r="A1103" s="9" t="str">
        <f>IFERROR(__xludf.DUMMYFUNCTION("IF(B1103="""","""",RIGHT(REGEXREPLACE(B1103&amp;"""",""[^0-9]"",""""),9))"),"702166912")</f>
        <v>702166912</v>
      </c>
      <c r="B1103" s="48">
        <v>7.02166912E8</v>
      </c>
      <c r="C1103" s="10" t="s">
        <v>1247</v>
      </c>
      <c r="D1103" s="10" t="s">
        <v>34</v>
      </c>
      <c r="E1103" s="13">
        <v>46227.0</v>
      </c>
      <c r="F1103" s="10" t="s">
        <v>198</v>
      </c>
      <c r="I1103" s="10" t="s">
        <v>22</v>
      </c>
      <c r="J1103" s="9" t="str">
        <f t="shared" si="30"/>
        <v>No</v>
      </c>
      <c r="K1103" s="9" t="str">
        <f t="shared" si="31"/>
        <v/>
      </c>
      <c r="L1103" s="9" t="str">
        <f t="shared" si="32"/>
        <v/>
      </c>
      <c r="M1103" s="9"/>
      <c r="O1103" s="9"/>
    </row>
    <row r="1104" ht="15.75" customHeight="1">
      <c r="A1104" s="9" t="str">
        <f>IFERROR(__xludf.DUMMYFUNCTION("IF(B1104="""","""",RIGHT(REGEXREPLACE(B1104&amp;"""",""[^0-9]"",""""),9))"),"763699569")</f>
        <v>763699569</v>
      </c>
      <c r="B1104" s="10">
        <v>7.63699569E8</v>
      </c>
      <c r="C1104" s="10" t="s">
        <v>1248</v>
      </c>
      <c r="D1104" s="10" t="s">
        <v>20</v>
      </c>
      <c r="E1104" s="13">
        <v>46227.0</v>
      </c>
      <c r="F1104" s="10" t="s">
        <v>35</v>
      </c>
      <c r="G1104" s="10">
        <v>11.0</v>
      </c>
      <c r="I1104" s="10" t="s">
        <v>22</v>
      </c>
      <c r="J1104" s="9" t="str">
        <f t="shared" si="30"/>
        <v>No</v>
      </c>
      <c r="K1104" s="9" t="str">
        <f t="shared" si="31"/>
        <v/>
      </c>
      <c r="L1104" s="9" t="str">
        <f t="shared" si="32"/>
        <v/>
      </c>
      <c r="M1104" s="9"/>
      <c r="O1104" s="9"/>
    </row>
    <row r="1105" ht="15.75" customHeight="1">
      <c r="A1105" s="9" t="str">
        <f>IFERROR(__xludf.DUMMYFUNCTION("IF(B1105="""","""",RIGHT(REGEXREPLACE(B1105&amp;"""",""[^0-9]"",""""),9))"),"788113829")</f>
        <v>788113829</v>
      </c>
      <c r="B1105" s="10">
        <v>7.88113829E8</v>
      </c>
      <c r="C1105" s="10" t="s">
        <v>1249</v>
      </c>
      <c r="D1105" s="10" t="s">
        <v>20</v>
      </c>
      <c r="E1105" s="13">
        <v>46227.0</v>
      </c>
      <c r="F1105" s="10" t="s">
        <v>198</v>
      </c>
      <c r="G1105" s="10">
        <v>11.0</v>
      </c>
      <c r="I1105" s="10" t="s">
        <v>22</v>
      </c>
      <c r="J1105" s="9" t="str">
        <f t="shared" si="30"/>
        <v>No</v>
      </c>
      <c r="K1105" s="9" t="str">
        <f t="shared" si="31"/>
        <v/>
      </c>
      <c r="L1105" s="9" t="str">
        <f t="shared" si="32"/>
        <v/>
      </c>
      <c r="M1105" s="9"/>
      <c r="O1105" s="9"/>
    </row>
    <row r="1106" ht="15.75" customHeight="1">
      <c r="A1106" s="9" t="str">
        <f>IFERROR(__xludf.DUMMYFUNCTION("IF(B1106="""","""",RIGHT(REGEXREPLACE(B1106&amp;"""",""[^0-9]"",""""),9))"),"717856274")</f>
        <v>717856274</v>
      </c>
      <c r="B1106" s="48">
        <v>7.17856274E8</v>
      </c>
      <c r="C1106" s="10" t="s">
        <v>1250</v>
      </c>
      <c r="D1106" s="10" t="s">
        <v>34</v>
      </c>
      <c r="E1106" s="13">
        <v>46227.0</v>
      </c>
      <c r="F1106" s="10" t="s">
        <v>21</v>
      </c>
      <c r="I1106" s="10" t="s">
        <v>22</v>
      </c>
      <c r="J1106" s="9" t="str">
        <f t="shared" si="30"/>
        <v>No</v>
      </c>
      <c r="K1106" s="9" t="str">
        <f t="shared" si="31"/>
        <v/>
      </c>
      <c r="L1106" s="9" t="str">
        <f t="shared" si="32"/>
        <v/>
      </c>
      <c r="M1106" s="9"/>
      <c r="O1106" s="9"/>
    </row>
    <row r="1107" ht="15.75" customHeight="1">
      <c r="A1107" s="9" t="str">
        <f>IFERROR(__xludf.DUMMYFUNCTION("IF(B1107="""","""",RIGHT(REGEXREPLACE(B1107&amp;"""",""[^0-9]"",""""),9))"),"771494596")</f>
        <v>771494596</v>
      </c>
      <c r="B1107" s="48">
        <v>7.71494596E8</v>
      </c>
      <c r="C1107" s="10" t="s">
        <v>1251</v>
      </c>
      <c r="D1107" s="10" t="s">
        <v>50</v>
      </c>
      <c r="E1107" s="13">
        <v>46227.0</v>
      </c>
      <c r="F1107" s="10" t="s">
        <v>35</v>
      </c>
      <c r="G1107" s="10">
        <v>11.0</v>
      </c>
      <c r="I1107" s="10" t="s">
        <v>22</v>
      </c>
      <c r="J1107" s="9" t="str">
        <f t="shared" si="30"/>
        <v>No</v>
      </c>
      <c r="K1107" s="9" t="str">
        <f t="shared" si="31"/>
        <v/>
      </c>
      <c r="L1107" s="9" t="str">
        <f t="shared" si="32"/>
        <v/>
      </c>
      <c r="M1107" s="9"/>
      <c r="O1107" s="9"/>
    </row>
    <row r="1108" ht="15.75" customHeight="1">
      <c r="A1108" s="9" t="str">
        <f>IFERROR(__xludf.DUMMYFUNCTION("IF(B1108="""","""",RIGHT(REGEXREPLACE(B1108&amp;"""",""[^0-9]"",""""),9))"),"751495480")</f>
        <v>751495480</v>
      </c>
      <c r="B1108" s="48">
        <v>7.5149548E8</v>
      </c>
      <c r="C1108" s="10" t="s">
        <v>1252</v>
      </c>
      <c r="D1108" s="10" t="s">
        <v>69</v>
      </c>
      <c r="E1108" s="13">
        <v>46227.0</v>
      </c>
      <c r="F1108" s="10" t="s">
        <v>35</v>
      </c>
      <c r="G1108" s="10">
        <v>11.0</v>
      </c>
      <c r="I1108" s="10" t="s">
        <v>22</v>
      </c>
      <c r="J1108" s="9" t="str">
        <f t="shared" si="30"/>
        <v>No</v>
      </c>
      <c r="K1108" s="9" t="str">
        <f t="shared" si="31"/>
        <v/>
      </c>
      <c r="L1108" s="9" t="str">
        <f t="shared" si="32"/>
        <v/>
      </c>
      <c r="M1108" s="9"/>
      <c r="O1108" s="9"/>
    </row>
    <row r="1109" ht="15.75" customHeight="1">
      <c r="A1109" s="9" t="str">
        <f>IFERROR(__xludf.DUMMYFUNCTION("IF(B1109="""","""",RIGHT(REGEXREPLACE(B1109&amp;"""",""[^0-9]"",""""),9))"),"701352978")</f>
        <v>701352978</v>
      </c>
      <c r="B1109" s="48">
        <v>7.01352978E8</v>
      </c>
      <c r="C1109" s="10" t="s">
        <v>1253</v>
      </c>
      <c r="D1109" s="10" t="s">
        <v>120</v>
      </c>
      <c r="E1109" s="13">
        <v>46227.0</v>
      </c>
      <c r="F1109" s="10" t="s">
        <v>21</v>
      </c>
      <c r="I1109" s="10" t="s">
        <v>22</v>
      </c>
      <c r="J1109" s="9" t="str">
        <f t="shared" si="30"/>
        <v>No</v>
      </c>
      <c r="K1109" s="9" t="str">
        <f t="shared" si="31"/>
        <v/>
      </c>
      <c r="L1109" s="9" t="str">
        <f t="shared" si="32"/>
        <v/>
      </c>
      <c r="M1109" s="9"/>
      <c r="O1109" s="9"/>
    </row>
    <row r="1110" ht="15.75" customHeight="1">
      <c r="A1110" s="9" t="str">
        <f>IFERROR(__xludf.DUMMYFUNCTION("IF(B1110="""","""",RIGHT(REGEXREPLACE(B1110&amp;"""",""[^0-9]"",""""),9))"),"754105620")</f>
        <v>754105620</v>
      </c>
      <c r="B1110" s="10">
        <v>7.5410562E8</v>
      </c>
      <c r="C1110" s="10" t="s">
        <v>1254</v>
      </c>
      <c r="D1110" s="10" t="s">
        <v>20</v>
      </c>
      <c r="E1110" s="13">
        <v>46227.0</v>
      </c>
      <c r="F1110" s="10" t="s">
        <v>198</v>
      </c>
      <c r="I1110" s="10" t="s">
        <v>22</v>
      </c>
      <c r="J1110" s="9" t="str">
        <f t="shared" si="30"/>
        <v>No</v>
      </c>
      <c r="K1110" s="9" t="str">
        <f t="shared" si="31"/>
        <v/>
      </c>
      <c r="L1110" s="9" t="str">
        <f t="shared" si="32"/>
        <v/>
      </c>
      <c r="M1110" s="9"/>
      <c r="O1110" s="9"/>
    </row>
    <row r="1111" ht="15.75" customHeight="1">
      <c r="A1111" s="9" t="str">
        <f>IFERROR(__xludf.DUMMYFUNCTION("IF(B1111="""","""",RIGHT(REGEXREPLACE(B1111&amp;"""",""[^0-9]"",""""),9))"),"773487726")</f>
        <v>773487726</v>
      </c>
      <c r="B1111" s="48">
        <v>7.73487726E8</v>
      </c>
      <c r="C1111" s="10" t="s">
        <v>1255</v>
      </c>
      <c r="D1111" s="10" t="s">
        <v>34</v>
      </c>
      <c r="E1111" s="13">
        <v>46227.0</v>
      </c>
      <c r="F1111" s="10" t="s">
        <v>35</v>
      </c>
      <c r="G1111" s="10">
        <v>11.0</v>
      </c>
      <c r="I1111" s="10" t="s">
        <v>22</v>
      </c>
      <c r="J1111" s="9" t="str">
        <f t="shared" si="30"/>
        <v>No</v>
      </c>
      <c r="K1111" s="9" t="str">
        <f t="shared" si="31"/>
        <v/>
      </c>
      <c r="L1111" s="9" t="str">
        <f t="shared" si="32"/>
        <v/>
      </c>
      <c r="M1111" s="9"/>
      <c r="O1111" s="9"/>
    </row>
    <row r="1112" ht="15.75" customHeight="1">
      <c r="A1112" s="9" t="str">
        <f>IFERROR(__xludf.DUMMYFUNCTION("IF(B1112="""","""",RIGHT(REGEXREPLACE(B1112&amp;"""",""[^0-9]"",""""),9))"),"703873253")</f>
        <v>703873253</v>
      </c>
      <c r="B1112" s="10">
        <v>7.03873253E8</v>
      </c>
      <c r="C1112" s="10" t="s">
        <v>1256</v>
      </c>
      <c r="D1112" s="10" t="s">
        <v>20</v>
      </c>
      <c r="E1112" s="13">
        <v>46227.0</v>
      </c>
      <c r="F1112" s="10" t="s">
        <v>198</v>
      </c>
      <c r="I1112" s="10" t="s">
        <v>22</v>
      </c>
      <c r="J1112" s="9" t="str">
        <f t="shared" si="30"/>
        <v>No</v>
      </c>
      <c r="K1112" s="9" t="str">
        <f t="shared" si="31"/>
        <v/>
      </c>
      <c r="L1112" s="9" t="str">
        <f t="shared" si="32"/>
        <v/>
      </c>
      <c r="M1112" s="9"/>
      <c r="O1112" s="9"/>
    </row>
    <row r="1113" ht="15.75" customHeight="1">
      <c r="A1113" s="9" t="str">
        <f>IFERROR(__xludf.DUMMYFUNCTION("IF(B1113="""","""",RIGHT(REGEXREPLACE(B1113&amp;"""",""[^0-9]"",""""),9))"),"703102509")</f>
        <v>703102509</v>
      </c>
      <c r="B1113" s="48">
        <v>7.03102509E8</v>
      </c>
      <c r="C1113" s="10" t="s">
        <v>1257</v>
      </c>
      <c r="D1113" s="10" t="s">
        <v>50</v>
      </c>
      <c r="E1113" s="13">
        <v>46227.0</v>
      </c>
      <c r="F1113" s="10" t="s">
        <v>21</v>
      </c>
      <c r="G1113" s="10">
        <v>11.0</v>
      </c>
      <c r="I1113" s="10" t="s">
        <v>22</v>
      </c>
      <c r="J1113" s="9" t="str">
        <f t="shared" si="30"/>
        <v>No</v>
      </c>
      <c r="K1113" s="9" t="str">
        <f t="shared" si="31"/>
        <v/>
      </c>
      <c r="L1113" s="9" t="str">
        <f t="shared" si="32"/>
        <v/>
      </c>
      <c r="M1113" s="9"/>
      <c r="O1113" s="9"/>
    </row>
    <row r="1114" ht="15.75" customHeight="1">
      <c r="A1114" s="9" t="str">
        <f>IFERROR(__xludf.DUMMYFUNCTION("IF(B1114="""","""",RIGHT(REGEXREPLACE(B1114&amp;"""",""[^0-9]"",""""),9))"),"719236429")</f>
        <v>719236429</v>
      </c>
      <c r="B1114" s="10">
        <v>7.19236429E8</v>
      </c>
      <c r="C1114" s="10" t="s">
        <v>1258</v>
      </c>
      <c r="D1114" s="10" t="s">
        <v>20</v>
      </c>
      <c r="E1114" s="13">
        <v>46227.0</v>
      </c>
      <c r="F1114" s="10" t="s">
        <v>21</v>
      </c>
      <c r="I1114" s="10" t="s">
        <v>22</v>
      </c>
      <c r="J1114" s="9" t="str">
        <f t="shared" si="30"/>
        <v>No</v>
      </c>
      <c r="K1114" s="9" t="str">
        <f t="shared" si="31"/>
        <v/>
      </c>
      <c r="L1114" s="9" t="str">
        <f t="shared" si="32"/>
        <v/>
      </c>
      <c r="M1114" s="9"/>
      <c r="O1114" s="9"/>
    </row>
    <row r="1115" ht="15.75" customHeight="1">
      <c r="A1115" s="9" t="str">
        <f>IFERROR(__xludf.DUMMYFUNCTION("IF(B1115="""","""",RIGHT(REGEXREPLACE(B1115&amp;"""",""[^0-9]"",""""),9))"),"760785003")</f>
        <v>760785003</v>
      </c>
      <c r="B1115" s="48">
        <v>7.60785003E8</v>
      </c>
      <c r="C1115" s="10" t="s">
        <v>1259</v>
      </c>
      <c r="D1115" s="10" t="s">
        <v>69</v>
      </c>
      <c r="E1115" s="13">
        <v>46227.0</v>
      </c>
      <c r="F1115" s="10" t="s">
        <v>21</v>
      </c>
      <c r="G1115" s="10">
        <v>11.0</v>
      </c>
      <c r="I1115" s="10" t="s">
        <v>22</v>
      </c>
      <c r="J1115" s="9" t="str">
        <f t="shared" si="30"/>
        <v>No</v>
      </c>
      <c r="K1115" s="9" t="str">
        <f t="shared" si="31"/>
        <v/>
      </c>
      <c r="L1115" s="9" t="str">
        <f t="shared" si="32"/>
        <v/>
      </c>
      <c r="M1115" s="9"/>
      <c r="O1115" s="9"/>
    </row>
    <row r="1116" ht="15.75" customHeight="1">
      <c r="A1116" s="9" t="str">
        <f>IFERROR(__xludf.DUMMYFUNCTION("IF(B1116="""","""",RIGHT(REGEXREPLACE(B1116&amp;"""",""[^0-9]"",""""),9))"),"769354283")</f>
        <v>769354283</v>
      </c>
      <c r="B1116" s="48">
        <v>7.69354283E8</v>
      </c>
      <c r="C1116" s="10" t="s">
        <v>1260</v>
      </c>
      <c r="D1116" s="10" t="s">
        <v>120</v>
      </c>
      <c r="E1116" s="13">
        <v>46227.0</v>
      </c>
      <c r="F1116" s="10" t="s">
        <v>145</v>
      </c>
      <c r="G1116" s="10">
        <v>11.0</v>
      </c>
      <c r="I1116" s="10" t="s">
        <v>22</v>
      </c>
      <c r="J1116" s="9" t="str">
        <f t="shared" si="30"/>
        <v>No</v>
      </c>
      <c r="K1116" s="9" t="str">
        <f t="shared" si="31"/>
        <v/>
      </c>
      <c r="L1116" s="9" t="str">
        <f t="shared" si="32"/>
        <v/>
      </c>
      <c r="M1116" s="9"/>
      <c r="O1116" s="9"/>
    </row>
    <row r="1117" ht="15.75" customHeight="1">
      <c r="A1117" s="9" t="str">
        <f>IFERROR(__xludf.DUMMYFUNCTION("IF(B1117="""","""",RIGHT(REGEXREPLACE(B1117&amp;"""",""[^0-9]"",""""),9))"),"767587553")</f>
        <v>767587553</v>
      </c>
      <c r="B1117" s="48">
        <v>7.67587553E8</v>
      </c>
      <c r="C1117" s="10" t="s">
        <v>1261</v>
      </c>
      <c r="D1117" s="10" t="s">
        <v>34</v>
      </c>
      <c r="E1117" s="13">
        <v>46227.0</v>
      </c>
      <c r="F1117" s="10" t="s">
        <v>113</v>
      </c>
      <c r="I1117" s="10" t="s">
        <v>22</v>
      </c>
      <c r="J1117" s="9" t="str">
        <f t="shared" si="30"/>
        <v>No</v>
      </c>
      <c r="K1117" s="9" t="str">
        <f t="shared" si="31"/>
        <v/>
      </c>
      <c r="L1117" s="9" t="str">
        <f t="shared" si="32"/>
        <v/>
      </c>
      <c r="M1117" s="9"/>
      <c r="O1117" s="9"/>
    </row>
    <row r="1118" ht="15.75" customHeight="1">
      <c r="A1118" s="9" t="str">
        <f>IFERROR(__xludf.DUMMYFUNCTION("IF(B1118="""","""",RIGHT(REGEXREPLACE(B1118&amp;"""",""[^0-9]"",""""),9))"),"718358292")</f>
        <v>718358292</v>
      </c>
      <c r="B1118" s="10">
        <v>7.18358292E8</v>
      </c>
      <c r="C1118" s="10" t="s">
        <v>1262</v>
      </c>
      <c r="D1118" s="10" t="s">
        <v>20</v>
      </c>
      <c r="E1118" s="13">
        <v>46227.0</v>
      </c>
      <c r="F1118" s="10" t="s">
        <v>35</v>
      </c>
      <c r="G1118" s="10">
        <v>11.0</v>
      </c>
      <c r="I1118" s="10" t="s">
        <v>22</v>
      </c>
      <c r="J1118" s="9" t="str">
        <f t="shared" si="30"/>
        <v>No</v>
      </c>
      <c r="K1118" s="9" t="str">
        <f t="shared" si="31"/>
        <v/>
      </c>
      <c r="L1118" s="9" t="str">
        <f t="shared" si="32"/>
        <v/>
      </c>
      <c r="M1118" s="9"/>
      <c r="O1118" s="9"/>
    </row>
    <row r="1119" ht="15.75" customHeight="1">
      <c r="A1119" s="9" t="str">
        <f>IFERROR(__xludf.DUMMYFUNCTION("IF(B1119="""","""",RIGHT(REGEXREPLACE(B1119&amp;"""",""[^0-9]"",""""),9))"),"768249157")</f>
        <v>768249157</v>
      </c>
      <c r="B1119" s="48">
        <v>7.68249157E8</v>
      </c>
      <c r="C1119" s="10" t="s">
        <v>1263</v>
      </c>
      <c r="D1119" s="10" t="s">
        <v>50</v>
      </c>
      <c r="E1119" s="13">
        <v>46227.0</v>
      </c>
      <c r="F1119" s="10" t="s">
        <v>35</v>
      </c>
      <c r="G1119" s="10">
        <v>11.0</v>
      </c>
      <c r="I1119" s="10" t="s">
        <v>22</v>
      </c>
      <c r="J1119" s="9" t="str">
        <f t="shared" si="30"/>
        <v>No</v>
      </c>
      <c r="K1119" s="9" t="str">
        <f t="shared" si="31"/>
        <v/>
      </c>
      <c r="L1119" s="9" t="str">
        <f t="shared" si="32"/>
        <v/>
      </c>
      <c r="M1119" s="9"/>
      <c r="O1119" s="9"/>
    </row>
    <row r="1120" ht="15.75" customHeight="1">
      <c r="A1120" s="9" t="str">
        <f>IFERROR(__xludf.DUMMYFUNCTION("IF(B1120="""","""",RIGHT(REGEXREPLACE(B1120&amp;"""",""[^0-9]"",""""),9))"),"706627673")</f>
        <v>706627673</v>
      </c>
      <c r="B1120" s="48">
        <v>7.06627673E8</v>
      </c>
      <c r="C1120" s="10" t="s">
        <v>1264</v>
      </c>
      <c r="D1120" s="10" t="s">
        <v>69</v>
      </c>
      <c r="E1120" s="13">
        <v>46227.0</v>
      </c>
      <c r="F1120" s="10" t="s">
        <v>173</v>
      </c>
      <c r="G1120" s="10">
        <v>11.0</v>
      </c>
      <c r="I1120" s="10" t="s">
        <v>22</v>
      </c>
      <c r="J1120" s="9" t="str">
        <f t="shared" si="30"/>
        <v>No</v>
      </c>
      <c r="K1120" s="9" t="str">
        <f t="shared" si="31"/>
        <v/>
      </c>
      <c r="L1120" s="9" t="str">
        <f t="shared" si="32"/>
        <v/>
      </c>
      <c r="M1120" s="9"/>
      <c r="O1120" s="9"/>
    </row>
    <row r="1121" ht="15.75" customHeight="1">
      <c r="A1121" s="9" t="str">
        <f>IFERROR(__xludf.DUMMYFUNCTION("IF(B1121="""","""",RIGHT(REGEXREPLACE(B1121&amp;"""",""[^0-9]"",""""),9))"),"740874318")</f>
        <v>740874318</v>
      </c>
      <c r="B1121" s="10">
        <v>7.40874318E8</v>
      </c>
      <c r="C1121" s="10" t="s">
        <v>1265</v>
      </c>
      <c r="D1121" s="10" t="s">
        <v>20</v>
      </c>
      <c r="E1121" s="13">
        <v>46227.0</v>
      </c>
      <c r="F1121" s="10" t="s">
        <v>35</v>
      </c>
      <c r="G1121" s="10">
        <v>11.0</v>
      </c>
      <c r="I1121" s="10" t="s">
        <v>22</v>
      </c>
      <c r="J1121" s="9" t="str">
        <f t="shared" si="30"/>
        <v>No</v>
      </c>
      <c r="K1121" s="9" t="str">
        <f t="shared" si="31"/>
        <v/>
      </c>
      <c r="L1121" s="9" t="str">
        <f t="shared" si="32"/>
        <v/>
      </c>
      <c r="M1121" s="9"/>
      <c r="O1121" s="9"/>
    </row>
    <row r="1122" ht="15.75" customHeight="1">
      <c r="A1122" s="9" t="str">
        <f>IFERROR(__xludf.DUMMYFUNCTION("IF(B1122="""","""",RIGHT(REGEXREPLACE(B1122&amp;"""",""[^0-9]"",""""),9))"),"772633563")</f>
        <v>772633563</v>
      </c>
      <c r="B1122" s="10">
        <v>7.72633563E8</v>
      </c>
      <c r="C1122" s="10" t="s">
        <v>1266</v>
      </c>
      <c r="D1122" s="10" t="s">
        <v>20</v>
      </c>
      <c r="E1122" s="13">
        <v>46227.0</v>
      </c>
      <c r="F1122" s="10" t="s">
        <v>35</v>
      </c>
      <c r="G1122" s="10">
        <v>11.0</v>
      </c>
      <c r="H1122" s="10" t="s">
        <v>1267</v>
      </c>
      <c r="I1122" s="10" t="s">
        <v>22</v>
      </c>
      <c r="J1122" s="9" t="str">
        <f t="shared" si="30"/>
        <v>No</v>
      </c>
      <c r="K1122" s="9" t="str">
        <f t="shared" si="31"/>
        <v/>
      </c>
      <c r="L1122" s="9" t="str">
        <f t="shared" si="32"/>
        <v/>
      </c>
      <c r="M1122" s="9"/>
      <c r="O1122" s="9"/>
    </row>
    <row r="1123" ht="15.75" customHeight="1">
      <c r="A1123" s="9" t="str">
        <f>IFERROR(__xludf.DUMMYFUNCTION("IF(B1123="""","""",RIGHT(REGEXREPLACE(B1123&amp;"""",""[^0-9]"",""""),9))"),"772992069")</f>
        <v>772992069</v>
      </c>
      <c r="B1123" s="48">
        <v>7.72992069E8</v>
      </c>
      <c r="C1123" s="10" t="s">
        <v>1268</v>
      </c>
      <c r="D1123" s="10" t="s">
        <v>120</v>
      </c>
      <c r="E1123" s="13">
        <v>46227.0</v>
      </c>
      <c r="F1123" s="10" t="s">
        <v>21</v>
      </c>
      <c r="G1123" s="10">
        <v>11.0</v>
      </c>
      <c r="I1123" s="10" t="s">
        <v>22</v>
      </c>
      <c r="J1123" s="9" t="str">
        <f t="shared" si="30"/>
        <v>No</v>
      </c>
      <c r="K1123" s="9" t="str">
        <f t="shared" si="31"/>
        <v/>
      </c>
      <c r="L1123" s="9" t="str">
        <f t="shared" si="32"/>
        <v/>
      </c>
      <c r="M1123" s="9"/>
      <c r="O1123" s="9"/>
    </row>
    <row r="1124" ht="15.75" customHeight="1">
      <c r="A1124" s="9" t="str">
        <f>IFERROR(__xludf.DUMMYFUNCTION("IF(B1124="""","""",RIGHT(REGEXREPLACE(B1124&amp;"""",""[^0-9]"",""""),9))"),"725919391")</f>
        <v>725919391</v>
      </c>
      <c r="B1124" s="48">
        <v>7.25919391E8</v>
      </c>
      <c r="C1124" s="10" t="s">
        <v>1269</v>
      </c>
      <c r="D1124" s="10" t="s">
        <v>34</v>
      </c>
      <c r="E1124" s="13">
        <v>46227.0</v>
      </c>
      <c r="F1124" s="10" t="s">
        <v>35</v>
      </c>
      <c r="G1124" s="10">
        <v>8.0</v>
      </c>
      <c r="I1124" s="10" t="s">
        <v>22</v>
      </c>
      <c r="J1124" s="9" t="str">
        <f t="shared" si="30"/>
        <v>No</v>
      </c>
      <c r="K1124" s="9" t="str">
        <f t="shared" si="31"/>
        <v/>
      </c>
      <c r="L1124" s="9" t="str">
        <f t="shared" si="32"/>
        <v/>
      </c>
      <c r="M1124" s="9"/>
      <c r="O1124" s="9"/>
    </row>
    <row r="1125" ht="15.75" customHeight="1">
      <c r="A1125" s="9" t="str">
        <f>IFERROR(__xludf.DUMMYFUNCTION("IF(B1125="""","""",RIGHT(REGEXREPLACE(B1125&amp;"""",""[^0-9]"",""""),9))"),"715253654")</f>
        <v>715253654</v>
      </c>
      <c r="B1125" s="48">
        <v>7.15253654E8</v>
      </c>
      <c r="C1125" s="10" t="s">
        <v>1270</v>
      </c>
      <c r="D1125" s="10" t="s">
        <v>50</v>
      </c>
      <c r="E1125" s="13">
        <v>46227.0</v>
      </c>
      <c r="F1125" s="10" t="s">
        <v>35</v>
      </c>
      <c r="I1125" s="10" t="s">
        <v>22</v>
      </c>
      <c r="J1125" s="9" t="str">
        <f t="shared" si="30"/>
        <v>No</v>
      </c>
      <c r="K1125" s="9" t="str">
        <f t="shared" si="31"/>
        <v/>
      </c>
      <c r="L1125" s="9" t="str">
        <f t="shared" si="32"/>
        <v/>
      </c>
      <c r="M1125" s="9"/>
      <c r="O1125" s="9"/>
    </row>
    <row r="1126" ht="15.75" customHeight="1">
      <c r="A1126" s="9" t="str">
        <f>IFERROR(__xludf.DUMMYFUNCTION("IF(B1126="""","""",RIGHT(REGEXREPLACE(B1126&amp;"""",""[^0-9]"",""""),9))"),"713442915")</f>
        <v>713442915</v>
      </c>
      <c r="B1126" s="10">
        <v>7.13442915E8</v>
      </c>
      <c r="C1126" s="10" t="s">
        <v>1271</v>
      </c>
      <c r="D1126" s="10" t="s">
        <v>20</v>
      </c>
      <c r="E1126" s="13">
        <v>46227.0</v>
      </c>
      <c r="F1126" s="10" t="s">
        <v>35</v>
      </c>
      <c r="G1126" s="10">
        <v>11.0</v>
      </c>
      <c r="H1126" s="10" t="s">
        <v>238</v>
      </c>
      <c r="I1126" s="10" t="s">
        <v>22</v>
      </c>
      <c r="J1126" s="9" t="str">
        <f t="shared" si="30"/>
        <v>No</v>
      </c>
      <c r="K1126" s="9" t="str">
        <f t="shared" si="31"/>
        <v/>
      </c>
      <c r="L1126" s="9" t="str">
        <f t="shared" si="32"/>
        <v/>
      </c>
      <c r="M1126" s="9"/>
      <c r="O1126" s="9"/>
    </row>
    <row r="1127" ht="15.75" customHeight="1">
      <c r="A1127" s="9" t="str">
        <f>IFERROR(__xludf.DUMMYFUNCTION("IF(B1127="""","""",RIGHT(REGEXREPLACE(B1127&amp;"""",""[^0-9]"",""""),9))"),"713738928")</f>
        <v>713738928</v>
      </c>
      <c r="B1127" s="48">
        <v>7.13738928E8</v>
      </c>
      <c r="C1127" s="10" t="s">
        <v>1272</v>
      </c>
      <c r="D1127" s="10" t="s">
        <v>69</v>
      </c>
      <c r="E1127" s="13">
        <v>46227.0</v>
      </c>
      <c r="F1127" s="10" t="s">
        <v>35</v>
      </c>
      <c r="G1127" s="10">
        <v>11.0</v>
      </c>
      <c r="I1127" s="10" t="s">
        <v>22</v>
      </c>
      <c r="J1127" s="9" t="str">
        <f t="shared" si="30"/>
        <v>No</v>
      </c>
      <c r="K1127" s="9" t="str">
        <f t="shared" si="31"/>
        <v/>
      </c>
      <c r="L1127" s="9" t="str">
        <f t="shared" si="32"/>
        <v/>
      </c>
      <c r="M1127" s="9"/>
      <c r="O1127" s="9"/>
    </row>
    <row r="1128" ht="15.75" customHeight="1">
      <c r="A1128" s="9" t="str">
        <f>IFERROR(__xludf.DUMMYFUNCTION("IF(B1128="""","""",RIGHT(REGEXREPLACE(B1128&amp;"""",""[^0-9]"",""""),9))"),"776467898")</f>
        <v>776467898</v>
      </c>
      <c r="B1128" s="10">
        <v>7.76467898E8</v>
      </c>
      <c r="C1128" s="10" t="s">
        <v>1273</v>
      </c>
      <c r="D1128" s="10" t="s">
        <v>20</v>
      </c>
      <c r="E1128" s="13">
        <v>46227.0</v>
      </c>
      <c r="F1128" s="10" t="s">
        <v>35</v>
      </c>
      <c r="G1128" s="10">
        <v>10.0</v>
      </c>
      <c r="H1128" s="10" t="s">
        <v>1274</v>
      </c>
      <c r="I1128" s="10" t="s">
        <v>22</v>
      </c>
      <c r="J1128" s="9" t="str">
        <f t="shared" si="30"/>
        <v>No</v>
      </c>
      <c r="K1128" s="9" t="str">
        <f t="shared" si="31"/>
        <v/>
      </c>
      <c r="L1128" s="9" t="str">
        <f t="shared" si="32"/>
        <v/>
      </c>
      <c r="M1128" s="9"/>
      <c r="O1128" s="9"/>
    </row>
    <row r="1129" ht="15.75" customHeight="1">
      <c r="A1129" s="9" t="str">
        <f>IFERROR(__xludf.DUMMYFUNCTION("IF(B1129="""","""",RIGHT(REGEXREPLACE(B1129&amp;"""",""[^0-9]"",""""),9))"),"766858984")</f>
        <v>766858984</v>
      </c>
      <c r="B1129" s="48">
        <v>7.66858984E8</v>
      </c>
      <c r="C1129" s="10" t="s">
        <v>1275</v>
      </c>
      <c r="D1129" s="10" t="s">
        <v>120</v>
      </c>
      <c r="E1129" s="13">
        <v>46227.0</v>
      </c>
      <c r="F1129" s="10" t="s">
        <v>21</v>
      </c>
      <c r="I1129" s="10" t="s">
        <v>22</v>
      </c>
      <c r="J1129" s="9" t="str">
        <f t="shared" si="30"/>
        <v>No</v>
      </c>
      <c r="K1129" s="9" t="str">
        <f t="shared" si="31"/>
        <v/>
      </c>
      <c r="L1129" s="9" t="str">
        <f t="shared" si="32"/>
        <v/>
      </c>
      <c r="M1129" s="9"/>
      <c r="O1129" s="9"/>
    </row>
    <row r="1130" ht="15.75" customHeight="1">
      <c r="A1130" s="9" t="str">
        <f>IFERROR(__xludf.DUMMYFUNCTION("IF(B1130="""","""",RIGHT(REGEXREPLACE(B1130&amp;"""",""[^0-9]"",""""),9))"),"775386169")</f>
        <v>775386169</v>
      </c>
      <c r="B1130" s="48">
        <v>7.75386169E8</v>
      </c>
      <c r="C1130" s="10" t="s">
        <v>1276</v>
      </c>
      <c r="D1130" s="10" t="s">
        <v>50</v>
      </c>
      <c r="E1130" s="13">
        <v>46227.0</v>
      </c>
      <c r="F1130" s="10" t="s">
        <v>35</v>
      </c>
      <c r="G1130" s="10">
        <v>11.0</v>
      </c>
      <c r="I1130" s="10" t="s">
        <v>22</v>
      </c>
      <c r="J1130" s="9" t="str">
        <f t="shared" si="30"/>
        <v>No</v>
      </c>
      <c r="K1130" s="9" t="str">
        <f t="shared" si="31"/>
        <v/>
      </c>
      <c r="L1130" s="9" t="str">
        <f t="shared" si="32"/>
        <v/>
      </c>
      <c r="M1130" s="9"/>
      <c r="O1130" s="9"/>
    </row>
    <row r="1131" ht="15.75" customHeight="1">
      <c r="A1131" s="9" t="str">
        <f>IFERROR(__xludf.DUMMYFUNCTION("IF(B1131="""","""",RIGHT(REGEXREPLACE(B1131&amp;"""",""[^0-9]"",""""),9))"),"787237367")</f>
        <v>787237367</v>
      </c>
      <c r="B1131" s="10">
        <v>7.87237367E8</v>
      </c>
      <c r="C1131" s="10" t="s">
        <v>1277</v>
      </c>
      <c r="D1131" s="10" t="s">
        <v>20</v>
      </c>
      <c r="E1131" s="13">
        <v>46227.0</v>
      </c>
      <c r="F1131" s="10" t="s">
        <v>21</v>
      </c>
      <c r="H1131" s="10" t="s">
        <v>1278</v>
      </c>
      <c r="I1131" s="10" t="s">
        <v>22</v>
      </c>
      <c r="J1131" s="9" t="str">
        <f t="shared" si="30"/>
        <v>No</v>
      </c>
      <c r="K1131" s="9" t="str">
        <f t="shared" si="31"/>
        <v/>
      </c>
      <c r="L1131" s="9" t="str">
        <f t="shared" si="32"/>
        <v/>
      </c>
      <c r="M1131" s="9"/>
      <c r="O1131" s="9"/>
    </row>
    <row r="1132" ht="15.75" customHeight="1">
      <c r="A1132" s="9" t="str">
        <f>IFERROR(__xludf.DUMMYFUNCTION("IF(B1132="""","""",RIGHT(REGEXREPLACE(B1132&amp;"""",""[^0-9]"",""""),9))"),"770760606")</f>
        <v>770760606</v>
      </c>
      <c r="B1132" s="48">
        <v>7.70760606E8</v>
      </c>
      <c r="C1132" s="10" t="s">
        <v>1279</v>
      </c>
      <c r="D1132" s="10" t="s">
        <v>34</v>
      </c>
      <c r="E1132" s="13">
        <v>46227.0</v>
      </c>
      <c r="F1132" s="10" t="s">
        <v>21</v>
      </c>
      <c r="I1132" s="10" t="s">
        <v>22</v>
      </c>
      <c r="J1132" s="9" t="str">
        <f t="shared" si="30"/>
        <v>No</v>
      </c>
      <c r="K1132" s="9" t="str">
        <f t="shared" si="31"/>
        <v/>
      </c>
      <c r="L1132" s="9" t="str">
        <f t="shared" si="32"/>
        <v/>
      </c>
      <c r="M1132" s="9"/>
      <c r="O1132" s="9"/>
    </row>
    <row r="1133" ht="15.75" customHeight="1">
      <c r="A1133" s="9" t="str">
        <f>IFERROR(__xludf.DUMMYFUNCTION("IF(B1133="""","""",RIGHT(REGEXREPLACE(B1133&amp;"""",""[^0-9]"",""""),9))"),"729558230")</f>
        <v>729558230</v>
      </c>
      <c r="B1133" s="48">
        <v>7.2955823E8</v>
      </c>
      <c r="C1133" s="10" t="s">
        <v>1280</v>
      </c>
      <c r="D1133" s="10" t="s">
        <v>69</v>
      </c>
      <c r="E1133" s="13">
        <v>46227.0</v>
      </c>
      <c r="F1133" s="10" t="s">
        <v>21</v>
      </c>
      <c r="G1133" s="10">
        <v>11.0</v>
      </c>
      <c r="I1133" s="10" t="s">
        <v>22</v>
      </c>
      <c r="J1133" s="9" t="str">
        <f t="shared" si="30"/>
        <v>No</v>
      </c>
      <c r="K1133" s="9" t="str">
        <f t="shared" si="31"/>
        <v/>
      </c>
      <c r="L1133" s="9" t="str">
        <f t="shared" si="32"/>
        <v/>
      </c>
      <c r="M1133" s="9"/>
      <c r="O1133" s="9"/>
    </row>
    <row r="1134" ht="15.75" customHeight="1">
      <c r="A1134" s="9" t="str">
        <f>IFERROR(__xludf.DUMMYFUNCTION("IF(B1134="""","""",RIGHT(REGEXREPLACE(B1134&amp;"""",""[^0-9]"",""""),9))"),"765417150")</f>
        <v>765417150</v>
      </c>
      <c r="B1134" s="10">
        <v>7.6541715E8</v>
      </c>
      <c r="C1134" s="10" t="s">
        <v>1281</v>
      </c>
      <c r="D1134" s="10" t="s">
        <v>20</v>
      </c>
      <c r="E1134" s="13">
        <v>46227.0</v>
      </c>
      <c r="F1134" s="10" t="s">
        <v>648</v>
      </c>
      <c r="H1134" s="10" t="s">
        <v>1282</v>
      </c>
      <c r="I1134" s="10" t="s">
        <v>22</v>
      </c>
      <c r="J1134" s="9" t="str">
        <f t="shared" si="30"/>
        <v>No</v>
      </c>
      <c r="K1134" s="9" t="str">
        <f t="shared" si="31"/>
        <v/>
      </c>
      <c r="L1134" s="9" t="str">
        <f t="shared" si="32"/>
        <v/>
      </c>
      <c r="M1134" s="9"/>
      <c r="O1134" s="9"/>
    </row>
    <row r="1135" ht="15.75" customHeight="1">
      <c r="A1135" s="9" t="str">
        <f>IFERROR(__xludf.DUMMYFUNCTION("IF(B1135="""","""",RIGHT(REGEXREPLACE(B1135&amp;"""",""[^0-9]"",""""),9))"),"779926539")</f>
        <v>779926539</v>
      </c>
      <c r="B1135" s="48">
        <v>7.79926539E8</v>
      </c>
      <c r="C1135" s="10" t="s">
        <v>1283</v>
      </c>
      <c r="D1135" s="10" t="s">
        <v>34</v>
      </c>
      <c r="E1135" s="13">
        <v>46227.0</v>
      </c>
      <c r="F1135" s="10" t="s">
        <v>198</v>
      </c>
      <c r="G1135" s="10">
        <v>10.0</v>
      </c>
      <c r="I1135" s="10" t="s">
        <v>22</v>
      </c>
      <c r="J1135" s="9" t="str">
        <f t="shared" si="30"/>
        <v>No</v>
      </c>
      <c r="K1135" s="9" t="str">
        <f t="shared" si="31"/>
        <v/>
      </c>
      <c r="L1135" s="9" t="str">
        <f t="shared" si="32"/>
        <v/>
      </c>
      <c r="M1135" s="9"/>
      <c r="O1135" s="9"/>
    </row>
    <row r="1136" ht="15.75" customHeight="1">
      <c r="A1136" s="9" t="str">
        <f>IFERROR(__xludf.DUMMYFUNCTION("IF(B1136="""","""",RIGHT(REGEXREPLACE(B1136&amp;"""",""[^0-9]"",""""),9))"),"766496588")</f>
        <v>766496588</v>
      </c>
      <c r="B1136" s="48">
        <v>7.66496588E8</v>
      </c>
      <c r="C1136" s="10" t="s">
        <v>1284</v>
      </c>
      <c r="D1136" s="10" t="s">
        <v>50</v>
      </c>
      <c r="E1136" s="13">
        <v>46227.0</v>
      </c>
      <c r="F1136" s="10" t="s">
        <v>35</v>
      </c>
      <c r="G1136" s="10">
        <v>11.0</v>
      </c>
      <c r="H1136" s="10" t="s">
        <v>238</v>
      </c>
      <c r="I1136" s="10" t="s">
        <v>22</v>
      </c>
      <c r="J1136" s="9" t="str">
        <f t="shared" si="30"/>
        <v>No</v>
      </c>
      <c r="K1136" s="9" t="str">
        <f t="shared" si="31"/>
        <v/>
      </c>
      <c r="L1136" s="9" t="str">
        <f t="shared" si="32"/>
        <v/>
      </c>
      <c r="M1136" s="9"/>
      <c r="O1136" s="9"/>
    </row>
    <row r="1137" ht="15.75" customHeight="1">
      <c r="A1137" s="9" t="str">
        <f>IFERROR(__xludf.DUMMYFUNCTION("IF(B1137="""","""",RIGHT(REGEXREPLACE(B1137&amp;"""",""[^0-9]"",""""),9))"),"784927931")</f>
        <v>784927931</v>
      </c>
      <c r="B1137" s="10">
        <v>7.84927931E8</v>
      </c>
      <c r="C1137" s="10" t="s">
        <v>1285</v>
      </c>
      <c r="D1137" s="10" t="s">
        <v>20</v>
      </c>
      <c r="E1137" s="13">
        <v>46227.0</v>
      </c>
      <c r="F1137" s="10" t="s">
        <v>21</v>
      </c>
      <c r="G1137" s="10">
        <v>9.0</v>
      </c>
      <c r="I1137" s="10" t="s">
        <v>22</v>
      </c>
      <c r="J1137" s="9" t="str">
        <f t="shared" si="30"/>
        <v>No</v>
      </c>
      <c r="K1137" s="9" t="str">
        <f t="shared" si="31"/>
        <v/>
      </c>
      <c r="L1137" s="9" t="str">
        <f t="shared" si="32"/>
        <v/>
      </c>
      <c r="M1137" s="9"/>
      <c r="O1137" s="9"/>
    </row>
    <row r="1138" ht="15.75" customHeight="1">
      <c r="A1138" s="9" t="str">
        <f>IFERROR(__xludf.DUMMYFUNCTION("IF(B1138="""","""",RIGHT(REGEXREPLACE(B1138&amp;"""",""[^0-9]"",""""),9))"),"741361640")</f>
        <v>741361640</v>
      </c>
      <c r="B1138" s="48">
        <v>7.4136164E8</v>
      </c>
      <c r="C1138" s="10" t="s">
        <v>1286</v>
      </c>
      <c r="D1138" s="10" t="s">
        <v>34</v>
      </c>
      <c r="E1138" s="13">
        <v>46227.0</v>
      </c>
      <c r="F1138" s="10" t="s">
        <v>21</v>
      </c>
      <c r="I1138" s="10" t="s">
        <v>22</v>
      </c>
      <c r="J1138" s="9" t="str">
        <f t="shared" si="30"/>
        <v>No</v>
      </c>
      <c r="K1138" s="9" t="str">
        <f t="shared" si="31"/>
        <v/>
      </c>
      <c r="L1138" s="9" t="str">
        <f t="shared" si="32"/>
        <v/>
      </c>
      <c r="M1138" s="9"/>
      <c r="O1138" s="9"/>
    </row>
    <row r="1139" ht="15.75" customHeight="1">
      <c r="A1139" s="9" t="str">
        <f>IFERROR(__xludf.DUMMYFUNCTION("IF(B1139="""","""",RIGHT(REGEXREPLACE(B1139&amp;"""",""[^0-9]"",""""),9))"),"716475621")</f>
        <v>716475621</v>
      </c>
      <c r="B1139" s="48">
        <v>7.16475621E8</v>
      </c>
      <c r="C1139" s="10" t="s">
        <v>1287</v>
      </c>
      <c r="D1139" s="10" t="s">
        <v>69</v>
      </c>
      <c r="E1139" s="13">
        <v>46227.0</v>
      </c>
      <c r="F1139" s="10" t="s">
        <v>35</v>
      </c>
      <c r="G1139" s="10">
        <v>11.0</v>
      </c>
      <c r="I1139" s="10" t="s">
        <v>22</v>
      </c>
      <c r="J1139" s="9" t="str">
        <f t="shared" si="30"/>
        <v>No</v>
      </c>
      <c r="K1139" s="9" t="str">
        <f t="shared" si="31"/>
        <v/>
      </c>
      <c r="L1139" s="9" t="str">
        <f t="shared" si="32"/>
        <v/>
      </c>
      <c r="M1139" s="9"/>
      <c r="O1139" s="9"/>
    </row>
    <row r="1140" ht="15.75" customHeight="1">
      <c r="A1140" s="9" t="str">
        <f>IFERROR(__xludf.DUMMYFUNCTION("IF(B1140="""","""",RIGHT(REGEXREPLACE(B1140&amp;"""",""[^0-9]"",""""),9))"),"774479138")</f>
        <v>774479138</v>
      </c>
      <c r="B1140" s="10">
        <v>7.74479138E8</v>
      </c>
      <c r="C1140" s="10" t="s">
        <v>1288</v>
      </c>
      <c r="D1140" s="10" t="s">
        <v>20</v>
      </c>
      <c r="E1140" s="13">
        <v>46227.0</v>
      </c>
      <c r="F1140" s="10" t="s">
        <v>21</v>
      </c>
      <c r="G1140" s="10">
        <v>11.0</v>
      </c>
      <c r="I1140" s="10" t="s">
        <v>22</v>
      </c>
      <c r="J1140" s="9" t="str">
        <f t="shared" si="30"/>
        <v>No</v>
      </c>
      <c r="K1140" s="9" t="str">
        <f t="shared" si="31"/>
        <v/>
      </c>
      <c r="L1140" s="9" t="str">
        <f t="shared" si="32"/>
        <v/>
      </c>
      <c r="M1140" s="9"/>
      <c r="O1140" s="9"/>
    </row>
    <row r="1141" ht="15.75" customHeight="1">
      <c r="A1141" s="9" t="str">
        <f>IFERROR(__xludf.DUMMYFUNCTION("IF(B1141="""","""",RIGHT(REGEXREPLACE(B1141&amp;"""",""[^0-9]"",""""),9))"),"776245806")</f>
        <v>776245806</v>
      </c>
      <c r="B1141" s="48">
        <v>7.76245806E8</v>
      </c>
      <c r="C1141" s="10" t="s">
        <v>1289</v>
      </c>
      <c r="D1141" s="10" t="s">
        <v>34</v>
      </c>
      <c r="E1141" s="13">
        <v>46227.0</v>
      </c>
      <c r="F1141" s="10" t="s">
        <v>21</v>
      </c>
      <c r="I1141" s="10" t="s">
        <v>22</v>
      </c>
      <c r="J1141" s="9" t="str">
        <f t="shared" si="30"/>
        <v>No</v>
      </c>
      <c r="K1141" s="9" t="str">
        <f t="shared" si="31"/>
        <v/>
      </c>
      <c r="L1141" s="9" t="str">
        <f t="shared" si="32"/>
        <v/>
      </c>
      <c r="M1141" s="9"/>
      <c r="O1141" s="9"/>
    </row>
    <row r="1142" ht="15.75" customHeight="1">
      <c r="A1142" s="9" t="str">
        <f>IFERROR(__xludf.DUMMYFUNCTION("IF(B1142="""","""",RIGHT(REGEXREPLACE(B1142&amp;"""",""[^0-9]"",""""),9))"),"701217854")</f>
        <v>701217854</v>
      </c>
      <c r="B1142" s="10">
        <v>7.01217854E8</v>
      </c>
      <c r="C1142" s="10" t="s">
        <v>1290</v>
      </c>
      <c r="D1142" s="10" t="s">
        <v>20</v>
      </c>
      <c r="E1142" s="13">
        <v>46227.0</v>
      </c>
      <c r="F1142" s="10" t="s">
        <v>35</v>
      </c>
      <c r="G1142" s="10">
        <v>6.0</v>
      </c>
      <c r="H1142" s="10" t="s">
        <v>1291</v>
      </c>
      <c r="I1142" s="10" t="s">
        <v>22</v>
      </c>
      <c r="J1142" s="9" t="str">
        <f t="shared" si="30"/>
        <v>No</v>
      </c>
      <c r="K1142" s="9" t="str">
        <f t="shared" si="31"/>
        <v/>
      </c>
      <c r="L1142" s="9" t="str">
        <f t="shared" si="32"/>
        <v/>
      </c>
      <c r="M1142" s="9"/>
      <c r="O1142" s="9"/>
    </row>
    <row r="1143" ht="15.75" customHeight="1">
      <c r="A1143" s="9" t="str">
        <f>IFERROR(__xludf.DUMMYFUNCTION("IF(B1143="""","""",RIGHT(REGEXREPLACE(B1143&amp;"""",""[^0-9]"",""""),9))"),"775295052")</f>
        <v>775295052</v>
      </c>
      <c r="B1143" s="48">
        <v>7.75295052E8</v>
      </c>
      <c r="C1143" s="10" t="s">
        <v>1292</v>
      </c>
      <c r="D1143" s="10" t="s">
        <v>34</v>
      </c>
      <c r="E1143" s="13">
        <v>46227.0</v>
      </c>
      <c r="F1143" s="10" t="s">
        <v>35</v>
      </c>
      <c r="G1143" s="10">
        <v>11.0</v>
      </c>
      <c r="I1143" s="10" t="s">
        <v>22</v>
      </c>
      <c r="J1143" s="9" t="str">
        <f t="shared" si="30"/>
        <v>No</v>
      </c>
      <c r="K1143" s="9" t="str">
        <f t="shared" si="31"/>
        <v/>
      </c>
      <c r="L1143" s="9" t="str">
        <f t="shared" si="32"/>
        <v/>
      </c>
      <c r="M1143" s="9"/>
      <c r="O1143" s="9"/>
    </row>
    <row r="1144" ht="15.75" customHeight="1">
      <c r="A1144" s="9" t="str">
        <f>IFERROR(__xludf.DUMMYFUNCTION("IF(B1144="""","""",RIGHT(REGEXREPLACE(B1144&amp;"""",""[^0-9]"",""""),9))"),"765600695")</f>
        <v>765600695</v>
      </c>
      <c r="B1144" s="48">
        <v>7.65600695E8</v>
      </c>
      <c r="C1144" s="10" t="s">
        <v>1293</v>
      </c>
      <c r="D1144" s="10" t="s">
        <v>50</v>
      </c>
      <c r="E1144" s="13">
        <v>46227.0</v>
      </c>
      <c r="F1144" s="10" t="s">
        <v>35</v>
      </c>
      <c r="G1144" s="10">
        <v>11.0</v>
      </c>
      <c r="I1144" s="10" t="s">
        <v>22</v>
      </c>
      <c r="J1144" s="9" t="str">
        <f t="shared" si="30"/>
        <v>No</v>
      </c>
      <c r="K1144" s="9" t="str">
        <f t="shared" si="31"/>
        <v/>
      </c>
      <c r="L1144" s="9" t="str">
        <f t="shared" si="32"/>
        <v/>
      </c>
      <c r="M1144" s="9"/>
      <c r="O1144" s="9"/>
    </row>
    <row r="1145" ht="15.75" customHeight="1">
      <c r="A1145" s="9" t="str">
        <f>IFERROR(__xludf.DUMMYFUNCTION("IF(B1145="""","""",RIGHT(REGEXREPLACE(B1145&amp;"""",""[^0-9]"",""""),9))"),"714181348")</f>
        <v>714181348</v>
      </c>
      <c r="B1145" s="10">
        <v>7.14181348E8</v>
      </c>
      <c r="C1145" s="10" t="s">
        <v>1294</v>
      </c>
      <c r="D1145" s="10" t="s">
        <v>20</v>
      </c>
      <c r="E1145" s="13">
        <v>46227.0</v>
      </c>
      <c r="F1145" s="10" t="s">
        <v>21</v>
      </c>
      <c r="I1145" s="10" t="s">
        <v>22</v>
      </c>
      <c r="J1145" s="9" t="str">
        <f t="shared" si="30"/>
        <v>No</v>
      </c>
      <c r="K1145" s="9" t="str">
        <f t="shared" si="31"/>
        <v/>
      </c>
      <c r="L1145" s="9" t="str">
        <f t="shared" si="32"/>
        <v/>
      </c>
      <c r="M1145" s="9"/>
      <c r="O1145" s="9"/>
    </row>
    <row r="1146" ht="15.75" customHeight="1">
      <c r="A1146" s="9" t="str">
        <f>IFERROR(__xludf.DUMMYFUNCTION("IF(B1146="""","""",RIGHT(REGEXREPLACE(B1146&amp;"""",""[^0-9]"",""""),9))"),"774479621")</f>
        <v>774479621</v>
      </c>
      <c r="B1146" s="48">
        <v>7.74479621E8</v>
      </c>
      <c r="C1146" s="10" t="s">
        <v>1295</v>
      </c>
      <c r="D1146" s="10" t="s">
        <v>69</v>
      </c>
      <c r="E1146" s="13">
        <v>46227.0</v>
      </c>
      <c r="F1146" s="10" t="s">
        <v>542</v>
      </c>
      <c r="G1146" s="10">
        <v>10.0</v>
      </c>
      <c r="I1146" s="10" t="s">
        <v>22</v>
      </c>
      <c r="J1146" s="9" t="str">
        <f t="shared" si="30"/>
        <v>No</v>
      </c>
      <c r="K1146" s="9" t="str">
        <f t="shared" si="31"/>
        <v/>
      </c>
      <c r="L1146" s="9" t="str">
        <f t="shared" si="32"/>
        <v/>
      </c>
      <c r="M1146" s="9"/>
      <c r="O1146" s="9"/>
    </row>
    <row r="1147" ht="15.75" customHeight="1">
      <c r="A1147" s="9" t="str">
        <f>IFERROR(__xludf.DUMMYFUNCTION("IF(B1147="""","""",RIGHT(REGEXREPLACE(B1147&amp;"""",""[^0-9]"",""""),9))"),"757551778")</f>
        <v>757551778</v>
      </c>
      <c r="B1147" s="10">
        <v>7.57551778E8</v>
      </c>
      <c r="C1147" s="10" t="s">
        <v>1296</v>
      </c>
      <c r="D1147" s="10" t="s">
        <v>20</v>
      </c>
      <c r="E1147" s="13">
        <v>46227.0</v>
      </c>
      <c r="F1147" s="10" t="s">
        <v>21</v>
      </c>
      <c r="G1147" s="10">
        <v>11.0</v>
      </c>
      <c r="I1147" s="10" t="s">
        <v>22</v>
      </c>
      <c r="J1147" s="9" t="str">
        <f t="shared" si="30"/>
        <v>No</v>
      </c>
      <c r="K1147" s="9" t="str">
        <f t="shared" si="31"/>
        <v/>
      </c>
      <c r="L1147" s="9" t="str">
        <f t="shared" si="32"/>
        <v/>
      </c>
      <c r="M1147" s="9"/>
      <c r="O1147" s="9"/>
    </row>
    <row r="1148" ht="15.75" customHeight="1">
      <c r="A1148" s="9" t="str">
        <f>IFERROR(__xludf.DUMMYFUNCTION("IF(B1148="""","""",RIGHT(REGEXREPLACE(B1148&amp;"""",""[^0-9]"",""""),9))"),"714445820")</f>
        <v>714445820</v>
      </c>
      <c r="B1148" s="48">
        <v>7.1444582E8</v>
      </c>
      <c r="C1148" s="10" t="s">
        <v>1297</v>
      </c>
      <c r="D1148" s="10" t="s">
        <v>34</v>
      </c>
      <c r="E1148" s="13">
        <v>46227.0</v>
      </c>
      <c r="F1148" s="10" t="s">
        <v>35</v>
      </c>
      <c r="G1148" s="10">
        <v>11.0</v>
      </c>
      <c r="I1148" s="10" t="s">
        <v>22</v>
      </c>
      <c r="J1148" s="9" t="str">
        <f t="shared" si="30"/>
        <v>No</v>
      </c>
      <c r="K1148" s="9" t="str">
        <f t="shared" si="31"/>
        <v/>
      </c>
      <c r="L1148" s="9" t="str">
        <f t="shared" si="32"/>
        <v/>
      </c>
      <c r="M1148" s="9"/>
      <c r="O1148" s="9"/>
    </row>
    <row r="1149" ht="15.75" customHeight="1">
      <c r="A1149" s="9" t="str">
        <f>IFERROR(__xludf.DUMMYFUNCTION("IF(B1149="""","""",RIGHT(REGEXREPLACE(B1149&amp;"""",""[^0-9]"",""""),9))"),"774969141")</f>
        <v>774969141</v>
      </c>
      <c r="B1149" s="48">
        <v>7.74969141E8</v>
      </c>
      <c r="C1149" s="10" t="s">
        <v>1298</v>
      </c>
      <c r="D1149" s="10" t="s">
        <v>120</v>
      </c>
      <c r="E1149" s="13">
        <v>46227.0</v>
      </c>
      <c r="F1149" s="10" t="s">
        <v>648</v>
      </c>
      <c r="I1149" s="10" t="s">
        <v>22</v>
      </c>
      <c r="J1149" s="9" t="str">
        <f t="shared" si="30"/>
        <v>No</v>
      </c>
      <c r="K1149" s="9" t="str">
        <f t="shared" si="31"/>
        <v/>
      </c>
      <c r="L1149" s="9" t="str">
        <f t="shared" si="32"/>
        <v/>
      </c>
      <c r="M1149" s="9"/>
      <c r="O1149" s="9"/>
    </row>
    <row r="1150" ht="15.75" customHeight="1">
      <c r="A1150" s="9" t="str">
        <f>IFERROR(__xludf.DUMMYFUNCTION("IF(B1150="""","""",RIGHT(REGEXREPLACE(B1150&amp;"""",""[^0-9]"",""""),9))"),"770321330")</f>
        <v>770321330</v>
      </c>
      <c r="B1150" s="10">
        <v>7.7032133E8</v>
      </c>
      <c r="C1150" s="10" t="s">
        <v>1299</v>
      </c>
      <c r="D1150" s="10" t="s">
        <v>20</v>
      </c>
      <c r="E1150" s="13">
        <v>46227.0</v>
      </c>
      <c r="F1150" s="10" t="s">
        <v>145</v>
      </c>
      <c r="I1150" s="10" t="s">
        <v>22</v>
      </c>
      <c r="J1150" s="9" t="str">
        <f t="shared" si="30"/>
        <v>No</v>
      </c>
      <c r="K1150" s="9" t="str">
        <f t="shared" si="31"/>
        <v/>
      </c>
      <c r="L1150" s="9" t="str">
        <f t="shared" si="32"/>
        <v/>
      </c>
      <c r="M1150" s="9"/>
      <c r="O1150" s="9"/>
    </row>
    <row r="1151" ht="15.75" customHeight="1">
      <c r="A1151" s="9" t="str">
        <f>IFERROR(__xludf.DUMMYFUNCTION("IF(B1151="""","""",RIGHT(REGEXREPLACE(B1151&amp;"""",""[^0-9]"",""""),9))"),"774416354")</f>
        <v>774416354</v>
      </c>
      <c r="B1151" s="48">
        <v>7.74416354E8</v>
      </c>
      <c r="C1151" s="10" t="s">
        <v>1300</v>
      </c>
      <c r="D1151" s="10" t="s">
        <v>50</v>
      </c>
      <c r="E1151" s="13">
        <v>46227.0</v>
      </c>
      <c r="F1151" s="10" t="s">
        <v>35</v>
      </c>
      <c r="G1151" s="10">
        <v>11.0</v>
      </c>
      <c r="I1151" s="10" t="s">
        <v>22</v>
      </c>
      <c r="J1151" s="9" t="str">
        <f t="shared" si="30"/>
        <v>No</v>
      </c>
      <c r="K1151" s="9" t="str">
        <f t="shared" si="31"/>
        <v/>
      </c>
      <c r="L1151" s="9" t="str">
        <f t="shared" si="32"/>
        <v/>
      </c>
      <c r="M1151" s="9"/>
      <c r="O1151" s="9"/>
    </row>
    <row r="1152" ht="15.75" customHeight="1">
      <c r="A1152" s="9" t="str">
        <f>IFERROR(__xludf.DUMMYFUNCTION("IF(B1152="""","""",RIGHT(REGEXREPLACE(B1152&amp;"""",""[^0-9]"",""""),9))"),"761707939")</f>
        <v>761707939</v>
      </c>
      <c r="B1152" s="10">
        <v>7.61707939E8</v>
      </c>
      <c r="C1152" s="10" t="s">
        <v>1301</v>
      </c>
      <c r="D1152" s="10" t="s">
        <v>20</v>
      </c>
      <c r="E1152" s="13">
        <v>46227.0</v>
      </c>
      <c r="F1152" s="10" t="s">
        <v>35</v>
      </c>
      <c r="G1152" s="10">
        <v>11.0</v>
      </c>
      <c r="I1152" s="10" t="s">
        <v>22</v>
      </c>
      <c r="J1152" s="9" t="str">
        <f t="shared" si="30"/>
        <v>No</v>
      </c>
      <c r="K1152" s="9" t="str">
        <f t="shared" si="31"/>
        <v/>
      </c>
      <c r="L1152" s="9" t="str">
        <f t="shared" si="32"/>
        <v/>
      </c>
      <c r="M1152" s="9"/>
      <c r="O1152" s="9"/>
    </row>
    <row r="1153" ht="15.75" customHeight="1">
      <c r="A1153" s="9" t="str">
        <f>IFERROR(__xludf.DUMMYFUNCTION("IF(B1153="""","""",RIGHT(REGEXREPLACE(B1153&amp;"""",""[^0-9]"",""""),9))"),"779635139")</f>
        <v>779635139</v>
      </c>
      <c r="B1153" s="10">
        <v>7.79635139E8</v>
      </c>
      <c r="C1153" s="10" t="s">
        <v>1302</v>
      </c>
      <c r="D1153" s="10" t="s">
        <v>20</v>
      </c>
      <c r="E1153" s="13">
        <v>46227.0</v>
      </c>
      <c r="F1153" s="10" t="s">
        <v>198</v>
      </c>
      <c r="G1153" s="10">
        <v>11.0</v>
      </c>
      <c r="I1153" s="10" t="s">
        <v>22</v>
      </c>
      <c r="J1153" s="9" t="str">
        <f t="shared" si="30"/>
        <v>No</v>
      </c>
      <c r="K1153" s="9" t="str">
        <f t="shared" si="31"/>
        <v/>
      </c>
      <c r="L1153" s="9" t="str">
        <f t="shared" si="32"/>
        <v/>
      </c>
      <c r="M1153" s="9"/>
      <c r="O1153" s="9"/>
    </row>
    <row r="1154" ht="15.75" customHeight="1">
      <c r="A1154" s="9" t="str">
        <f>IFERROR(__xludf.DUMMYFUNCTION("IF(B1154="""","""",RIGHT(REGEXREPLACE(B1154&amp;"""",""[^0-9]"",""""),9))"),"779735045")</f>
        <v>779735045</v>
      </c>
      <c r="B1154" s="48">
        <v>7.79735045E8</v>
      </c>
      <c r="C1154" s="10" t="s">
        <v>490</v>
      </c>
      <c r="D1154" s="10" t="s">
        <v>34</v>
      </c>
      <c r="E1154" s="13">
        <v>46227.0</v>
      </c>
      <c r="F1154" s="10" t="s">
        <v>21</v>
      </c>
      <c r="I1154" s="10" t="s">
        <v>22</v>
      </c>
      <c r="J1154" s="9" t="str">
        <f t="shared" si="30"/>
        <v>Yes - see Previous F-Code</v>
      </c>
      <c r="K1154" s="9" t="str">
        <f t="shared" si="31"/>
        <v>DUPLICATE - CHECK</v>
      </c>
      <c r="L1154" s="9" t="str">
        <f t="shared" si="32"/>
        <v>F70364</v>
      </c>
      <c r="M1154" s="9"/>
      <c r="O1154" s="9"/>
    </row>
    <row r="1155" ht="15.75" customHeight="1">
      <c r="A1155" s="9" t="str">
        <f>IFERROR(__xludf.DUMMYFUNCTION("IF(B1155="""","""",RIGHT(REGEXREPLACE(B1155&amp;"""",""[^0-9]"",""""),9))"),"715924401")</f>
        <v>715924401</v>
      </c>
      <c r="B1155" s="48">
        <v>7.15924401E8</v>
      </c>
      <c r="C1155" s="10" t="s">
        <v>1303</v>
      </c>
      <c r="D1155" s="10" t="s">
        <v>69</v>
      </c>
      <c r="E1155" s="13">
        <v>46227.0</v>
      </c>
      <c r="F1155" s="10" t="s">
        <v>542</v>
      </c>
      <c r="G1155" s="10">
        <v>11.0</v>
      </c>
      <c r="I1155" s="10" t="s">
        <v>22</v>
      </c>
      <c r="J1155" s="9" t="str">
        <f t="shared" si="30"/>
        <v>No</v>
      </c>
      <c r="K1155" s="9" t="str">
        <f t="shared" si="31"/>
        <v/>
      </c>
      <c r="L1155" s="9" t="str">
        <f t="shared" si="32"/>
        <v/>
      </c>
      <c r="M1155" s="9"/>
      <c r="O1155" s="9"/>
    </row>
    <row r="1156" ht="15.75" customHeight="1">
      <c r="A1156" s="9" t="str">
        <f>IFERROR(__xludf.DUMMYFUNCTION("IF(B1156="""","""",RIGHT(REGEXREPLACE(B1156&amp;"""",""[^0-9]"",""""),9))"),"750109508")</f>
        <v>750109508</v>
      </c>
      <c r="B1156" s="48">
        <v>7.50109508E8</v>
      </c>
      <c r="C1156" s="10" t="s">
        <v>1304</v>
      </c>
      <c r="D1156" s="10" t="s">
        <v>50</v>
      </c>
      <c r="E1156" s="13">
        <v>46227.0</v>
      </c>
      <c r="F1156" s="10" t="s">
        <v>35</v>
      </c>
      <c r="G1156" s="10">
        <v>9.0</v>
      </c>
      <c r="I1156" s="10" t="s">
        <v>22</v>
      </c>
      <c r="J1156" s="9" t="str">
        <f t="shared" si="30"/>
        <v>No</v>
      </c>
      <c r="K1156" s="9" t="str">
        <f t="shared" si="31"/>
        <v/>
      </c>
      <c r="L1156" s="9" t="str">
        <f t="shared" si="32"/>
        <v/>
      </c>
      <c r="M1156" s="9"/>
      <c r="O1156" s="9"/>
    </row>
    <row r="1157" ht="15.75" customHeight="1">
      <c r="A1157" s="9" t="str">
        <f>IFERROR(__xludf.DUMMYFUNCTION("IF(B1157="""","""",RIGHT(REGEXREPLACE(B1157&amp;"""",""[^0-9]"",""""),9))"),"760329164")</f>
        <v>760329164</v>
      </c>
      <c r="B1157" s="48">
        <v>7.60329164E8</v>
      </c>
      <c r="C1157" s="10" t="s">
        <v>1305</v>
      </c>
      <c r="D1157" s="10" t="s">
        <v>34</v>
      </c>
      <c r="E1157" s="13">
        <v>46227.0</v>
      </c>
      <c r="F1157" s="10" t="s">
        <v>21</v>
      </c>
      <c r="I1157" s="10" t="s">
        <v>22</v>
      </c>
      <c r="J1157" s="9" t="str">
        <f t="shared" si="30"/>
        <v>No</v>
      </c>
      <c r="K1157" s="9" t="str">
        <f t="shared" si="31"/>
        <v/>
      </c>
      <c r="L1157" s="9" t="str">
        <f t="shared" si="32"/>
        <v/>
      </c>
      <c r="M1157" s="9"/>
      <c r="O1157" s="9"/>
    </row>
    <row r="1158" ht="15.75" customHeight="1">
      <c r="A1158" s="9" t="str">
        <f>IFERROR(__xludf.DUMMYFUNCTION("IF(B1158="""","""",RIGHT(REGEXREPLACE(B1158&amp;"""",""[^0-9]"",""""),9))"),"719721574")</f>
        <v>719721574</v>
      </c>
      <c r="B1158" s="10">
        <v>7.19721574E8</v>
      </c>
      <c r="C1158" s="10" t="s">
        <v>168</v>
      </c>
      <c r="D1158" s="10" t="s">
        <v>20</v>
      </c>
      <c r="E1158" s="13">
        <v>46227.0</v>
      </c>
      <c r="F1158" s="10" t="s">
        <v>21</v>
      </c>
      <c r="G1158" s="10">
        <v>11.0</v>
      </c>
      <c r="I1158" s="10" t="s">
        <v>22</v>
      </c>
      <c r="J1158" s="9" t="str">
        <f t="shared" si="30"/>
        <v>No</v>
      </c>
      <c r="K1158" s="9" t="str">
        <f t="shared" si="31"/>
        <v/>
      </c>
      <c r="L1158" s="9" t="str">
        <f t="shared" si="32"/>
        <v/>
      </c>
      <c r="M1158" s="9"/>
      <c r="O1158" s="9"/>
    </row>
    <row r="1159" ht="15.75" customHeight="1">
      <c r="A1159" s="9" t="str">
        <f>IFERROR(__xludf.DUMMYFUNCTION("IF(B1159="""","""",RIGHT(REGEXREPLACE(B1159&amp;"""",""[^0-9]"",""""),9))"),"768650814")</f>
        <v>768650814</v>
      </c>
      <c r="B1159" s="10">
        <v>7.68650814E8</v>
      </c>
      <c r="C1159" s="10" t="s">
        <v>1306</v>
      </c>
      <c r="D1159" s="10" t="s">
        <v>20</v>
      </c>
      <c r="E1159" s="13">
        <v>46227.0</v>
      </c>
      <c r="F1159" s="10" t="s">
        <v>35</v>
      </c>
      <c r="G1159" s="10">
        <v>11.0</v>
      </c>
      <c r="I1159" s="10" t="s">
        <v>22</v>
      </c>
      <c r="J1159" s="9" t="str">
        <f t="shared" si="30"/>
        <v>No</v>
      </c>
      <c r="K1159" s="9" t="str">
        <f t="shared" si="31"/>
        <v/>
      </c>
      <c r="L1159" s="9" t="str">
        <f t="shared" si="32"/>
        <v/>
      </c>
      <c r="M1159" s="9"/>
      <c r="O1159" s="9"/>
    </row>
    <row r="1160" ht="15.75" customHeight="1">
      <c r="A1160" s="9" t="str">
        <f>IFERROR(__xludf.DUMMYFUNCTION("IF(B1160="""","""",RIGHT(REGEXREPLACE(B1160&amp;"""",""[^0-9]"",""""),9))"),"719403140")</f>
        <v>719403140</v>
      </c>
      <c r="B1160" s="48">
        <v>7.1940314E8</v>
      </c>
      <c r="C1160" s="10" t="s">
        <v>377</v>
      </c>
      <c r="D1160" s="10" t="s">
        <v>69</v>
      </c>
      <c r="E1160" s="13">
        <v>46227.0</v>
      </c>
      <c r="F1160" s="10" t="s">
        <v>21</v>
      </c>
      <c r="G1160" s="10">
        <v>11.0</v>
      </c>
      <c r="I1160" s="10" t="s">
        <v>22</v>
      </c>
      <c r="J1160" s="9" t="str">
        <f t="shared" si="30"/>
        <v>Yes - see Previous F-Code</v>
      </c>
      <c r="K1160" s="9" t="str">
        <f t="shared" si="31"/>
        <v>DUPLICATE - CHECK</v>
      </c>
      <c r="L1160" s="9" t="str">
        <f t="shared" si="32"/>
        <v>F70260</v>
      </c>
      <c r="M1160" s="9"/>
      <c r="O1160" s="9"/>
    </row>
    <row r="1161" ht="15.75" customHeight="1">
      <c r="A1161" s="9" t="str">
        <f>IFERROR(__xludf.DUMMYFUNCTION("IF(B1161="""","""",RIGHT(REGEXREPLACE(B1161&amp;"""",""[^0-9]"",""""),9))"),"767807551")</f>
        <v>767807551</v>
      </c>
      <c r="B1161" s="48">
        <v>7.67807551E8</v>
      </c>
      <c r="C1161" s="10" t="s">
        <v>1307</v>
      </c>
      <c r="D1161" s="10" t="s">
        <v>34</v>
      </c>
      <c r="E1161" s="13">
        <v>46227.0</v>
      </c>
      <c r="F1161" s="10" t="s">
        <v>198</v>
      </c>
      <c r="I1161" s="10" t="s">
        <v>22</v>
      </c>
      <c r="J1161" s="9" t="str">
        <f t="shared" si="30"/>
        <v>No</v>
      </c>
      <c r="K1161" s="9" t="str">
        <f t="shared" si="31"/>
        <v/>
      </c>
      <c r="L1161" s="9" t="str">
        <f t="shared" si="32"/>
        <v/>
      </c>
      <c r="M1161" s="9"/>
      <c r="O1161" s="9"/>
    </row>
    <row r="1162" ht="15.75" customHeight="1">
      <c r="A1162" s="9" t="str">
        <f>IFERROR(__xludf.DUMMYFUNCTION("IF(B1162="""","""",RIGHT(REGEXREPLACE(B1162&amp;"""",""[^0-9]"",""""),9))"),"765564678")</f>
        <v>765564678</v>
      </c>
      <c r="B1162" s="48">
        <v>7.65564678E8</v>
      </c>
      <c r="C1162" s="10" t="s">
        <v>1308</v>
      </c>
      <c r="D1162" s="10" t="s">
        <v>120</v>
      </c>
      <c r="E1162" s="13">
        <v>46227.0</v>
      </c>
      <c r="F1162" s="10" t="s">
        <v>35</v>
      </c>
      <c r="G1162" s="10">
        <v>11.0</v>
      </c>
      <c r="I1162" s="10" t="s">
        <v>22</v>
      </c>
      <c r="J1162" s="9" t="str">
        <f t="shared" si="30"/>
        <v>No</v>
      </c>
      <c r="K1162" s="9" t="str">
        <f t="shared" si="31"/>
        <v/>
      </c>
      <c r="L1162" s="9" t="str">
        <f t="shared" si="32"/>
        <v/>
      </c>
      <c r="M1162" s="9"/>
      <c r="O1162" s="9"/>
    </row>
    <row r="1163" ht="15.75" customHeight="1">
      <c r="A1163" s="9" t="str">
        <f>IFERROR(__xludf.DUMMYFUNCTION("IF(B1163="""","""",RIGHT(REGEXREPLACE(B1163&amp;"""",""[^0-9]"",""""),9))"),"766816864")</f>
        <v>766816864</v>
      </c>
      <c r="B1163" s="48">
        <v>7.66816864E8</v>
      </c>
      <c r="C1163" s="10" t="s">
        <v>1309</v>
      </c>
      <c r="D1163" s="10" t="s">
        <v>34</v>
      </c>
      <c r="E1163" s="13">
        <v>46227.0</v>
      </c>
      <c r="F1163" s="10" t="s">
        <v>21</v>
      </c>
      <c r="I1163" s="10" t="s">
        <v>22</v>
      </c>
      <c r="J1163" s="9" t="str">
        <f t="shared" si="30"/>
        <v>No</v>
      </c>
      <c r="K1163" s="9" t="str">
        <f t="shared" si="31"/>
        <v/>
      </c>
      <c r="L1163" s="9" t="str">
        <f t="shared" si="32"/>
        <v/>
      </c>
      <c r="M1163" s="9"/>
      <c r="O1163" s="9"/>
    </row>
    <row r="1164" ht="15.75" customHeight="1">
      <c r="A1164" s="9" t="str">
        <f>IFERROR(__xludf.DUMMYFUNCTION("IF(B1164="""","""",RIGHT(REGEXREPLACE(B1164&amp;"""",""[^0-9]"",""""),9))"),"779012940")</f>
        <v>779012940</v>
      </c>
      <c r="B1164" s="48">
        <v>7.7901294E8</v>
      </c>
      <c r="C1164" s="10" t="s">
        <v>1310</v>
      </c>
      <c r="D1164" s="10" t="s">
        <v>50</v>
      </c>
      <c r="E1164" s="13">
        <v>46227.0</v>
      </c>
      <c r="F1164" s="10" t="s">
        <v>21</v>
      </c>
      <c r="G1164" s="10">
        <v>11.0</v>
      </c>
      <c r="I1164" s="10" t="s">
        <v>22</v>
      </c>
      <c r="J1164" s="9" t="str">
        <f t="shared" si="30"/>
        <v>No</v>
      </c>
      <c r="K1164" s="9" t="str">
        <f t="shared" si="31"/>
        <v/>
      </c>
      <c r="L1164" s="9" t="str">
        <f t="shared" si="32"/>
        <v/>
      </c>
      <c r="M1164" s="9"/>
      <c r="O1164" s="9"/>
    </row>
    <row r="1165" ht="15.75" customHeight="1">
      <c r="A1165" s="9" t="str">
        <f>IFERROR(__xludf.DUMMYFUNCTION("IF(B1165="""","""",RIGHT(REGEXREPLACE(B1165&amp;"""",""[^0-9]"",""""),9))"),"714891683")</f>
        <v>714891683</v>
      </c>
      <c r="B1165" s="48">
        <v>7.14891683E8</v>
      </c>
      <c r="C1165" s="10" t="s">
        <v>1311</v>
      </c>
      <c r="D1165" s="10" t="s">
        <v>69</v>
      </c>
      <c r="E1165" s="13">
        <v>46227.0</v>
      </c>
      <c r="F1165" s="10" t="s">
        <v>542</v>
      </c>
      <c r="G1165" s="10">
        <v>11.0</v>
      </c>
      <c r="I1165" s="10" t="s">
        <v>22</v>
      </c>
      <c r="J1165" s="9" t="str">
        <f t="shared" si="30"/>
        <v>No</v>
      </c>
      <c r="K1165" s="9" t="str">
        <f t="shared" si="31"/>
        <v/>
      </c>
      <c r="L1165" s="9" t="str">
        <f t="shared" si="32"/>
        <v/>
      </c>
      <c r="M1165" s="9"/>
      <c r="O1165" s="9"/>
    </row>
    <row r="1166" ht="15.75" customHeight="1">
      <c r="A1166" s="9" t="str">
        <f>IFERROR(__xludf.DUMMYFUNCTION("IF(B1166="""","""",RIGHT(REGEXREPLACE(B1166&amp;"""",""[^0-9]"",""""),9))"),"755791951")</f>
        <v>755791951</v>
      </c>
      <c r="B1166" s="48">
        <v>7.55791951E8</v>
      </c>
      <c r="C1166" s="10" t="s">
        <v>1312</v>
      </c>
      <c r="D1166" s="10" t="s">
        <v>34</v>
      </c>
      <c r="E1166" s="13">
        <v>46227.0</v>
      </c>
      <c r="F1166" s="10" t="s">
        <v>21</v>
      </c>
      <c r="I1166" s="10" t="s">
        <v>22</v>
      </c>
      <c r="J1166" s="9" t="str">
        <f t="shared" si="30"/>
        <v>No</v>
      </c>
      <c r="K1166" s="9" t="str">
        <f t="shared" si="31"/>
        <v/>
      </c>
      <c r="L1166" s="9" t="str">
        <f t="shared" si="32"/>
        <v/>
      </c>
      <c r="M1166" s="9"/>
      <c r="O1166" s="9"/>
    </row>
    <row r="1167" ht="15.75" customHeight="1">
      <c r="A1167" s="9" t="str">
        <f>IFERROR(__xludf.DUMMYFUNCTION("IF(B1167="""","""",RIGHT(REGEXREPLACE(B1167&amp;"""",""[^0-9]"",""""),9))"),"702183521")</f>
        <v>702183521</v>
      </c>
      <c r="B1167" s="10">
        <v>7.02183521E8</v>
      </c>
      <c r="C1167" s="10" t="s">
        <v>1313</v>
      </c>
      <c r="D1167" s="10" t="s">
        <v>20</v>
      </c>
      <c r="E1167" s="13">
        <v>46227.0</v>
      </c>
      <c r="F1167" s="10" t="s">
        <v>35</v>
      </c>
      <c r="G1167" s="10">
        <v>11.0</v>
      </c>
      <c r="I1167" s="10" t="s">
        <v>22</v>
      </c>
      <c r="J1167" s="9" t="str">
        <f t="shared" si="30"/>
        <v>No</v>
      </c>
      <c r="K1167" s="9" t="str">
        <f t="shared" si="31"/>
        <v/>
      </c>
      <c r="L1167" s="9" t="str">
        <f t="shared" si="32"/>
        <v/>
      </c>
      <c r="M1167" s="9"/>
      <c r="O1167" s="9"/>
    </row>
    <row r="1168" ht="15.75" customHeight="1">
      <c r="A1168" s="9" t="str">
        <f>IFERROR(__xludf.DUMMYFUNCTION("IF(B1168="""","""",RIGHT(REGEXREPLACE(B1168&amp;"""",""[^0-9]"",""""),9))"),"763365799")</f>
        <v>763365799</v>
      </c>
      <c r="B1168" s="48">
        <v>7.63365799E8</v>
      </c>
      <c r="C1168" s="10" t="s">
        <v>1314</v>
      </c>
      <c r="D1168" s="10" t="s">
        <v>120</v>
      </c>
      <c r="E1168" s="13">
        <v>46227.0</v>
      </c>
      <c r="F1168" s="10" t="s">
        <v>35</v>
      </c>
      <c r="G1168" s="10">
        <v>11.0</v>
      </c>
      <c r="I1168" s="10" t="s">
        <v>22</v>
      </c>
      <c r="J1168" s="9" t="str">
        <f t="shared" si="30"/>
        <v>No</v>
      </c>
      <c r="K1168" s="9" t="str">
        <f t="shared" si="31"/>
        <v/>
      </c>
      <c r="L1168" s="9" t="str">
        <f t="shared" si="32"/>
        <v/>
      </c>
      <c r="M1168" s="9"/>
      <c r="O1168" s="9"/>
    </row>
    <row r="1169" ht="15.75" customHeight="1">
      <c r="A1169" s="9" t="str">
        <f>IFERROR(__xludf.DUMMYFUNCTION("IF(B1169="""","""",RIGHT(REGEXREPLACE(B1169&amp;"""",""[^0-9]"",""""),9))"),"727793006")</f>
        <v>727793006</v>
      </c>
      <c r="B1169" s="48">
        <v>7.27793006E8</v>
      </c>
      <c r="C1169" s="10" t="s">
        <v>1315</v>
      </c>
      <c r="D1169" s="10" t="s">
        <v>34</v>
      </c>
      <c r="E1169" s="13">
        <v>46227.0</v>
      </c>
      <c r="F1169" s="10" t="s">
        <v>198</v>
      </c>
      <c r="I1169" s="10" t="s">
        <v>22</v>
      </c>
      <c r="J1169" s="9" t="str">
        <f t="shared" si="30"/>
        <v>No</v>
      </c>
      <c r="K1169" s="9" t="str">
        <f t="shared" si="31"/>
        <v/>
      </c>
      <c r="L1169" s="9" t="str">
        <f t="shared" si="32"/>
        <v/>
      </c>
      <c r="M1169" s="9"/>
      <c r="O1169" s="9"/>
    </row>
    <row r="1170" ht="15.75" customHeight="1">
      <c r="A1170" s="9" t="str">
        <f>IFERROR(__xludf.DUMMYFUNCTION("IF(B1170="""","""",RIGHT(REGEXREPLACE(B1170&amp;"""",""[^0-9]"",""""),9))"),"710420752")</f>
        <v>710420752</v>
      </c>
      <c r="B1170" s="48">
        <v>7.10420752E8</v>
      </c>
      <c r="C1170" s="10" t="s">
        <v>1316</v>
      </c>
      <c r="D1170" s="10" t="s">
        <v>50</v>
      </c>
      <c r="E1170" s="13">
        <v>46227.0</v>
      </c>
      <c r="F1170" s="10" t="s">
        <v>35</v>
      </c>
      <c r="G1170" s="10">
        <v>11.0</v>
      </c>
      <c r="I1170" s="10" t="s">
        <v>22</v>
      </c>
      <c r="J1170" s="9" t="str">
        <f t="shared" si="30"/>
        <v>No</v>
      </c>
      <c r="K1170" s="9" t="str">
        <f t="shared" si="31"/>
        <v/>
      </c>
      <c r="L1170" s="9" t="str">
        <f t="shared" si="32"/>
        <v/>
      </c>
      <c r="M1170" s="9"/>
      <c r="O1170" s="9"/>
    </row>
    <row r="1171" ht="15.75" customHeight="1">
      <c r="A1171" s="9" t="str">
        <f>IFERROR(__xludf.DUMMYFUNCTION("IF(B1171="""","""",RIGHT(REGEXREPLACE(B1171&amp;"""",""[^0-9]"",""""),9))"),"710112006")</f>
        <v>710112006</v>
      </c>
      <c r="B1171" s="48">
        <v>7.10112006E8</v>
      </c>
      <c r="C1171" s="10" t="s">
        <v>1317</v>
      </c>
      <c r="D1171" s="10" t="s">
        <v>34</v>
      </c>
      <c r="E1171" s="13">
        <v>46227.0</v>
      </c>
      <c r="F1171" s="10" t="s">
        <v>198</v>
      </c>
      <c r="I1171" s="10" t="s">
        <v>22</v>
      </c>
      <c r="J1171" s="9" t="str">
        <f t="shared" si="30"/>
        <v>No</v>
      </c>
      <c r="K1171" s="9" t="str">
        <f t="shared" si="31"/>
        <v/>
      </c>
      <c r="L1171" s="9" t="str">
        <f t="shared" si="32"/>
        <v/>
      </c>
      <c r="M1171" s="9"/>
      <c r="O1171" s="9"/>
    </row>
    <row r="1172" ht="15.75" customHeight="1">
      <c r="A1172" s="9" t="str">
        <f>IFERROR(__xludf.DUMMYFUNCTION("IF(B1172="""","""",RIGHT(REGEXREPLACE(B1172&amp;"""",""[^0-9]"",""""),9))"),"740950133")</f>
        <v>740950133</v>
      </c>
      <c r="B1172" s="10">
        <v>7.40950133E8</v>
      </c>
      <c r="C1172" s="10" t="s">
        <v>1318</v>
      </c>
      <c r="D1172" s="10" t="s">
        <v>20</v>
      </c>
      <c r="E1172" s="13">
        <v>46227.0</v>
      </c>
      <c r="F1172" s="10" t="s">
        <v>198</v>
      </c>
      <c r="G1172" s="10">
        <v>11.0</v>
      </c>
      <c r="I1172" s="10" t="s">
        <v>22</v>
      </c>
      <c r="J1172" s="9" t="str">
        <f t="shared" si="30"/>
        <v>No</v>
      </c>
      <c r="K1172" s="9" t="str">
        <f t="shared" si="31"/>
        <v/>
      </c>
      <c r="L1172" s="9" t="str">
        <f t="shared" si="32"/>
        <v/>
      </c>
      <c r="M1172" s="9"/>
      <c r="O1172" s="9"/>
    </row>
    <row r="1173" ht="15.75" customHeight="1">
      <c r="A1173" s="9" t="str">
        <f>IFERROR(__xludf.DUMMYFUNCTION("IF(B1173="""","""",RIGHT(REGEXREPLACE(B1173&amp;"""",""[^0-9]"",""""),9))"),"740509676")</f>
        <v>740509676</v>
      </c>
      <c r="B1173" s="48">
        <v>7.40509676E8</v>
      </c>
      <c r="C1173" s="10" t="s">
        <v>1319</v>
      </c>
      <c r="D1173" s="10" t="s">
        <v>50</v>
      </c>
      <c r="E1173" s="13">
        <v>46227.0</v>
      </c>
      <c r="F1173" s="10" t="s">
        <v>171</v>
      </c>
      <c r="I1173" s="10" t="s">
        <v>22</v>
      </c>
      <c r="J1173" s="9" t="str">
        <f t="shared" si="30"/>
        <v>No</v>
      </c>
      <c r="K1173" s="9" t="str">
        <f t="shared" si="31"/>
        <v/>
      </c>
      <c r="L1173" s="9" t="str">
        <f t="shared" si="32"/>
        <v/>
      </c>
      <c r="M1173" s="9"/>
      <c r="O1173" s="9"/>
    </row>
    <row r="1174" ht="15.75" customHeight="1">
      <c r="A1174" s="9" t="str">
        <f>IFERROR(__xludf.DUMMYFUNCTION("IF(B1174="""","""",RIGHT(REGEXREPLACE(B1174&amp;"""",""[^0-9]"",""""),9))"),"783835751")</f>
        <v>783835751</v>
      </c>
      <c r="B1174" s="48">
        <v>7.83835751E8</v>
      </c>
      <c r="C1174" s="10" t="s">
        <v>1320</v>
      </c>
      <c r="D1174" s="10" t="s">
        <v>34</v>
      </c>
      <c r="E1174" s="13">
        <v>46227.0</v>
      </c>
      <c r="F1174" s="10" t="s">
        <v>145</v>
      </c>
      <c r="I1174" s="10" t="s">
        <v>22</v>
      </c>
      <c r="J1174" s="9" t="str">
        <f t="shared" si="30"/>
        <v>No</v>
      </c>
      <c r="K1174" s="9" t="str">
        <f t="shared" si="31"/>
        <v/>
      </c>
      <c r="L1174" s="9" t="str">
        <f t="shared" si="32"/>
        <v/>
      </c>
      <c r="M1174" s="9"/>
      <c r="O1174" s="9"/>
    </row>
    <row r="1175" ht="15.75" customHeight="1">
      <c r="A1175" s="9" t="str">
        <f>IFERROR(__xludf.DUMMYFUNCTION("IF(B1175="""","""",RIGHT(REGEXREPLACE(B1175&amp;"""",""[^0-9]"",""""),9))"),"782009446")</f>
        <v>782009446</v>
      </c>
      <c r="B1175" s="10">
        <v>7.82009446E8</v>
      </c>
      <c r="C1175" s="10" t="s">
        <v>1321</v>
      </c>
      <c r="D1175" s="10" t="s">
        <v>20</v>
      </c>
      <c r="E1175" s="13">
        <v>46227.0</v>
      </c>
      <c r="F1175" s="10" t="s">
        <v>198</v>
      </c>
      <c r="G1175" s="10">
        <v>11.0</v>
      </c>
      <c r="I1175" s="10" t="s">
        <v>22</v>
      </c>
      <c r="J1175" s="9" t="str">
        <f t="shared" si="30"/>
        <v>No</v>
      </c>
      <c r="K1175" s="9" t="str">
        <f t="shared" si="31"/>
        <v/>
      </c>
      <c r="L1175" s="9" t="str">
        <f t="shared" si="32"/>
        <v/>
      </c>
      <c r="M1175" s="9"/>
      <c r="O1175" s="9"/>
    </row>
    <row r="1176" ht="15.75" customHeight="1">
      <c r="A1176" s="9" t="str">
        <f>IFERROR(__xludf.DUMMYFUNCTION("IF(B1176="""","""",RIGHT(REGEXREPLACE(B1176&amp;"""",""[^0-9]"",""""),9))"),"711994303")</f>
        <v>711994303</v>
      </c>
      <c r="B1176" s="10">
        <v>7.11994303E8</v>
      </c>
      <c r="C1176" s="10" t="s">
        <v>1322</v>
      </c>
      <c r="D1176" s="10" t="s">
        <v>20</v>
      </c>
      <c r="E1176" s="13">
        <v>46227.0</v>
      </c>
      <c r="F1176" s="10" t="s">
        <v>198</v>
      </c>
      <c r="G1176" s="10">
        <v>11.0</v>
      </c>
      <c r="I1176" s="10" t="s">
        <v>22</v>
      </c>
      <c r="J1176" s="9" t="str">
        <f t="shared" si="30"/>
        <v>No</v>
      </c>
      <c r="K1176" s="9" t="str">
        <f t="shared" si="31"/>
        <v/>
      </c>
      <c r="L1176" s="9" t="str">
        <f t="shared" si="32"/>
        <v/>
      </c>
      <c r="M1176" s="9"/>
      <c r="O1176" s="9"/>
    </row>
    <row r="1177" ht="15.75" customHeight="1">
      <c r="A1177" s="9" t="str">
        <f>IFERROR(__xludf.DUMMYFUNCTION("IF(B1177="""","""",RIGHT(REGEXREPLACE(B1177&amp;"""",""[^0-9]"",""""),9))"),"711650754")</f>
        <v>711650754</v>
      </c>
      <c r="B1177" s="10">
        <v>7.11650754E8</v>
      </c>
      <c r="C1177" s="10" t="s">
        <v>1323</v>
      </c>
      <c r="D1177" s="10" t="s">
        <v>20</v>
      </c>
      <c r="E1177" s="13">
        <v>46227.0</v>
      </c>
      <c r="F1177" s="10" t="s">
        <v>648</v>
      </c>
      <c r="G1177" s="10">
        <v>11.0</v>
      </c>
      <c r="I1177" s="10" t="s">
        <v>22</v>
      </c>
      <c r="J1177" s="9" t="str">
        <f t="shared" si="30"/>
        <v>No</v>
      </c>
      <c r="K1177" s="9" t="str">
        <f t="shared" si="31"/>
        <v/>
      </c>
      <c r="L1177" s="9" t="str">
        <f t="shared" si="32"/>
        <v/>
      </c>
      <c r="M1177" s="9"/>
      <c r="O1177" s="9"/>
    </row>
    <row r="1178" ht="15.75" customHeight="1">
      <c r="A1178" s="9" t="str">
        <f>IFERROR(__xludf.DUMMYFUNCTION("IF(B1178="""","""",RIGHT(REGEXREPLACE(B1178&amp;"""",""[^0-9]"",""""),9))"),"705234198")</f>
        <v>705234198</v>
      </c>
      <c r="B1178" s="48">
        <v>7.05234198E8</v>
      </c>
      <c r="C1178" s="10" t="s">
        <v>1324</v>
      </c>
      <c r="D1178" s="10" t="s">
        <v>50</v>
      </c>
      <c r="E1178" s="13">
        <v>46227.0</v>
      </c>
      <c r="F1178" s="10" t="s">
        <v>35</v>
      </c>
      <c r="G1178" s="10">
        <v>11.0</v>
      </c>
      <c r="H1178" s="10" t="s">
        <v>238</v>
      </c>
      <c r="I1178" s="10" t="s">
        <v>22</v>
      </c>
      <c r="J1178" s="9" t="str">
        <f t="shared" si="30"/>
        <v>No</v>
      </c>
      <c r="K1178" s="9" t="str">
        <f t="shared" si="31"/>
        <v/>
      </c>
      <c r="L1178" s="9" t="str">
        <f t="shared" si="32"/>
        <v/>
      </c>
      <c r="M1178" s="9"/>
      <c r="O1178" s="9"/>
    </row>
    <row r="1179" ht="15.75" customHeight="1">
      <c r="A1179" s="9" t="str">
        <f>IFERROR(__xludf.DUMMYFUNCTION("IF(B1179="""","""",RIGHT(REGEXREPLACE(B1179&amp;"""",""[^0-9]"",""""),9))"),"782009446")</f>
        <v>782009446</v>
      </c>
      <c r="B1179" s="48">
        <v>7.82009446E8</v>
      </c>
      <c r="C1179" s="10" t="s">
        <v>1321</v>
      </c>
      <c r="D1179" s="10" t="s">
        <v>69</v>
      </c>
      <c r="E1179" s="13">
        <v>46227.0</v>
      </c>
      <c r="F1179" s="10" t="s">
        <v>198</v>
      </c>
      <c r="G1179" s="10">
        <v>11.0</v>
      </c>
      <c r="I1179" s="10" t="s">
        <v>22</v>
      </c>
      <c r="J1179" s="9" t="str">
        <f t="shared" si="30"/>
        <v>Yes - see Previous F-Code</v>
      </c>
      <c r="K1179" s="9" t="str">
        <f t="shared" si="31"/>
        <v>DUPLICATE - CHECK</v>
      </c>
      <c r="L1179" s="9" t="str">
        <f t="shared" si="32"/>
        <v>F71128</v>
      </c>
      <c r="M1179" s="9"/>
      <c r="O1179" s="9"/>
    </row>
    <row r="1180" ht="15.75" customHeight="1">
      <c r="A1180" s="9" t="str">
        <f>IFERROR(__xludf.DUMMYFUNCTION("IF(B1180="""","""",RIGHT(REGEXREPLACE(B1180&amp;"""",""[^0-9]"",""""),9))"),"713287369")</f>
        <v>713287369</v>
      </c>
      <c r="B1180" s="48">
        <v>7.13287369E8</v>
      </c>
      <c r="C1180" s="10" t="s">
        <v>1325</v>
      </c>
      <c r="D1180" s="10" t="s">
        <v>34</v>
      </c>
      <c r="E1180" s="13">
        <v>46227.0</v>
      </c>
      <c r="F1180" s="10" t="s">
        <v>198</v>
      </c>
      <c r="I1180" s="10" t="s">
        <v>22</v>
      </c>
      <c r="J1180" s="9" t="str">
        <f t="shared" si="30"/>
        <v>No</v>
      </c>
      <c r="K1180" s="9" t="str">
        <f t="shared" si="31"/>
        <v/>
      </c>
      <c r="L1180" s="9" t="str">
        <f t="shared" si="32"/>
        <v/>
      </c>
      <c r="M1180" s="9"/>
      <c r="O1180" s="9"/>
    </row>
    <row r="1181" ht="15.75" customHeight="1">
      <c r="A1181" s="9" t="str">
        <f>IFERROR(__xludf.DUMMYFUNCTION("IF(B1181="""","""",RIGHT(REGEXREPLACE(B1181&amp;"""",""[^0-9]"",""""),9))"),"722010562")</f>
        <v>722010562</v>
      </c>
      <c r="B1181" s="48">
        <v>7.22010562E8</v>
      </c>
      <c r="C1181" s="10" t="s">
        <v>1326</v>
      </c>
      <c r="D1181" s="10" t="s">
        <v>34</v>
      </c>
      <c r="E1181" s="13">
        <v>46227.0</v>
      </c>
      <c r="F1181" s="10" t="s">
        <v>35</v>
      </c>
      <c r="G1181" s="10">
        <v>11.0</v>
      </c>
      <c r="I1181" s="10" t="s">
        <v>22</v>
      </c>
      <c r="J1181" s="9" t="str">
        <f t="shared" si="30"/>
        <v>No</v>
      </c>
      <c r="K1181" s="9" t="str">
        <f t="shared" si="31"/>
        <v/>
      </c>
      <c r="L1181" s="9" t="str">
        <f t="shared" si="32"/>
        <v/>
      </c>
      <c r="M1181" s="9"/>
      <c r="O1181" s="9"/>
    </row>
    <row r="1182" ht="15.75" customHeight="1">
      <c r="A1182" s="9" t="str">
        <f>IFERROR(__xludf.DUMMYFUNCTION("IF(B1182="""","""",RIGHT(REGEXREPLACE(B1182&amp;"""",""[^0-9]"",""""),9))"),"718511766")</f>
        <v>718511766</v>
      </c>
      <c r="B1182" s="10">
        <v>7.18511766E8</v>
      </c>
      <c r="C1182" s="10" t="s">
        <v>1327</v>
      </c>
      <c r="D1182" s="10" t="s">
        <v>20</v>
      </c>
      <c r="E1182" s="13">
        <v>46227.0</v>
      </c>
      <c r="F1182" s="10" t="s">
        <v>21</v>
      </c>
      <c r="G1182" s="10">
        <v>11.0</v>
      </c>
      <c r="I1182" s="10" t="s">
        <v>22</v>
      </c>
      <c r="J1182" s="9" t="str">
        <f t="shared" si="30"/>
        <v>No</v>
      </c>
      <c r="K1182" s="9" t="str">
        <f t="shared" si="31"/>
        <v/>
      </c>
      <c r="L1182" s="9" t="str">
        <f t="shared" si="32"/>
        <v/>
      </c>
      <c r="M1182" s="9"/>
      <c r="O1182" s="9"/>
    </row>
    <row r="1183" ht="15.75" customHeight="1">
      <c r="A1183" s="9" t="str">
        <f>IFERROR(__xludf.DUMMYFUNCTION("IF(B1183="""","""",RIGHT(REGEXREPLACE(B1183&amp;"""",""[^0-9]"",""""),9))"),"776740105")</f>
        <v>776740105</v>
      </c>
      <c r="B1183" s="10">
        <v>7.76740105E8</v>
      </c>
      <c r="C1183" s="10" t="s">
        <v>1328</v>
      </c>
      <c r="D1183" s="10" t="s">
        <v>20</v>
      </c>
      <c r="E1183" s="13">
        <v>46227.0</v>
      </c>
      <c r="F1183" s="10" t="s">
        <v>35</v>
      </c>
      <c r="G1183" s="10">
        <v>11.0</v>
      </c>
      <c r="I1183" s="10" t="s">
        <v>22</v>
      </c>
      <c r="J1183" s="9" t="str">
        <f t="shared" si="30"/>
        <v>No</v>
      </c>
      <c r="K1183" s="9" t="str">
        <f t="shared" si="31"/>
        <v/>
      </c>
      <c r="L1183" s="9" t="str">
        <f t="shared" si="32"/>
        <v/>
      </c>
      <c r="M1183" s="9"/>
      <c r="O1183" s="9"/>
    </row>
    <row r="1184" ht="15.75" customHeight="1">
      <c r="A1184" s="9" t="str">
        <f>IFERROR(__xludf.DUMMYFUNCTION("IF(B1184="""","""",RIGHT(REGEXREPLACE(B1184&amp;"""",""[^0-9]"",""""),9))"),"779561063")</f>
        <v>779561063</v>
      </c>
      <c r="B1184" s="48">
        <v>7.79561063E8</v>
      </c>
      <c r="C1184" s="10" t="s">
        <v>1329</v>
      </c>
      <c r="D1184" s="10" t="s">
        <v>34</v>
      </c>
      <c r="E1184" s="13">
        <v>46227.0</v>
      </c>
      <c r="F1184" s="10" t="s">
        <v>21</v>
      </c>
      <c r="I1184" s="10" t="s">
        <v>22</v>
      </c>
      <c r="J1184" s="9" t="str">
        <f t="shared" si="30"/>
        <v>No</v>
      </c>
      <c r="K1184" s="9" t="str">
        <f t="shared" si="31"/>
        <v/>
      </c>
      <c r="L1184" s="9" t="str">
        <f t="shared" si="32"/>
        <v/>
      </c>
      <c r="M1184" s="9"/>
      <c r="O1184" s="9"/>
    </row>
    <row r="1185" ht="15.75" customHeight="1">
      <c r="A1185" s="9" t="str">
        <f>IFERROR(__xludf.DUMMYFUNCTION("IF(B1185="""","""",RIGHT(REGEXREPLACE(B1185&amp;"""",""[^0-9]"",""""),9))"),"740637367")</f>
        <v>740637367</v>
      </c>
      <c r="B1185" s="48">
        <v>7.40637367E8</v>
      </c>
      <c r="C1185" s="10" t="s">
        <v>1330</v>
      </c>
      <c r="D1185" s="10" t="s">
        <v>50</v>
      </c>
      <c r="E1185" s="13">
        <v>46227.0</v>
      </c>
      <c r="F1185" s="10" t="s">
        <v>21</v>
      </c>
      <c r="G1185" s="10">
        <v>11.0</v>
      </c>
      <c r="I1185" s="10" t="s">
        <v>22</v>
      </c>
      <c r="J1185" s="9" t="str">
        <f t="shared" si="30"/>
        <v>No</v>
      </c>
      <c r="K1185" s="9" t="str">
        <f t="shared" si="31"/>
        <v/>
      </c>
      <c r="L1185" s="9" t="str">
        <f t="shared" si="32"/>
        <v/>
      </c>
      <c r="M1185" s="9"/>
      <c r="O1185" s="9"/>
    </row>
    <row r="1186" ht="15.75" customHeight="1">
      <c r="A1186" s="9" t="str">
        <f>IFERROR(__xludf.DUMMYFUNCTION("IF(B1186="""","""",RIGHT(REGEXREPLACE(B1186&amp;"""",""[^0-9]"",""""),9))"),"761585147")</f>
        <v>761585147</v>
      </c>
      <c r="B1186" s="10">
        <v>7.61585147E8</v>
      </c>
      <c r="C1186" s="10" t="s">
        <v>1331</v>
      </c>
      <c r="D1186" s="10" t="s">
        <v>20</v>
      </c>
      <c r="E1186" s="13">
        <v>46227.0</v>
      </c>
      <c r="F1186" s="10" t="s">
        <v>113</v>
      </c>
      <c r="G1186" s="10">
        <v>11.0</v>
      </c>
      <c r="I1186" s="10" t="s">
        <v>22</v>
      </c>
      <c r="J1186" s="9" t="str">
        <f t="shared" si="30"/>
        <v>No</v>
      </c>
      <c r="K1186" s="9" t="str">
        <f t="shared" si="31"/>
        <v/>
      </c>
      <c r="L1186" s="9" t="str">
        <f t="shared" si="32"/>
        <v/>
      </c>
      <c r="M1186" s="9"/>
      <c r="O1186" s="9"/>
    </row>
    <row r="1187" ht="15.75" customHeight="1">
      <c r="A1187" s="9" t="str">
        <f>IFERROR(__xludf.DUMMYFUNCTION("IF(B1187="""","""",RIGHT(REGEXREPLACE(B1187&amp;"""",""[^0-9]"",""""),9))"),"761585147")</f>
        <v>761585147</v>
      </c>
      <c r="B1187" s="48">
        <v>7.61585147E8</v>
      </c>
      <c r="C1187" s="10" t="s">
        <v>1331</v>
      </c>
      <c r="D1187" s="10" t="s">
        <v>69</v>
      </c>
      <c r="E1187" s="13">
        <v>46227.0</v>
      </c>
      <c r="F1187" s="10" t="s">
        <v>35</v>
      </c>
      <c r="G1187" s="10">
        <v>11.0</v>
      </c>
      <c r="I1187" s="10" t="s">
        <v>22</v>
      </c>
      <c r="J1187" s="9" t="str">
        <f t="shared" si="30"/>
        <v>Yes - see Previous F-Code</v>
      </c>
      <c r="K1187" s="9" t="str">
        <f t="shared" si="31"/>
        <v>DUPLICATE - CHECK</v>
      </c>
      <c r="L1187" s="9" t="str">
        <f t="shared" si="32"/>
        <v>F71137</v>
      </c>
      <c r="M1187" s="9"/>
      <c r="O1187" s="9"/>
    </row>
    <row r="1188" ht="15.75" customHeight="1">
      <c r="A1188" s="9" t="str">
        <f>IFERROR(__xludf.DUMMYFUNCTION("IF(B1188="""","""",RIGHT(REGEXREPLACE(B1188&amp;"""",""[^0-9]"",""""),9))"),"718033778")</f>
        <v>718033778</v>
      </c>
      <c r="B1188" s="48">
        <v>7.18033778E8</v>
      </c>
      <c r="C1188" s="10" t="s">
        <v>1332</v>
      </c>
      <c r="D1188" s="10" t="s">
        <v>120</v>
      </c>
      <c r="E1188" s="13">
        <v>46227.0</v>
      </c>
      <c r="F1188" s="10" t="s">
        <v>35</v>
      </c>
      <c r="G1188" s="10">
        <v>11.0</v>
      </c>
      <c r="I1188" s="10" t="s">
        <v>22</v>
      </c>
      <c r="J1188" s="9" t="str">
        <f t="shared" si="30"/>
        <v>No</v>
      </c>
      <c r="K1188" s="9" t="str">
        <f t="shared" si="31"/>
        <v/>
      </c>
      <c r="L1188" s="9" t="str">
        <f t="shared" si="32"/>
        <v/>
      </c>
      <c r="M1188" s="9"/>
      <c r="O1188" s="9"/>
    </row>
    <row r="1189" ht="15.75" customHeight="1">
      <c r="A1189" s="9" t="str">
        <f>IFERROR(__xludf.DUMMYFUNCTION("IF(B1189="""","""",RIGHT(REGEXREPLACE(B1189&amp;"""",""[^0-9]"",""""),9))"),"788453392")</f>
        <v>788453392</v>
      </c>
      <c r="B1189" s="48">
        <v>7.88453392E8</v>
      </c>
      <c r="C1189" s="10" t="s">
        <v>1333</v>
      </c>
      <c r="D1189" s="10" t="s">
        <v>34</v>
      </c>
      <c r="E1189" s="13">
        <v>46227.0</v>
      </c>
      <c r="F1189" s="10" t="s">
        <v>171</v>
      </c>
      <c r="I1189" s="10" t="s">
        <v>22</v>
      </c>
      <c r="J1189" s="9" t="str">
        <f t="shared" si="30"/>
        <v>No</v>
      </c>
      <c r="K1189" s="9" t="str">
        <f t="shared" si="31"/>
        <v/>
      </c>
      <c r="L1189" s="9" t="str">
        <f t="shared" si="32"/>
        <v/>
      </c>
      <c r="M1189" s="9"/>
      <c r="O1189" s="9"/>
    </row>
    <row r="1190" ht="15.75" customHeight="1">
      <c r="A1190" s="9" t="str">
        <f>IFERROR(__xludf.DUMMYFUNCTION("IF(B1190="""","""",RIGHT(REGEXREPLACE(B1190&amp;"""",""[^0-9]"",""""),9))"),"762084882")</f>
        <v>762084882</v>
      </c>
      <c r="B1190" s="48">
        <v>7.62084882E8</v>
      </c>
      <c r="C1190" s="10" t="s">
        <v>1334</v>
      </c>
      <c r="D1190" s="10" t="s">
        <v>34</v>
      </c>
      <c r="E1190" s="13">
        <v>46227.0</v>
      </c>
      <c r="F1190" s="10" t="s">
        <v>21</v>
      </c>
      <c r="I1190" s="10" t="s">
        <v>22</v>
      </c>
      <c r="J1190" s="9" t="str">
        <f t="shared" si="30"/>
        <v>No</v>
      </c>
      <c r="K1190" s="9" t="str">
        <f t="shared" si="31"/>
        <v/>
      </c>
      <c r="L1190" s="9" t="str">
        <f t="shared" si="32"/>
        <v/>
      </c>
      <c r="M1190" s="9"/>
      <c r="O1190" s="9"/>
    </row>
    <row r="1191" ht="15.75" customHeight="1">
      <c r="A1191" s="9" t="str">
        <f>IFERROR(__xludf.DUMMYFUNCTION("IF(B1191="""","""",RIGHT(REGEXREPLACE(B1191&amp;"""",""[^0-9]"",""""),9))"),"775778376")</f>
        <v>775778376</v>
      </c>
      <c r="B1191" s="48">
        <v>7.75778376E8</v>
      </c>
      <c r="C1191" s="10" t="s">
        <v>1335</v>
      </c>
      <c r="D1191" s="10" t="s">
        <v>50</v>
      </c>
      <c r="E1191" s="13">
        <v>46227.0</v>
      </c>
      <c r="F1191" s="10" t="s">
        <v>35</v>
      </c>
      <c r="G1191" s="10">
        <v>11.0</v>
      </c>
      <c r="I1191" s="10" t="s">
        <v>22</v>
      </c>
      <c r="J1191" s="9" t="str">
        <f t="shared" si="30"/>
        <v>No</v>
      </c>
      <c r="K1191" s="9" t="str">
        <f t="shared" si="31"/>
        <v/>
      </c>
      <c r="L1191" s="9" t="str">
        <f t="shared" si="32"/>
        <v/>
      </c>
      <c r="M1191" s="9"/>
      <c r="O1191" s="9"/>
    </row>
    <row r="1192" ht="15.75" customHeight="1">
      <c r="A1192" s="9" t="str">
        <f>IFERROR(__xludf.DUMMYFUNCTION("IF(B1192="""","""",RIGHT(REGEXREPLACE(B1192&amp;"""",""[^0-9]"",""""),9))"),"742395922")</f>
        <v>742395922</v>
      </c>
      <c r="B1192" s="10">
        <v>7.42395922E8</v>
      </c>
      <c r="C1192" s="10" t="s">
        <v>1336</v>
      </c>
      <c r="D1192" s="10" t="s">
        <v>20</v>
      </c>
      <c r="E1192" s="13">
        <v>46227.0</v>
      </c>
      <c r="F1192" s="10" t="s">
        <v>35</v>
      </c>
      <c r="G1192" s="10">
        <v>11.0</v>
      </c>
      <c r="H1192" s="10" t="s">
        <v>1337</v>
      </c>
      <c r="I1192" s="10" t="s">
        <v>22</v>
      </c>
      <c r="J1192" s="9" t="str">
        <f t="shared" si="30"/>
        <v>No</v>
      </c>
      <c r="K1192" s="9" t="str">
        <f t="shared" si="31"/>
        <v/>
      </c>
      <c r="L1192" s="9" t="str">
        <f t="shared" si="32"/>
        <v/>
      </c>
      <c r="M1192" s="9"/>
      <c r="O1192" s="9"/>
    </row>
    <row r="1193" ht="15.75" customHeight="1">
      <c r="A1193" s="9" t="str">
        <f>IFERROR(__xludf.DUMMYFUNCTION("IF(B1193="""","""",RIGHT(REGEXREPLACE(B1193&amp;"""",""[^0-9]"",""""),9))"),"770387644")</f>
        <v>770387644</v>
      </c>
      <c r="B1193" s="48">
        <v>7.70387644E8</v>
      </c>
      <c r="C1193" s="10" t="s">
        <v>1338</v>
      </c>
      <c r="D1193" s="10" t="s">
        <v>69</v>
      </c>
      <c r="E1193" s="13">
        <v>46227.0</v>
      </c>
      <c r="F1193" s="10" t="s">
        <v>35</v>
      </c>
      <c r="G1193" s="10">
        <v>11.0</v>
      </c>
      <c r="I1193" s="10" t="s">
        <v>22</v>
      </c>
      <c r="J1193" s="9" t="str">
        <f t="shared" si="30"/>
        <v>No</v>
      </c>
      <c r="K1193" s="9" t="str">
        <f t="shared" si="31"/>
        <v/>
      </c>
      <c r="L1193" s="9" t="str">
        <f t="shared" si="32"/>
        <v/>
      </c>
      <c r="M1193" s="9"/>
      <c r="O1193" s="9"/>
    </row>
    <row r="1194" ht="15.75" customHeight="1">
      <c r="A1194" s="9" t="str">
        <f>IFERROR(__xludf.DUMMYFUNCTION("IF(B1194="""","""",RIGHT(REGEXREPLACE(B1194&amp;"""",""[^0-9]"",""""),9))"),"741154287")</f>
        <v>741154287</v>
      </c>
      <c r="B1194" s="48">
        <v>7.41154287E8</v>
      </c>
      <c r="C1194" s="10" t="s">
        <v>1339</v>
      </c>
      <c r="D1194" s="10" t="s">
        <v>120</v>
      </c>
      <c r="E1194" s="13">
        <v>46227.0</v>
      </c>
      <c r="F1194" s="10" t="s">
        <v>21</v>
      </c>
      <c r="I1194" s="10" t="s">
        <v>22</v>
      </c>
      <c r="J1194" s="9" t="str">
        <f t="shared" si="30"/>
        <v>No</v>
      </c>
      <c r="K1194" s="9" t="str">
        <f t="shared" si="31"/>
        <v/>
      </c>
      <c r="L1194" s="9" t="str">
        <f t="shared" si="32"/>
        <v/>
      </c>
      <c r="M1194" s="9"/>
      <c r="O1194" s="9"/>
    </row>
    <row r="1195" ht="15.75" customHeight="1">
      <c r="A1195" s="9" t="str">
        <f>IFERROR(__xludf.DUMMYFUNCTION("IF(B1195="""","""",RIGHT(REGEXREPLACE(B1195&amp;"""",""[^0-9]"",""""),9))"),"776152814")</f>
        <v>776152814</v>
      </c>
      <c r="B1195" s="48">
        <v>7.76152814E8</v>
      </c>
      <c r="C1195" s="10" t="s">
        <v>1340</v>
      </c>
      <c r="D1195" s="10" t="s">
        <v>50</v>
      </c>
      <c r="E1195" s="13">
        <v>46227.0</v>
      </c>
      <c r="F1195" s="10" t="s">
        <v>21</v>
      </c>
      <c r="G1195" s="10">
        <v>11.0</v>
      </c>
      <c r="I1195" s="10" t="s">
        <v>22</v>
      </c>
      <c r="J1195" s="9" t="str">
        <f t="shared" si="30"/>
        <v>No</v>
      </c>
      <c r="K1195" s="9" t="str">
        <f t="shared" si="31"/>
        <v/>
      </c>
      <c r="L1195" s="9" t="str">
        <f t="shared" si="32"/>
        <v/>
      </c>
      <c r="M1195" s="9"/>
      <c r="O1195" s="9"/>
    </row>
    <row r="1196" ht="15.75" customHeight="1">
      <c r="A1196" s="9" t="str">
        <f>IFERROR(__xludf.DUMMYFUNCTION("IF(B1196="""","""",RIGHT(REGEXREPLACE(B1196&amp;"""",""[^0-9]"",""""),9))"),"762992915")</f>
        <v>762992915</v>
      </c>
      <c r="B1196" s="48">
        <v>7.62992915E8</v>
      </c>
      <c r="C1196" s="10" t="s">
        <v>159</v>
      </c>
      <c r="D1196" s="10" t="s">
        <v>34</v>
      </c>
      <c r="E1196" s="13">
        <v>46227.0</v>
      </c>
      <c r="F1196" s="10" t="s">
        <v>35</v>
      </c>
      <c r="G1196" s="10">
        <v>11.0</v>
      </c>
      <c r="I1196" s="10" t="s">
        <v>22</v>
      </c>
      <c r="J1196" s="9" t="str">
        <f t="shared" si="30"/>
        <v>Yes - see Previous F-Code</v>
      </c>
      <c r="K1196" s="9" t="str">
        <f t="shared" si="31"/>
        <v>DUPLICATE - CHECK</v>
      </c>
      <c r="L1196" s="9" t="str">
        <f t="shared" si="32"/>
        <v>F70061</v>
      </c>
      <c r="M1196" s="9"/>
      <c r="O1196" s="9"/>
    </row>
    <row r="1197" ht="15.75" customHeight="1">
      <c r="A1197" s="9" t="str">
        <f>IFERROR(__xludf.DUMMYFUNCTION("IF(B1197="""","""",RIGHT(REGEXREPLACE(B1197&amp;"""",""[^0-9]"",""""),9))"),"778241843")</f>
        <v>778241843</v>
      </c>
      <c r="B1197" s="48">
        <v>7.78241843E8</v>
      </c>
      <c r="C1197" s="10" t="s">
        <v>373</v>
      </c>
      <c r="D1197" s="10" t="s">
        <v>69</v>
      </c>
      <c r="E1197" s="13">
        <v>46227.0</v>
      </c>
      <c r="F1197" s="10" t="s">
        <v>35</v>
      </c>
      <c r="G1197" s="10">
        <v>11.0</v>
      </c>
      <c r="I1197" s="10" t="s">
        <v>22</v>
      </c>
      <c r="J1197" s="9" t="str">
        <f t="shared" si="30"/>
        <v>Yes - see Previous F-Code</v>
      </c>
      <c r="K1197" s="9" t="str">
        <f t="shared" si="31"/>
        <v>DUPLICATE - CHECK</v>
      </c>
      <c r="L1197" s="9" t="str">
        <f t="shared" si="32"/>
        <v>F70258</v>
      </c>
      <c r="M1197" s="9"/>
      <c r="O1197" s="9"/>
    </row>
    <row r="1198" ht="15.75" customHeight="1">
      <c r="A1198" s="9" t="str">
        <f>IFERROR(__xludf.DUMMYFUNCTION("IF(B1198="""","""",RIGHT(REGEXREPLACE(B1198&amp;"""",""[^0-9]"",""""),9))"),"760180630")</f>
        <v>760180630</v>
      </c>
      <c r="B1198" s="48">
        <v>7.6018063E8</v>
      </c>
      <c r="C1198" s="10" t="s">
        <v>1341</v>
      </c>
      <c r="D1198" s="10" t="s">
        <v>69</v>
      </c>
      <c r="E1198" s="13">
        <v>46227.0</v>
      </c>
      <c r="F1198" s="10" t="s">
        <v>21</v>
      </c>
      <c r="I1198" s="10" t="s">
        <v>22</v>
      </c>
      <c r="J1198" s="9" t="str">
        <f t="shared" si="30"/>
        <v>No</v>
      </c>
      <c r="K1198" s="9" t="str">
        <f t="shared" si="31"/>
        <v/>
      </c>
      <c r="L1198" s="9" t="str">
        <f t="shared" si="32"/>
        <v/>
      </c>
      <c r="M1198" s="9"/>
      <c r="O1198" s="9"/>
    </row>
    <row r="1199" ht="15.75" customHeight="1">
      <c r="A1199" s="9" t="str">
        <f>IFERROR(__xludf.DUMMYFUNCTION("IF(B1199="""","""",RIGHT(REGEXREPLACE(B1199&amp;"""",""[^0-9]"",""""),9))"),"767676457")</f>
        <v>767676457</v>
      </c>
      <c r="B1199" s="48">
        <v>7.67676457E8</v>
      </c>
      <c r="C1199" s="10" t="s">
        <v>1342</v>
      </c>
      <c r="D1199" s="10" t="s">
        <v>50</v>
      </c>
      <c r="E1199" s="13">
        <v>46227.0</v>
      </c>
      <c r="F1199" s="10" t="s">
        <v>171</v>
      </c>
      <c r="G1199" s="10">
        <v>11.0</v>
      </c>
      <c r="I1199" s="10" t="s">
        <v>22</v>
      </c>
      <c r="J1199" s="9" t="str">
        <f t="shared" si="30"/>
        <v>No</v>
      </c>
      <c r="K1199" s="9" t="str">
        <f t="shared" si="31"/>
        <v/>
      </c>
      <c r="L1199" s="9" t="str">
        <f t="shared" si="32"/>
        <v/>
      </c>
      <c r="M1199" s="9"/>
      <c r="O1199" s="9"/>
    </row>
    <row r="1200" ht="15.75" customHeight="1">
      <c r="A1200" s="9" t="str">
        <f>IFERROR(__xludf.DUMMYFUNCTION("IF(B1200="""","""",RIGHT(REGEXREPLACE(B1200&amp;"""",""[^0-9]"",""""),9))"),"718270195")</f>
        <v>718270195</v>
      </c>
      <c r="B1200" s="10">
        <v>7.18270195E8</v>
      </c>
      <c r="C1200" s="10" t="s">
        <v>1341</v>
      </c>
      <c r="D1200" s="10" t="s">
        <v>20</v>
      </c>
      <c r="E1200" s="13">
        <v>46227.0</v>
      </c>
      <c r="F1200" s="10" t="s">
        <v>35</v>
      </c>
      <c r="G1200" s="10">
        <v>11.0</v>
      </c>
      <c r="I1200" s="10" t="s">
        <v>22</v>
      </c>
      <c r="J1200" s="9" t="str">
        <f t="shared" si="30"/>
        <v>No</v>
      </c>
      <c r="K1200" s="9" t="str">
        <f t="shared" si="31"/>
        <v/>
      </c>
      <c r="L1200" s="9" t="str">
        <f t="shared" si="32"/>
        <v/>
      </c>
      <c r="M1200" s="9"/>
      <c r="O1200" s="9"/>
    </row>
    <row r="1201" ht="15.75" customHeight="1">
      <c r="A1201" s="9" t="str">
        <f>IFERROR(__xludf.DUMMYFUNCTION("IF(B1201="""","""",RIGHT(REGEXREPLACE(B1201&amp;"""",""[^0-9]"",""""),9))"),"702463275")</f>
        <v>702463275</v>
      </c>
      <c r="B1201" s="48">
        <v>7.02463275E8</v>
      </c>
      <c r="C1201" s="10" t="s">
        <v>1343</v>
      </c>
      <c r="D1201" s="10" t="s">
        <v>120</v>
      </c>
      <c r="E1201" s="13">
        <v>46227.0</v>
      </c>
      <c r="F1201" s="10" t="s">
        <v>145</v>
      </c>
      <c r="G1201" s="10">
        <v>11.0</v>
      </c>
      <c r="I1201" s="10" t="s">
        <v>22</v>
      </c>
      <c r="J1201" s="9" t="str">
        <f t="shared" si="30"/>
        <v>No</v>
      </c>
      <c r="K1201" s="9" t="str">
        <f t="shared" si="31"/>
        <v/>
      </c>
      <c r="L1201" s="9" t="str">
        <f t="shared" si="32"/>
        <v/>
      </c>
      <c r="M1201" s="9"/>
      <c r="O1201" s="9"/>
    </row>
    <row r="1202" ht="15.75" customHeight="1">
      <c r="A1202" s="9" t="str">
        <f>IFERROR(__xludf.DUMMYFUNCTION("IF(B1202="""","""",RIGHT(REGEXREPLACE(B1202&amp;"""",""[^0-9]"",""""),9))"),"717416550")</f>
        <v>717416550</v>
      </c>
      <c r="B1202" s="48">
        <v>7.1741655E8</v>
      </c>
      <c r="C1202" s="10" t="s">
        <v>1344</v>
      </c>
      <c r="D1202" s="10" t="s">
        <v>34</v>
      </c>
      <c r="E1202" s="13">
        <v>46227.0</v>
      </c>
      <c r="F1202" s="10" t="s">
        <v>21</v>
      </c>
      <c r="I1202" s="10" t="s">
        <v>22</v>
      </c>
      <c r="J1202" s="9" t="str">
        <f t="shared" si="30"/>
        <v>No</v>
      </c>
      <c r="K1202" s="9" t="str">
        <f t="shared" si="31"/>
        <v/>
      </c>
      <c r="L1202" s="9" t="str">
        <f t="shared" si="32"/>
        <v/>
      </c>
      <c r="M1202" s="9"/>
      <c r="O1202" s="9"/>
    </row>
    <row r="1203" ht="15.75" customHeight="1">
      <c r="A1203" s="9" t="str">
        <f>IFERROR(__xludf.DUMMYFUNCTION("IF(B1203="""","""",RIGHT(REGEXREPLACE(B1203&amp;"""",""[^0-9]"",""""),9))"),"776254224")</f>
        <v>776254224</v>
      </c>
      <c r="B1203" s="10">
        <v>7.76254224E8</v>
      </c>
      <c r="C1203" s="10" t="s">
        <v>1345</v>
      </c>
      <c r="D1203" s="10" t="s">
        <v>20</v>
      </c>
      <c r="E1203" s="13">
        <v>46227.0</v>
      </c>
      <c r="F1203" s="10" t="s">
        <v>113</v>
      </c>
      <c r="I1203" s="10" t="s">
        <v>22</v>
      </c>
      <c r="J1203" s="9" t="str">
        <f t="shared" si="30"/>
        <v>No</v>
      </c>
      <c r="K1203" s="9" t="str">
        <f t="shared" si="31"/>
        <v/>
      </c>
      <c r="L1203" s="9" t="str">
        <f t="shared" si="32"/>
        <v/>
      </c>
      <c r="M1203" s="9"/>
      <c r="O1203" s="9"/>
    </row>
    <row r="1204" ht="15.75" customHeight="1">
      <c r="A1204" s="9" t="str">
        <f>IFERROR(__xludf.DUMMYFUNCTION("IF(B1204="""","""",RIGHT(REGEXREPLACE(B1204&amp;"""",""[^0-9]"",""""),9))"),"760180630")</f>
        <v>760180630</v>
      </c>
      <c r="B1204" s="48">
        <v>7.6018063E8</v>
      </c>
      <c r="C1204" s="10" t="s">
        <v>1346</v>
      </c>
      <c r="D1204" s="10" t="s">
        <v>50</v>
      </c>
      <c r="E1204" s="13">
        <v>46227.0</v>
      </c>
      <c r="F1204" s="10" t="s">
        <v>35</v>
      </c>
      <c r="G1204" s="10">
        <v>10.0</v>
      </c>
      <c r="I1204" s="10" t="s">
        <v>22</v>
      </c>
      <c r="J1204" s="9" t="str">
        <f t="shared" si="30"/>
        <v>Yes - see Previous F-Code</v>
      </c>
      <c r="K1204" s="9" t="str">
        <f t="shared" si="31"/>
        <v>DUPLICATE - CHECK</v>
      </c>
      <c r="L1204" s="9" t="str">
        <f t="shared" si="32"/>
        <v>F71146</v>
      </c>
      <c r="M1204" s="9"/>
      <c r="O1204" s="9"/>
    </row>
    <row r="1205" ht="15.75" customHeight="1">
      <c r="A1205" s="9" t="str">
        <f>IFERROR(__xludf.DUMMYFUNCTION("IF(B1205="""","""",RIGHT(REGEXREPLACE(B1205&amp;"""",""[^0-9]"",""""),9))"),"724994253")</f>
        <v>724994253</v>
      </c>
      <c r="B1205" s="48">
        <v>7.24994253E8</v>
      </c>
      <c r="C1205" s="10" t="s">
        <v>1347</v>
      </c>
      <c r="D1205" s="10" t="s">
        <v>34</v>
      </c>
      <c r="E1205" s="13">
        <v>46227.0</v>
      </c>
      <c r="F1205" s="10" t="s">
        <v>35</v>
      </c>
      <c r="G1205" s="10" t="s">
        <v>1348</v>
      </c>
      <c r="I1205" s="10" t="s">
        <v>22</v>
      </c>
      <c r="J1205" s="9" t="str">
        <f t="shared" si="30"/>
        <v>No</v>
      </c>
      <c r="K1205" s="9" t="str">
        <f t="shared" si="31"/>
        <v/>
      </c>
      <c r="L1205" s="9" t="str">
        <f t="shared" si="32"/>
        <v/>
      </c>
      <c r="M1205" s="9"/>
      <c r="O1205" s="9"/>
    </row>
    <row r="1206" ht="15.75" customHeight="1">
      <c r="A1206" s="9" t="str">
        <f>IFERROR(__xludf.DUMMYFUNCTION("IF(B1206="""","""",RIGHT(REGEXREPLACE(B1206&amp;"""",""[^0-9]"",""""),9))"),"768096234")</f>
        <v>768096234</v>
      </c>
      <c r="B1206" s="10">
        <v>7.68096234E8</v>
      </c>
      <c r="C1206" s="10" t="s">
        <v>1349</v>
      </c>
      <c r="D1206" s="10" t="s">
        <v>20</v>
      </c>
      <c r="E1206" s="13">
        <v>46227.0</v>
      </c>
      <c r="F1206" s="10" t="s">
        <v>648</v>
      </c>
      <c r="G1206" s="10">
        <v>11.0</v>
      </c>
      <c r="H1206" s="10" t="s">
        <v>1350</v>
      </c>
      <c r="I1206" s="10" t="s">
        <v>22</v>
      </c>
      <c r="J1206" s="9" t="str">
        <f t="shared" si="30"/>
        <v>No</v>
      </c>
      <c r="K1206" s="9" t="str">
        <f t="shared" si="31"/>
        <v/>
      </c>
      <c r="L1206" s="9" t="str">
        <f t="shared" si="32"/>
        <v/>
      </c>
      <c r="M1206" s="9"/>
      <c r="O1206" s="9"/>
    </row>
    <row r="1207" ht="15.75" customHeight="1">
      <c r="A1207" s="9" t="str">
        <f>IFERROR(__xludf.DUMMYFUNCTION("IF(B1207="""","""",RIGHT(REGEXREPLACE(B1207&amp;"""",""[^0-9]"",""""),9))"),"776417284")</f>
        <v>776417284</v>
      </c>
      <c r="B1207" s="48">
        <v>7.76417284E8</v>
      </c>
      <c r="C1207" s="10" t="s">
        <v>1351</v>
      </c>
      <c r="D1207" s="10" t="s">
        <v>120</v>
      </c>
      <c r="E1207" s="13">
        <v>46227.0</v>
      </c>
      <c r="F1207" s="10" t="s">
        <v>35</v>
      </c>
      <c r="G1207" s="10">
        <v>11.0</v>
      </c>
      <c r="I1207" s="10" t="s">
        <v>22</v>
      </c>
      <c r="J1207" s="9" t="str">
        <f t="shared" si="30"/>
        <v>No</v>
      </c>
      <c r="K1207" s="9" t="str">
        <f t="shared" si="31"/>
        <v/>
      </c>
      <c r="L1207" s="9" t="str">
        <f t="shared" si="32"/>
        <v/>
      </c>
      <c r="M1207" s="9"/>
      <c r="O1207" s="9"/>
    </row>
    <row r="1208" ht="15.75" customHeight="1">
      <c r="A1208" s="9" t="str">
        <f>IFERROR(__xludf.DUMMYFUNCTION("IF(B1208="""","""",RIGHT(REGEXREPLACE(B1208&amp;"""",""[^0-9]"",""""),9))"),"763740886")</f>
        <v>763740886</v>
      </c>
      <c r="B1208" s="10">
        <v>7.63740886E8</v>
      </c>
      <c r="C1208" s="10" t="s">
        <v>1352</v>
      </c>
      <c r="D1208" s="10" t="s">
        <v>20</v>
      </c>
      <c r="E1208" s="13">
        <v>46227.0</v>
      </c>
      <c r="F1208" s="10" t="s">
        <v>171</v>
      </c>
      <c r="G1208" s="10">
        <v>11.0</v>
      </c>
      <c r="I1208" s="10" t="s">
        <v>22</v>
      </c>
      <c r="J1208" s="9" t="str">
        <f t="shared" si="30"/>
        <v>No</v>
      </c>
      <c r="K1208" s="9" t="str">
        <f t="shared" si="31"/>
        <v/>
      </c>
      <c r="L1208" s="9" t="str">
        <f t="shared" si="32"/>
        <v/>
      </c>
      <c r="M1208" s="9"/>
      <c r="O1208" s="9"/>
    </row>
    <row r="1209" ht="15.75" customHeight="1">
      <c r="A1209" s="9" t="str">
        <f>IFERROR(__xludf.DUMMYFUNCTION("IF(B1209="""","""",RIGHT(REGEXREPLACE(B1209&amp;"""",""[^0-9]"",""""),9))"),"712067205")</f>
        <v>712067205</v>
      </c>
      <c r="B1209" s="48">
        <v>7.12067205E8</v>
      </c>
      <c r="C1209" s="10" t="s">
        <v>1353</v>
      </c>
      <c r="D1209" s="10" t="s">
        <v>50</v>
      </c>
      <c r="E1209" s="13">
        <v>46227.0</v>
      </c>
      <c r="F1209" s="10" t="s">
        <v>35</v>
      </c>
      <c r="G1209" s="10">
        <v>11.0</v>
      </c>
      <c r="I1209" s="10" t="s">
        <v>22</v>
      </c>
      <c r="J1209" s="9" t="str">
        <f t="shared" si="30"/>
        <v>No</v>
      </c>
      <c r="K1209" s="9" t="str">
        <f t="shared" si="31"/>
        <v/>
      </c>
      <c r="L1209" s="9" t="str">
        <f t="shared" si="32"/>
        <v/>
      </c>
      <c r="M1209" s="9"/>
      <c r="O1209" s="9"/>
    </row>
    <row r="1210" ht="15.75" customHeight="1">
      <c r="A1210" s="9" t="str">
        <f>IFERROR(__xludf.DUMMYFUNCTION("IF(B1210="""","""",RIGHT(REGEXREPLACE(B1210&amp;"""",""[^0-9]"",""""),9))"),"719601930")</f>
        <v>719601930</v>
      </c>
      <c r="B1210" s="10">
        <v>7.1960193E8</v>
      </c>
      <c r="C1210" s="10" t="s">
        <v>1354</v>
      </c>
      <c r="D1210" s="10" t="s">
        <v>20</v>
      </c>
      <c r="E1210" s="13">
        <v>46227.0</v>
      </c>
      <c r="F1210" s="10" t="s">
        <v>198</v>
      </c>
      <c r="G1210" s="10">
        <v>9.0</v>
      </c>
      <c r="I1210" s="10" t="s">
        <v>22</v>
      </c>
      <c r="J1210" s="9" t="str">
        <f t="shared" si="30"/>
        <v>No</v>
      </c>
      <c r="K1210" s="9" t="str">
        <f t="shared" si="31"/>
        <v/>
      </c>
      <c r="L1210" s="9" t="str">
        <f t="shared" si="32"/>
        <v/>
      </c>
      <c r="M1210" s="9"/>
      <c r="O1210" s="9"/>
    </row>
    <row r="1211" ht="15.75" customHeight="1">
      <c r="A1211" s="9" t="str">
        <f>IFERROR(__xludf.DUMMYFUNCTION("IF(B1211="""","""",RIGHT(REGEXREPLACE(B1211&amp;"""",""[^0-9]"",""""),9))"),"763901436")</f>
        <v>763901436</v>
      </c>
      <c r="B1211" s="48">
        <v>7.63901436E8</v>
      </c>
      <c r="C1211" s="10" t="s">
        <v>1355</v>
      </c>
      <c r="D1211" s="10" t="s">
        <v>34</v>
      </c>
      <c r="E1211" s="13">
        <v>46227.0</v>
      </c>
      <c r="F1211" s="10" t="s">
        <v>35</v>
      </c>
      <c r="G1211" s="10">
        <v>11.0</v>
      </c>
      <c r="I1211" s="10" t="s">
        <v>22</v>
      </c>
      <c r="J1211" s="9" t="str">
        <f t="shared" si="30"/>
        <v>No</v>
      </c>
      <c r="K1211" s="9" t="str">
        <f t="shared" si="31"/>
        <v/>
      </c>
      <c r="L1211" s="9" t="str">
        <f t="shared" si="32"/>
        <v/>
      </c>
      <c r="M1211" s="9"/>
      <c r="O1211" s="9"/>
    </row>
    <row r="1212" ht="15.75" customHeight="1">
      <c r="A1212" s="9" t="str">
        <f>IFERROR(__xludf.DUMMYFUNCTION("IF(B1212="""","""",RIGHT(REGEXREPLACE(B1212&amp;"""",""[^0-9]"",""""),9))"),"761699669")</f>
        <v>761699669</v>
      </c>
      <c r="B1212" s="48">
        <v>7.61699669E8</v>
      </c>
      <c r="C1212" s="10" t="s">
        <v>1356</v>
      </c>
      <c r="D1212" s="10" t="s">
        <v>69</v>
      </c>
      <c r="E1212" s="13">
        <v>46227.0</v>
      </c>
      <c r="F1212" s="10" t="s">
        <v>21</v>
      </c>
      <c r="I1212" s="10" t="s">
        <v>22</v>
      </c>
      <c r="J1212" s="9" t="str">
        <f t="shared" si="30"/>
        <v>No</v>
      </c>
      <c r="K1212" s="9" t="str">
        <f t="shared" si="31"/>
        <v/>
      </c>
      <c r="L1212" s="9" t="str">
        <f t="shared" si="32"/>
        <v/>
      </c>
      <c r="M1212" s="9"/>
      <c r="O1212" s="9"/>
    </row>
    <row r="1213" ht="15.75" customHeight="1">
      <c r="A1213" s="9" t="str">
        <f>IFERROR(__xludf.DUMMYFUNCTION("IF(B1213="""","""",RIGHT(REGEXREPLACE(B1213&amp;"""",""[^0-9]"",""""),9))"),"714466598")</f>
        <v>714466598</v>
      </c>
      <c r="B1213" s="48">
        <v>7.14466598E8</v>
      </c>
      <c r="C1213" s="10" t="s">
        <v>1357</v>
      </c>
      <c r="D1213" s="10" t="s">
        <v>120</v>
      </c>
      <c r="E1213" s="13">
        <v>46227.0</v>
      </c>
      <c r="F1213" s="10" t="s">
        <v>21</v>
      </c>
      <c r="G1213" s="10">
        <v>11.0</v>
      </c>
      <c r="I1213" s="10" t="s">
        <v>22</v>
      </c>
      <c r="J1213" s="9" t="str">
        <f t="shared" si="30"/>
        <v>No</v>
      </c>
      <c r="K1213" s="9" t="str">
        <f t="shared" si="31"/>
        <v/>
      </c>
      <c r="L1213" s="9" t="str">
        <f t="shared" si="32"/>
        <v/>
      </c>
      <c r="M1213" s="9"/>
      <c r="O1213" s="9"/>
    </row>
    <row r="1214" ht="15.75" customHeight="1">
      <c r="A1214" s="9" t="str">
        <f>IFERROR(__xludf.DUMMYFUNCTION("IF(B1214="""","""",RIGHT(REGEXREPLACE(B1214&amp;"""",""[^0-9]"",""""),9))"),"714111266")</f>
        <v>714111266</v>
      </c>
      <c r="B1214" s="10">
        <v>7.14111266E8</v>
      </c>
      <c r="C1214" s="10" t="s">
        <v>1358</v>
      </c>
      <c r="D1214" s="10" t="s">
        <v>20</v>
      </c>
      <c r="E1214" s="13">
        <v>46227.0</v>
      </c>
      <c r="F1214" s="10" t="s">
        <v>35</v>
      </c>
      <c r="G1214" s="10">
        <v>11.0</v>
      </c>
      <c r="H1214" s="10" t="s">
        <v>567</v>
      </c>
      <c r="I1214" s="10" t="s">
        <v>22</v>
      </c>
      <c r="J1214" s="9" t="str">
        <f t="shared" si="30"/>
        <v>No</v>
      </c>
      <c r="K1214" s="9" t="str">
        <f t="shared" si="31"/>
        <v/>
      </c>
      <c r="L1214" s="9" t="str">
        <f t="shared" si="32"/>
        <v/>
      </c>
      <c r="M1214" s="9"/>
      <c r="O1214" s="9"/>
    </row>
    <row r="1215" ht="15.75" customHeight="1">
      <c r="A1215" s="9" t="str">
        <f>IFERROR(__xludf.DUMMYFUNCTION("IF(B1215="""","""",RIGHT(REGEXREPLACE(B1215&amp;"""",""[^0-9]"",""""),9))"),"742078756")</f>
        <v>742078756</v>
      </c>
      <c r="B1215" s="10">
        <v>7.42078756E8</v>
      </c>
      <c r="C1215" s="10" t="s">
        <v>1359</v>
      </c>
      <c r="D1215" s="10" t="s">
        <v>20</v>
      </c>
      <c r="E1215" s="13">
        <v>46227.0</v>
      </c>
      <c r="F1215" s="10" t="s">
        <v>21</v>
      </c>
      <c r="G1215" s="10">
        <v>11.0</v>
      </c>
      <c r="I1215" s="10" t="s">
        <v>22</v>
      </c>
      <c r="J1215" s="9" t="str">
        <f t="shared" si="30"/>
        <v>No</v>
      </c>
      <c r="K1215" s="9" t="str">
        <f t="shared" si="31"/>
        <v/>
      </c>
      <c r="L1215" s="9" t="str">
        <f t="shared" si="32"/>
        <v/>
      </c>
      <c r="M1215" s="9"/>
      <c r="O1215" s="9"/>
    </row>
    <row r="1216" ht="15.75" customHeight="1">
      <c r="A1216" s="9" t="str">
        <f>IFERROR(__xludf.DUMMYFUNCTION("IF(B1216="""","""",RIGHT(REGEXREPLACE(B1216&amp;"""",""[^0-9]"",""""),9))"),"777789581")</f>
        <v>777789581</v>
      </c>
      <c r="B1216" s="48">
        <v>7.77789581E8</v>
      </c>
      <c r="C1216" s="10" t="s">
        <v>1360</v>
      </c>
      <c r="D1216" s="10" t="s">
        <v>34</v>
      </c>
      <c r="E1216" s="13">
        <v>46227.0</v>
      </c>
      <c r="F1216" s="10" t="s">
        <v>21</v>
      </c>
      <c r="I1216" s="10" t="s">
        <v>22</v>
      </c>
      <c r="J1216" s="9" t="str">
        <f t="shared" si="30"/>
        <v>No</v>
      </c>
      <c r="K1216" s="9" t="str">
        <f t="shared" si="31"/>
        <v/>
      </c>
      <c r="L1216" s="9" t="str">
        <f t="shared" si="32"/>
        <v/>
      </c>
      <c r="M1216" s="9"/>
      <c r="O1216" s="9"/>
    </row>
    <row r="1217" ht="15.75" customHeight="1">
      <c r="A1217" s="9" t="str">
        <f>IFERROR(__xludf.DUMMYFUNCTION("IF(B1217="""","""",RIGHT(REGEXREPLACE(B1217&amp;"""",""[^0-9]"",""""),9))"),"766272844")</f>
        <v>766272844</v>
      </c>
      <c r="B1217" s="48">
        <v>7.66272844E8</v>
      </c>
      <c r="C1217" s="10" t="s">
        <v>1361</v>
      </c>
      <c r="D1217" s="10" t="s">
        <v>50</v>
      </c>
      <c r="E1217" s="13">
        <v>46227.0</v>
      </c>
      <c r="F1217" s="10" t="s">
        <v>21</v>
      </c>
      <c r="G1217" s="10">
        <v>11.0</v>
      </c>
      <c r="I1217" s="10" t="s">
        <v>22</v>
      </c>
      <c r="J1217" s="9" t="str">
        <f t="shared" si="30"/>
        <v>No</v>
      </c>
      <c r="K1217" s="9" t="str">
        <f t="shared" si="31"/>
        <v/>
      </c>
      <c r="L1217" s="9" t="str">
        <f t="shared" si="32"/>
        <v/>
      </c>
      <c r="M1217" s="9"/>
      <c r="O1217" s="9"/>
    </row>
    <row r="1218" ht="15.75" customHeight="1">
      <c r="A1218" s="9" t="str">
        <f>IFERROR(__xludf.DUMMYFUNCTION("IF(B1218="""","""",RIGHT(REGEXREPLACE(B1218&amp;"""",""[^0-9]"",""""),9))"),"754313233")</f>
        <v>754313233</v>
      </c>
      <c r="B1218" s="10">
        <v>7.54313233E8</v>
      </c>
      <c r="C1218" s="10" t="s">
        <v>1362</v>
      </c>
      <c r="D1218" s="10" t="s">
        <v>20</v>
      </c>
      <c r="E1218" s="13">
        <v>46227.0</v>
      </c>
      <c r="F1218" s="10" t="s">
        <v>35</v>
      </c>
      <c r="G1218" s="10">
        <v>11.0</v>
      </c>
      <c r="I1218" s="10" t="s">
        <v>22</v>
      </c>
      <c r="J1218" s="9" t="str">
        <f t="shared" si="30"/>
        <v>No</v>
      </c>
      <c r="K1218" s="9" t="str">
        <f t="shared" si="31"/>
        <v/>
      </c>
      <c r="L1218" s="9" t="str">
        <f t="shared" si="32"/>
        <v/>
      </c>
      <c r="M1218" s="9"/>
      <c r="O1218" s="9"/>
    </row>
    <row r="1219" ht="15.75" customHeight="1">
      <c r="A1219" s="9" t="str">
        <f>IFERROR(__xludf.DUMMYFUNCTION("IF(B1219="""","""",RIGHT(REGEXREPLACE(B1219&amp;"""",""[^0-9]"",""""),9))"),"760157514")</f>
        <v>760157514</v>
      </c>
      <c r="B1219" s="48">
        <v>7.60157514E8</v>
      </c>
      <c r="C1219" s="10" t="s">
        <v>1363</v>
      </c>
      <c r="D1219" s="10" t="s">
        <v>120</v>
      </c>
      <c r="E1219" s="13">
        <v>46227.0</v>
      </c>
      <c r="F1219" s="10" t="s">
        <v>198</v>
      </c>
      <c r="I1219" s="10" t="s">
        <v>22</v>
      </c>
      <c r="J1219" s="9" t="str">
        <f t="shared" si="30"/>
        <v>No</v>
      </c>
      <c r="K1219" s="9" t="str">
        <f t="shared" si="31"/>
        <v/>
      </c>
      <c r="L1219" s="9" t="str">
        <f t="shared" si="32"/>
        <v/>
      </c>
      <c r="M1219" s="9"/>
      <c r="O1219" s="9"/>
    </row>
    <row r="1220" ht="15.75" customHeight="1">
      <c r="A1220" s="9" t="str">
        <f>IFERROR(__xludf.DUMMYFUNCTION("IF(B1220="""","""",RIGHT(REGEXREPLACE(B1220&amp;"""",""[^0-9]"",""""),9))"),"741604283")</f>
        <v>741604283</v>
      </c>
      <c r="B1220" s="48">
        <v>7.41604283E8</v>
      </c>
      <c r="C1220" s="10" t="s">
        <v>1364</v>
      </c>
      <c r="D1220" s="10" t="s">
        <v>69</v>
      </c>
      <c r="E1220" s="13">
        <v>46227.0</v>
      </c>
      <c r="F1220" s="10" t="s">
        <v>35</v>
      </c>
      <c r="G1220" s="10">
        <v>11.0</v>
      </c>
      <c r="I1220" s="10" t="s">
        <v>22</v>
      </c>
      <c r="J1220" s="9" t="str">
        <f t="shared" si="30"/>
        <v>No</v>
      </c>
      <c r="K1220" s="9" t="str">
        <f t="shared" si="31"/>
        <v/>
      </c>
      <c r="L1220" s="9" t="str">
        <f t="shared" si="32"/>
        <v/>
      </c>
      <c r="M1220" s="9"/>
      <c r="O1220" s="9"/>
    </row>
    <row r="1221" ht="15.75" customHeight="1">
      <c r="A1221" s="9" t="str">
        <f>IFERROR(__xludf.DUMMYFUNCTION("IF(B1221="""","""",RIGHT(REGEXREPLACE(B1221&amp;"""",""[^0-9]"",""""),9))"),"713324305")</f>
        <v>713324305</v>
      </c>
      <c r="B1221" s="10">
        <v>7.13324305E8</v>
      </c>
      <c r="C1221" s="10" t="s">
        <v>1365</v>
      </c>
      <c r="D1221" s="10" t="s">
        <v>20</v>
      </c>
      <c r="E1221" s="13">
        <v>46227.0</v>
      </c>
      <c r="F1221" s="10" t="s">
        <v>21</v>
      </c>
      <c r="G1221" s="10">
        <v>11.0</v>
      </c>
      <c r="I1221" s="10" t="s">
        <v>22</v>
      </c>
      <c r="J1221" s="9" t="str">
        <f t="shared" si="30"/>
        <v>No</v>
      </c>
      <c r="K1221" s="9" t="str">
        <f t="shared" si="31"/>
        <v/>
      </c>
      <c r="L1221" s="9" t="str">
        <f t="shared" si="32"/>
        <v/>
      </c>
      <c r="M1221" s="9"/>
      <c r="O1221" s="9"/>
    </row>
    <row r="1222" ht="15.75" customHeight="1">
      <c r="A1222" s="9" t="str">
        <f>IFERROR(__xludf.DUMMYFUNCTION("IF(B1222="""","""",RIGHT(REGEXREPLACE(B1222&amp;"""",""[^0-9]"",""""),9))"),"764020892")</f>
        <v>764020892</v>
      </c>
      <c r="B1222" s="48">
        <v>7.64020892E8</v>
      </c>
      <c r="C1222" s="10" t="s">
        <v>1366</v>
      </c>
      <c r="D1222" s="10" t="s">
        <v>34</v>
      </c>
      <c r="E1222" s="13">
        <v>46227.0</v>
      </c>
      <c r="F1222" s="10" t="s">
        <v>35</v>
      </c>
      <c r="G1222" s="10">
        <v>11.0</v>
      </c>
      <c r="I1222" s="10" t="s">
        <v>22</v>
      </c>
      <c r="J1222" s="9" t="str">
        <f t="shared" si="30"/>
        <v>No</v>
      </c>
      <c r="K1222" s="9" t="str">
        <f t="shared" si="31"/>
        <v/>
      </c>
      <c r="L1222" s="9" t="str">
        <f t="shared" si="32"/>
        <v/>
      </c>
      <c r="M1222" s="9"/>
      <c r="O1222" s="9"/>
    </row>
    <row r="1223" ht="15.75" customHeight="1">
      <c r="A1223" s="9" t="str">
        <f>IFERROR(__xludf.DUMMYFUNCTION("IF(B1223="""","""",RIGHT(REGEXREPLACE(B1223&amp;"""",""[^0-9]"",""""),9))"),"717278505")</f>
        <v>717278505</v>
      </c>
      <c r="B1223" s="48">
        <v>7.17278505E8</v>
      </c>
      <c r="C1223" s="10" t="s">
        <v>1367</v>
      </c>
      <c r="D1223" s="10" t="s">
        <v>120</v>
      </c>
      <c r="E1223" s="13">
        <v>46227.0</v>
      </c>
      <c r="F1223" s="10" t="s">
        <v>21</v>
      </c>
      <c r="G1223" s="10">
        <v>11.0</v>
      </c>
      <c r="I1223" s="10" t="s">
        <v>22</v>
      </c>
      <c r="J1223" s="9" t="str">
        <f t="shared" si="30"/>
        <v>No</v>
      </c>
      <c r="K1223" s="9" t="str">
        <f t="shared" si="31"/>
        <v/>
      </c>
      <c r="L1223" s="9" t="str">
        <f t="shared" si="32"/>
        <v/>
      </c>
      <c r="M1223" s="9"/>
      <c r="O1223" s="9"/>
    </row>
    <row r="1224" ht="15.75" customHeight="1">
      <c r="A1224" s="9" t="str">
        <f>IFERROR(__xludf.DUMMYFUNCTION("IF(B1224="""","""",RIGHT(REGEXREPLACE(B1224&amp;"""",""[^0-9]"",""""),9))"),"762236145")</f>
        <v>762236145</v>
      </c>
      <c r="B1224" s="10">
        <v>7.62236145E8</v>
      </c>
      <c r="C1224" s="10" t="s">
        <v>1368</v>
      </c>
      <c r="D1224" s="10" t="s">
        <v>20</v>
      </c>
      <c r="E1224" s="13">
        <v>46227.0</v>
      </c>
      <c r="F1224" s="10" t="s">
        <v>35</v>
      </c>
      <c r="G1224" s="10">
        <v>11.0</v>
      </c>
      <c r="H1224" s="10" t="s">
        <v>1369</v>
      </c>
      <c r="I1224" s="10" t="s">
        <v>22</v>
      </c>
      <c r="J1224" s="9" t="str">
        <f t="shared" si="30"/>
        <v>No</v>
      </c>
      <c r="K1224" s="9" t="str">
        <f t="shared" si="31"/>
        <v/>
      </c>
      <c r="L1224" s="9" t="str">
        <f t="shared" si="32"/>
        <v/>
      </c>
      <c r="M1224" s="9"/>
      <c r="O1224" s="9"/>
    </row>
    <row r="1225" ht="15.75" customHeight="1">
      <c r="A1225" s="9" t="str">
        <f>IFERROR(__xludf.DUMMYFUNCTION("IF(B1225="""","""",RIGHT(REGEXREPLACE(B1225&amp;"""",""[^0-9]"",""""),9))"),"716718790")</f>
        <v>716718790</v>
      </c>
      <c r="B1225" s="48">
        <v>7.1671879E8</v>
      </c>
      <c r="C1225" s="10" t="s">
        <v>1370</v>
      </c>
      <c r="D1225" s="10" t="s">
        <v>69</v>
      </c>
      <c r="E1225" s="13">
        <v>46227.0</v>
      </c>
      <c r="F1225" s="10" t="s">
        <v>35</v>
      </c>
      <c r="G1225" s="10">
        <v>11.0</v>
      </c>
      <c r="I1225" s="10" t="s">
        <v>22</v>
      </c>
      <c r="J1225" s="9" t="str">
        <f t="shared" si="30"/>
        <v>No</v>
      </c>
      <c r="K1225" s="9" t="str">
        <f t="shared" si="31"/>
        <v/>
      </c>
      <c r="L1225" s="9" t="str">
        <f t="shared" si="32"/>
        <v/>
      </c>
      <c r="M1225" s="9"/>
      <c r="O1225" s="9"/>
    </row>
    <row r="1226" ht="15.75" customHeight="1">
      <c r="A1226" s="9" t="str">
        <f>IFERROR(__xludf.DUMMYFUNCTION("IF(B1226="""","""",RIGHT(REGEXREPLACE(B1226&amp;"""",""[^0-9]"",""""),9))"),"712330887")</f>
        <v>712330887</v>
      </c>
      <c r="B1226" s="48">
        <v>7.12330887E8</v>
      </c>
      <c r="C1226" s="10" t="s">
        <v>1371</v>
      </c>
      <c r="D1226" s="10" t="s">
        <v>50</v>
      </c>
      <c r="E1226" s="13">
        <v>46227.0</v>
      </c>
      <c r="F1226" s="10" t="s">
        <v>35</v>
      </c>
      <c r="G1226" s="10">
        <v>11.0</v>
      </c>
      <c r="I1226" s="10" t="s">
        <v>22</v>
      </c>
      <c r="J1226" s="9" t="str">
        <f t="shared" si="30"/>
        <v>No</v>
      </c>
      <c r="K1226" s="9" t="str">
        <f t="shared" si="31"/>
        <v/>
      </c>
      <c r="L1226" s="9" t="str">
        <f t="shared" si="32"/>
        <v/>
      </c>
      <c r="M1226" s="9"/>
      <c r="O1226" s="9"/>
    </row>
    <row r="1227" ht="15.75" customHeight="1">
      <c r="A1227" s="9" t="str">
        <f>IFERROR(__xludf.DUMMYFUNCTION("IF(B1227="""","""",RIGHT(REGEXREPLACE(B1227&amp;"""",""[^0-9]"",""""),9))"),"712211418")</f>
        <v>712211418</v>
      </c>
      <c r="B1227" s="10">
        <v>7.12211418E8</v>
      </c>
      <c r="C1227" s="10" t="s">
        <v>1372</v>
      </c>
      <c r="D1227" s="10" t="s">
        <v>20</v>
      </c>
      <c r="E1227" s="13">
        <v>46227.0</v>
      </c>
      <c r="F1227" s="10" t="s">
        <v>21</v>
      </c>
      <c r="G1227" s="10">
        <v>11.0</v>
      </c>
      <c r="I1227" s="10" t="s">
        <v>22</v>
      </c>
      <c r="J1227" s="9" t="str">
        <f t="shared" si="30"/>
        <v>No</v>
      </c>
      <c r="K1227" s="9" t="str">
        <f t="shared" si="31"/>
        <v/>
      </c>
      <c r="L1227" s="9" t="str">
        <f t="shared" si="32"/>
        <v/>
      </c>
      <c r="M1227" s="9"/>
      <c r="O1227" s="9"/>
    </row>
    <row r="1228" ht="15.75" customHeight="1">
      <c r="A1228" s="9" t="str">
        <f>IFERROR(__xludf.DUMMYFUNCTION("IF(B1228="""","""",RIGHT(REGEXREPLACE(B1228&amp;"""",""[^0-9]"",""""),9))"),"761742307")</f>
        <v>761742307</v>
      </c>
      <c r="B1228" s="48">
        <v>7.61742307E8</v>
      </c>
      <c r="C1228" s="10" t="s">
        <v>1373</v>
      </c>
      <c r="D1228" s="10" t="s">
        <v>34</v>
      </c>
      <c r="E1228" s="13">
        <v>46227.0</v>
      </c>
      <c r="F1228" s="10" t="s">
        <v>35</v>
      </c>
      <c r="G1228" s="10">
        <v>10.0</v>
      </c>
      <c r="I1228" s="10" t="s">
        <v>22</v>
      </c>
      <c r="J1228" s="9" t="str">
        <f t="shared" si="30"/>
        <v>No</v>
      </c>
      <c r="K1228" s="9" t="str">
        <f t="shared" si="31"/>
        <v/>
      </c>
      <c r="L1228" s="9" t="str">
        <f t="shared" si="32"/>
        <v/>
      </c>
      <c r="M1228" s="9"/>
      <c r="O1228" s="9"/>
    </row>
    <row r="1229" ht="15.75" customHeight="1">
      <c r="A1229" s="9" t="str">
        <f>IFERROR(__xludf.DUMMYFUNCTION("IF(B1229="""","""",RIGHT(REGEXREPLACE(B1229&amp;"""",""[^0-9]"",""""),9))"),"702575286")</f>
        <v>702575286</v>
      </c>
      <c r="B1229" s="10">
        <v>7.02575286E8</v>
      </c>
      <c r="C1229" s="10" t="s">
        <v>1374</v>
      </c>
      <c r="D1229" s="10" t="s">
        <v>20</v>
      </c>
      <c r="E1229" s="13">
        <v>46227.0</v>
      </c>
      <c r="F1229" s="10" t="s">
        <v>35</v>
      </c>
      <c r="G1229" s="10">
        <v>11.0</v>
      </c>
      <c r="I1229" s="10" t="s">
        <v>22</v>
      </c>
      <c r="J1229" s="9" t="str">
        <f t="shared" si="30"/>
        <v>No</v>
      </c>
      <c r="K1229" s="9" t="str">
        <f t="shared" si="31"/>
        <v/>
      </c>
      <c r="L1229" s="9" t="str">
        <f t="shared" si="32"/>
        <v/>
      </c>
      <c r="M1229" s="9"/>
      <c r="O1229" s="9"/>
    </row>
    <row r="1230" ht="15.75" customHeight="1">
      <c r="A1230" s="9" t="str">
        <f>IFERROR(__xludf.DUMMYFUNCTION("IF(B1230="""","""",RIGHT(REGEXREPLACE(B1230&amp;"""",""[^0-9]"",""""),9))"),"765594619")</f>
        <v>765594619</v>
      </c>
      <c r="B1230" s="48">
        <v>7.65594619E8</v>
      </c>
      <c r="C1230" s="10" t="s">
        <v>1375</v>
      </c>
      <c r="D1230" s="10" t="s">
        <v>50</v>
      </c>
      <c r="E1230" s="13">
        <v>46227.0</v>
      </c>
      <c r="F1230" s="10" t="s">
        <v>198</v>
      </c>
      <c r="G1230" s="10">
        <v>11.0</v>
      </c>
      <c r="I1230" s="10" t="s">
        <v>22</v>
      </c>
      <c r="J1230" s="9" t="str">
        <f t="shared" si="30"/>
        <v>No</v>
      </c>
      <c r="K1230" s="9" t="str">
        <f t="shared" si="31"/>
        <v/>
      </c>
      <c r="L1230" s="9" t="str">
        <f t="shared" si="32"/>
        <v/>
      </c>
      <c r="M1230" s="9"/>
      <c r="O1230" s="9"/>
    </row>
    <row r="1231" ht="15.75" customHeight="1">
      <c r="A1231" s="9" t="str">
        <f>IFERROR(__xludf.DUMMYFUNCTION("IF(B1231="""","""",RIGHT(REGEXREPLACE(B1231&amp;"""",""[^0-9]"",""""),9))"),"771840794")</f>
        <v>771840794</v>
      </c>
      <c r="B1231" s="10">
        <v>7.71840794E8</v>
      </c>
      <c r="C1231" s="10" t="s">
        <v>1376</v>
      </c>
      <c r="D1231" s="10" t="s">
        <v>20</v>
      </c>
      <c r="E1231" s="13">
        <v>46227.0</v>
      </c>
      <c r="F1231" s="10" t="s">
        <v>198</v>
      </c>
      <c r="G1231" s="10">
        <v>11.0</v>
      </c>
      <c r="I1231" s="10" t="s">
        <v>22</v>
      </c>
      <c r="J1231" s="9" t="str">
        <f t="shared" si="30"/>
        <v>No</v>
      </c>
      <c r="K1231" s="9" t="str">
        <f t="shared" si="31"/>
        <v/>
      </c>
      <c r="L1231" s="9" t="str">
        <f t="shared" si="32"/>
        <v/>
      </c>
      <c r="M1231" s="9"/>
      <c r="O1231" s="9"/>
    </row>
    <row r="1232" ht="15.75" customHeight="1">
      <c r="A1232" s="9" t="str">
        <f>IFERROR(__xludf.DUMMYFUNCTION("IF(B1232="""","""",RIGHT(REGEXREPLACE(B1232&amp;"""",""[^0-9]"",""""),9))"),"774785340")</f>
        <v>774785340</v>
      </c>
      <c r="B1232" s="48">
        <v>7.7478534E8</v>
      </c>
      <c r="C1232" s="10" t="s">
        <v>1377</v>
      </c>
      <c r="D1232" s="10" t="s">
        <v>34</v>
      </c>
      <c r="E1232" s="13">
        <v>46227.0</v>
      </c>
      <c r="F1232" s="10" t="s">
        <v>21</v>
      </c>
      <c r="I1232" s="10" t="s">
        <v>22</v>
      </c>
      <c r="J1232" s="9" t="str">
        <f t="shared" si="30"/>
        <v>No</v>
      </c>
      <c r="K1232" s="9" t="str">
        <f t="shared" si="31"/>
        <v/>
      </c>
      <c r="L1232" s="9" t="str">
        <f t="shared" si="32"/>
        <v/>
      </c>
      <c r="M1232" s="9"/>
      <c r="O1232" s="9"/>
    </row>
    <row r="1233" ht="15.75" customHeight="1">
      <c r="A1233" s="9" t="str">
        <f>IFERROR(__xludf.DUMMYFUNCTION("IF(B1233="""","""",RIGHT(REGEXREPLACE(B1233&amp;"""",""[^0-9]"",""""),9))"),"762541070")</f>
        <v>762541070</v>
      </c>
      <c r="B1233" s="48">
        <v>7.6254107E8</v>
      </c>
      <c r="C1233" s="10" t="s">
        <v>1378</v>
      </c>
      <c r="D1233" s="10" t="s">
        <v>69</v>
      </c>
      <c r="E1233" s="13">
        <v>46227.0</v>
      </c>
      <c r="F1233" s="10" t="s">
        <v>35</v>
      </c>
      <c r="G1233" s="10">
        <v>11.0</v>
      </c>
      <c r="I1233" s="10" t="s">
        <v>22</v>
      </c>
      <c r="J1233" s="9" t="str">
        <f t="shared" si="30"/>
        <v>No</v>
      </c>
      <c r="K1233" s="9" t="str">
        <f t="shared" si="31"/>
        <v/>
      </c>
      <c r="L1233" s="9" t="str">
        <f t="shared" si="32"/>
        <v/>
      </c>
      <c r="M1233" s="9"/>
      <c r="O1233" s="9"/>
    </row>
    <row r="1234" ht="15.75" customHeight="1">
      <c r="A1234" s="9" t="str">
        <f>IFERROR(__xludf.DUMMYFUNCTION("IF(B1234="""","""",RIGHT(REGEXREPLACE(B1234&amp;"""",""[^0-9]"",""""),9))"),"774322625")</f>
        <v>774322625</v>
      </c>
      <c r="B1234" s="48">
        <v>7.74322625E8</v>
      </c>
      <c r="C1234" s="10" t="s">
        <v>1379</v>
      </c>
      <c r="D1234" s="10" t="s">
        <v>34</v>
      </c>
      <c r="E1234" s="13">
        <v>46227.0</v>
      </c>
      <c r="F1234" s="10" t="s">
        <v>35</v>
      </c>
      <c r="G1234" s="10">
        <v>11.0</v>
      </c>
      <c r="I1234" s="10" t="s">
        <v>22</v>
      </c>
      <c r="J1234" s="9" t="str">
        <f t="shared" si="30"/>
        <v>No</v>
      </c>
      <c r="K1234" s="9" t="str">
        <f t="shared" si="31"/>
        <v/>
      </c>
      <c r="L1234" s="9" t="str">
        <f t="shared" si="32"/>
        <v/>
      </c>
      <c r="M1234" s="9"/>
      <c r="O1234" s="9"/>
    </row>
    <row r="1235" ht="15.75" customHeight="1">
      <c r="A1235" s="9" t="str">
        <f>IFERROR(__xludf.DUMMYFUNCTION("IF(B1235="""","""",RIGHT(REGEXREPLACE(B1235&amp;"""",""[^0-9]"",""""),9))"),"758745909")</f>
        <v>758745909</v>
      </c>
      <c r="B1235" s="10">
        <v>7.58745909E8</v>
      </c>
      <c r="C1235" s="10" t="s">
        <v>1380</v>
      </c>
      <c r="D1235" s="10" t="s">
        <v>20</v>
      </c>
      <c r="E1235" s="13">
        <v>46227.0</v>
      </c>
      <c r="F1235" s="10" t="s">
        <v>198</v>
      </c>
      <c r="G1235" s="10">
        <v>11.0</v>
      </c>
      <c r="I1235" s="10" t="s">
        <v>22</v>
      </c>
      <c r="J1235" s="9" t="str">
        <f t="shared" si="30"/>
        <v>No</v>
      </c>
      <c r="K1235" s="9" t="str">
        <f t="shared" si="31"/>
        <v/>
      </c>
      <c r="L1235" s="9" t="str">
        <f t="shared" si="32"/>
        <v/>
      </c>
      <c r="M1235" s="9"/>
      <c r="O1235" s="9"/>
    </row>
    <row r="1236" ht="15.75" customHeight="1">
      <c r="A1236" s="9" t="str">
        <f>IFERROR(__xludf.DUMMYFUNCTION("IF(B1236="""","""",RIGHT(REGEXREPLACE(B1236&amp;"""",""[^0-9]"",""""),9))"),"777499695")</f>
        <v>777499695</v>
      </c>
      <c r="B1236" s="48">
        <v>7.77499695E8</v>
      </c>
      <c r="C1236" s="10" t="s">
        <v>1381</v>
      </c>
      <c r="D1236" s="10" t="s">
        <v>50</v>
      </c>
      <c r="E1236" s="13">
        <v>46227.0</v>
      </c>
      <c r="F1236" s="10" t="s">
        <v>35</v>
      </c>
      <c r="G1236" s="10">
        <v>11.0</v>
      </c>
      <c r="I1236" s="10" t="s">
        <v>22</v>
      </c>
      <c r="J1236" s="9" t="str">
        <f t="shared" si="30"/>
        <v>No</v>
      </c>
      <c r="K1236" s="9" t="str">
        <f t="shared" si="31"/>
        <v/>
      </c>
      <c r="L1236" s="9" t="str">
        <f t="shared" si="32"/>
        <v/>
      </c>
      <c r="M1236" s="9"/>
      <c r="O1236" s="9"/>
    </row>
    <row r="1237" ht="15.75" customHeight="1">
      <c r="A1237" s="9" t="str">
        <f>IFERROR(__xludf.DUMMYFUNCTION("IF(B1237="""","""",RIGHT(REGEXREPLACE(B1237&amp;"""",""[^0-9]"",""""),9))"),"711594770")</f>
        <v>711594770</v>
      </c>
      <c r="B1237" s="48">
        <v>7.1159477E8</v>
      </c>
      <c r="C1237" s="10" t="s">
        <v>1382</v>
      </c>
      <c r="D1237" s="10" t="s">
        <v>120</v>
      </c>
      <c r="E1237" s="13">
        <v>46227.0</v>
      </c>
      <c r="F1237" s="10" t="s">
        <v>21</v>
      </c>
      <c r="G1237" s="10">
        <v>11.0</v>
      </c>
      <c r="I1237" s="10" t="s">
        <v>22</v>
      </c>
      <c r="J1237" s="9" t="str">
        <f t="shared" si="30"/>
        <v>No</v>
      </c>
      <c r="K1237" s="9" t="str">
        <f t="shared" si="31"/>
        <v/>
      </c>
      <c r="L1237" s="9" t="str">
        <f t="shared" si="32"/>
        <v/>
      </c>
      <c r="M1237" s="9"/>
      <c r="O1237" s="9"/>
    </row>
    <row r="1238" ht="15.75" customHeight="1">
      <c r="A1238" s="9" t="str">
        <f>IFERROR(__xludf.DUMMYFUNCTION("IF(B1238="""","""",RIGHT(REGEXREPLACE(B1238&amp;"""",""[^0-9]"",""""),9))"),"773991213")</f>
        <v>773991213</v>
      </c>
      <c r="B1238" s="10">
        <v>7.73991213E8</v>
      </c>
      <c r="C1238" s="10" t="s">
        <v>1383</v>
      </c>
      <c r="D1238" s="10" t="s">
        <v>20</v>
      </c>
      <c r="E1238" s="13">
        <v>46227.0</v>
      </c>
      <c r="F1238" s="10" t="s">
        <v>35</v>
      </c>
      <c r="G1238" s="10">
        <v>11.0</v>
      </c>
      <c r="H1238" s="10" t="s">
        <v>1384</v>
      </c>
      <c r="I1238" s="10" t="s">
        <v>22</v>
      </c>
      <c r="J1238" s="9" t="str">
        <f t="shared" si="30"/>
        <v>No</v>
      </c>
      <c r="K1238" s="9" t="str">
        <f t="shared" si="31"/>
        <v/>
      </c>
      <c r="L1238" s="9" t="str">
        <f t="shared" si="32"/>
        <v/>
      </c>
      <c r="M1238" s="9"/>
      <c r="O1238" s="9"/>
    </row>
    <row r="1239" ht="15.75" customHeight="1">
      <c r="A1239" s="9" t="str">
        <f>IFERROR(__xludf.DUMMYFUNCTION("IF(B1239="""","""",RIGHT(REGEXREPLACE(B1239&amp;"""",""[^0-9]"",""""),9))"),"766541130")</f>
        <v>766541130</v>
      </c>
      <c r="B1239" s="48">
        <v>7.6654113E8</v>
      </c>
      <c r="C1239" s="10" t="s">
        <v>1385</v>
      </c>
      <c r="D1239" s="10" t="s">
        <v>34</v>
      </c>
      <c r="E1239" s="13">
        <v>46227.0</v>
      </c>
      <c r="F1239" s="10" t="s">
        <v>35</v>
      </c>
      <c r="G1239" s="10">
        <v>11.0</v>
      </c>
      <c r="I1239" s="10" t="s">
        <v>22</v>
      </c>
      <c r="J1239" s="9" t="str">
        <f t="shared" si="30"/>
        <v>No</v>
      </c>
      <c r="K1239" s="9" t="str">
        <f t="shared" si="31"/>
        <v/>
      </c>
      <c r="L1239" s="9" t="str">
        <f t="shared" si="32"/>
        <v/>
      </c>
      <c r="M1239" s="9"/>
      <c r="O1239" s="9"/>
    </row>
    <row r="1240" ht="15.75" customHeight="1">
      <c r="A1240" s="9" t="str">
        <f>IFERROR(__xludf.DUMMYFUNCTION("IF(B1240="""","""",RIGHT(REGEXREPLACE(B1240&amp;"""",""[^0-9]"",""""),9))"),"710542638")</f>
        <v>710542638</v>
      </c>
      <c r="B1240" s="10">
        <v>7.10542638E8</v>
      </c>
      <c r="C1240" s="10" t="s">
        <v>1386</v>
      </c>
      <c r="D1240" s="10" t="s">
        <v>20</v>
      </c>
      <c r="E1240" s="13">
        <v>46227.0</v>
      </c>
      <c r="F1240" s="10" t="s">
        <v>21</v>
      </c>
      <c r="G1240" s="10">
        <v>10.0</v>
      </c>
      <c r="I1240" s="10" t="s">
        <v>22</v>
      </c>
      <c r="J1240" s="9" t="str">
        <f t="shared" si="30"/>
        <v>No</v>
      </c>
      <c r="K1240" s="9" t="str">
        <f t="shared" si="31"/>
        <v/>
      </c>
      <c r="L1240" s="9" t="str">
        <f t="shared" si="32"/>
        <v/>
      </c>
      <c r="M1240" s="9"/>
      <c r="O1240" s="9"/>
    </row>
    <row r="1241" ht="15.75" customHeight="1">
      <c r="A1241" s="9" t="str">
        <f>IFERROR(__xludf.DUMMYFUNCTION("IF(B1241="""","""",RIGHT(REGEXREPLACE(B1241&amp;"""",""[^0-9]"",""""),9))"),"775771549")</f>
        <v>775771549</v>
      </c>
      <c r="B1241" s="48">
        <v>7.75771549E8</v>
      </c>
      <c r="C1241" s="10" t="s">
        <v>1387</v>
      </c>
      <c r="D1241" s="10" t="s">
        <v>120</v>
      </c>
      <c r="E1241" s="13">
        <v>46227.0</v>
      </c>
      <c r="F1241" s="10" t="s">
        <v>35</v>
      </c>
      <c r="G1241" s="10">
        <v>11.0</v>
      </c>
      <c r="I1241" s="10" t="s">
        <v>22</v>
      </c>
      <c r="J1241" s="9" t="str">
        <f t="shared" si="30"/>
        <v>No</v>
      </c>
      <c r="K1241" s="9" t="str">
        <f t="shared" si="31"/>
        <v/>
      </c>
      <c r="L1241" s="9" t="str">
        <f t="shared" si="32"/>
        <v/>
      </c>
      <c r="M1241" s="9"/>
      <c r="O1241" s="9"/>
    </row>
    <row r="1242" ht="15.75" customHeight="1">
      <c r="A1242" s="9" t="str">
        <f>IFERROR(__xludf.DUMMYFUNCTION("IF(B1242="""","""",RIGHT(REGEXREPLACE(B1242&amp;"""",""[^0-9]"",""""),9))"),"750885071")</f>
        <v>750885071</v>
      </c>
      <c r="B1242" s="48">
        <v>7.50885071E8</v>
      </c>
      <c r="C1242" s="10" t="s">
        <v>1388</v>
      </c>
      <c r="D1242" s="10" t="s">
        <v>69</v>
      </c>
      <c r="E1242" s="13">
        <v>46227.0</v>
      </c>
      <c r="F1242" s="10" t="s">
        <v>198</v>
      </c>
      <c r="I1242" s="10" t="s">
        <v>22</v>
      </c>
      <c r="J1242" s="9" t="str">
        <f t="shared" si="30"/>
        <v>No</v>
      </c>
      <c r="K1242" s="9" t="str">
        <f t="shared" si="31"/>
        <v/>
      </c>
      <c r="L1242" s="9" t="str">
        <f t="shared" si="32"/>
        <v/>
      </c>
      <c r="M1242" s="9"/>
      <c r="O1242" s="9"/>
    </row>
    <row r="1243" ht="15.75" customHeight="1">
      <c r="A1243" s="9" t="str">
        <f>IFERROR(__xludf.DUMMYFUNCTION("IF(B1243="""","""",RIGHT(REGEXREPLACE(B1243&amp;"""",""[^0-9]"",""""),9))"),"764040372")</f>
        <v>764040372</v>
      </c>
      <c r="B1243" s="10">
        <v>7.64040372E8</v>
      </c>
      <c r="C1243" s="10" t="s">
        <v>1389</v>
      </c>
      <c r="D1243" s="10" t="s">
        <v>20</v>
      </c>
      <c r="E1243" s="13">
        <v>46227.0</v>
      </c>
      <c r="F1243" s="10" t="s">
        <v>21</v>
      </c>
      <c r="G1243" s="10">
        <v>10.0</v>
      </c>
      <c r="I1243" s="10" t="s">
        <v>22</v>
      </c>
      <c r="J1243" s="9" t="str">
        <f t="shared" si="30"/>
        <v>No</v>
      </c>
      <c r="K1243" s="9" t="str">
        <f t="shared" si="31"/>
        <v/>
      </c>
      <c r="L1243" s="9" t="str">
        <f t="shared" si="32"/>
        <v/>
      </c>
      <c r="M1243" s="9"/>
      <c r="O1243" s="9"/>
    </row>
    <row r="1244" ht="15.75" customHeight="1">
      <c r="A1244" s="9" t="str">
        <f>IFERROR(__xludf.DUMMYFUNCTION("IF(B1244="""","""",RIGHT(REGEXREPLACE(B1244&amp;"""",""[^0-9]"",""""),9))"),"767538018")</f>
        <v>767538018</v>
      </c>
      <c r="B1244" s="48">
        <v>7.67538018E8</v>
      </c>
      <c r="C1244" s="10" t="s">
        <v>1390</v>
      </c>
      <c r="D1244" s="10" t="s">
        <v>50</v>
      </c>
      <c r="E1244" s="13">
        <v>46227.0</v>
      </c>
      <c r="F1244" s="10" t="s">
        <v>35</v>
      </c>
      <c r="G1244" s="10">
        <v>11.0</v>
      </c>
      <c r="I1244" s="10" t="s">
        <v>22</v>
      </c>
      <c r="J1244" s="9" t="str">
        <f t="shared" si="30"/>
        <v>No</v>
      </c>
      <c r="K1244" s="9" t="str">
        <f t="shared" si="31"/>
        <v/>
      </c>
      <c r="L1244" s="9" t="str">
        <f t="shared" si="32"/>
        <v/>
      </c>
      <c r="M1244" s="9"/>
      <c r="O1244" s="9"/>
    </row>
    <row r="1245" ht="15.75" customHeight="1">
      <c r="A1245" s="9" t="str">
        <f>IFERROR(__xludf.DUMMYFUNCTION("IF(B1245="""","""",RIGHT(REGEXREPLACE(B1245&amp;"""",""[^0-9]"",""""),9))"),"728776510")</f>
        <v>728776510</v>
      </c>
      <c r="B1245" s="48">
        <v>7.2877651E8</v>
      </c>
      <c r="C1245" s="10" t="s">
        <v>1391</v>
      </c>
      <c r="D1245" s="10" t="s">
        <v>34</v>
      </c>
      <c r="E1245" s="13">
        <v>46227.0</v>
      </c>
      <c r="F1245" s="10" t="s">
        <v>35</v>
      </c>
      <c r="G1245" s="10">
        <v>11.0</v>
      </c>
      <c r="I1245" s="10" t="s">
        <v>22</v>
      </c>
      <c r="J1245" s="9" t="str">
        <f t="shared" si="30"/>
        <v>No</v>
      </c>
      <c r="K1245" s="9" t="str">
        <f t="shared" si="31"/>
        <v/>
      </c>
      <c r="L1245" s="9" t="str">
        <f t="shared" si="32"/>
        <v/>
      </c>
      <c r="M1245" s="9"/>
      <c r="O1245" s="9"/>
    </row>
    <row r="1246" ht="15.75" customHeight="1">
      <c r="A1246" s="9" t="str">
        <f>IFERROR(__xludf.DUMMYFUNCTION("IF(B1246="""","""",RIGHT(REGEXREPLACE(B1246&amp;"""",""[^0-9]"",""""),9))"),"778468163")</f>
        <v>778468163</v>
      </c>
      <c r="B1246" s="10">
        <v>7.78468163E8</v>
      </c>
      <c r="C1246" s="10" t="s">
        <v>1392</v>
      </c>
      <c r="D1246" s="10" t="s">
        <v>20</v>
      </c>
      <c r="E1246" s="13">
        <v>46227.0</v>
      </c>
      <c r="F1246" s="10" t="s">
        <v>35</v>
      </c>
      <c r="G1246" s="10">
        <v>11.0</v>
      </c>
      <c r="I1246" s="10" t="s">
        <v>22</v>
      </c>
      <c r="J1246" s="9" t="str">
        <f t="shared" si="30"/>
        <v>No</v>
      </c>
      <c r="K1246" s="9" t="str">
        <f t="shared" si="31"/>
        <v/>
      </c>
      <c r="L1246" s="9" t="str">
        <f t="shared" si="32"/>
        <v/>
      </c>
      <c r="M1246" s="9"/>
      <c r="O1246" s="9"/>
    </row>
    <row r="1247" ht="15.75" customHeight="1">
      <c r="A1247" s="9" t="str">
        <f>IFERROR(__xludf.DUMMYFUNCTION("IF(B1247="""","""",RIGHT(REGEXREPLACE(B1247&amp;"""",""[^0-9]"",""""),9))"),"769435463")</f>
        <v>769435463</v>
      </c>
      <c r="B1247" s="48">
        <v>7.69435463E8</v>
      </c>
      <c r="C1247" s="10" t="s">
        <v>1393</v>
      </c>
      <c r="D1247" s="10" t="s">
        <v>69</v>
      </c>
      <c r="E1247" s="13">
        <v>46227.0</v>
      </c>
      <c r="F1247" s="10" t="s">
        <v>198</v>
      </c>
      <c r="I1247" s="10" t="s">
        <v>22</v>
      </c>
      <c r="J1247" s="9" t="str">
        <f t="shared" si="30"/>
        <v>No</v>
      </c>
      <c r="K1247" s="9" t="str">
        <f t="shared" si="31"/>
        <v/>
      </c>
      <c r="L1247" s="9" t="str">
        <f t="shared" si="32"/>
        <v/>
      </c>
      <c r="M1247" s="9"/>
      <c r="O1247" s="9"/>
    </row>
    <row r="1248" ht="15.75" customHeight="1">
      <c r="A1248" s="9" t="str">
        <f>IFERROR(__xludf.DUMMYFUNCTION("IF(B1248="""","""",RIGHT(REGEXREPLACE(B1248&amp;"""",""[^0-9]"",""""),9))"),"754014701")</f>
        <v>754014701</v>
      </c>
      <c r="B1248" s="48">
        <v>7.54014701E8</v>
      </c>
      <c r="C1248" s="10" t="s">
        <v>1394</v>
      </c>
      <c r="D1248" s="10" t="s">
        <v>50</v>
      </c>
      <c r="E1248" s="13">
        <v>46227.0</v>
      </c>
      <c r="F1248" s="10" t="s">
        <v>604</v>
      </c>
      <c r="G1248" s="10">
        <v>11.0</v>
      </c>
      <c r="I1248" s="10" t="s">
        <v>22</v>
      </c>
      <c r="J1248" s="9" t="str">
        <f t="shared" si="30"/>
        <v>No</v>
      </c>
      <c r="K1248" s="9" t="str">
        <f t="shared" si="31"/>
        <v/>
      </c>
      <c r="L1248" s="9" t="str">
        <f t="shared" si="32"/>
        <v/>
      </c>
      <c r="M1248" s="9"/>
      <c r="O1248" s="9"/>
    </row>
    <row r="1249" ht="15.75" customHeight="1">
      <c r="A1249" s="9" t="str">
        <f>IFERROR(__xludf.DUMMYFUNCTION("IF(B1249="""","""",RIGHT(REGEXREPLACE(B1249&amp;"""",""[^0-9]"",""""),9))"),"753294213")</f>
        <v>753294213</v>
      </c>
      <c r="B1249" s="48">
        <v>7.53294213E8</v>
      </c>
      <c r="C1249" s="10" t="s">
        <v>1395</v>
      </c>
      <c r="D1249" s="10" t="s">
        <v>120</v>
      </c>
      <c r="E1249" s="13">
        <v>46227.0</v>
      </c>
      <c r="F1249" s="10" t="s">
        <v>21</v>
      </c>
      <c r="G1249" s="10">
        <v>11.0</v>
      </c>
      <c r="I1249" s="10" t="s">
        <v>22</v>
      </c>
      <c r="J1249" s="9" t="str">
        <f t="shared" si="30"/>
        <v>No</v>
      </c>
      <c r="K1249" s="9" t="str">
        <f t="shared" si="31"/>
        <v/>
      </c>
      <c r="L1249" s="9" t="str">
        <f t="shared" si="32"/>
        <v/>
      </c>
      <c r="M1249" s="9"/>
      <c r="O1249" s="9"/>
    </row>
    <row r="1250" ht="15.75" customHeight="1">
      <c r="A1250" s="9" t="str">
        <f>IFERROR(__xludf.DUMMYFUNCTION("IF(B1250="""","""",RIGHT(REGEXREPLACE(B1250&amp;"""",""[^0-9]"",""""),9))"),"771586358")</f>
        <v>771586358</v>
      </c>
      <c r="B1250" s="10">
        <v>7.71586358E8</v>
      </c>
      <c r="C1250" s="10" t="s">
        <v>1396</v>
      </c>
      <c r="D1250" s="10" t="s">
        <v>20</v>
      </c>
      <c r="E1250" s="13">
        <v>46227.0</v>
      </c>
      <c r="F1250" s="10" t="s">
        <v>35</v>
      </c>
      <c r="G1250" s="10">
        <v>9.0</v>
      </c>
      <c r="H1250" s="10" t="s">
        <v>1157</v>
      </c>
      <c r="I1250" s="10" t="s">
        <v>22</v>
      </c>
      <c r="J1250" s="9" t="str">
        <f t="shared" si="30"/>
        <v>No</v>
      </c>
      <c r="K1250" s="9" t="str">
        <f t="shared" si="31"/>
        <v/>
      </c>
      <c r="L1250" s="9" t="str">
        <f t="shared" si="32"/>
        <v/>
      </c>
      <c r="M1250" s="9"/>
      <c r="O1250" s="9"/>
    </row>
    <row r="1251" ht="15.75" customHeight="1">
      <c r="A1251" s="9" t="str">
        <f>IFERROR(__xludf.DUMMYFUNCTION("IF(B1251="""","""",RIGHT(REGEXREPLACE(B1251&amp;"""",""[^0-9]"",""""),9))"),"774617254")</f>
        <v>774617254</v>
      </c>
      <c r="B1251" s="48">
        <v>7.74617254E8</v>
      </c>
      <c r="C1251" s="10" t="s">
        <v>1397</v>
      </c>
      <c r="D1251" s="10" t="s">
        <v>50</v>
      </c>
      <c r="E1251" s="13">
        <v>46227.0</v>
      </c>
      <c r="F1251" s="10" t="s">
        <v>21</v>
      </c>
      <c r="G1251" s="10">
        <v>11.0</v>
      </c>
      <c r="I1251" s="10" t="s">
        <v>22</v>
      </c>
      <c r="J1251" s="9" t="str">
        <f t="shared" si="30"/>
        <v>No</v>
      </c>
      <c r="K1251" s="9" t="str">
        <f t="shared" si="31"/>
        <v/>
      </c>
      <c r="L1251" s="9" t="str">
        <f t="shared" si="32"/>
        <v/>
      </c>
      <c r="M1251" s="9"/>
      <c r="O1251" s="9"/>
    </row>
    <row r="1252" ht="15.75" customHeight="1">
      <c r="A1252" s="9" t="str">
        <f>IFERROR(__xludf.DUMMYFUNCTION("IF(B1252="""","""",RIGHT(REGEXREPLACE(B1252&amp;"""",""[^0-9]"",""""),9))"),"772789098")</f>
        <v>772789098</v>
      </c>
      <c r="B1252" s="48">
        <v>7.72789098E8</v>
      </c>
      <c r="C1252" s="10" t="s">
        <v>1398</v>
      </c>
      <c r="D1252" s="10" t="s">
        <v>34</v>
      </c>
      <c r="E1252" s="13">
        <v>46227.0</v>
      </c>
      <c r="F1252" s="10" t="s">
        <v>35</v>
      </c>
      <c r="G1252" s="10">
        <v>11.0</v>
      </c>
      <c r="I1252" s="10" t="s">
        <v>22</v>
      </c>
      <c r="J1252" s="9" t="str">
        <f t="shared" si="30"/>
        <v>No</v>
      </c>
      <c r="K1252" s="9" t="str">
        <f t="shared" si="31"/>
        <v/>
      </c>
      <c r="L1252" s="9" t="str">
        <f t="shared" si="32"/>
        <v/>
      </c>
      <c r="M1252" s="9"/>
      <c r="O1252" s="9"/>
    </row>
    <row r="1253" ht="15.75" customHeight="1">
      <c r="A1253" s="9" t="str">
        <f>IFERROR(__xludf.DUMMYFUNCTION("IF(B1253="""","""",RIGHT(REGEXREPLACE(B1253&amp;"""",""[^0-9]"",""""),9))"),"763251178")</f>
        <v>763251178</v>
      </c>
      <c r="B1253" s="48">
        <v>7.63251178E8</v>
      </c>
      <c r="C1253" s="10" t="s">
        <v>1399</v>
      </c>
      <c r="D1253" s="10" t="s">
        <v>69</v>
      </c>
      <c r="E1253" s="13">
        <v>46227.0</v>
      </c>
      <c r="F1253" s="10" t="s">
        <v>35</v>
      </c>
      <c r="H1253" s="10" t="s">
        <v>315</v>
      </c>
      <c r="I1253" s="10" t="s">
        <v>22</v>
      </c>
      <c r="J1253" s="9" t="str">
        <f t="shared" si="30"/>
        <v>No</v>
      </c>
      <c r="K1253" s="9" t="str">
        <f t="shared" si="31"/>
        <v/>
      </c>
      <c r="L1253" s="9" t="str">
        <f t="shared" si="32"/>
        <v/>
      </c>
      <c r="M1253" s="9"/>
      <c r="O1253" s="9"/>
    </row>
    <row r="1254" ht="15.75" customHeight="1">
      <c r="A1254" s="9" t="str">
        <f>IFERROR(__xludf.DUMMYFUNCTION("IF(B1254="""","""",RIGHT(REGEXREPLACE(B1254&amp;"""",""[^0-9]"",""""),9))"),"761562397")</f>
        <v>761562397</v>
      </c>
      <c r="B1254" s="48">
        <v>7.61562397E8</v>
      </c>
      <c r="C1254" s="10" t="s">
        <v>1400</v>
      </c>
      <c r="D1254" s="10" t="s">
        <v>120</v>
      </c>
      <c r="E1254" s="13">
        <v>46227.0</v>
      </c>
      <c r="F1254" s="10" t="s">
        <v>35</v>
      </c>
      <c r="G1254" s="10">
        <v>11.0</v>
      </c>
      <c r="I1254" s="10" t="s">
        <v>22</v>
      </c>
      <c r="J1254" s="9" t="str">
        <f t="shared" si="30"/>
        <v>No</v>
      </c>
      <c r="K1254" s="9" t="str">
        <f t="shared" si="31"/>
        <v/>
      </c>
      <c r="L1254" s="9" t="str">
        <f t="shared" si="32"/>
        <v/>
      </c>
      <c r="M1254" s="9"/>
      <c r="O1254" s="9"/>
    </row>
    <row r="1255" ht="15.75" customHeight="1">
      <c r="A1255" s="9" t="str">
        <f>IFERROR(__xludf.DUMMYFUNCTION("IF(B1255="""","""",RIGHT(REGEXREPLACE(B1255&amp;"""",""[^0-9]"",""""),9))"),"779126503")</f>
        <v>779126503</v>
      </c>
      <c r="B1255" s="10">
        <v>7.79126503E8</v>
      </c>
      <c r="C1255" s="10" t="s">
        <v>1401</v>
      </c>
      <c r="D1255" s="10" t="s">
        <v>20</v>
      </c>
      <c r="E1255" s="13">
        <v>46227.0</v>
      </c>
      <c r="F1255" s="10" t="s">
        <v>21</v>
      </c>
      <c r="G1255" s="10">
        <v>11.0</v>
      </c>
      <c r="I1255" s="10" t="s">
        <v>22</v>
      </c>
      <c r="J1255" s="9" t="str">
        <f t="shared" si="30"/>
        <v>No</v>
      </c>
      <c r="K1255" s="9" t="str">
        <f t="shared" si="31"/>
        <v/>
      </c>
      <c r="L1255" s="9" t="str">
        <f t="shared" si="32"/>
        <v/>
      </c>
      <c r="M1255" s="9"/>
      <c r="O1255" s="9"/>
    </row>
    <row r="1256" ht="15.75" customHeight="1">
      <c r="A1256" s="9" t="str">
        <f>IFERROR(__xludf.DUMMYFUNCTION("IF(B1256="""","""",RIGHT(REGEXREPLACE(B1256&amp;"""",""[^0-9]"",""""),9))"),"741559613")</f>
        <v>741559613</v>
      </c>
      <c r="B1256" s="48">
        <v>7.41559613E8</v>
      </c>
      <c r="C1256" s="10" t="s">
        <v>1402</v>
      </c>
      <c r="D1256" s="10" t="s">
        <v>34</v>
      </c>
      <c r="E1256" s="13">
        <v>46227.0</v>
      </c>
      <c r="F1256" s="10" t="s">
        <v>35</v>
      </c>
      <c r="G1256" s="10">
        <v>11.0</v>
      </c>
      <c r="I1256" s="10" t="s">
        <v>22</v>
      </c>
      <c r="J1256" s="9" t="str">
        <f t="shared" si="30"/>
        <v>No</v>
      </c>
      <c r="K1256" s="9" t="str">
        <f t="shared" si="31"/>
        <v/>
      </c>
      <c r="L1256" s="9" t="str">
        <f t="shared" si="32"/>
        <v/>
      </c>
      <c r="M1256" s="9"/>
      <c r="O1256" s="9"/>
    </row>
    <row r="1257" ht="15.75" customHeight="1">
      <c r="A1257" s="9" t="str">
        <f>IFERROR(__xludf.DUMMYFUNCTION("IF(B1257="""","""",RIGHT(REGEXREPLACE(B1257&amp;"""",""[^0-9]"",""""),9))"),"788460887")</f>
        <v>788460887</v>
      </c>
      <c r="B1257" s="48">
        <v>7.88460887E8</v>
      </c>
      <c r="C1257" s="10" t="s">
        <v>1403</v>
      </c>
      <c r="D1257" s="10" t="s">
        <v>69</v>
      </c>
      <c r="E1257" s="13">
        <v>46227.0</v>
      </c>
      <c r="F1257" s="10" t="s">
        <v>35</v>
      </c>
      <c r="G1257" s="10">
        <v>11.0</v>
      </c>
      <c r="I1257" s="10" t="s">
        <v>22</v>
      </c>
      <c r="J1257" s="9" t="str">
        <f t="shared" si="30"/>
        <v>No</v>
      </c>
      <c r="K1257" s="9" t="str">
        <f t="shared" si="31"/>
        <v/>
      </c>
      <c r="L1257" s="9" t="str">
        <f t="shared" si="32"/>
        <v/>
      </c>
      <c r="M1257" s="9"/>
      <c r="O1257" s="9"/>
    </row>
    <row r="1258" ht="15.75" customHeight="1">
      <c r="A1258" s="9" t="str">
        <f>IFERROR(__xludf.DUMMYFUNCTION("IF(B1258="""","""",RIGHT(REGEXREPLACE(B1258&amp;"""",""[^0-9]"",""""),9))"),"759614906")</f>
        <v>759614906</v>
      </c>
      <c r="B1258" s="48">
        <v>7.59614906E8</v>
      </c>
      <c r="C1258" s="10" t="s">
        <v>1404</v>
      </c>
      <c r="D1258" s="10" t="s">
        <v>50</v>
      </c>
      <c r="E1258" s="13">
        <v>46227.0</v>
      </c>
      <c r="F1258" s="10" t="s">
        <v>35</v>
      </c>
      <c r="G1258" s="10">
        <v>11.0</v>
      </c>
      <c r="I1258" s="10" t="s">
        <v>22</v>
      </c>
      <c r="J1258" s="9" t="str">
        <f t="shared" si="30"/>
        <v>No</v>
      </c>
      <c r="K1258" s="9" t="str">
        <f t="shared" si="31"/>
        <v/>
      </c>
      <c r="L1258" s="9" t="str">
        <f t="shared" si="32"/>
        <v/>
      </c>
      <c r="M1258" s="9"/>
      <c r="O1258" s="9"/>
    </row>
    <row r="1259" ht="15.75" customHeight="1">
      <c r="A1259" s="9" t="str">
        <f>IFERROR(__xludf.DUMMYFUNCTION("IF(B1259="""","""",RIGHT(REGEXREPLACE(B1259&amp;"""",""[^0-9]"",""""),9))"),"740388389")</f>
        <v>740388389</v>
      </c>
      <c r="B1259" s="10">
        <v>7.40388389E8</v>
      </c>
      <c r="C1259" s="10" t="s">
        <v>1405</v>
      </c>
      <c r="D1259" s="10" t="s">
        <v>20</v>
      </c>
      <c r="E1259" s="13">
        <v>46227.0</v>
      </c>
      <c r="F1259" s="10" t="s">
        <v>35</v>
      </c>
      <c r="G1259" s="10">
        <v>10.0</v>
      </c>
      <c r="I1259" s="10" t="s">
        <v>22</v>
      </c>
      <c r="J1259" s="9" t="str">
        <f t="shared" si="30"/>
        <v>No</v>
      </c>
      <c r="K1259" s="9" t="str">
        <f t="shared" si="31"/>
        <v/>
      </c>
      <c r="L1259" s="9" t="str">
        <f t="shared" si="32"/>
        <v/>
      </c>
      <c r="M1259" s="9"/>
      <c r="O1259" s="9"/>
    </row>
    <row r="1260" ht="15.75" customHeight="1">
      <c r="A1260" s="9" t="str">
        <f>IFERROR(__xludf.DUMMYFUNCTION("IF(B1260="""","""",RIGHT(REGEXREPLACE(B1260&amp;"""",""[^0-9]"",""""),9))"),"774379498")</f>
        <v>774379498</v>
      </c>
      <c r="B1260" s="48">
        <v>4.774379498E9</v>
      </c>
      <c r="C1260" s="10" t="s">
        <v>1406</v>
      </c>
      <c r="D1260" s="10" t="s">
        <v>120</v>
      </c>
      <c r="E1260" s="13">
        <v>46227.0</v>
      </c>
      <c r="F1260" s="10" t="s">
        <v>35</v>
      </c>
      <c r="G1260" s="10">
        <v>11.0</v>
      </c>
      <c r="I1260" s="10" t="s">
        <v>22</v>
      </c>
      <c r="J1260" s="9" t="str">
        <f t="shared" si="30"/>
        <v>No</v>
      </c>
      <c r="K1260" s="9" t="str">
        <f t="shared" si="31"/>
        <v/>
      </c>
      <c r="L1260" s="9" t="str">
        <f t="shared" si="32"/>
        <v/>
      </c>
      <c r="M1260" s="9"/>
      <c r="O1260" s="9"/>
    </row>
    <row r="1261" ht="15.75" customHeight="1">
      <c r="A1261" s="9" t="str">
        <f>IFERROR(__xludf.DUMMYFUNCTION("IF(B1261="""","""",RIGHT(REGEXREPLACE(B1261&amp;"""",""[^0-9]"",""""),9))"),"775928690")</f>
        <v>775928690</v>
      </c>
      <c r="B1261" s="48">
        <v>7.7592869E8</v>
      </c>
      <c r="C1261" s="10" t="s">
        <v>1407</v>
      </c>
      <c r="D1261" s="10" t="s">
        <v>69</v>
      </c>
      <c r="E1261" s="13">
        <v>46227.0</v>
      </c>
      <c r="F1261" s="10" t="s">
        <v>35</v>
      </c>
      <c r="G1261" s="10">
        <v>11.0</v>
      </c>
      <c r="I1261" s="10" t="s">
        <v>22</v>
      </c>
      <c r="J1261" s="9" t="str">
        <f t="shared" si="30"/>
        <v>No</v>
      </c>
      <c r="K1261" s="9" t="str">
        <f t="shared" si="31"/>
        <v/>
      </c>
      <c r="L1261" s="9" t="str">
        <f t="shared" si="32"/>
        <v/>
      </c>
      <c r="M1261" s="9"/>
      <c r="O1261" s="9"/>
    </row>
    <row r="1262" ht="15.75" customHeight="1">
      <c r="A1262" s="9" t="str">
        <f>IFERROR(__xludf.DUMMYFUNCTION("IF(B1262="""","""",RIGHT(REGEXREPLACE(B1262&amp;"""",""[^0-9]"",""""),9))"),"778840388")</f>
        <v>778840388</v>
      </c>
      <c r="B1262" s="10">
        <v>7.78840388E8</v>
      </c>
      <c r="C1262" s="10" t="s">
        <v>1408</v>
      </c>
      <c r="D1262" s="10" t="s">
        <v>20</v>
      </c>
      <c r="E1262" s="13">
        <v>46227.0</v>
      </c>
      <c r="F1262" s="10" t="s">
        <v>21</v>
      </c>
      <c r="G1262" s="10">
        <v>11.0</v>
      </c>
      <c r="I1262" s="10" t="s">
        <v>22</v>
      </c>
      <c r="J1262" s="9" t="str">
        <f t="shared" si="30"/>
        <v>No</v>
      </c>
      <c r="K1262" s="9" t="str">
        <f t="shared" si="31"/>
        <v/>
      </c>
      <c r="L1262" s="9" t="str">
        <f t="shared" si="32"/>
        <v/>
      </c>
      <c r="M1262" s="9"/>
      <c r="O1262" s="9"/>
    </row>
    <row r="1263" ht="15.75" customHeight="1">
      <c r="A1263" s="9" t="str">
        <f>IFERROR(__xludf.DUMMYFUNCTION("IF(B1263="""","""",RIGHT(REGEXREPLACE(B1263&amp;"""",""[^0-9]"",""""),9))"),"718198245")</f>
        <v>718198245</v>
      </c>
      <c r="B1263" s="10">
        <v>7.18198245E8</v>
      </c>
      <c r="C1263" s="10" t="s">
        <v>1409</v>
      </c>
      <c r="D1263" s="10" t="s">
        <v>20</v>
      </c>
      <c r="E1263" s="13">
        <v>46227.0</v>
      </c>
      <c r="F1263" s="10" t="s">
        <v>198</v>
      </c>
      <c r="G1263" s="10">
        <v>10.0</v>
      </c>
      <c r="I1263" s="10" t="s">
        <v>22</v>
      </c>
      <c r="J1263" s="9" t="str">
        <f t="shared" si="30"/>
        <v>No</v>
      </c>
      <c r="K1263" s="9" t="str">
        <f t="shared" si="31"/>
        <v/>
      </c>
      <c r="L1263" s="9" t="str">
        <f t="shared" si="32"/>
        <v/>
      </c>
      <c r="M1263" s="9"/>
      <c r="O1263" s="9"/>
    </row>
    <row r="1264" ht="15.75" customHeight="1">
      <c r="A1264" s="9" t="str">
        <f>IFERROR(__xludf.DUMMYFUNCTION("IF(B1264="""","""",RIGHT(REGEXREPLACE(B1264&amp;"""",""[^0-9]"",""""),9))"),"769103605")</f>
        <v>769103605</v>
      </c>
      <c r="B1264" s="48">
        <v>7.69103605E8</v>
      </c>
      <c r="C1264" s="10" t="s">
        <v>1410</v>
      </c>
      <c r="D1264" s="10" t="s">
        <v>34</v>
      </c>
      <c r="E1264" s="13">
        <v>46227.0</v>
      </c>
      <c r="F1264" s="10" t="s">
        <v>21</v>
      </c>
      <c r="I1264" s="10" t="s">
        <v>22</v>
      </c>
      <c r="J1264" s="9" t="str">
        <f t="shared" si="30"/>
        <v>No</v>
      </c>
      <c r="K1264" s="9" t="str">
        <f t="shared" si="31"/>
        <v/>
      </c>
      <c r="L1264" s="9" t="str">
        <f t="shared" si="32"/>
        <v/>
      </c>
      <c r="M1264" s="9"/>
      <c r="O1264" s="9"/>
    </row>
    <row r="1265" ht="15.75" customHeight="1">
      <c r="A1265" s="9" t="str">
        <f>IFERROR(__xludf.DUMMYFUNCTION("IF(B1265="""","""",RIGHT(REGEXREPLACE(B1265&amp;"""",""[^0-9]"",""""),9))"),"777217176")</f>
        <v>777217176</v>
      </c>
      <c r="B1265" s="10">
        <v>7.77217176E8</v>
      </c>
      <c r="C1265" s="10" t="s">
        <v>1411</v>
      </c>
      <c r="D1265" s="10" t="s">
        <v>20</v>
      </c>
      <c r="E1265" s="13">
        <v>46227.0</v>
      </c>
      <c r="F1265" s="10" t="s">
        <v>648</v>
      </c>
      <c r="I1265" s="10" t="s">
        <v>22</v>
      </c>
      <c r="J1265" s="9" t="str">
        <f t="shared" si="30"/>
        <v>No</v>
      </c>
      <c r="K1265" s="9" t="str">
        <f t="shared" si="31"/>
        <v/>
      </c>
      <c r="L1265" s="9" t="str">
        <f t="shared" si="32"/>
        <v/>
      </c>
      <c r="M1265" s="9"/>
      <c r="O1265" s="9"/>
    </row>
    <row r="1266" ht="15.75" customHeight="1">
      <c r="A1266" s="9" t="str">
        <f>IFERROR(__xludf.DUMMYFUNCTION("IF(B1266="""","""",RIGHT(REGEXREPLACE(B1266&amp;"""",""[^0-9]"",""""),9))"),"703163550")</f>
        <v>703163550</v>
      </c>
      <c r="B1266" s="48">
        <v>7.0316355E8</v>
      </c>
      <c r="C1266" s="10" t="s">
        <v>1412</v>
      </c>
      <c r="D1266" s="10" t="s">
        <v>69</v>
      </c>
      <c r="E1266" s="13">
        <v>46227.0</v>
      </c>
      <c r="F1266" s="10" t="s">
        <v>35</v>
      </c>
      <c r="I1266" s="10" t="s">
        <v>22</v>
      </c>
      <c r="J1266" s="9" t="str">
        <f t="shared" si="30"/>
        <v>No</v>
      </c>
      <c r="K1266" s="9" t="str">
        <f t="shared" si="31"/>
        <v/>
      </c>
      <c r="L1266" s="9" t="str">
        <f t="shared" si="32"/>
        <v/>
      </c>
      <c r="M1266" s="9"/>
      <c r="O1266" s="9"/>
    </row>
    <row r="1267" ht="15.75" customHeight="1">
      <c r="A1267" s="9" t="str">
        <f>IFERROR(__xludf.DUMMYFUNCTION("IF(B1267="""","""",RIGHT(REGEXREPLACE(B1267&amp;"""",""[^0-9]"",""""),9))"),"776171542")</f>
        <v>776171542</v>
      </c>
      <c r="B1267" s="48">
        <v>7.76171542E8</v>
      </c>
      <c r="C1267" s="10" t="s">
        <v>1413</v>
      </c>
      <c r="D1267" s="10" t="s">
        <v>34</v>
      </c>
      <c r="E1267" s="13">
        <v>46227.0</v>
      </c>
      <c r="F1267" s="10" t="s">
        <v>198</v>
      </c>
      <c r="I1267" s="10" t="s">
        <v>22</v>
      </c>
      <c r="J1267" s="9" t="str">
        <f t="shared" si="30"/>
        <v>No</v>
      </c>
      <c r="K1267" s="9" t="str">
        <f t="shared" si="31"/>
        <v/>
      </c>
      <c r="L1267" s="9" t="str">
        <f t="shared" si="32"/>
        <v/>
      </c>
      <c r="M1267" s="9"/>
      <c r="O1267" s="9"/>
    </row>
    <row r="1268" ht="15.75" customHeight="1">
      <c r="A1268" s="9" t="str">
        <f>IFERROR(__xludf.DUMMYFUNCTION("IF(B1268="""","""",RIGHT(REGEXREPLACE(B1268&amp;"""",""[^0-9]"",""""),9))"),"740898967")</f>
        <v>740898967</v>
      </c>
      <c r="B1268" s="10">
        <v>7.40898967E8</v>
      </c>
      <c r="C1268" s="10" t="s">
        <v>1414</v>
      </c>
      <c r="D1268" s="10" t="s">
        <v>20</v>
      </c>
      <c r="E1268" s="13">
        <v>46227.0</v>
      </c>
      <c r="F1268" s="10" t="s">
        <v>171</v>
      </c>
      <c r="G1268" s="10">
        <v>11.0</v>
      </c>
      <c r="I1268" s="10" t="s">
        <v>22</v>
      </c>
      <c r="J1268" s="9" t="str">
        <f t="shared" si="30"/>
        <v>No</v>
      </c>
      <c r="K1268" s="9" t="str">
        <f t="shared" si="31"/>
        <v/>
      </c>
      <c r="L1268" s="9" t="str">
        <f t="shared" si="32"/>
        <v/>
      </c>
      <c r="M1268" s="9"/>
      <c r="O1268" s="9"/>
    </row>
    <row r="1269" ht="15.75" customHeight="1">
      <c r="A1269" s="9" t="str">
        <f>IFERROR(__xludf.DUMMYFUNCTION("IF(B1269="""","""",RIGHT(REGEXREPLACE(B1269&amp;"""",""[^0-9]"",""""),9))"),"774557589")</f>
        <v>774557589</v>
      </c>
      <c r="B1269" s="10">
        <v>7.74557589E8</v>
      </c>
      <c r="C1269" s="10" t="s">
        <v>1415</v>
      </c>
      <c r="D1269" s="10" t="s">
        <v>20</v>
      </c>
      <c r="E1269" s="13">
        <v>46227.0</v>
      </c>
      <c r="F1269" s="10" t="s">
        <v>198</v>
      </c>
      <c r="I1269" s="10" t="s">
        <v>22</v>
      </c>
      <c r="J1269" s="9" t="str">
        <f t="shared" si="30"/>
        <v>No</v>
      </c>
      <c r="K1269" s="9" t="str">
        <f t="shared" si="31"/>
        <v/>
      </c>
      <c r="L1269" s="9" t="str">
        <f t="shared" si="32"/>
        <v/>
      </c>
      <c r="M1269" s="9"/>
      <c r="O1269" s="9"/>
    </row>
    <row r="1270" ht="15.75" customHeight="1">
      <c r="A1270" s="9" t="str">
        <f>IFERROR(__xludf.DUMMYFUNCTION("IF(B1270="""","""",RIGHT(REGEXREPLACE(B1270&amp;"""",""[^0-9]"",""""),9))"),"763755173")</f>
        <v>763755173</v>
      </c>
      <c r="B1270" s="10">
        <v>7.63755173E8</v>
      </c>
      <c r="C1270" s="10" t="s">
        <v>1416</v>
      </c>
      <c r="D1270" s="10" t="s">
        <v>20</v>
      </c>
      <c r="E1270" s="13">
        <v>46227.0</v>
      </c>
      <c r="F1270" s="10" t="s">
        <v>35</v>
      </c>
      <c r="G1270" s="10">
        <v>11.0</v>
      </c>
      <c r="I1270" s="10" t="s">
        <v>22</v>
      </c>
      <c r="J1270" s="9" t="str">
        <f t="shared" si="30"/>
        <v>No</v>
      </c>
      <c r="K1270" s="9" t="str">
        <f t="shared" si="31"/>
        <v/>
      </c>
      <c r="L1270" s="9" t="str">
        <f t="shared" si="32"/>
        <v/>
      </c>
      <c r="M1270" s="9"/>
      <c r="O1270" s="9"/>
    </row>
    <row r="1271" ht="15.75" customHeight="1">
      <c r="A1271" s="9" t="str">
        <f>IFERROR(__xludf.DUMMYFUNCTION("IF(B1271="""","""",RIGHT(REGEXREPLACE(B1271&amp;"""",""[^0-9]"",""""),9))"),"775319879")</f>
        <v>775319879</v>
      </c>
      <c r="B1271" s="48">
        <v>7.75319879E8</v>
      </c>
      <c r="C1271" s="10" t="s">
        <v>1417</v>
      </c>
      <c r="D1271" s="10" t="s">
        <v>34</v>
      </c>
      <c r="E1271" s="13">
        <v>46227.0</v>
      </c>
      <c r="F1271" s="10" t="s">
        <v>21</v>
      </c>
      <c r="I1271" s="10" t="s">
        <v>22</v>
      </c>
      <c r="J1271" s="9" t="str">
        <f t="shared" si="30"/>
        <v>No</v>
      </c>
      <c r="K1271" s="9" t="str">
        <f t="shared" si="31"/>
        <v/>
      </c>
      <c r="L1271" s="9" t="str">
        <f t="shared" si="32"/>
        <v/>
      </c>
      <c r="M1271" s="9"/>
      <c r="O1271" s="9"/>
    </row>
    <row r="1272" ht="15.75" customHeight="1">
      <c r="A1272" s="9" t="str">
        <f>IFERROR(__xludf.DUMMYFUNCTION("IF(B1272="""","""",RIGHT(REGEXREPLACE(B1272&amp;"""",""[^0-9]"",""""),9))"),"721065749")</f>
        <v>721065749</v>
      </c>
      <c r="B1272" s="48">
        <v>7.21065749E8</v>
      </c>
      <c r="C1272" s="10" t="s">
        <v>1418</v>
      </c>
      <c r="D1272" s="10" t="s">
        <v>34</v>
      </c>
      <c r="E1272" s="13">
        <v>46227.0</v>
      </c>
      <c r="F1272" s="10" t="s">
        <v>35</v>
      </c>
      <c r="G1272" s="10">
        <v>11.0</v>
      </c>
      <c r="I1272" s="10" t="s">
        <v>22</v>
      </c>
      <c r="J1272" s="9" t="str">
        <f t="shared" si="30"/>
        <v>No</v>
      </c>
      <c r="K1272" s="9" t="str">
        <f t="shared" si="31"/>
        <v/>
      </c>
      <c r="L1272" s="9" t="str">
        <f t="shared" si="32"/>
        <v/>
      </c>
      <c r="M1272" s="9"/>
      <c r="O1272" s="9"/>
    </row>
    <row r="1273" ht="15.75" customHeight="1">
      <c r="A1273" s="9" t="str">
        <f>IFERROR(__xludf.DUMMYFUNCTION("IF(B1273="""","""",RIGHT(REGEXREPLACE(B1273&amp;"""",""[^0-9]"",""""),9))"),"743048151")</f>
        <v>743048151</v>
      </c>
      <c r="B1273" s="10">
        <v>7.43048151E8</v>
      </c>
      <c r="C1273" s="10" t="s">
        <v>1419</v>
      </c>
      <c r="D1273" s="10" t="s">
        <v>20</v>
      </c>
      <c r="E1273" s="13">
        <v>46227.0</v>
      </c>
      <c r="F1273" s="10" t="s">
        <v>198</v>
      </c>
      <c r="G1273" s="10">
        <v>11.0</v>
      </c>
      <c r="I1273" s="10" t="s">
        <v>22</v>
      </c>
      <c r="J1273" s="9" t="str">
        <f t="shared" si="30"/>
        <v>No</v>
      </c>
      <c r="K1273" s="9" t="str">
        <f t="shared" si="31"/>
        <v/>
      </c>
      <c r="L1273" s="9" t="str">
        <f t="shared" si="32"/>
        <v/>
      </c>
      <c r="M1273" s="9"/>
      <c r="O1273" s="9"/>
    </row>
    <row r="1274" ht="15.75" customHeight="1">
      <c r="A1274" s="9" t="str">
        <f>IFERROR(__xludf.DUMMYFUNCTION("IF(B1274="""","""",RIGHT(REGEXREPLACE(B1274&amp;"""",""[^0-9]"",""""),9))"),"707787350")</f>
        <v>707787350</v>
      </c>
      <c r="B1274" s="10">
        <v>7.0778735E8</v>
      </c>
      <c r="C1274" s="10" t="s">
        <v>1420</v>
      </c>
      <c r="D1274" s="10" t="s">
        <v>20</v>
      </c>
      <c r="E1274" s="13">
        <v>46227.0</v>
      </c>
      <c r="F1274" s="10" t="s">
        <v>35</v>
      </c>
      <c r="G1274" s="10">
        <v>11.0</v>
      </c>
      <c r="I1274" s="10" t="s">
        <v>22</v>
      </c>
      <c r="J1274" s="9" t="str">
        <f t="shared" si="30"/>
        <v>No</v>
      </c>
      <c r="K1274" s="9" t="str">
        <f t="shared" si="31"/>
        <v/>
      </c>
      <c r="L1274" s="9" t="str">
        <f t="shared" si="32"/>
        <v/>
      </c>
      <c r="M1274" s="9"/>
      <c r="O1274" s="9"/>
    </row>
    <row r="1275" ht="15.75" customHeight="1">
      <c r="A1275" s="9" t="str">
        <f>IFERROR(__xludf.DUMMYFUNCTION("IF(B1275="""","""",RIGHT(REGEXREPLACE(B1275&amp;"""",""[^0-9]"",""""),9))"),"761217564")</f>
        <v>761217564</v>
      </c>
      <c r="B1275" s="10">
        <v>7.61217564E8</v>
      </c>
      <c r="C1275" s="10" t="s">
        <v>1421</v>
      </c>
      <c r="D1275" s="10" t="s">
        <v>20</v>
      </c>
      <c r="E1275" s="13">
        <v>46227.0</v>
      </c>
      <c r="F1275" s="10" t="s">
        <v>35</v>
      </c>
      <c r="G1275" s="10">
        <v>11.0</v>
      </c>
      <c r="H1275" s="10" t="s">
        <v>1422</v>
      </c>
      <c r="I1275" s="10" t="s">
        <v>22</v>
      </c>
      <c r="J1275" s="9" t="str">
        <f t="shared" si="30"/>
        <v>No</v>
      </c>
      <c r="K1275" s="9" t="str">
        <f t="shared" si="31"/>
        <v/>
      </c>
      <c r="L1275" s="9" t="str">
        <f t="shared" si="32"/>
        <v/>
      </c>
      <c r="M1275" s="9"/>
      <c r="O1275" s="9"/>
    </row>
    <row r="1276" ht="15.75" customHeight="1">
      <c r="A1276" s="9" t="str">
        <f>IFERROR(__xludf.DUMMYFUNCTION("IF(B1276="""","""",RIGHT(REGEXREPLACE(B1276&amp;"""",""[^0-9]"",""""),9))"),"743718001")</f>
        <v>743718001</v>
      </c>
      <c r="B1276" s="48">
        <v>7.43718001E8</v>
      </c>
      <c r="C1276" s="10" t="s">
        <v>1423</v>
      </c>
      <c r="D1276" s="10" t="s">
        <v>34</v>
      </c>
      <c r="E1276" s="13">
        <v>46227.0</v>
      </c>
      <c r="F1276" s="10" t="s">
        <v>21</v>
      </c>
      <c r="I1276" s="10" t="s">
        <v>22</v>
      </c>
      <c r="J1276" s="9" t="str">
        <f t="shared" si="30"/>
        <v>No</v>
      </c>
      <c r="K1276" s="9" t="str">
        <f t="shared" si="31"/>
        <v/>
      </c>
      <c r="L1276" s="9" t="str">
        <f t="shared" si="32"/>
        <v/>
      </c>
      <c r="M1276" s="9"/>
      <c r="O1276" s="9"/>
    </row>
    <row r="1277" ht="15.75" customHeight="1">
      <c r="A1277" s="9" t="str">
        <f>IFERROR(__xludf.DUMMYFUNCTION("IF(B1277="""","""",RIGHT(REGEXREPLACE(B1277&amp;"""",""[^0-9]"",""""),9))"),"778107099")</f>
        <v>778107099</v>
      </c>
      <c r="B1277" s="10">
        <v>7.78107099E8</v>
      </c>
      <c r="C1277" s="10" t="s">
        <v>1424</v>
      </c>
      <c r="D1277" s="10" t="s">
        <v>20</v>
      </c>
      <c r="E1277" s="13">
        <v>46227.0</v>
      </c>
      <c r="F1277" s="10" t="s">
        <v>173</v>
      </c>
      <c r="H1277" s="10" t="s">
        <v>238</v>
      </c>
      <c r="I1277" s="10" t="s">
        <v>22</v>
      </c>
      <c r="J1277" s="9" t="str">
        <f t="shared" si="30"/>
        <v>No</v>
      </c>
      <c r="K1277" s="9" t="str">
        <f t="shared" si="31"/>
        <v/>
      </c>
      <c r="L1277" s="9" t="str">
        <f t="shared" si="32"/>
        <v/>
      </c>
      <c r="M1277" s="9"/>
      <c r="O1277" s="9"/>
    </row>
    <row r="1278" ht="15.75" customHeight="1">
      <c r="A1278" s="9" t="str">
        <f>IFERROR(__xludf.DUMMYFUNCTION("IF(B1278="""","""",RIGHT(REGEXREPLACE(B1278&amp;"""",""[^0-9]"",""""),9))"),"703712142")</f>
        <v>703712142</v>
      </c>
      <c r="B1278" s="48">
        <v>7.03712142E8</v>
      </c>
      <c r="C1278" s="10" t="s">
        <v>1425</v>
      </c>
      <c r="D1278" s="10" t="s">
        <v>34</v>
      </c>
      <c r="E1278" s="13">
        <v>46227.0</v>
      </c>
      <c r="F1278" s="10" t="s">
        <v>21</v>
      </c>
      <c r="G1278" s="10">
        <v>11.0</v>
      </c>
      <c r="I1278" s="10" t="s">
        <v>22</v>
      </c>
      <c r="J1278" s="9" t="str">
        <f t="shared" si="30"/>
        <v>No</v>
      </c>
      <c r="K1278" s="9" t="str">
        <f t="shared" si="31"/>
        <v/>
      </c>
      <c r="L1278" s="9" t="str">
        <f t="shared" si="32"/>
        <v/>
      </c>
      <c r="M1278" s="9"/>
      <c r="O1278" s="9"/>
    </row>
    <row r="1279" ht="15.75" customHeight="1">
      <c r="A1279" s="9" t="str">
        <f>IFERROR(__xludf.DUMMYFUNCTION("IF(B1279="""","""",RIGHT(REGEXREPLACE(B1279&amp;"""",""[^0-9]"",""""),9))"),"703618480")</f>
        <v>703618480</v>
      </c>
      <c r="B1279" s="48">
        <v>7.0361848E8</v>
      </c>
      <c r="C1279" s="10" t="s">
        <v>1426</v>
      </c>
      <c r="D1279" s="10" t="s">
        <v>34</v>
      </c>
      <c r="E1279" s="13">
        <v>46227.0</v>
      </c>
      <c r="F1279" s="10" t="s">
        <v>198</v>
      </c>
      <c r="I1279" s="10" t="s">
        <v>22</v>
      </c>
      <c r="J1279" s="9" t="str">
        <f t="shared" si="30"/>
        <v>No</v>
      </c>
      <c r="K1279" s="9" t="str">
        <f t="shared" si="31"/>
        <v/>
      </c>
      <c r="L1279" s="9" t="str">
        <f t="shared" si="32"/>
        <v/>
      </c>
      <c r="M1279" s="9"/>
      <c r="O1279" s="9"/>
    </row>
    <row r="1280" ht="15.75" customHeight="1">
      <c r="A1280" s="9" t="str">
        <f>IFERROR(__xludf.DUMMYFUNCTION("IF(B1280="""","""",RIGHT(REGEXREPLACE(B1280&amp;"""",""[^0-9]"",""""),9))"),"776354669")</f>
        <v>776354669</v>
      </c>
      <c r="B1280" s="10">
        <v>7.76354669E8</v>
      </c>
      <c r="C1280" s="10" t="s">
        <v>1427</v>
      </c>
      <c r="D1280" s="10" t="s">
        <v>20</v>
      </c>
      <c r="E1280" s="13">
        <v>46227.0</v>
      </c>
      <c r="F1280" s="10" t="s">
        <v>21</v>
      </c>
      <c r="G1280" s="10">
        <v>11.0</v>
      </c>
      <c r="I1280" s="10" t="s">
        <v>22</v>
      </c>
      <c r="J1280" s="9" t="str">
        <f t="shared" si="30"/>
        <v>No</v>
      </c>
      <c r="K1280" s="9" t="str">
        <f t="shared" si="31"/>
        <v/>
      </c>
      <c r="L1280" s="9" t="str">
        <f t="shared" si="32"/>
        <v/>
      </c>
      <c r="M1280" s="9"/>
      <c r="O1280" s="9"/>
    </row>
    <row r="1281" ht="15.75" customHeight="1">
      <c r="A1281" s="69"/>
      <c r="B1281" s="109"/>
      <c r="C1281" s="70"/>
      <c r="D1281" s="70"/>
      <c r="E1281" s="110"/>
      <c r="F1281" s="70"/>
      <c r="G1281" s="70"/>
      <c r="H1281" s="70"/>
      <c r="I1281" s="70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</row>
    <row r="1282" ht="15.75" customHeight="1">
      <c r="A1282" s="9" t="str">
        <f>IFERROR(__xludf.DUMMYFUNCTION("IF(B1282="""","""",RIGHT(REGEXREPLACE(B1282&amp;"""",""[^0-9]"",""""),9))"),"769038917")</f>
        <v>769038917</v>
      </c>
      <c r="B1282" s="48">
        <v>7.69038917E8</v>
      </c>
      <c r="C1282" s="10" t="s">
        <v>1428</v>
      </c>
      <c r="D1282" s="10" t="s">
        <v>69</v>
      </c>
      <c r="E1282" s="13">
        <v>46228.0</v>
      </c>
      <c r="F1282" s="10" t="s">
        <v>35</v>
      </c>
      <c r="G1282" s="10">
        <v>10.0</v>
      </c>
      <c r="H1282" s="10" t="s">
        <v>737</v>
      </c>
      <c r="I1282" s="10" t="s">
        <v>22</v>
      </c>
      <c r="J1282" s="9" t="str">
        <f>IF(COUNTIF($A$2:A1280,A1282)&gt;0,"Yes - see Previous F-Code","No")</f>
        <v>No</v>
      </c>
      <c r="K1282" s="9" t="str">
        <f t="shared" ref="K1282:K1821" si="33">IF(COUNTIFS($A$2:A1282,A1282,$I$2:I1282,I1282)&gt;1,"DUPLICATE - CHECK","")</f>
        <v/>
      </c>
      <c r="L1282" s="9" t="str">
        <f t="array" ref="L1282">IF(COUNTIF($A$2:A1280,A1282)&gt;0,INDEX($C$2:C1280,MATCH(A1282,$A$2:A1280,0)),"")</f>
        <v/>
      </c>
      <c r="M1282" s="9"/>
      <c r="O1282" s="9"/>
    </row>
    <row r="1283" ht="15.75" customHeight="1">
      <c r="A1283" s="9" t="str">
        <f>IFERROR(__xludf.DUMMYFUNCTION("IF(B1283="""","""",RIGHT(REGEXREPLACE(B1283&amp;"""",""[^0-9]"",""""),9))"),"775076571")</f>
        <v>775076571</v>
      </c>
      <c r="B1283" s="48">
        <v>7.75076571E8</v>
      </c>
      <c r="C1283" s="10" t="s">
        <v>1429</v>
      </c>
      <c r="D1283" s="10" t="s">
        <v>69</v>
      </c>
      <c r="E1283" s="13">
        <v>46228.0</v>
      </c>
      <c r="F1283" s="10" t="s">
        <v>35</v>
      </c>
      <c r="G1283" s="10">
        <v>11.0</v>
      </c>
      <c r="H1283" s="10" t="s">
        <v>737</v>
      </c>
      <c r="I1283" s="10" t="s">
        <v>22</v>
      </c>
      <c r="J1283" s="9" t="str">
        <f t="shared" ref="J1283:J1821" si="34">IF(COUNTIF($A$2:A1282,A1283)&gt;0,"Yes - see Previous F-Code","No")</f>
        <v>No</v>
      </c>
      <c r="K1283" s="9" t="str">
        <f t="shared" si="33"/>
        <v/>
      </c>
      <c r="L1283" s="9" t="str">
        <f t="shared" ref="L1283:L1821" si="35">IF(COUNTIF($A$2:A1282,A1283)&gt;0,INDEX($C$2:C1282,MATCH(A1283,$A$2:A1282,0)),"")</f>
        <v/>
      </c>
      <c r="M1283" s="9"/>
      <c r="O1283" s="9"/>
    </row>
    <row r="1284" ht="15.75" customHeight="1">
      <c r="A1284" s="9" t="str">
        <f>IFERROR(__xludf.DUMMYFUNCTION("IF(B1284="""","""",RIGHT(REGEXREPLACE(B1284&amp;"""",""[^0-9]"",""""),9))"),"718227840")</f>
        <v>718227840</v>
      </c>
      <c r="B1284" s="48">
        <v>7.1822784E8</v>
      </c>
      <c r="C1284" s="10" t="s">
        <v>527</v>
      </c>
      <c r="D1284" s="10" t="s">
        <v>69</v>
      </c>
      <c r="E1284" s="13">
        <v>46228.0</v>
      </c>
      <c r="F1284" s="10" t="s">
        <v>198</v>
      </c>
      <c r="H1284" s="10" t="s">
        <v>737</v>
      </c>
      <c r="I1284" s="10" t="s">
        <v>22</v>
      </c>
      <c r="J1284" s="9" t="str">
        <f t="shared" si="34"/>
        <v>Yes - see Previous F-Code</v>
      </c>
      <c r="K1284" s="9" t="str">
        <f t="shared" si="33"/>
        <v>DUPLICATE - CHECK</v>
      </c>
      <c r="L1284" s="9" t="str">
        <f t="shared" si="35"/>
        <v>F70396</v>
      </c>
      <c r="M1284" s="9"/>
      <c r="O1284" s="9"/>
    </row>
    <row r="1285" ht="15.75" customHeight="1">
      <c r="A1285" s="9" t="str">
        <f>IFERROR(__xludf.DUMMYFUNCTION("IF(B1285="""","""",RIGHT(REGEXREPLACE(B1285&amp;"""",""[^0-9]"",""""),9))"),"775138501")</f>
        <v>775138501</v>
      </c>
      <c r="B1285" s="48">
        <v>7.75138501E8</v>
      </c>
      <c r="C1285" s="10" t="s">
        <v>1430</v>
      </c>
      <c r="D1285" s="10" t="s">
        <v>50</v>
      </c>
      <c r="E1285" s="13">
        <v>46228.0</v>
      </c>
      <c r="F1285" s="10" t="s">
        <v>35</v>
      </c>
      <c r="G1285" s="10">
        <v>11.0</v>
      </c>
      <c r="H1285" s="10" t="s">
        <v>622</v>
      </c>
      <c r="I1285" s="10" t="s">
        <v>22</v>
      </c>
      <c r="J1285" s="9" t="str">
        <f t="shared" si="34"/>
        <v>No</v>
      </c>
      <c r="K1285" s="9" t="str">
        <f t="shared" si="33"/>
        <v/>
      </c>
      <c r="L1285" s="9" t="str">
        <f t="shared" si="35"/>
        <v/>
      </c>
      <c r="M1285" s="9"/>
      <c r="O1285" s="9"/>
    </row>
    <row r="1286" ht="15.75" customHeight="1">
      <c r="A1286" s="9" t="str">
        <f>IFERROR(__xludf.DUMMYFUNCTION("IF(B1286="""","""",RIGHT(REGEXREPLACE(B1286&amp;"""",""[^0-9]"",""""),9))"),"773839153")</f>
        <v>773839153</v>
      </c>
      <c r="B1286" s="48">
        <v>7.73839153E8</v>
      </c>
      <c r="C1286" s="10" t="s">
        <v>1431</v>
      </c>
      <c r="D1286" s="10" t="s">
        <v>69</v>
      </c>
      <c r="E1286" s="13">
        <v>46228.0</v>
      </c>
      <c r="F1286" s="10" t="s">
        <v>35</v>
      </c>
      <c r="G1286" s="10">
        <v>11.0</v>
      </c>
      <c r="H1286" s="10" t="s">
        <v>600</v>
      </c>
      <c r="I1286" s="10" t="s">
        <v>22</v>
      </c>
      <c r="J1286" s="9" t="str">
        <f t="shared" si="34"/>
        <v>No</v>
      </c>
      <c r="K1286" s="9" t="str">
        <f t="shared" si="33"/>
        <v/>
      </c>
      <c r="L1286" s="9" t="str">
        <f t="shared" si="35"/>
        <v/>
      </c>
      <c r="M1286" s="9"/>
      <c r="O1286" s="9"/>
    </row>
    <row r="1287" ht="15.75" customHeight="1">
      <c r="A1287" s="9" t="str">
        <f>IFERROR(__xludf.DUMMYFUNCTION("IF(B1287="""","""",RIGHT(REGEXREPLACE(B1287&amp;"""",""[^0-9]"",""""),9))"),"769929574")</f>
        <v>769929574</v>
      </c>
      <c r="B1287" s="48">
        <v>7.69929574E8</v>
      </c>
      <c r="C1287" s="10" t="s">
        <v>1432</v>
      </c>
      <c r="D1287" s="10" t="s">
        <v>50</v>
      </c>
      <c r="E1287" s="13">
        <v>46228.0</v>
      </c>
      <c r="F1287" s="10" t="s">
        <v>35</v>
      </c>
      <c r="G1287" s="10">
        <v>11.0</v>
      </c>
      <c r="I1287" s="10" t="s">
        <v>22</v>
      </c>
      <c r="J1287" s="9" t="str">
        <f t="shared" si="34"/>
        <v>No</v>
      </c>
      <c r="K1287" s="9" t="str">
        <f t="shared" si="33"/>
        <v/>
      </c>
      <c r="L1287" s="9" t="str">
        <f t="shared" si="35"/>
        <v/>
      </c>
      <c r="M1287" s="9"/>
      <c r="O1287" s="9"/>
    </row>
    <row r="1288" ht="15.75" customHeight="1">
      <c r="A1288" s="9" t="str">
        <f>IFERROR(__xludf.DUMMYFUNCTION("IF(B1288="""","""",RIGHT(REGEXREPLACE(B1288&amp;"""",""[^0-9]"",""""),9))"),"770279156")</f>
        <v>770279156</v>
      </c>
      <c r="B1288" s="48">
        <v>7.70279156E8</v>
      </c>
      <c r="C1288" s="10" t="s">
        <v>1433</v>
      </c>
      <c r="D1288" s="10" t="s">
        <v>120</v>
      </c>
      <c r="E1288" s="13">
        <v>46228.0</v>
      </c>
      <c r="F1288" s="10" t="s">
        <v>198</v>
      </c>
      <c r="H1288" s="10" t="s">
        <v>1434</v>
      </c>
      <c r="I1288" s="10" t="s">
        <v>22</v>
      </c>
      <c r="J1288" s="9" t="str">
        <f t="shared" si="34"/>
        <v>No</v>
      </c>
      <c r="K1288" s="9" t="str">
        <f t="shared" si="33"/>
        <v/>
      </c>
      <c r="L1288" s="9" t="str">
        <f t="shared" si="35"/>
        <v/>
      </c>
      <c r="M1288" s="9"/>
      <c r="O1288" s="9"/>
    </row>
    <row r="1289" ht="15.75" customHeight="1">
      <c r="A1289" s="9" t="str">
        <f>IFERROR(__xludf.DUMMYFUNCTION("IF(B1289="""","""",RIGHT(REGEXREPLACE(B1289&amp;"""",""[^0-9]"",""""),9))"),"741356058")</f>
        <v>741356058</v>
      </c>
      <c r="B1289" s="48">
        <v>7.41356058E8</v>
      </c>
      <c r="C1289" s="10" t="s">
        <v>1435</v>
      </c>
      <c r="D1289" s="10" t="s">
        <v>69</v>
      </c>
      <c r="E1289" s="13">
        <v>46228.0</v>
      </c>
      <c r="F1289" s="10" t="s">
        <v>198</v>
      </c>
      <c r="G1289" s="10">
        <v>11.0</v>
      </c>
      <c r="H1289" s="10" t="s">
        <v>737</v>
      </c>
      <c r="I1289" s="10" t="s">
        <v>22</v>
      </c>
      <c r="J1289" s="9" t="str">
        <f t="shared" si="34"/>
        <v>No</v>
      </c>
      <c r="K1289" s="9" t="str">
        <f t="shared" si="33"/>
        <v/>
      </c>
      <c r="L1289" s="9" t="str">
        <f t="shared" si="35"/>
        <v/>
      </c>
      <c r="M1289" s="9"/>
      <c r="O1289" s="9"/>
    </row>
    <row r="1290" ht="15.75" customHeight="1">
      <c r="A1290" s="9" t="str">
        <f>IFERROR(__xludf.DUMMYFUNCTION("IF(B1290="""","""",RIGHT(REGEXREPLACE(B1290&amp;"""",""[^0-9]"",""""),9))"),"750778501")</f>
        <v>750778501</v>
      </c>
      <c r="B1290" s="10">
        <v>7.50778501E8</v>
      </c>
      <c r="C1290" s="10" t="s">
        <v>1436</v>
      </c>
      <c r="D1290" s="10" t="s">
        <v>34</v>
      </c>
      <c r="E1290" s="13">
        <v>46228.0</v>
      </c>
      <c r="F1290" s="10" t="s">
        <v>35</v>
      </c>
      <c r="G1290" s="10">
        <v>10.0</v>
      </c>
      <c r="I1290" s="10" t="s">
        <v>22</v>
      </c>
      <c r="J1290" s="9" t="str">
        <f t="shared" si="34"/>
        <v>No</v>
      </c>
      <c r="K1290" s="9" t="str">
        <f t="shared" si="33"/>
        <v/>
      </c>
      <c r="L1290" s="9" t="str">
        <f t="shared" si="35"/>
        <v/>
      </c>
      <c r="M1290" s="9"/>
      <c r="O1290" s="9"/>
    </row>
    <row r="1291" ht="15.75" customHeight="1">
      <c r="A1291" s="9" t="str">
        <f>IFERROR(__xludf.DUMMYFUNCTION("IF(B1291="""","""",RIGHT(REGEXREPLACE(B1291&amp;"""",""[^0-9]"",""""),9))"),"702659201")</f>
        <v>702659201</v>
      </c>
      <c r="B1291" s="48">
        <v>7.02659201E8</v>
      </c>
      <c r="C1291" s="10" t="s">
        <v>1437</v>
      </c>
      <c r="D1291" s="10" t="s">
        <v>50</v>
      </c>
      <c r="E1291" s="13">
        <v>46228.0</v>
      </c>
      <c r="F1291" s="10" t="s">
        <v>21</v>
      </c>
      <c r="G1291" s="10">
        <v>11.0</v>
      </c>
      <c r="I1291" s="10" t="s">
        <v>22</v>
      </c>
      <c r="J1291" s="9" t="str">
        <f t="shared" si="34"/>
        <v>No</v>
      </c>
      <c r="K1291" s="9" t="str">
        <f t="shared" si="33"/>
        <v/>
      </c>
      <c r="L1291" s="9" t="str">
        <f t="shared" si="35"/>
        <v/>
      </c>
      <c r="M1291" s="9"/>
      <c r="O1291" s="9"/>
    </row>
    <row r="1292" ht="15.75" customHeight="1">
      <c r="A1292" s="9" t="str">
        <f>IFERROR(__xludf.DUMMYFUNCTION("IF(B1292="""","""",RIGHT(REGEXREPLACE(B1292&amp;"""",""[^0-9]"",""""),9))"),"704177195")</f>
        <v>704177195</v>
      </c>
      <c r="B1292" s="48">
        <v>7.04177195E8</v>
      </c>
      <c r="C1292" s="10" t="s">
        <v>1438</v>
      </c>
      <c r="D1292" s="10" t="s">
        <v>120</v>
      </c>
      <c r="E1292" s="13">
        <v>46228.0</v>
      </c>
      <c r="F1292" s="10" t="s">
        <v>35</v>
      </c>
      <c r="G1292" s="10">
        <v>11.0</v>
      </c>
      <c r="H1292" s="10" t="s">
        <v>1439</v>
      </c>
      <c r="I1292" s="10" t="s">
        <v>22</v>
      </c>
      <c r="J1292" s="9" t="str">
        <f t="shared" si="34"/>
        <v>No</v>
      </c>
      <c r="K1292" s="9" t="str">
        <f t="shared" si="33"/>
        <v/>
      </c>
      <c r="L1292" s="9" t="str">
        <f t="shared" si="35"/>
        <v/>
      </c>
      <c r="M1292" s="9"/>
      <c r="O1292" s="9"/>
    </row>
    <row r="1293" ht="15.75" customHeight="1">
      <c r="A1293" s="9" t="str">
        <f>IFERROR(__xludf.DUMMYFUNCTION("IF(B1293="""","""",RIGHT(REGEXREPLACE(B1293&amp;"""",""[^0-9]"",""""),9))"),"770509031")</f>
        <v>770509031</v>
      </c>
      <c r="B1293" s="48">
        <v>7.70509031E8</v>
      </c>
      <c r="C1293" s="10" t="s">
        <v>1440</v>
      </c>
      <c r="D1293" s="10" t="s">
        <v>50</v>
      </c>
      <c r="E1293" s="13">
        <v>46228.0</v>
      </c>
      <c r="F1293" s="10" t="s">
        <v>35</v>
      </c>
      <c r="G1293" s="10">
        <v>11.0</v>
      </c>
      <c r="H1293" s="10" t="s">
        <v>622</v>
      </c>
      <c r="I1293" s="10" t="s">
        <v>22</v>
      </c>
      <c r="J1293" s="9" t="str">
        <f t="shared" si="34"/>
        <v>No</v>
      </c>
      <c r="K1293" s="9" t="str">
        <f t="shared" si="33"/>
        <v/>
      </c>
      <c r="L1293" s="9" t="str">
        <f t="shared" si="35"/>
        <v/>
      </c>
      <c r="M1293" s="9"/>
      <c r="O1293" s="9"/>
    </row>
    <row r="1294" ht="15.75" customHeight="1">
      <c r="A1294" s="9" t="str">
        <f>IFERROR(__xludf.DUMMYFUNCTION("IF(B1294="""","""",RIGHT(REGEXREPLACE(B1294&amp;"""",""[^0-9]"",""""),9))"),"769064817")</f>
        <v>769064817</v>
      </c>
      <c r="B1294" s="48">
        <v>7.69064817E8</v>
      </c>
      <c r="C1294" s="10" t="s">
        <v>1441</v>
      </c>
      <c r="D1294" s="10" t="s">
        <v>50</v>
      </c>
      <c r="E1294" s="13">
        <v>46228.0</v>
      </c>
      <c r="F1294" s="10" t="s">
        <v>35</v>
      </c>
      <c r="G1294" s="10">
        <v>11.0</v>
      </c>
      <c r="H1294" s="10" t="s">
        <v>622</v>
      </c>
      <c r="I1294" s="10" t="s">
        <v>22</v>
      </c>
      <c r="J1294" s="9" t="str">
        <f t="shared" si="34"/>
        <v>No</v>
      </c>
      <c r="K1294" s="9" t="str">
        <f t="shared" si="33"/>
        <v/>
      </c>
      <c r="L1294" s="9" t="str">
        <f t="shared" si="35"/>
        <v/>
      </c>
      <c r="M1294" s="9"/>
      <c r="O1294" s="9"/>
    </row>
    <row r="1295" ht="15.75" customHeight="1">
      <c r="A1295" s="9" t="str">
        <f>IFERROR(__xludf.DUMMYFUNCTION("IF(B1295="""","""",RIGHT(REGEXREPLACE(B1295&amp;"""",""[^0-9]"",""""),9))"),"768814311")</f>
        <v>768814311</v>
      </c>
      <c r="B1295" s="48">
        <v>7.68814311E8</v>
      </c>
      <c r="C1295" s="10" t="s">
        <v>1442</v>
      </c>
      <c r="D1295" s="10" t="s">
        <v>69</v>
      </c>
      <c r="E1295" s="13">
        <v>46228.0</v>
      </c>
      <c r="F1295" s="10" t="s">
        <v>35</v>
      </c>
      <c r="H1295" s="10" t="s">
        <v>737</v>
      </c>
      <c r="I1295" s="10" t="s">
        <v>22</v>
      </c>
      <c r="J1295" s="9" t="str">
        <f t="shared" si="34"/>
        <v>No</v>
      </c>
      <c r="K1295" s="9" t="str">
        <f t="shared" si="33"/>
        <v/>
      </c>
      <c r="L1295" s="9" t="str">
        <f t="shared" si="35"/>
        <v/>
      </c>
      <c r="M1295" s="9"/>
      <c r="O1295" s="9"/>
    </row>
    <row r="1296" ht="15.75" customHeight="1">
      <c r="A1296" s="9" t="str">
        <f>IFERROR(__xludf.DUMMYFUNCTION("IF(B1296="""","""",RIGHT(REGEXREPLACE(B1296&amp;"""",""[^0-9]"",""""),9))"),"714813035")</f>
        <v>714813035</v>
      </c>
      <c r="B1296" s="48">
        <v>7.14813035E8</v>
      </c>
      <c r="C1296" s="10" t="s">
        <v>1443</v>
      </c>
      <c r="D1296" s="10" t="s">
        <v>120</v>
      </c>
      <c r="E1296" s="13">
        <v>46228.0</v>
      </c>
      <c r="F1296" s="10" t="s">
        <v>198</v>
      </c>
      <c r="H1296" s="10" t="s">
        <v>1434</v>
      </c>
      <c r="I1296" s="10" t="s">
        <v>22</v>
      </c>
      <c r="J1296" s="9" t="str">
        <f t="shared" si="34"/>
        <v>No</v>
      </c>
      <c r="K1296" s="9" t="str">
        <f t="shared" si="33"/>
        <v/>
      </c>
      <c r="L1296" s="9" t="str">
        <f t="shared" si="35"/>
        <v/>
      </c>
      <c r="M1296" s="9"/>
      <c r="O1296" s="9"/>
    </row>
    <row r="1297" ht="15.75" customHeight="1">
      <c r="A1297" s="9" t="str">
        <f>IFERROR(__xludf.DUMMYFUNCTION("IF(B1297="""","""",RIGHT(REGEXREPLACE(B1297&amp;"""",""[^0-9]"",""""),9))"),"767539674")</f>
        <v>767539674</v>
      </c>
      <c r="B1297" s="48">
        <v>7.67539674E8</v>
      </c>
      <c r="C1297" s="10" t="s">
        <v>1444</v>
      </c>
      <c r="D1297" s="10" t="s">
        <v>69</v>
      </c>
      <c r="E1297" s="13">
        <v>46228.0</v>
      </c>
      <c r="F1297" s="10" t="s">
        <v>21</v>
      </c>
      <c r="G1297" s="10">
        <v>10.0</v>
      </c>
      <c r="H1297" s="10" t="s">
        <v>737</v>
      </c>
      <c r="I1297" s="10" t="s">
        <v>22</v>
      </c>
      <c r="J1297" s="9" t="str">
        <f t="shared" si="34"/>
        <v>No</v>
      </c>
      <c r="K1297" s="9" t="str">
        <f t="shared" si="33"/>
        <v/>
      </c>
      <c r="L1297" s="9" t="str">
        <f t="shared" si="35"/>
        <v/>
      </c>
      <c r="M1297" s="9"/>
      <c r="O1297" s="9"/>
    </row>
    <row r="1298" ht="15.75" customHeight="1">
      <c r="A1298" s="9" t="str">
        <f>IFERROR(__xludf.DUMMYFUNCTION("IF(B1298="""","""",RIGHT(REGEXREPLACE(B1298&amp;"""",""[^0-9]"",""""),9))"),"705089407")</f>
        <v>705089407</v>
      </c>
      <c r="B1298" s="48">
        <v>7.05089407E8</v>
      </c>
      <c r="C1298" s="10" t="s">
        <v>1445</v>
      </c>
      <c r="D1298" s="10" t="s">
        <v>34</v>
      </c>
      <c r="E1298" s="13">
        <v>46228.0</v>
      </c>
      <c r="F1298" s="10" t="s">
        <v>21</v>
      </c>
      <c r="G1298" s="10">
        <v>10.0</v>
      </c>
      <c r="I1298" s="10" t="s">
        <v>22</v>
      </c>
      <c r="J1298" s="9" t="str">
        <f t="shared" si="34"/>
        <v>No</v>
      </c>
      <c r="K1298" s="9" t="str">
        <f t="shared" si="33"/>
        <v/>
      </c>
      <c r="L1298" s="9" t="str">
        <f t="shared" si="35"/>
        <v/>
      </c>
      <c r="M1298" s="9"/>
      <c r="O1298" s="9"/>
    </row>
    <row r="1299" ht="15.75" customHeight="1">
      <c r="A1299" s="9" t="str">
        <f>IFERROR(__xludf.DUMMYFUNCTION("IF(B1299="""","""",RIGHT(REGEXREPLACE(B1299&amp;"""",""[^0-9]"",""""),9))"),"703189399")</f>
        <v>703189399</v>
      </c>
      <c r="B1299" s="48">
        <v>7.03189399E8</v>
      </c>
      <c r="C1299" s="10" t="s">
        <v>1446</v>
      </c>
      <c r="D1299" s="10" t="s">
        <v>50</v>
      </c>
      <c r="E1299" s="13">
        <v>46228.0</v>
      </c>
      <c r="F1299" s="10" t="s">
        <v>35</v>
      </c>
      <c r="G1299" s="10">
        <v>11.0</v>
      </c>
      <c r="I1299" s="10" t="s">
        <v>22</v>
      </c>
      <c r="J1299" s="9" t="str">
        <f t="shared" si="34"/>
        <v>No</v>
      </c>
      <c r="K1299" s="9" t="str">
        <f t="shared" si="33"/>
        <v/>
      </c>
      <c r="L1299" s="9" t="str">
        <f t="shared" si="35"/>
        <v/>
      </c>
      <c r="M1299" s="9"/>
      <c r="O1299" s="9"/>
    </row>
    <row r="1300" ht="15.75" customHeight="1">
      <c r="A1300" s="9" t="str">
        <f>IFERROR(__xludf.DUMMYFUNCTION("IF(B1300="""","""",RIGHT(REGEXREPLACE(B1300&amp;"""",""[^0-9]"",""""),9))"),"703119110")</f>
        <v>703119110</v>
      </c>
      <c r="B1300" s="48">
        <v>7.0311911E8</v>
      </c>
      <c r="C1300" s="10" t="s">
        <v>1447</v>
      </c>
      <c r="D1300" s="10" t="s">
        <v>120</v>
      </c>
      <c r="E1300" s="13">
        <v>46228.0</v>
      </c>
      <c r="F1300" s="10" t="s">
        <v>35</v>
      </c>
      <c r="G1300" s="10">
        <v>7.0</v>
      </c>
      <c r="H1300" s="10" t="s">
        <v>1448</v>
      </c>
      <c r="I1300" s="10" t="s">
        <v>22</v>
      </c>
      <c r="J1300" s="9" t="str">
        <f t="shared" si="34"/>
        <v>No</v>
      </c>
      <c r="K1300" s="9" t="str">
        <f t="shared" si="33"/>
        <v/>
      </c>
      <c r="L1300" s="9" t="str">
        <f t="shared" si="35"/>
        <v/>
      </c>
      <c r="M1300" s="9"/>
      <c r="O1300" s="9"/>
    </row>
    <row r="1301" ht="15.75" customHeight="1">
      <c r="A1301" s="9" t="str">
        <f>IFERROR(__xludf.DUMMYFUNCTION("IF(B1301="""","""",RIGHT(REGEXREPLACE(B1301&amp;"""",""[^0-9]"",""""),9))"),"742579877")</f>
        <v>742579877</v>
      </c>
      <c r="B1301" s="48">
        <v>7.42579877E8</v>
      </c>
      <c r="C1301" s="10" t="s">
        <v>1449</v>
      </c>
      <c r="D1301" s="10" t="s">
        <v>34</v>
      </c>
      <c r="E1301" s="13">
        <v>46228.0</v>
      </c>
      <c r="F1301" s="10" t="s">
        <v>21</v>
      </c>
      <c r="I1301" s="10" t="s">
        <v>22</v>
      </c>
      <c r="J1301" s="9" t="str">
        <f t="shared" si="34"/>
        <v>No</v>
      </c>
      <c r="K1301" s="9" t="str">
        <f t="shared" si="33"/>
        <v/>
      </c>
      <c r="L1301" s="9" t="str">
        <f t="shared" si="35"/>
        <v/>
      </c>
      <c r="M1301" s="9"/>
      <c r="O1301" s="9"/>
    </row>
    <row r="1302" ht="15.75" customHeight="1">
      <c r="A1302" s="9" t="str">
        <f>IFERROR(__xludf.DUMMYFUNCTION("IF(B1302="""","""",RIGHT(REGEXREPLACE(B1302&amp;"""",""[^0-9]"",""""),9))"),"761732227")</f>
        <v>761732227</v>
      </c>
      <c r="B1302" s="48">
        <v>7.61732227E8</v>
      </c>
      <c r="C1302" s="10" t="s">
        <v>1450</v>
      </c>
      <c r="D1302" s="10" t="s">
        <v>69</v>
      </c>
      <c r="E1302" s="13">
        <v>46228.0</v>
      </c>
      <c r="F1302" s="10" t="s">
        <v>21</v>
      </c>
      <c r="G1302" s="10">
        <v>11.0</v>
      </c>
      <c r="I1302" s="10" t="s">
        <v>22</v>
      </c>
      <c r="J1302" s="9" t="str">
        <f t="shared" si="34"/>
        <v>No</v>
      </c>
      <c r="K1302" s="9" t="str">
        <f t="shared" si="33"/>
        <v/>
      </c>
      <c r="L1302" s="9" t="str">
        <f t="shared" si="35"/>
        <v/>
      </c>
      <c r="M1302" s="9"/>
      <c r="O1302" s="9"/>
    </row>
    <row r="1303" ht="15.75" customHeight="1">
      <c r="A1303" s="9" t="str">
        <f>IFERROR(__xludf.DUMMYFUNCTION("IF(B1303="""","""",RIGHT(REGEXREPLACE(B1303&amp;"""",""[^0-9]"",""""),9))"),"750550812")</f>
        <v>750550812</v>
      </c>
      <c r="B1303" s="48">
        <v>7.50550812E8</v>
      </c>
      <c r="C1303" s="10" t="s">
        <v>1451</v>
      </c>
      <c r="D1303" s="10" t="s">
        <v>50</v>
      </c>
      <c r="E1303" s="13">
        <v>46228.0</v>
      </c>
      <c r="F1303" s="10" t="s">
        <v>35</v>
      </c>
      <c r="G1303" s="10">
        <v>11.0</v>
      </c>
      <c r="H1303" s="10" t="s">
        <v>238</v>
      </c>
      <c r="I1303" s="10" t="s">
        <v>22</v>
      </c>
      <c r="J1303" s="9" t="str">
        <f t="shared" si="34"/>
        <v>No</v>
      </c>
      <c r="K1303" s="9" t="str">
        <f t="shared" si="33"/>
        <v/>
      </c>
      <c r="L1303" s="9" t="str">
        <f t="shared" si="35"/>
        <v/>
      </c>
      <c r="M1303" s="9"/>
      <c r="O1303" s="9"/>
    </row>
    <row r="1304" ht="15.75" customHeight="1">
      <c r="A1304" s="9" t="str">
        <f>IFERROR(__xludf.DUMMYFUNCTION("IF(B1304="""","""",RIGHT(REGEXREPLACE(B1304&amp;"""",""[^0-9]"",""""),9))"),"769284210")</f>
        <v>769284210</v>
      </c>
      <c r="B1304" s="48">
        <v>7.6928421E8</v>
      </c>
      <c r="C1304" s="10" t="s">
        <v>1452</v>
      </c>
      <c r="D1304" s="10" t="s">
        <v>34</v>
      </c>
      <c r="E1304" s="13">
        <v>46228.0</v>
      </c>
      <c r="F1304" s="10" t="s">
        <v>35</v>
      </c>
      <c r="G1304" s="10">
        <v>10.0</v>
      </c>
      <c r="I1304" s="10" t="s">
        <v>22</v>
      </c>
      <c r="J1304" s="9" t="str">
        <f t="shared" si="34"/>
        <v>No</v>
      </c>
      <c r="K1304" s="9" t="str">
        <f t="shared" si="33"/>
        <v/>
      </c>
      <c r="L1304" s="9" t="str">
        <f t="shared" si="35"/>
        <v/>
      </c>
      <c r="M1304" s="9"/>
      <c r="O1304" s="9"/>
    </row>
    <row r="1305" ht="15.75" customHeight="1">
      <c r="A1305" s="9" t="str">
        <f>IFERROR(__xludf.DUMMYFUNCTION("IF(B1305="""","""",RIGHT(REGEXREPLACE(B1305&amp;"""",""[^0-9]"",""""),9))"),"770415757")</f>
        <v>770415757</v>
      </c>
      <c r="B1305" s="48">
        <v>7.70415757E8</v>
      </c>
      <c r="C1305" s="10" t="s">
        <v>1453</v>
      </c>
      <c r="D1305" s="10" t="s">
        <v>120</v>
      </c>
      <c r="E1305" s="13">
        <v>46228.0</v>
      </c>
      <c r="F1305" s="10" t="s">
        <v>21</v>
      </c>
      <c r="G1305" s="10">
        <v>11.0</v>
      </c>
      <c r="I1305" s="10" t="s">
        <v>22</v>
      </c>
      <c r="J1305" s="9" t="str">
        <f t="shared" si="34"/>
        <v>No</v>
      </c>
      <c r="K1305" s="9" t="str">
        <f t="shared" si="33"/>
        <v/>
      </c>
      <c r="L1305" s="9" t="str">
        <f t="shared" si="35"/>
        <v/>
      </c>
      <c r="M1305" s="9"/>
      <c r="O1305" s="9"/>
    </row>
    <row r="1306" ht="15.75" customHeight="1">
      <c r="A1306" s="9" t="str">
        <f>IFERROR(__xludf.DUMMYFUNCTION("IF(B1306="""","""",RIGHT(REGEXREPLACE(B1306&amp;"""",""[^0-9]"",""""),9))"),"776909521")</f>
        <v>776909521</v>
      </c>
      <c r="B1306" s="10">
        <v>7.76909521E8</v>
      </c>
      <c r="C1306" s="10" t="s">
        <v>1454</v>
      </c>
      <c r="D1306" s="10" t="s">
        <v>20</v>
      </c>
      <c r="E1306" s="13">
        <v>46228.0</v>
      </c>
      <c r="F1306" s="10" t="s">
        <v>21</v>
      </c>
      <c r="I1306" s="10" t="s">
        <v>22</v>
      </c>
      <c r="J1306" s="9" t="str">
        <f t="shared" si="34"/>
        <v>No</v>
      </c>
      <c r="K1306" s="9" t="str">
        <f t="shared" si="33"/>
        <v/>
      </c>
      <c r="L1306" s="9" t="str">
        <f t="shared" si="35"/>
        <v/>
      </c>
      <c r="M1306" s="9"/>
      <c r="O1306" s="9"/>
    </row>
    <row r="1307" ht="15.75" customHeight="1">
      <c r="A1307" s="9" t="str">
        <f>IFERROR(__xludf.DUMMYFUNCTION("IF(B1307="""","""",RIGHT(REGEXREPLACE(B1307&amp;"""",""[^0-9]"",""""),9))"),"783582488")</f>
        <v>783582488</v>
      </c>
      <c r="B1307" s="48">
        <v>7.83582488E8</v>
      </c>
      <c r="C1307" s="10" t="s">
        <v>1455</v>
      </c>
      <c r="D1307" s="10" t="s">
        <v>69</v>
      </c>
      <c r="E1307" s="13">
        <v>46228.0</v>
      </c>
      <c r="F1307" s="10" t="s">
        <v>198</v>
      </c>
      <c r="I1307" s="10" t="s">
        <v>22</v>
      </c>
      <c r="J1307" s="9" t="str">
        <f t="shared" si="34"/>
        <v>No</v>
      </c>
      <c r="K1307" s="9" t="str">
        <f t="shared" si="33"/>
        <v/>
      </c>
      <c r="L1307" s="9" t="str">
        <f t="shared" si="35"/>
        <v/>
      </c>
      <c r="M1307" s="9"/>
      <c r="O1307" s="9"/>
    </row>
    <row r="1308" ht="15.75" customHeight="1">
      <c r="A1308" s="9" t="str">
        <f>IFERROR(__xludf.DUMMYFUNCTION("IF(B1308="""","""",RIGHT(REGEXREPLACE(B1308&amp;"""",""[^0-9]"",""""),9))"),"776731723")</f>
        <v>776731723</v>
      </c>
      <c r="B1308" s="10">
        <v>7.76731723E8</v>
      </c>
      <c r="C1308" s="10" t="s">
        <v>1456</v>
      </c>
      <c r="D1308" s="10" t="s">
        <v>20</v>
      </c>
      <c r="E1308" s="13">
        <v>46228.0</v>
      </c>
      <c r="F1308" s="10" t="s">
        <v>198</v>
      </c>
      <c r="I1308" s="10" t="s">
        <v>22</v>
      </c>
      <c r="J1308" s="9" t="str">
        <f t="shared" si="34"/>
        <v>No</v>
      </c>
      <c r="K1308" s="9" t="str">
        <f t="shared" si="33"/>
        <v/>
      </c>
      <c r="L1308" s="9" t="str">
        <f t="shared" si="35"/>
        <v/>
      </c>
      <c r="M1308" s="9"/>
      <c r="O1308" s="9"/>
    </row>
    <row r="1309" ht="15.75" customHeight="1">
      <c r="A1309" s="9" t="str">
        <f>IFERROR(__xludf.DUMMYFUNCTION("IF(B1309="""","""",RIGHT(REGEXREPLACE(B1309&amp;"""",""[^0-9]"",""""),9))"),"761435065")</f>
        <v>761435065</v>
      </c>
      <c r="B1309" s="48">
        <v>7.61435065E8</v>
      </c>
      <c r="C1309" s="10" t="s">
        <v>1457</v>
      </c>
      <c r="D1309" s="10" t="s">
        <v>34</v>
      </c>
      <c r="E1309" s="13">
        <v>46228.0</v>
      </c>
      <c r="F1309" s="10" t="s">
        <v>113</v>
      </c>
      <c r="I1309" s="10" t="s">
        <v>22</v>
      </c>
      <c r="J1309" s="9" t="str">
        <f t="shared" si="34"/>
        <v>No</v>
      </c>
      <c r="K1309" s="9" t="str">
        <f t="shared" si="33"/>
        <v/>
      </c>
      <c r="L1309" s="9" t="str">
        <f t="shared" si="35"/>
        <v/>
      </c>
      <c r="M1309" s="9"/>
      <c r="O1309" s="9"/>
    </row>
    <row r="1310" ht="15.75" customHeight="1">
      <c r="A1310" s="9" t="str">
        <f>IFERROR(__xludf.DUMMYFUNCTION("IF(B1310="""","""",RIGHT(REGEXREPLACE(B1310&amp;"""",""[^0-9]"",""""),9))"),"711507285")</f>
        <v>711507285</v>
      </c>
      <c r="B1310" s="48">
        <v>7.11507285E8</v>
      </c>
      <c r="C1310" s="10" t="s">
        <v>1458</v>
      </c>
      <c r="D1310" s="10" t="s">
        <v>69</v>
      </c>
      <c r="E1310" s="13">
        <v>46228.0</v>
      </c>
      <c r="F1310" s="10" t="s">
        <v>35</v>
      </c>
      <c r="G1310" s="10" t="s">
        <v>162</v>
      </c>
      <c r="I1310" s="10" t="s">
        <v>22</v>
      </c>
      <c r="J1310" s="9" t="str">
        <f t="shared" si="34"/>
        <v>No</v>
      </c>
      <c r="K1310" s="9" t="str">
        <f t="shared" si="33"/>
        <v/>
      </c>
      <c r="L1310" s="9" t="str">
        <f t="shared" si="35"/>
        <v/>
      </c>
      <c r="M1310" s="9"/>
      <c r="O1310" s="9"/>
    </row>
    <row r="1311" ht="15.75" customHeight="1">
      <c r="A1311" s="9" t="str">
        <f>IFERROR(__xludf.DUMMYFUNCTION("IF(B1311="""","""",RIGHT(REGEXREPLACE(B1311&amp;"""",""[^0-9]"",""""),9))"),"774322746")</f>
        <v>774322746</v>
      </c>
      <c r="B1311" s="10">
        <v>7.74322746E8</v>
      </c>
      <c r="C1311" s="10" t="s">
        <v>1459</v>
      </c>
      <c r="D1311" s="10" t="s">
        <v>20</v>
      </c>
      <c r="E1311" s="13">
        <v>46228.0</v>
      </c>
      <c r="F1311" s="10" t="s">
        <v>35</v>
      </c>
      <c r="G1311" s="10">
        <v>11.0</v>
      </c>
      <c r="H1311" s="10" t="s">
        <v>1460</v>
      </c>
      <c r="I1311" s="10" t="s">
        <v>22</v>
      </c>
      <c r="J1311" s="9" t="str">
        <f t="shared" si="34"/>
        <v>No</v>
      </c>
      <c r="K1311" s="9" t="str">
        <f t="shared" si="33"/>
        <v/>
      </c>
      <c r="L1311" s="9" t="str">
        <f t="shared" si="35"/>
        <v/>
      </c>
      <c r="M1311" s="9"/>
      <c r="O1311" s="9"/>
    </row>
    <row r="1312" ht="15.75" customHeight="1">
      <c r="A1312" s="9" t="str">
        <f>IFERROR(__xludf.DUMMYFUNCTION("IF(B1312="""","""",RIGHT(REGEXREPLACE(B1312&amp;"""",""[^0-9]"",""""),9))"),"711507285")</f>
        <v>711507285</v>
      </c>
      <c r="B1312" s="48">
        <v>7.11507285E8</v>
      </c>
      <c r="C1312" s="10" t="s">
        <v>1458</v>
      </c>
      <c r="D1312" s="10" t="s">
        <v>120</v>
      </c>
      <c r="E1312" s="13">
        <v>46228.0</v>
      </c>
      <c r="F1312" s="10" t="s">
        <v>198</v>
      </c>
      <c r="I1312" s="10" t="s">
        <v>22</v>
      </c>
      <c r="J1312" s="9" t="str">
        <f t="shared" si="34"/>
        <v>Yes - see Previous F-Code</v>
      </c>
      <c r="K1312" s="9" t="str">
        <f t="shared" si="33"/>
        <v>DUPLICATE - CHECK</v>
      </c>
      <c r="L1312" s="9" t="str">
        <f t="shared" si="35"/>
        <v>F71257</v>
      </c>
      <c r="M1312" s="9"/>
      <c r="O1312" s="9"/>
    </row>
    <row r="1313" ht="15.75" customHeight="1">
      <c r="A1313" s="9" t="str">
        <f>IFERROR(__xludf.DUMMYFUNCTION("IF(B1313="""","""",RIGHT(REGEXREPLACE(B1313&amp;"""",""[^0-9]"",""""),9))"),"763904011")</f>
        <v>763904011</v>
      </c>
      <c r="B1313" s="48">
        <v>7.63904011E8</v>
      </c>
      <c r="C1313" s="10" t="s">
        <v>1461</v>
      </c>
      <c r="D1313" s="10" t="s">
        <v>50</v>
      </c>
      <c r="E1313" s="13">
        <v>46228.0</v>
      </c>
      <c r="F1313" s="10" t="s">
        <v>35</v>
      </c>
      <c r="G1313" s="10">
        <v>11.0</v>
      </c>
      <c r="I1313" s="10" t="s">
        <v>22</v>
      </c>
      <c r="J1313" s="9" t="str">
        <f t="shared" si="34"/>
        <v>No</v>
      </c>
      <c r="K1313" s="9" t="str">
        <f t="shared" si="33"/>
        <v/>
      </c>
      <c r="L1313" s="9" t="str">
        <f t="shared" si="35"/>
        <v/>
      </c>
      <c r="M1313" s="9"/>
      <c r="O1313" s="9"/>
    </row>
    <row r="1314" ht="15.75" customHeight="1">
      <c r="A1314" s="9" t="str">
        <f>IFERROR(__xludf.DUMMYFUNCTION("IF(B1314="""","""",RIGHT(REGEXREPLACE(B1314&amp;"""",""[^0-9]"",""""),9))"),"779284315")</f>
        <v>779284315</v>
      </c>
      <c r="B1314" s="48">
        <v>7.79284315E8</v>
      </c>
      <c r="C1314" s="10" t="s">
        <v>1462</v>
      </c>
      <c r="D1314" s="10" t="s">
        <v>34</v>
      </c>
      <c r="E1314" s="13">
        <v>46228.0</v>
      </c>
      <c r="F1314" s="10" t="s">
        <v>21</v>
      </c>
      <c r="G1314" s="10">
        <v>11.0</v>
      </c>
      <c r="I1314" s="10" t="s">
        <v>22</v>
      </c>
      <c r="J1314" s="9" t="str">
        <f t="shared" si="34"/>
        <v>No</v>
      </c>
      <c r="K1314" s="9" t="str">
        <f t="shared" si="33"/>
        <v/>
      </c>
      <c r="L1314" s="9" t="str">
        <f t="shared" si="35"/>
        <v/>
      </c>
      <c r="M1314" s="9"/>
      <c r="O1314" s="9"/>
    </row>
    <row r="1315" ht="15.75" customHeight="1">
      <c r="A1315" s="9" t="str">
        <f>IFERROR(__xludf.DUMMYFUNCTION("IF(B1315="""","""",RIGHT(REGEXREPLACE(B1315&amp;"""",""[^0-9]"",""""),9))"),"773514173")</f>
        <v>773514173</v>
      </c>
      <c r="B1315" s="48">
        <v>7.73514173E8</v>
      </c>
      <c r="C1315" s="10" t="s">
        <v>1463</v>
      </c>
      <c r="D1315" s="10" t="s">
        <v>120</v>
      </c>
      <c r="E1315" s="13">
        <v>46228.0</v>
      </c>
      <c r="F1315" s="10" t="s">
        <v>35</v>
      </c>
      <c r="G1315" s="10">
        <v>11.0</v>
      </c>
      <c r="I1315" s="10" t="s">
        <v>22</v>
      </c>
      <c r="J1315" s="9" t="str">
        <f t="shared" si="34"/>
        <v>No</v>
      </c>
      <c r="K1315" s="9" t="str">
        <f t="shared" si="33"/>
        <v/>
      </c>
      <c r="L1315" s="9" t="str">
        <f t="shared" si="35"/>
        <v/>
      </c>
      <c r="M1315" s="9"/>
      <c r="O1315" s="9"/>
    </row>
    <row r="1316" ht="15.75" customHeight="1">
      <c r="A1316" s="9" t="str">
        <f>IFERROR(__xludf.DUMMYFUNCTION("IF(B1316="""","""",RIGHT(REGEXREPLACE(B1316&amp;"""",""[^0-9]"",""""),9))"),"103666135")</f>
        <v>103666135</v>
      </c>
      <c r="B1316" s="10">
        <v>7.103666135E9</v>
      </c>
      <c r="C1316" s="10" t="s">
        <v>1464</v>
      </c>
      <c r="D1316" s="10" t="s">
        <v>20</v>
      </c>
      <c r="E1316" s="13">
        <v>46228.0</v>
      </c>
      <c r="F1316" s="10" t="s">
        <v>35</v>
      </c>
      <c r="G1316" s="10">
        <v>10.0</v>
      </c>
      <c r="I1316" s="10" t="s">
        <v>22</v>
      </c>
      <c r="J1316" s="9" t="str">
        <f t="shared" si="34"/>
        <v>No</v>
      </c>
      <c r="K1316" s="9" t="str">
        <f t="shared" si="33"/>
        <v/>
      </c>
      <c r="L1316" s="9" t="str">
        <f t="shared" si="35"/>
        <v/>
      </c>
      <c r="M1316" s="9"/>
      <c r="O1316" s="9"/>
    </row>
    <row r="1317" ht="15.75" customHeight="1">
      <c r="A1317" s="9" t="str">
        <f>IFERROR(__xludf.DUMMYFUNCTION("IF(B1317="""","""",RIGHT(REGEXREPLACE(B1317&amp;"""",""[^0-9]"",""""),9))"),"718988335")</f>
        <v>718988335</v>
      </c>
      <c r="B1317" s="48">
        <v>7.18988335E8</v>
      </c>
      <c r="C1317" s="10" t="s">
        <v>1465</v>
      </c>
      <c r="D1317" s="10" t="s">
        <v>50</v>
      </c>
      <c r="E1317" s="13">
        <v>46228.0</v>
      </c>
      <c r="F1317" s="10" t="s">
        <v>35</v>
      </c>
      <c r="G1317" s="10">
        <v>11.0</v>
      </c>
      <c r="I1317" s="10" t="s">
        <v>22</v>
      </c>
      <c r="J1317" s="9" t="str">
        <f t="shared" si="34"/>
        <v>No</v>
      </c>
      <c r="K1317" s="9" t="str">
        <f t="shared" si="33"/>
        <v/>
      </c>
      <c r="L1317" s="9" t="str">
        <f t="shared" si="35"/>
        <v/>
      </c>
      <c r="M1317" s="9"/>
      <c r="O1317" s="9"/>
    </row>
    <row r="1318" ht="15.75" customHeight="1">
      <c r="A1318" s="9" t="str">
        <f>IFERROR(__xludf.DUMMYFUNCTION("IF(B1318="""","""",RIGHT(REGEXREPLACE(B1318&amp;"""",""[^0-9]"",""""),9))"),"705184550")</f>
        <v>705184550</v>
      </c>
      <c r="B1318" s="48">
        <v>7.0518455E8</v>
      </c>
      <c r="C1318" s="10" t="s">
        <v>1466</v>
      </c>
      <c r="D1318" s="10" t="s">
        <v>69</v>
      </c>
      <c r="E1318" s="13">
        <v>46228.0</v>
      </c>
      <c r="F1318" s="10" t="s">
        <v>21</v>
      </c>
      <c r="G1318" s="10" t="s">
        <v>179</v>
      </c>
      <c r="I1318" s="10" t="s">
        <v>22</v>
      </c>
      <c r="J1318" s="9" t="str">
        <f t="shared" si="34"/>
        <v>No</v>
      </c>
      <c r="K1318" s="9" t="str">
        <f t="shared" si="33"/>
        <v/>
      </c>
      <c r="L1318" s="9" t="str">
        <f t="shared" si="35"/>
        <v/>
      </c>
      <c r="M1318" s="9"/>
      <c r="O1318" s="9"/>
    </row>
    <row r="1319" ht="15.75" customHeight="1">
      <c r="A1319" s="9" t="str">
        <f>IFERROR(__xludf.DUMMYFUNCTION("IF(B1319="""","""",RIGHT(REGEXREPLACE(B1319&amp;"""",""[^0-9]"",""""),9))"),"777260312")</f>
        <v>777260312</v>
      </c>
      <c r="B1319" s="48">
        <v>7.77260312E8</v>
      </c>
      <c r="C1319" s="10" t="s">
        <v>1467</v>
      </c>
      <c r="D1319" s="10" t="s">
        <v>34</v>
      </c>
      <c r="E1319" s="13">
        <v>46228.0</v>
      </c>
      <c r="F1319" s="10" t="s">
        <v>145</v>
      </c>
      <c r="G1319" s="10">
        <v>11.0</v>
      </c>
      <c r="I1319" s="10" t="s">
        <v>22</v>
      </c>
      <c r="J1319" s="9" t="str">
        <f t="shared" si="34"/>
        <v>No</v>
      </c>
      <c r="K1319" s="9" t="str">
        <f t="shared" si="33"/>
        <v/>
      </c>
      <c r="L1319" s="9" t="str">
        <f t="shared" si="35"/>
        <v/>
      </c>
      <c r="M1319" s="9"/>
      <c r="O1319" s="9"/>
    </row>
    <row r="1320" ht="15.75" customHeight="1">
      <c r="A1320" s="9" t="str">
        <f>IFERROR(__xludf.DUMMYFUNCTION("IF(B1320="""","""",RIGHT(REGEXREPLACE(B1320&amp;"""",""[^0-9]"",""""),9))"),"717149151")</f>
        <v>717149151</v>
      </c>
      <c r="B1320" s="48">
        <v>7.17149151E8</v>
      </c>
      <c r="C1320" s="10" t="s">
        <v>1468</v>
      </c>
      <c r="D1320" s="10" t="s">
        <v>120</v>
      </c>
      <c r="E1320" s="13">
        <v>46228.0</v>
      </c>
      <c r="F1320" s="10" t="s">
        <v>35</v>
      </c>
      <c r="G1320" s="10">
        <v>11.0</v>
      </c>
      <c r="I1320" s="10" t="s">
        <v>22</v>
      </c>
      <c r="J1320" s="9" t="str">
        <f t="shared" si="34"/>
        <v>No</v>
      </c>
      <c r="K1320" s="9" t="str">
        <f t="shared" si="33"/>
        <v/>
      </c>
      <c r="L1320" s="9" t="str">
        <f t="shared" si="35"/>
        <v/>
      </c>
      <c r="M1320" s="9"/>
      <c r="O1320" s="9"/>
    </row>
    <row r="1321" ht="15.75" customHeight="1">
      <c r="A1321" s="9" t="str">
        <f>IFERROR(__xludf.DUMMYFUNCTION("IF(B1321="""","""",RIGHT(REGEXREPLACE(B1321&amp;"""",""[^0-9]"",""""),9))"),"769425758")</f>
        <v>769425758</v>
      </c>
      <c r="B1321" s="10">
        <v>7.69425758E8</v>
      </c>
      <c r="C1321" s="10" t="s">
        <v>743</v>
      </c>
      <c r="D1321" s="10" t="s">
        <v>20</v>
      </c>
      <c r="E1321" s="13">
        <v>46228.0</v>
      </c>
      <c r="F1321" s="10" t="s">
        <v>35</v>
      </c>
      <c r="H1321" s="10" t="s">
        <v>1469</v>
      </c>
      <c r="I1321" s="10" t="s">
        <v>22</v>
      </c>
      <c r="J1321" s="9" t="str">
        <f t="shared" si="34"/>
        <v>Yes - see Previous F-Code</v>
      </c>
      <c r="K1321" s="9" t="str">
        <f t="shared" si="33"/>
        <v>DUPLICATE - CHECK</v>
      </c>
      <c r="L1321" s="9" t="str">
        <f t="shared" si="35"/>
        <v>F70579</v>
      </c>
      <c r="M1321" s="9"/>
      <c r="O1321" s="9"/>
    </row>
    <row r="1322" ht="15.75" customHeight="1">
      <c r="A1322" s="9" t="str">
        <f>IFERROR(__xludf.DUMMYFUNCTION("IF(B1322="""","""",RIGHT(REGEXREPLACE(B1322&amp;"""",""[^0-9]"",""""),9))"),"775243499")</f>
        <v>775243499</v>
      </c>
      <c r="B1322" s="48">
        <v>7.75243499E8</v>
      </c>
      <c r="C1322" s="10" t="s">
        <v>1470</v>
      </c>
      <c r="D1322" s="10" t="s">
        <v>50</v>
      </c>
      <c r="E1322" s="13">
        <v>46228.0</v>
      </c>
      <c r="F1322" s="10" t="s">
        <v>35</v>
      </c>
      <c r="G1322" s="10">
        <v>10.0</v>
      </c>
      <c r="I1322" s="10" t="s">
        <v>22</v>
      </c>
      <c r="J1322" s="9" t="str">
        <f t="shared" si="34"/>
        <v>No</v>
      </c>
      <c r="K1322" s="9" t="str">
        <f t="shared" si="33"/>
        <v/>
      </c>
      <c r="L1322" s="9" t="str">
        <f t="shared" si="35"/>
        <v/>
      </c>
      <c r="M1322" s="9"/>
      <c r="O1322" s="9"/>
    </row>
    <row r="1323" ht="15.75" customHeight="1">
      <c r="A1323" s="9" t="str">
        <f>IFERROR(__xludf.DUMMYFUNCTION("IF(B1323="""","""",RIGHT(REGEXREPLACE(B1323&amp;"""",""[^0-9]"",""""),9))"),"760173976")</f>
        <v>760173976</v>
      </c>
      <c r="B1323" s="10">
        <v>7.60173976E8</v>
      </c>
      <c r="C1323" s="10" t="s">
        <v>1471</v>
      </c>
      <c r="D1323" s="10" t="s">
        <v>20</v>
      </c>
      <c r="E1323" s="13">
        <v>46228.0</v>
      </c>
      <c r="F1323" s="9"/>
      <c r="G1323" s="9"/>
      <c r="H1323" s="9"/>
      <c r="I1323" s="10" t="s">
        <v>22</v>
      </c>
      <c r="J1323" s="9" t="str">
        <f t="shared" si="34"/>
        <v>No</v>
      </c>
      <c r="K1323" s="9" t="str">
        <f t="shared" si="33"/>
        <v/>
      </c>
      <c r="L1323" s="9" t="str">
        <f t="shared" si="35"/>
        <v/>
      </c>
      <c r="M1323" s="9"/>
      <c r="N1323" s="9"/>
      <c r="O1323" s="9"/>
      <c r="P1323" s="9"/>
    </row>
    <row r="1324" ht="15.75" customHeight="1">
      <c r="A1324" s="9" t="str">
        <f>IFERROR(__xludf.DUMMYFUNCTION("IF(B1324="""","""",RIGHT(REGEXREPLACE(B1324&amp;"""",""[^0-9]"",""""),9))"),"726317041")</f>
        <v>726317041</v>
      </c>
      <c r="B1324" s="48">
        <v>7.26317041E8</v>
      </c>
      <c r="C1324" s="10" t="s">
        <v>1472</v>
      </c>
      <c r="D1324" s="10" t="s">
        <v>120</v>
      </c>
      <c r="E1324" s="13">
        <v>46228.0</v>
      </c>
      <c r="F1324" s="10" t="s">
        <v>35</v>
      </c>
      <c r="G1324" s="10">
        <v>11.0</v>
      </c>
      <c r="I1324" s="10" t="s">
        <v>22</v>
      </c>
      <c r="J1324" s="9" t="str">
        <f t="shared" si="34"/>
        <v>No</v>
      </c>
      <c r="K1324" s="9" t="str">
        <f t="shared" si="33"/>
        <v/>
      </c>
      <c r="L1324" s="9" t="str">
        <f t="shared" si="35"/>
        <v/>
      </c>
      <c r="M1324" s="9"/>
      <c r="O1324" s="9"/>
    </row>
    <row r="1325" ht="15.75" customHeight="1">
      <c r="A1325" s="9" t="str">
        <f>IFERROR(__xludf.DUMMYFUNCTION("IF(B1325="""","""",RIGHT(REGEXREPLACE(B1325&amp;"""",""[^0-9]"",""""),9))"),"712341644")</f>
        <v>712341644</v>
      </c>
      <c r="B1325" s="48">
        <v>7.12341644E8</v>
      </c>
      <c r="C1325" s="10" t="s">
        <v>1473</v>
      </c>
      <c r="D1325" s="10" t="s">
        <v>69</v>
      </c>
      <c r="E1325" s="13">
        <v>46228.0</v>
      </c>
      <c r="F1325" s="10" t="s">
        <v>35</v>
      </c>
      <c r="G1325" s="10">
        <v>6.0</v>
      </c>
      <c r="H1325" s="10" t="s">
        <v>315</v>
      </c>
      <c r="I1325" s="10" t="s">
        <v>22</v>
      </c>
      <c r="J1325" s="9" t="str">
        <f t="shared" si="34"/>
        <v>No</v>
      </c>
      <c r="K1325" s="9" t="str">
        <f t="shared" si="33"/>
        <v/>
      </c>
      <c r="L1325" s="9" t="str">
        <f t="shared" si="35"/>
        <v/>
      </c>
      <c r="M1325" s="9"/>
      <c r="O1325" s="9"/>
    </row>
    <row r="1326" ht="15.75" customHeight="1">
      <c r="A1326" s="9" t="str">
        <f>IFERROR(__xludf.DUMMYFUNCTION("IF(B1326="""","""",RIGHT(REGEXREPLACE(B1326&amp;"""",""[^0-9]"",""""),9))"),"761246353")</f>
        <v>761246353</v>
      </c>
      <c r="B1326" s="48">
        <v>7.61246353E8</v>
      </c>
      <c r="C1326" s="10" t="s">
        <v>1474</v>
      </c>
      <c r="D1326" s="10" t="s">
        <v>50</v>
      </c>
      <c r="E1326" s="13">
        <v>46228.0</v>
      </c>
      <c r="F1326" s="10" t="s">
        <v>35</v>
      </c>
      <c r="G1326" s="10">
        <v>11.0</v>
      </c>
      <c r="I1326" s="10" t="s">
        <v>22</v>
      </c>
      <c r="J1326" s="9" t="str">
        <f t="shared" si="34"/>
        <v>No</v>
      </c>
      <c r="K1326" s="9" t="str">
        <f t="shared" si="33"/>
        <v/>
      </c>
      <c r="L1326" s="9" t="str">
        <f t="shared" si="35"/>
        <v/>
      </c>
      <c r="M1326" s="9"/>
      <c r="O1326" s="9"/>
    </row>
    <row r="1327" ht="15.75" customHeight="1">
      <c r="A1327" s="9" t="str">
        <f>IFERROR(__xludf.DUMMYFUNCTION("IF(B1327="""","""",RIGHT(REGEXREPLACE(B1327&amp;"""",""[^0-9]"",""""),9))"),"767145916")</f>
        <v>767145916</v>
      </c>
      <c r="B1327" s="48">
        <v>7.67145916E8</v>
      </c>
      <c r="C1327" s="10" t="s">
        <v>1475</v>
      </c>
      <c r="D1327" s="10" t="s">
        <v>69</v>
      </c>
      <c r="E1327" s="13">
        <v>46228.0</v>
      </c>
      <c r="F1327" s="10" t="s">
        <v>171</v>
      </c>
      <c r="I1327" s="10" t="s">
        <v>22</v>
      </c>
      <c r="J1327" s="9" t="str">
        <f t="shared" si="34"/>
        <v>No</v>
      </c>
      <c r="K1327" s="9" t="str">
        <f t="shared" si="33"/>
        <v/>
      </c>
      <c r="L1327" s="9" t="str">
        <f t="shared" si="35"/>
        <v/>
      </c>
      <c r="M1327" s="9"/>
      <c r="O1327" s="9"/>
    </row>
    <row r="1328" ht="15.75" customHeight="1">
      <c r="A1328" s="9" t="str">
        <f>IFERROR(__xludf.DUMMYFUNCTION("IF(B1328="""","""",RIGHT(REGEXREPLACE(B1328&amp;"""",""[^0-9]"",""""),9))"),"768277518")</f>
        <v>768277518</v>
      </c>
      <c r="B1328" s="48">
        <v>7.68277518E8</v>
      </c>
      <c r="C1328" s="10" t="s">
        <v>1476</v>
      </c>
      <c r="D1328" s="10" t="s">
        <v>120</v>
      </c>
      <c r="E1328" s="13">
        <v>46228.0</v>
      </c>
      <c r="F1328" s="10" t="s">
        <v>21</v>
      </c>
      <c r="I1328" s="10" t="s">
        <v>22</v>
      </c>
      <c r="J1328" s="9" t="str">
        <f t="shared" si="34"/>
        <v>No</v>
      </c>
      <c r="K1328" s="9" t="str">
        <f t="shared" si="33"/>
        <v/>
      </c>
      <c r="L1328" s="9" t="str">
        <f t="shared" si="35"/>
        <v/>
      </c>
      <c r="M1328" s="9"/>
      <c r="O1328" s="9"/>
    </row>
    <row r="1329" ht="15.75" customHeight="1">
      <c r="A1329" s="9" t="str">
        <f>IFERROR(__xludf.DUMMYFUNCTION("IF(B1329="""","""",RIGHT(REGEXREPLACE(B1329&amp;"""",""[^0-9]"",""""),9))"),"769720266")</f>
        <v>769720266</v>
      </c>
      <c r="B1329" s="48">
        <v>7.69720266E8</v>
      </c>
      <c r="C1329" s="10" t="s">
        <v>1477</v>
      </c>
      <c r="D1329" s="10" t="s">
        <v>34</v>
      </c>
      <c r="E1329" s="13">
        <v>46228.0</v>
      </c>
      <c r="F1329" s="10" t="s">
        <v>35</v>
      </c>
      <c r="G1329" s="10">
        <v>11.0</v>
      </c>
      <c r="I1329" s="10" t="s">
        <v>22</v>
      </c>
      <c r="J1329" s="9" t="str">
        <f t="shared" si="34"/>
        <v>No</v>
      </c>
      <c r="K1329" s="9" t="str">
        <f t="shared" si="33"/>
        <v/>
      </c>
      <c r="L1329" s="9" t="str">
        <f t="shared" si="35"/>
        <v/>
      </c>
      <c r="M1329" s="9"/>
      <c r="O1329" s="9"/>
    </row>
    <row r="1330" ht="15.75" customHeight="1">
      <c r="A1330" s="9" t="str">
        <f>IFERROR(__xludf.DUMMYFUNCTION("IF(B1330="""","""",RIGHT(REGEXREPLACE(B1330&amp;"""",""[^0-9]"",""""),9))"),"764399350")</f>
        <v>764399350</v>
      </c>
      <c r="B1330" s="48">
        <v>7.6439935E8</v>
      </c>
      <c r="C1330" s="10" t="s">
        <v>1478</v>
      </c>
      <c r="D1330" s="10" t="s">
        <v>50</v>
      </c>
      <c r="E1330" s="13">
        <v>46228.0</v>
      </c>
      <c r="F1330" s="10" t="s">
        <v>35</v>
      </c>
      <c r="G1330" s="10">
        <v>11.0</v>
      </c>
      <c r="I1330" s="10" t="s">
        <v>22</v>
      </c>
      <c r="J1330" s="9" t="str">
        <f t="shared" si="34"/>
        <v>No</v>
      </c>
      <c r="K1330" s="9" t="str">
        <f t="shared" si="33"/>
        <v/>
      </c>
      <c r="L1330" s="9" t="str">
        <f t="shared" si="35"/>
        <v/>
      </c>
      <c r="M1330" s="9"/>
      <c r="O1330" s="9"/>
    </row>
    <row r="1331" ht="15.75" customHeight="1">
      <c r="A1331" s="9" t="str">
        <f>IFERROR(__xludf.DUMMYFUNCTION("IF(B1331="""","""",RIGHT(REGEXREPLACE(B1331&amp;"""",""[^0-9]"",""""),9))"),"769788086")</f>
        <v>769788086</v>
      </c>
      <c r="B1331" s="48">
        <v>7.69788086E8</v>
      </c>
      <c r="C1331" s="10" t="s">
        <v>1479</v>
      </c>
      <c r="D1331" s="10" t="s">
        <v>69</v>
      </c>
      <c r="E1331" s="13">
        <v>46228.0</v>
      </c>
      <c r="F1331" s="10" t="s">
        <v>542</v>
      </c>
      <c r="G1331" s="10">
        <v>11.0</v>
      </c>
      <c r="I1331" s="10" t="s">
        <v>22</v>
      </c>
      <c r="J1331" s="9" t="str">
        <f t="shared" si="34"/>
        <v>No</v>
      </c>
      <c r="K1331" s="9" t="str">
        <f t="shared" si="33"/>
        <v/>
      </c>
      <c r="L1331" s="9" t="str">
        <f t="shared" si="35"/>
        <v/>
      </c>
      <c r="M1331" s="9"/>
      <c r="O1331" s="9"/>
    </row>
    <row r="1332" ht="15.75" customHeight="1">
      <c r="A1332" s="9" t="str">
        <f>IFERROR(__xludf.DUMMYFUNCTION("IF(B1332="""","""",RIGHT(REGEXREPLACE(B1332&amp;"""",""[^0-9]"",""""),9))"),"711758604")</f>
        <v>711758604</v>
      </c>
      <c r="B1332" s="48">
        <v>7.11758604E8</v>
      </c>
      <c r="C1332" s="10" t="s">
        <v>1480</v>
      </c>
      <c r="D1332" s="10" t="s">
        <v>120</v>
      </c>
      <c r="E1332" s="13">
        <v>46228.0</v>
      </c>
      <c r="F1332" s="10" t="s">
        <v>35</v>
      </c>
      <c r="G1332" s="10">
        <v>11.0</v>
      </c>
      <c r="I1332" s="10" t="s">
        <v>22</v>
      </c>
      <c r="J1332" s="9" t="str">
        <f t="shared" si="34"/>
        <v>No</v>
      </c>
      <c r="K1332" s="9" t="str">
        <f t="shared" si="33"/>
        <v/>
      </c>
      <c r="L1332" s="9" t="str">
        <f t="shared" si="35"/>
        <v/>
      </c>
      <c r="M1332" s="9"/>
      <c r="O1332" s="9"/>
    </row>
    <row r="1333" ht="15.75" customHeight="1">
      <c r="A1333" s="9" t="str">
        <f>IFERROR(__xludf.DUMMYFUNCTION("IF(B1333="""","""",RIGHT(REGEXREPLACE(B1333&amp;"""",""[^0-9]"",""""),9))"),"764958501")</f>
        <v>764958501</v>
      </c>
      <c r="B1333" s="48">
        <v>7.64958501E8</v>
      </c>
      <c r="C1333" s="10" t="s">
        <v>1481</v>
      </c>
      <c r="D1333" s="10" t="s">
        <v>34</v>
      </c>
      <c r="E1333" s="13">
        <v>46228.0</v>
      </c>
      <c r="F1333" s="10" t="s">
        <v>21</v>
      </c>
      <c r="I1333" s="10" t="s">
        <v>22</v>
      </c>
      <c r="J1333" s="9" t="str">
        <f t="shared" si="34"/>
        <v>No</v>
      </c>
      <c r="K1333" s="9" t="str">
        <f t="shared" si="33"/>
        <v/>
      </c>
      <c r="L1333" s="9" t="str">
        <f t="shared" si="35"/>
        <v/>
      </c>
      <c r="M1333" s="9"/>
      <c r="O1333" s="9"/>
    </row>
    <row r="1334" ht="15.75" customHeight="1">
      <c r="A1334" s="9" t="str">
        <f>IFERROR(__xludf.DUMMYFUNCTION("IF(B1334="""","""",RIGHT(REGEXREPLACE(B1334&amp;"""",""[^0-9]"",""""),9))"),"771467028")</f>
        <v>771467028</v>
      </c>
      <c r="B1334" s="48">
        <v>7.71467028E8</v>
      </c>
      <c r="C1334" s="10" t="s">
        <v>1482</v>
      </c>
      <c r="D1334" s="10" t="s">
        <v>50</v>
      </c>
      <c r="E1334" s="13">
        <v>46228.0</v>
      </c>
      <c r="F1334" s="10" t="s">
        <v>35</v>
      </c>
      <c r="G1334" s="10">
        <v>11.0</v>
      </c>
      <c r="I1334" s="10" t="s">
        <v>22</v>
      </c>
      <c r="J1334" s="9" t="str">
        <f t="shared" si="34"/>
        <v>No</v>
      </c>
      <c r="K1334" s="9" t="str">
        <f t="shared" si="33"/>
        <v/>
      </c>
      <c r="L1334" s="9" t="str">
        <f t="shared" si="35"/>
        <v/>
      </c>
      <c r="M1334" s="9"/>
      <c r="O1334" s="9"/>
    </row>
    <row r="1335" ht="15.75" customHeight="1">
      <c r="A1335" s="9" t="str">
        <f>IFERROR(__xludf.DUMMYFUNCTION("IF(B1335="""","""",RIGHT(REGEXREPLACE(B1335&amp;"""",""[^0-9]"",""""),9))"),"713522929")</f>
        <v>713522929</v>
      </c>
      <c r="B1335" s="48">
        <v>7.13522929E8</v>
      </c>
      <c r="C1335" s="10" t="s">
        <v>1483</v>
      </c>
      <c r="D1335" s="10" t="s">
        <v>69</v>
      </c>
      <c r="E1335" s="13">
        <v>46228.0</v>
      </c>
      <c r="F1335" s="9"/>
      <c r="G1335" s="9"/>
      <c r="H1335" s="9"/>
      <c r="I1335" s="10" t="s">
        <v>22</v>
      </c>
      <c r="J1335" s="9" t="str">
        <f t="shared" si="34"/>
        <v>No</v>
      </c>
      <c r="K1335" s="9" t="str">
        <f t="shared" si="33"/>
        <v/>
      </c>
      <c r="L1335" s="9" t="str">
        <f t="shared" si="35"/>
        <v/>
      </c>
      <c r="M1335" s="9"/>
      <c r="N1335" s="9"/>
      <c r="O1335" s="9"/>
      <c r="P1335" s="9"/>
    </row>
    <row r="1336" ht="15.75" customHeight="1">
      <c r="A1336" s="9" t="str">
        <f>IFERROR(__xludf.DUMMYFUNCTION("IF(B1336="""","""",RIGHT(REGEXREPLACE(B1336&amp;"""",""[^0-9]"",""""),9))"),"776829531")</f>
        <v>776829531</v>
      </c>
      <c r="B1336" s="48">
        <v>7.76829531E8</v>
      </c>
      <c r="C1336" s="10" t="s">
        <v>1484</v>
      </c>
      <c r="D1336" s="10" t="s">
        <v>34</v>
      </c>
      <c r="E1336" s="13">
        <v>46228.0</v>
      </c>
      <c r="F1336" s="10" t="s">
        <v>21</v>
      </c>
      <c r="I1336" s="10" t="s">
        <v>22</v>
      </c>
      <c r="J1336" s="9" t="str">
        <f t="shared" si="34"/>
        <v>No</v>
      </c>
      <c r="K1336" s="9" t="str">
        <f t="shared" si="33"/>
        <v/>
      </c>
      <c r="L1336" s="9" t="str">
        <f t="shared" si="35"/>
        <v/>
      </c>
      <c r="M1336" s="9"/>
      <c r="O1336" s="9"/>
    </row>
    <row r="1337" ht="15.75" customHeight="1">
      <c r="A1337" s="9" t="str">
        <f>IFERROR(__xludf.DUMMYFUNCTION("IF(B1337="""","""",RIGHT(REGEXREPLACE(B1337&amp;"""",""[^0-9]"",""""),9))"),"778642426")</f>
        <v>778642426</v>
      </c>
      <c r="B1337" s="48">
        <v>7.78642426E8</v>
      </c>
      <c r="C1337" s="10" t="s">
        <v>1485</v>
      </c>
      <c r="D1337" s="10" t="s">
        <v>120</v>
      </c>
      <c r="E1337" s="13">
        <v>46228.0</v>
      </c>
      <c r="F1337" s="10" t="s">
        <v>35</v>
      </c>
      <c r="G1337" s="10">
        <v>11.0</v>
      </c>
      <c r="I1337" s="10" t="s">
        <v>22</v>
      </c>
      <c r="J1337" s="9" t="str">
        <f t="shared" si="34"/>
        <v>No</v>
      </c>
      <c r="K1337" s="9" t="str">
        <f t="shared" si="33"/>
        <v/>
      </c>
      <c r="L1337" s="9" t="str">
        <f t="shared" si="35"/>
        <v/>
      </c>
      <c r="M1337" s="9"/>
      <c r="O1337" s="9"/>
    </row>
    <row r="1338" ht="15.75" customHeight="1">
      <c r="A1338" s="9" t="str">
        <f>IFERROR(__xludf.DUMMYFUNCTION("IF(B1338="""","""",RIGHT(REGEXREPLACE(B1338&amp;"""",""[^0-9]"",""""),9))"),"775770868")</f>
        <v>775770868</v>
      </c>
      <c r="B1338" s="48">
        <v>7.75770868E8</v>
      </c>
      <c r="C1338" s="10" t="s">
        <v>1486</v>
      </c>
      <c r="D1338" s="10" t="s">
        <v>50</v>
      </c>
      <c r="E1338" s="13">
        <v>46228.0</v>
      </c>
      <c r="F1338" s="10" t="s">
        <v>35</v>
      </c>
      <c r="G1338" s="10">
        <v>11.0</v>
      </c>
      <c r="I1338" s="10" t="s">
        <v>22</v>
      </c>
      <c r="J1338" s="9" t="str">
        <f t="shared" si="34"/>
        <v>No</v>
      </c>
      <c r="K1338" s="9" t="str">
        <f t="shared" si="33"/>
        <v/>
      </c>
      <c r="L1338" s="9" t="str">
        <f t="shared" si="35"/>
        <v/>
      </c>
      <c r="M1338" s="9"/>
      <c r="O1338" s="9"/>
    </row>
    <row r="1339" ht="15.75" customHeight="1">
      <c r="A1339" s="9" t="str">
        <f>IFERROR(__xludf.DUMMYFUNCTION("IF(B1339="""","""",RIGHT(REGEXREPLACE(B1339&amp;"""",""[^0-9]"",""""),9))"),"766429430")</f>
        <v>766429430</v>
      </c>
      <c r="B1339" s="48">
        <v>7.6642943E8</v>
      </c>
      <c r="C1339" s="10" t="s">
        <v>1487</v>
      </c>
      <c r="D1339" s="10" t="s">
        <v>34</v>
      </c>
      <c r="E1339" s="13">
        <v>46228.0</v>
      </c>
      <c r="F1339" s="10" t="s">
        <v>145</v>
      </c>
      <c r="I1339" s="10" t="s">
        <v>22</v>
      </c>
      <c r="J1339" s="9" t="str">
        <f t="shared" si="34"/>
        <v>No</v>
      </c>
      <c r="K1339" s="9" t="str">
        <f t="shared" si="33"/>
        <v/>
      </c>
      <c r="L1339" s="9" t="str">
        <f t="shared" si="35"/>
        <v/>
      </c>
      <c r="M1339" s="9"/>
      <c r="O1339" s="9"/>
    </row>
    <row r="1340" ht="15.75" customHeight="1">
      <c r="A1340" s="9" t="str">
        <f>IFERROR(__xludf.DUMMYFUNCTION("IF(B1340="""","""",RIGHT(REGEXREPLACE(B1340&amp;"""",""[^0-9]"",""""),9))"),"777252752")</f>
        <v>777252752</v>
      </c>
      <c r="B1340" s="48">
        <v>7.77252752E8</v>
      </c>
      <c r="C1340" s="10" t="s">
        <v>1488</v>
      </c>
      <c r="D1340" s="10" t="s">
        <v>69</v>
      </c>
      <c r="E1340" s="13">
        <v>46228.0</v>
      </c>
      <c r="F1340" s="10" t="s">
        <v>35</v>
      </c>
      <c r="G1340" s="10">
        <v>10.0</v>
      </c>
      <c r="H1340" s="10" t="s">
        <v>1489</v>
      </c>
      <c r="I1340" s="10" t="s">
        <v>22</v>
      </c>
      <c r="J1340" s="9" t="str">
        <f t="shared" si="34"/>
        <v>No</v>
      </c>
      <c r="K1340" s="9" t="str">
        <f t="shared" si="33"/>
        <v/>
      </c>
      <c r="L1340" s="9" t="str">
        <f t="shared" si="35"/>
        <v/>
      </c>
      <c r="M1340" s="9"/>
      <c r="O1340" s="9"/>
    </row>
    <row r="1341" ht="15.75" customHeight="1">
      <c r="A1341" s="9" t="str">
        <f>IFERROR(__xludf.DUMMYFUNCTION("IF(B1341="""","""",RIGHT(REGEXREPLACE(B1341&amp;"""",""[^0-9]"",""""),9))"),"726406234")</f>
        <v>726406234</v>
      </c>
      <c r="B1341" s="48">
        <v>7.26406234E8</v>
      </c>
      <c r="C1341" s="10" t="s">
        <v>1490</v>
      </c>
      <c r="D1341" s="10" t="s">
        <v>50</v>
      </c>
      <c r="E1341" s="13">
        <v>46228.0</v>
      </c>
      <c r="F1341" s="10" t="s">
        <v>198</v>
      </c>
      <c r="G1341" s="10">
        <v>11.0</v>
      </c>
      <c r="I1341" s="10" t="s">
        <v>22</v>
      </c>
      <c r="J1341" s="9" t="str">
        <f t="shared" si="34"/>
        <v>No</v>
      </c>
      <c r="K1341" s="9" t="str">
        <f t="shared" si="33"/>
        <v/>
      </c>
      <c r="L1341" s="9" t="str">
        <f t="shared" si="35"/>
        <v/>
      </c>
      <c r="M1341" s="9"/>
      <c r="O1341" s="9"/>
    </row>
    <row r="1342" ht="15.75" customHeight="1">
      <c r="A1342" s="9" t="str">
        <f>IFERROR(__xludf.DUMMYFUNCTION("IF(B1342="""","""",RIGHT(REGEXREPLACE(B1342&amp;"""",""[^0-9]"",""""),9))"),"719818445")</f>
        <v>719818445</v>
      </c>
      <c r="B1342" s="48">
        <v>7.19818445E8</v>
      </c>
      <c r="C1342" s="10" t="s">
        <v>1491</v>
      </c>
      <c r="D1342" s="10" t="s">
        <v>120</v>
      </c>
      <c r="E1342" s="13">
        <v>46228.0</v>
      </c>
      <c r="F1342" s="10" t="s">
        <v>21</v>
      </c>
      <c r="G1342" s="10">
        <v>11.0</v>
      </c>
      <c r="I1342" s="10" t="s">
        <v>22</v>
      </c>
      <c r="J1342" s="9" t="str">
        <f t="shared" si="34"/>
        <v>No</v>
      </c>
      <c r="K1342" s="9" t="str">
        <f t="shared" si="33"/>
        <v/>
      </c>
      <c r="L1342" s="9" t="str">
        <f t="shared" si="35"/>
        <v/>
      </c>
      <c r="M1342" s="9"/>
      <c r="O1342" s="9"/>
    </row>
    <row r="1343" ht="15.75" customHeight="1">
      <c r="A1343" s="9" t="str">
        <f>IFERROR(__xludf.DUMMYFUNCTION("IF(B1343="""","""",RIGHT(REGEXREPLACE(B1343&amp;"""",""[^0-9]"",""""),9))"),"767592556")</f>
        <v>767592556</v>
      </c>
      <c r="B1343" s="48">
        <v>7.67592556E8</v>
      </c>
      <c r="C1343" s="10" t="s">
        <v>1492</v>
      </c>
      <c r="D1343" s="10" t="s">
        <v>50</v>
      </c>
      <c r="E1343" s="13">
        <v>46228.0</v>
      </c>
      <c r="F1343" s="10" t="s">
        <v>35</v>
      </c>
      <c r="G1343" s="10">
        <v>11.0</v>
      </c>
      <c r="I1343" s="10" t="s">
        <v>22</v>
      </c>
      <c r="J1343" s="9" t="str">
        <f t="shared" si="34"/>
        <v>No</v>
      </c>
      <c r="K1343" s="9" t="str">
        <f t="shared" si="33"/>
        <v/>
      </c>
      <c r="L1343" s="9" t="str">
        <f t="shared" si="35"/>
        <v/>
      </c>
      <c r="M1343" s="9"/>
      <c r="O1343" s="9"/>
    </row>
    <row r="1344" ht="15.75" customHeight="1">
      <c r="A1344" s="9" t="str">
        <f>IFERROR(__xludf.DUMMYFUNCTION("IF(B1344="""","""",RIGHT(REGEXREPLACE(B1344&amp;"""",""[^0-9]"",""""),9))"),"719918176")</f>
        <v>719918176</v>
      </c>
      <c r="B1344" s="10">
        <v>7.19918176E8</v>
      </c>
      <c r="C1344" s="10" t="s">
        <v>1493</v>
      </c>
      <c r="D1344" s="10" t="s">
        <v>34</v>
      </c>
      <c r="E1344" s="13">
        <v>46228.0</v>
      </c>
      <c r="F1344" s="10" t="s">
        <v>35</v>
      </c>
      <c r="G1344" s="10">
        <v>11.0</v>
      </c>
      <c r="I1344" s="10" t="s">
        <v>22</v>
      </c>
      <c r="J1344" s="9" t="str">
        <f t="shared" si="34"/>
        <v>No</v>
      </c>
      <c r="K1344" s="9" t="str">
        <f t="shared" si="33"/>
        <v/>
      </c>
      <c r="L1344" s="9" t="str">
        <f t="shared" si="35"/>
        <v/>
      </c>
      <c r="M1344" s="9"/>
      <c r="O1344" s="9"/>
    </row>
    <row r="1345" ht="15.75" customHeight="1">
      <c r="A1345" s="9" t="str">
        <f>IFERROR(__xludf.DUMMYFUNCTION("IF(B1345="""","""",RIGHT(REGEXREPLACE(B1345&amp;"""",""[^0-9]"",""""),9))"),"777789581")</f>
        <v>777789581</v>
      </c>
      <c r="B1345" s="48">
        <v>7.77789581E8</v>
      </c>
      <c r="C1345" s="10" t="s">
        <v>1360</v>
      </c>
      <c r="D1345" s="10" t="s">
        <v>120</v>
      </c>
      <c r="E1345" s="13">
        <v>46228.0</v>
      </c>
      <c r="F1345" s="10" t="s">
        <v>35</v>
      </c>
      <c r="G1345" s="10">
        <v>11.0</v>
      </c>
      <c r="I1345" s="10" t="s">
        <v>22</v>
      </c>
      <c r="J1345" s="9" t="str">
        <f t="shared" si="34"/>
        <v>Yes - see Previous F-Code</v>
      </c>
      <c r="K1345" s="9" t="str">
        <f t="shared" si="33"/>
        <v>DUPLICATE - CHECK</v>
      </c>
      <c r="L1345" s="9" t="str">
        <f t="shared" si="35"/>
        <v>F71163</v>
      </c>
      <c r="M1345" s="9"/>
      <c r="O1345" s="9"/>
    </row>
    <row r="1346" ht="15.75" customHeight="1">
      <c r="A1346" s="9" t="str">
        <f>IFERROR(__xludf.DUMMYFUNCTION("IF(B1346="""","""",RIGHT(REGEXREPLACE(B1346&amp;"""",""[^0-9]"",""""),9))"),"714966257")</f>
        <v>714966257</v>
      </c>
      <c r="B1346" s="48">
        <v>7.14966257E8</v>
      </c>
      <c r="C1346" s="10" t="s">
        <v>1494</v>
      </c>
      <c r="D1346" s="10" t="s">
        <v>120</v>
      </c>
      <c r="E1346" s="13">
        <v>46228.0</v>
      </c>
      <c r="F1346" s="10" t="s">
        <v>35</v>
      </c>
      <c r="G1346" s="10">
        <v>11.0</v>
      </c>
      <c r="I1346" s="10" t="s">
        <v>22</v>
      </c>
      <c r="J1346" s="9" t="str">
        <f t="shared" si="34"/>
        <v>No</v>
      </c>
      <c r="K1346" s="9" t="str">
        <f t="shared" si="33"/>
        <v/>
      </c>
      <c r="L1346" s="9" t="str">
        <f t="shared" si="35"/>
        <v/>
      </c>
      <c r="M1346" s="9"/>
      <c r="O1346" s="9"/>
    </row>
    <row r="1347" ht="15.75" customHeight="1">
      <c r="A1347" s="9" t="str">
        <f>IFERROR(__xludf.DUMMYFUNCTION("IF(B1347="""","""",RIGHT(REGEXREPLACE(B1347&amp;"""",""[^0-9]"",""""),9))"),"775314955")</f>
        <v>775314955</v>
      </c>
      <c r="B1347" s="48">
        <v>7.75314955E8</v>
      </c>
      <c r="C1347" s="10" t="s">
        <v>1495</v>
      </c>
      <c r="D1347" s="10" t="s">
        <v>69</v>
      </c>
      <c r="E1347" s="13">
        <v>46228.0</v>
      </c>
      <c r="F1347" s="10" t="s">
        <v>198</v>
      </c>
      <c r="G1347" s="10">
        <v>11.0</v>
      </c>
      <c r="I1347" s="10" t="s">
        <v>22</v>
      </c>
      <c r="J1347" s="9" t="str">
        <f t="shared" si="34"/>
        <v>No</v>
      </c>
      <c r="K1347" s="9" t="str">
        <f t="shared" si="33"/>
        <v/>
      </c>
      <c r="L1347" s="9" t="str">
        <f t="shared" si="35"/>
        <v/>
      </c>
      <c r="M1347" s="9"/>
      <c r="O1347" s="9"/>
    </row>
    <row r="1348" ht="15.75" customHeight="1">
      <c r="A1348" s="9" t="str">
        <f>IFERROR(__xludf.DUMMYFUNCTION("IF(B1348="""","""",RIGHT(REGEXREPLACE(B1348&amp;"""",""[^0-9]"",""""),9))"),"753759615")</f>
        <v>753759615</v>
      </c>
      <c r="B1348" s="48">
        <v>7.53759615E8</v>
      </c>
      <c r="C1348" s="10" t="s">
        <v>1496</v>
      </c>
      <c r="D1348" s="10" t="s">
        <v>50</v>
      </c>
      <c r="E1348" s="13">
        <v>46228.0</v>
      </c>
      <c r="F1348" s="10" t="s">
        <v>198</v>
      </c>
      <c r="G1348" s="10">
        <v>11.0</v>
      </c>
      <c r="I1348" s="10" t="s">
        <v>22</v>
      </c>
      <c r="J1348" s="9" t="str">
        <f t="shared" si="34"/>
        <v>No</v>
      </c>
      <c r="K1348" s="9" t="str">
        <f t="shared" si="33"/>
        <v/>
      </c>
      <c r="L1348" s="9" t="str">
        <f t="shared" si="35"/>
        <v/>
      </c>
      <c r="M1348" s="9"/>
      <c r="O1348" s="9"/>
    </row>
    <row r="1349" ht="15.75" customHeight="1">
      <c r="A1349" s="9" t="str">
        <f>IFERROR(__xludf.DUMMYFUNCTION("IF(B1349="""","""",RIGHT(REGEXREPLACE(B1349&amp;"""",""[^0-9]"",""""),9))"),"715423405")</f>
        <v>715423405</v>
      </c>
      <c r="B1349" s="48">
        <v>7.15423405E8</v>
      </c>
      <c r="C1349" s="10" t="s">
        <v>1497</v>
      </c>
      <c r="D1349" s="10" t="s">
        <v>34</v>
      </c>
      <c r="E1349" s="13">
        <v>46228.0</v>
      </c>
      <c r="F1349" s="10" t="s">
        <v>35</v>
      </c>
      <c r="G1349" s="10">
        <v>11.0</v>
      </c>
      <c r="I1349" s="10" t="s">
        <v>22</v>
      </c>
      <c r="J1349" s="9" t="str">
        <f t="shared" si="34"/>
        <v>No</v>
      </c>
      <c r="K1349" s="9" t="str">
        <f t="shared" si="33"/>
        <v/>
      </c>
      <c r="L1349" s="9" t="str">
        <f t="shared" si="35"/>
        <v/>
      </c>
      <c r="M1349" s="9"/>
      <c r="O1349" s="9"/>
    </row>
    <row r="1350" ht="15.75" customHeight="1">
      <c r="A1350" s="9" t="str">
        <f>IFERROR(__xludf.DUMMYFUNCTION("IF(B1350="""","""",RIGHT(REGEXREPLACE(B1350&amp;"""",""[^0-9]"",""""),9))"),"772823078")</f>
        <v>772823078</v>
      </c>
      <c r="B1350" s="48">
        <v>7.72823078E8</v>
      </c>
      <c r="C1350" s="10" t="s">
        <v>1498</v>
      </c>
      <c r="D1350" s="10" t="s">
        <v>69</v>
      </c>
      <c r="E1350" s="13">
        <v>46228.0</v>
      </c>
      <c r="F1350" s="10" t="s">
        <v>21</v>
      </c>
      <c r="I1350" s="10" t="s">
        <v>22</v>
      </c>
      <c r="J1350" s="9" t="str">
        <f t="shared" si="34"/>
        <v>No</v>
      </c>
      <c r="K1350" s="9" t="str">
        <f t="shared" si="33"/>
        <v/>
      </c>
      <c r="L1350" s="9" t="str">
        <f t="shared" si="35"/>
        <v/>
      </c>
      <c r="M1350" s="9"/>
      <c r="O1350" s="9"/>
    </row>
    <row r="1351" ht="15.75" customHeight="1">
      <c r="A1351" s="9" t="str">
        <f>IFERROR(__xludf.DUMMYFUNCTION("IF(B1351="""","""",RIGHT(REGEXREPLACE(B1351&amp;"""",""[^0-9]"",""""),9))"),"776509956")</f>
        <v>776509956</v>
      </c>
      <c r="B1351" s="48">
        <v>7.76509956E8</v>
      </c>
      <c r="C1351" s="10" t="s">
        <v>1499</v>
      </c>
      <c r="D1351" s="10" t="s">
        <v>50</v>
      </c>
      <c r="E1351" s="13">
        <v>46228.0</v>
      </c>
      <c r="F1351" s="10" t="s">
        <v>35</v>
      </c>
      <c r="G1351" s="10">
        <v>11.0</v>
      </c>
      <c r="I1351" s="10" t="s">
        <v>22</v>
      </c>
      <c r="J1351" s="9" t="str">
        <f t="shared" si="34"/>
        <v>No</v>
      </c>
      <c r="K1351" s="9" t="str">
        <f t="shared" si="33"/>
        <v/>
      </c>
      <c r="L1351" s="9" t="str">
        <f t="shared" si="35"/>
        <v/>
      </c>
      <c r="M1351" s="9"/>
      <c r="O1351" s="9"/>
    </row>
    <row r="1352" ht="15.75" customHeight="1">
      <c r="A1352" s="9" t="str">
        <f>IFERROR(__xludf.DUMMYFUNCTION("IF(B1352="""","""",RIGHT(REGEXREPLACE(B1352&amp;"""",""[^0-9]"",""""),9))"),"701432749")</f>
        <v>701432749</v>
      </c>
      <c r="B1352" s="48">
        <v>7.01432749E8</v>
      </c>
      <c r="C1352" s="10" t="s">
        <v>1500</v>
      </c>
      <c r="D1352" s="10" t="s">
        <v>34</v>
      </c>
      <c r="E1352" s="13">
        <v>46228.0</v>
      </c>
      <c r="F1352" s="10" t="s">
        <v>35</v>
      </c>
      <c r="G1352" s="10">
        <v>11.0</v>
      </c>
      <c r="I1352" s="10" t="s">
        <v>22</v>
      </c>
      <c r="J1352" s="9" t="str">
        <f t="shared" si="34"/>
        <v>No</v>
      </c>
      <c r="K1352" s="9" t="str">
        <f t="shared" si="33"/>
        <v/>
      </c>
      <c r="L1352" s="9" t="str">
        <f t="shared" si="35"/>
        <v/>
      </c>
      <c r="M1352" s="9"/>
      <c r="O1352" s="9"/>
    </row>
    <row r="1353" ht="15.75" customHeight="1">
      <c r="A1353" s="9" t="str">
        <f>IFERROR(__xludf.DUMMYFUNCTION("IF(B1353="""","""",RIGHT(REGEXREPLACE(B1353&amp;"""",""[^0-9]"",""""),9))"),"774051179")</f>
        <v>774051179</v>
      </c>
      <c r="B1353" s="10">
        <v>7.74051179E8</v>
      </c>
      <c r="C1353" s="10" t="s">
        <v>1501</v>
      </c>
      <c r="D1353" s="10" t="s">
        <v>69</v>
      </c>
      <c r="E1353" s="13">
        <v>46228.0</v>
      </c>
      <c r="F1353" s="10" t="s">
        <v>35</v>
      </c>
      <c r="G1353" s="10">
        <v>10.0</v>
      </c>
      <c r="I1353" s="10" t="s">
        <v>22</v>
      </c>
      <c r="J1353" s="9" t="str">
        <f t="shared" si="34"/>
        <v>No</v>
      </c>
      <c r="K1353" s="9" t="str">
        <f t="shared" si="33"/>
        <v/>
      </c>
      <c r="L1353" s="9" t="str">
        <f t="shared" si="35"/>
        <v/>
      </c>
      <c r="M1353" s="9"/>
      <c r="O1353" s="9"/>
    </row>
    <row r="1354" ht="15.75" customHeight="1">
      <c r="A1354" s="9" t="str">
        <f>IFERROR(__xludf.DUMMYFUNCTION("IF(B1354="""","""",RIGHT(REGEXREPLACE(B1354&amp;"""",""[^0-9]"",""""),9))"),"715874881")</f>
        <v>715874881</v>
      </c>
      <c r="B1354" s="48">
        <v>7.15874881E8</v>
      </c>
      <c r="C1354" s="10" t="s">
        <v>1502</v>
      </c>
      <c r="D1354" s="10" t="s">
        <v>50</v>
      </c>
      <c r="E1354" s="13">
        <v>46228.0</v>
      </c>
      <c r="F1354" s="10" t="s">
        <v>35</v>
      </c>
      <c r="G1354" s="10">
        <v>11.0</v>
      </c>
      <c r="I1354" s="10" t="s">
        <v>22</v>
      </c>
      <c r="J1354" s="9" t="str">
        <f t="shared" si="34"/>
        <v>No</v>
      </c>
      <c r="K1354" s="9" t="str">
        <f t="shared" si="33"/>
        <v/>
      </c>
      <c r="L1354" s="9" t="str">
        <f t="shared" si="35"/>
        <v/>
      </c>
      <c r="M1354" s="9"/>
      <c r="O1354" s="9"/>
    </row>
    <row r="1355" ht="15.75" customHeight="1">
      <c r="A1355" s="9" t="str">
        <f>IFERROR(__xludf.DUMMYFUNCTION("IF(B1355="""","""",RIGHT(REGEXREPLACE(B1355&amp;"""",""[^0-9]"",""""),9))"),"765917160")</f>
        <v>765917160</v>
      </c>
      <c r="B1355" s="48">
        <v>7.6591716E8</v>
      </c>
      <c r="C1355" s="10" t="s">
        <v>1503</v>
      </c>
      <c r="D1355" s="10" t="s">
        <v>34</v>
      </c>
      <c r="E1355" s="13">
        <v>46228.0</v>
      </c>
      <c r="F1355" s="10"/>
      <c r="G1355" s="9"/>
      <c r="H1355" s="9"/>
      <c r="I1355" s="10" t="s">
        <v>22</v>
      </c>
      <c r="J1355" s="9" t="str">
        <f t="shared" si="34"/>
        <v>No</v>
      </c>
      <c r="K1355" s="9" t="str">
        <f t="shared" si="33"/>
        <v/>
      </c>
      <c r="L1355" s="9" t="str">
        <f t="shared" si="35"/>
        <v/>
      </c>
      <c r="M1355" s="9"/>
      <c r="N1355" s="9"/>
      <c r="O1355" s="9"/>
      <c r="P1355" s="9"/>
    </row>
    <row r="1356" ht="15.75" customHeight="1">
      <c r="A1356" s="9" t="str">
        <f>IFERROR(__xludf.DUMMYFUNCTION("IF(B1356="""","""",RIGHT(REGEXREPLACE(B1356&amp;"""",""[^0-9]"",""""),9))"),"714319874")</f>
        <v>714319874</v>
      </c>
      <c r="B1356" s="48">
        <v>7.14319874E8</v>
      </c>
      <c r="C1356" s="10" t="s">
        <v>1504</v>
      </c>
      <c r="D1356" s="10" t="s">
        <v>120</v>
      </c>
      <c r="E1356" s="13">
        <v>46228.0</v>
      </c>
      <c r="F1356" s="10" t="s">
        <v>21</v>
      </c>
      <c r="I1356" s="10" t="s">
        <v>22</v>
      </c>
      <c r="J1356" s="9" t="str">
        <f t="shared" si="34"/>
        <v>No</v>
      </c>
      <c r="K1356" s="9" t="str">
        <f t="shared" si="33"/>
        <v/>
      </c>
      <c r="L1356" s="9" t="str">
        <f t="shared" si="35"/>
        <v/>
      </c>
      <c r="M1356" s="9"/>
      <c r="O1356" s="9"/>
    </row>
    <row r="1357" ht="15.75" customHeight="1">
      <c r="A1357" s="9" t="str">
        <f>IFERROR(__xludf.DUMMYFUNCTION("IF(B1357="""","""",RIGHT(REGEXREPLACE(B1357&amp;"""",""[^0-9]"",""""),9))"),"757843705")</f>
        <v>757843705</v>
      </c>
      <c r="B1357" s="48">
        <v>7.57843705E8</v>
      </c>
      <c r="C1357" s="10" t="s">
        <v>1505</v>
      </c>
      <c r="D1357" s="10" t="s">
        <v>69</v>
      </c>
      <c r="E1357" s="13">
        <v>46228.0</v>
      </c>
      <c r="F1357" s="10" t="s">
        <v>171</v>
      </c>
      <c r="G1357" s="10">
        <v>11.0</v>
      </c>
      <c r="I1357" s="10" t="s">
        <v>22</v>
      </c>
      <c r="J1357" s="9" t="str">
        <f t="shared" si="34"/>
        <v>No</v>
      </c>
      <c r="K1357" s="9" t="str">
        <f t="shared" si="33"/>
        <v/>
      </c>
      <c r="L1357" s="9" t="str">
        <f t="shared" si="35"/>
        <v/>
      </c>
      <c r="M1357" s="9"/>
      <c r="O1357" s="9"/>
    </row>
    <row r="1358" ht="15.75" customHeight="1">
      <c r="A1358" s="9" t="str">
        <f>IFERROR(__xludf.DUMMYFUNCTION("IF(B1358="""","""",RIGHT(REGEXREPLACE(B1358&amp;"""",""[^0-9]"",""""),9))"),"788639227")</f>
        <v>788639227</v>
      </c>
      <c r="B1358" s="48">
        <v>7.88639227E8</v>
      </c>
      <c r="C1358" s="10" t="s">
        <v>1506</v>
      </c>
      <c r="D1358" s="10" t="s">
        <v>50</v>
      </c>
      <c r="E1358" s="13">
        <v>46228.0</v>
      </c>
      <c r="F1358" s="10" t="s">
        <v>604</v>
      </c>
      <c r="G1358" s="10">
        <v>11.0</v>
      </c>
      <c r="I1358" s="10" t="s">
        <v>22</v>
      </c>
      <c r="J1358" s="9" t="str">
        <f t="shared" si="34"/>
        <v>No</v>
      </c>
      <c r="K1358" s="9" t="str">
        <f t="shared" si="33"/>
        <v/>
      </c>
      <c r="L1358" s="9" t="str">
        <f t="shared" si="35"/>
        <v/>
      </c>
      <c r="M1358" s="9"/>
      <c r="O1358" s="9"/>
    </row>
    <row r="1359" ht="15.75" customHeight="1">
      <c r="A1359" s="9" t="str">
        <f>IFERROR(__xludf.DUMMYFUNCTION("IF(B1359="""","""",RIGHT(REGEXREPLACE(B1359&amp;"""",""[^0-9]"",""""),9))"),"773205102")</f>
        <v>773205102</v>
      </c>
      <c r="B1359" s="48">
        <v>7.73205102E8</v>
      </c>
      <c r="C1359" s="10" t="s">
        <v>1507</v>
      </c>
      <c r="D1359" s="10" t="s">
        <v>34</v>
      </c>
      <c r="E1359" s="13">
        <v>46228.0</v>
      </c>
      <c r="F1359" s="10" t="s">
        <v>145</v>
      </c>
      <c r="I1359" s="10" t="s">
        <v>22</v>
      </c>
      <c r="J1359" s="9" t="str">
        <f t="shared" si="34"/>
        <v>No</v>
      </c>
      <c r="K1359" s="9" t="str">
        <f t="shared" si="33"/>
        <v/>
      </c>
      <c r="L1359" s="9" t="str">
        <f t="shared" si="35"/>
        <v/>
      </c>
      <c r="M1359" s="9"/>
      <c r="O1359" s="9"/>
    </row>
    <row r="1360" ht="15.75" customHeight="1">
      <c r="A1360" s="9" t="str">
        <f>IFERROR(__xludf.DUMMYFUNCTION("IF(B1360="""","""",RIGHT(REGEXREPLACE(B1360&amp;"""",""[^0-9]"",""""),9))"),"715616488")</f>
        <v>715616488</v>
      </c>
      <c r="B1360" s="48">
        <v>7.15616488E8</v>
      </c>
      <c r="C1360" s="10" t="s">
        <v>1508</v>
      </c>
      <c r="D1360" s="10" t="s">
        <v>120</v>
      </c>
      <c r="E1360" s="13">
        <v>46228.0</v>
      </c>
      <c r="F1360" s="10" t="s">
        <v>35</v>
      </c>
      <c r="G1360" s="10">
        <v>11.0</v>
      </c>
      <c r="I1360" s="10" t="s">
        <v>22</v>
      </c>
      <c r="J1360" s="9" t="str">
        <f t="shared" si="34"/>
        <v>No</v>
      </c>
      <c r="K1360" s="9" t="str">
        <f t="shared" si="33"/>
        <v/>
      </c>
      <c r="L1360" s="9" t="str">
        <f t="shared" si="35"/>
        <v/>
      </c>
      <c r="M1360" s="9"/>
      <c r="O1360" s="9"/>
    </row>
    <row r="1361" ht="15.75" customHeight="1">
      <c r="A1361" s="9" t="str">
        <f>IFERROR(__xludf.DUMMYFUNCTION("IF(B1361="""","""",RIGHT(REGEXREPLACE(B1361&amp;"""",""[^0-9]"",""""),9))"),"767448684")</f>
        <v>767448684</v>
      </c>
      <c r="B1361" s="48">
        <v>7.67448684E8</v>
      </c>
      <c r="C1361" s="10" t="s">
        <v>1509</v>
      </c>
      <c r="D1361" s="10" t="s">
        <v>50</v>
      </c>
      <c r="E1361" s="13">
        <v>46228.0</v>
      </c>
      <c r="F1361" s="10" t="s">
        <v>171</v>
      </c>
      <c r="I1361" s="10" t="s">
        <v>22</v>
      </c>
      <c r="J1361" s="9" t="str">
        <f t="shared" si="34"/>
        <v>No</v>
      </c>
      <c r="K1361" s="9" t="str">
        <f t="shared" si="33"/>
        <v/>
      </c>
      <c r="L1361" s="9" t="str">
        <f t="shared" si="35"/>
        <v/>
      </c>
      <c r="M1361" s="9"/>
      <c r="O1361" s="9"/>
    </row>
    <row r="1362" ht="15.75" customHeight="1">
      <c r="A1362" s="9" t="str">
        <f>IFERROR(__xludf.DUMMYFUNCTION("IF(B1362="""","""",RIGHT(REGEXREPLACE(B1362&amp;"""",""[^0-9]"",""""),9))"),"785747432")</f>
        <v>785747432</v>
      </c>
      <c r="B1362" s="48">
        <v>7.85747432E8</v>
      </c>
      <c r="C1362" s="10" t="s">
        <v>1510</v>
      </c>
      <c r="D1362" s="10" t="s">
        <v>34</v>
      </c>
      <c r="E1362" s="13">
        <v>46228.0</v>
      </c>
      <c r="F1362" s="10" t="s">
        <v>35</v>
      </c>
      <c r="G1362" s="10">
        <v>9.0</v>
      </c>
      <c r="I1362" s="10" t="s">
        <v>22</v>
      </c>
      <c r="J1362" s="9" t="str">
        <f t="shared" si="34"/>
        <v>No</v>
      </c>
      <c r="K1362" s="9" t="str">
        <f t="shared" si="33"/>
        <v/>
      </c>
      <c r="L1362" s="9" t="str">
        <f t="shared" si="35"/>
        <v/>
      </c>
      <c r="M1362" s="9"/>
      <c r="O1362" s="9"/>
    </row>
    <row r="1363" ht="15.75" customHeight="1">
      <c r="A1363" s="9" t="str">
        <f>IFERROR(__xludf.DUMMYFUNCTION("IF(B1363="""","""",RIGHT(REGEXREPLACE(B1363&amp;"""",""[^0-9]"",""""),9))"),"741345644")</f>
        <v>741345644</v>
      </c>
      <c r="B1363" s="48">
        <v>7.41345644E8</v>
      </c>
      <c r="C1363" s="10" t="s">
        <v>1511</v>
      </c>
      <c r="D1363" s="10" t="s">
        <v>69</v>
      </c>
      <c r="E1363" s="13">
        <v>46228.0</v>
      </c>
      <c r="F1363" s="10" t="s">
        <v>35</v>
      </c>
      <c r="G1363" s="10">
        <v>11.0</v>
      </c>
      <c r="I1363" s="10" t="s">
        <v>22</v>
      </c>
      <c r="J1363" s="9" t="str">
        <f t="shared" si="34"/>
        <v>No</v>
      </c>
      <c r="K1363" s="9" t="str">
        <f t="shared" si="33"/>
        <v/>
      </c>
      <c r="L1363" s="9" t="str">
        <f t="shared" si="35"/>
        <v/>
      </c>
      <c r="M1363" s="9"/>
      <c r="O1363" s="9"/>
    </row>
    <row r="1364" ht="15.75" customHeight="1">
      <c r="A1364" s="9" t="str">
        <f>IFERROR(__xludf.DUMMYFUNCTION("IF(B1364="""","""",RIGHT(REGEXREPLACE(B1364&amp;"""",""[^0-9]"",""""),9))"),"776552508")</f>
        <v>776552508</v>
      </c>
      <c r="B1364" s="48">
        <v>7.76552508E8</v>
      </c>
      <c r="C1364" s="10" t="s">
        <v>1512</v>
      </c>
      <c r="D1364" s="10" t="s">
        <v>50</v>
      </c>
      <c r="E1364" s="13">
        <v>46228.0</v>
      </c>
      <c r="F1364" s="10" t="s">
        <v>35</v>
      </c>
      <c r="G1364" s="10">
        <v>11.0</v>
      </c>
      <c r="I1364" s="10" t="s">
        <v>22</v>
      </c>
      <c r="J1364" s="9" t="str">
        <f t="shared" si="34"/>
        <v>No</v>
      </c>
      <c r="K1364" s="9" t="str">
        <f t="shared" si="33"/>
        <v/>
      </c>
      <c r="L1364" s="9" t="str">
        <f t="shared" si="35"/>
        <v/>
      </c>
      <c r="M1364" s="9"/>
      <c r="O1364" s="9"/>
    </row>
    <row r="1365" ht="15.75" customHeight="1">
      <c r="A1365" s="9" t="str">
        <f>IFERROR(__xludf.DUMMYFUNCTION("IF(B1365="""","""",RIGHT(REGEXREPLACE(B1365&amp;"""",""[^0-9]"",""""),9))"),"765628452")</f>
        <v>765628452</v>
      </c>
      <c r="B1365" s="48">
        <v>7.65628452E8</v>
      </c>
      <c r="C1365" s="10" t="s">
        <v>1513</v>
      </c>
      <c r="D1365" s="10" t="s">
        <v>120</v>
      </c>
      <c r="E1365" s="13">
        <v>46228.0</v>
      </c>
      <c r="F1365" s="10" t="s">
        <v>21</v>
      </c>
      <c r="I1365" s="10" t="s">
        <v>22</v>
      </c>
      <c r="J1365" s="9" t="str">
        <f t="shared" si="34"/>
        <v>No</v>
      </c>
      <c r="K1365" s="9" t="str">
        <f t="shared" si="33"/>
        <v/>
      </c>
      <c r="L1365" s="9" t="str">
        <f t="shared" si="35"/>
        <v/>
      </c>
      <c r="M1365" s="9"/>
      <c r="O1365" s="9"/>
    </row>
    <row r="1366" ht="15.75" customHeight="1">
      <c r="A1366" s="9" t="str">
        <f>IFERROR(__xludf.DUMMYFUNCTION("IF(B1366="""","""",RIGHT(REGEXREPLACE(B1366&amp;"""",""[^0-9]"",""""),9))"),"710343543")</f>
        <v>710343543</v>
      </c>
      <c r="B1366" s="48">
        <v>7.10343543E8</v>
      </c>
      <c r="C1366" s="10" t="s">
        <v>1514</v>
      </c>
      <c r="D1366" s="10" t="s">
        <v>34</v>
      </c>
      <c r="E1366" s="13">
        <v>46228.0</v>
      </c>
      <c r="F1366" s="10" t="s">
        <v>35</v>
      </c>
      <c r="G1366" s="10">
        <v>11.0</v>
      </c>
      <c r="I1366" s="10" t="s">
        <v>22</v>
      </c>
      <c r="J1366" s="9" t="str">
        <f t="shared" si="34"/>
        <v>No</v>
      </c>
      <c r="K1366" s="9" t="str">
        <f t="shared" si="33"/>
        <v/>
      </c>
      <c r="L1366" s="9" t="str">
        <f t="shared" si="35"/>
        <v/>
      </c>
      <c r="M1366" s="9"/>
      <c r="O1366" s="9"/>
    </row>
    <row r="1367" ht="15.75" customHeight="1">
      <c r="A1367" s="9" t="str">
        <f>IFERROR(__xludf.DUMMYFUNCTION("IF(B1367="""","""",RIGHT(REGEXREPLACE(B1367&amp;"""",""[^0-9]"",""""),9))"),"704226687")</f>
        <v>704226687</v>
      </c>
      <c r="B1367" s="48">
        <v>7.04226687E8</v>
      </c>
      <c r="C1367" s="10" t="s">
        <v>1515</v>
      </c>
      <c r="D1367" s="10" t="s">
        <v>120</v>
      </c>
      <c r="E1367" s="13">
        <v>46228.0</v>
      </c>
      <c r="F1367" s="10" t="s">
        <v>198</v>
      </c>
      <c r="I1367" s="10" t="s">
        <v>22</v>
      </c>
      <c r="J1367" s="9" t="str">
        <f t="shared" si="34"/>
        <v>No</v>
      </c>
      <c r="K1367" s="9" t="str">
        <f t="shared" si="33"/>
        <v/>
      </c>
      <c r="L1367" s="9" t="str">
        <f t="shared" si="35"/>
        <v/>
      </c>
      <c r="M1367" s="9"/>
      <c r="O1367" s="9"/>
    </row>
    <row r="1368" ht="15.75" customHeight="1">
      <c r="A1368" s="9" t="str">
        <f>IFERROR(__xludf.DUMMYFUNCTION("IF(B1368="""","""",RIGHT(REGEXREPLACE(B1368&amp;"""",""[^0-9]"",""""),9))"),"717965318")</f>
        <v>717965318</v>
      </c>
      <c r="B1368" s="48">
        <v>7.17965318E8</v>
      </c>
      <c r="C1368" s="10" t="s">
        <v>1516</v>
      </c>
      <c r="D1368" s="10" t="s">
        <v>69</v>
      </c>
      <c r="E1368" s="13">
        <v>46228.0</v>
      </c>
      <c r="F1368" s="10" t="s">
        <v>35</v>
      </c>
      <c r="H1368" s="10" t="s">
        <v>1517</v>
      </c>
      <c r="I1368" s="10" t="s">
        <v>22</v>
      </c>
      <c r="J1368" s="9" t="str">
        <f t="shared" si="34"/>
        <v>No</v>
      </c>
      <c r="K1368" s="9" t="str">
        <f t="shared" si="33"/>
        <v/>
      </c>
      <c r="L1368" s="9" t="str">
        <f t="shared" si="35"/>
        <v/>
      </c>
      <c r="M1368" s="9"/>
      <c r="O1368" s="9"/>
    </row>
    <row r="1369" ht="15.75" customHeight="1">
      <c r="A1369" s="9" t="str">
        <f>IFERROR(__xludf.DUMMYFUNCTION("IF(B1369="""","""",RIGHT(REGEXREPLACE(B1369&amp;"""",""[^0-9]"",""""),9))"),"768735674")</f>
        <v>768735674</v>
      </c>
      <c r="B1369" s="48">
        <v>7.68735674E8</v>
      </c>
      <c r="C1369" s="10" t="s">
        <v>1518</v>
      </c>
      <c r="D1369" s="10" t="s">
        <v>50</v>
      </c>
      <c r="E1369" s="13">
        <v>46228.0</v>
      </c>
      <c r="F1369" s="10" t="s">
        <v>171</v>
      </c>
      <c r="G1369" s="10">
        <v>10.0</v>
      </c>
      <c r="I1369" s="10" t="s">
        <v>22</v>
      </c>
      <c r="J1369" s="9" t="str">
        <f t="shared" si="34"/>
        <v>No</v>
      </c>
      <c r="K1369" s="9" t="str">
        <f t="shared" si="33"/>
        <v/>
      </c>
      <c r="L1369" s="9" t="str">
        <f t="shared" si="35"/>
        <v/>
      </c>
      <c r="M1369" s="9"/>
      <c r="O1369" s="9"/>
    </row>
    <row r="1370" ht="15.75" customHeight="1">
      <c r="A1370" s="9" t="str">
        <f>IFERROR(__xludf.DUMMYFUNCTION("IF(B1370="""","""",RIGHT(REGEXREPLACE(B1370&amp;"""",""[^0-9]"",""""),9))"),"762262598")</f>
        <v>762262598</v>
      </c>
      <c r="B1370" s="48">
        <v>7.62262598E8</v>
      </c>
      <c r="C1370" s="10" t="s">
        <v>1519</v>
      </c>
      <c r="D1370" s="10" t="s">
        <v>34</v>
      </c>
      <c r="E1370" s="13">
        <v>46228.0</v>
      </c>
      <c r="F1370" s="10" t="s">
        <v>35</v>
      </c>
      <c r="G1370" s="10">
        <v>11.0</v>
      </c>
      <c r="I1370" s="10" t="s">
        <v>22</v>
      </c>
      <c r="J1370" s="9" t="str">
        <f t="shared" si="34"/>
        <v>No</v>
      </c>
      <c r="K1370" s="9" t="str">
        <f t="shared" si="33"/>
        <v/>
      </c>
      <c r="L1370" s="9" t="str">
        <f t="shared" si="35"/>
        <v/>
      </c>
      <c r="M1370" s="9"/>
      <c r="O1370" s="9"/>
    </row>
    <row r="1371" ht="15.75" customHeight="1">
      <c r="A1371" s="9" t="str">
        <f>IFERROR(__xludf.DUMMYFUNCTION("IF(B1371="""","""",RIGHT(REGEXREPLACE(B1371&amp;"""",""[^0-9]"",""""),9))"),"710555349")</f>
        <v>710555349</v>
      </c>
      <c r="B1371" s="48">
        <v>7.10555349E8</v>
      </c>
      <c r="C1371" s="10" t="s">
        <v>1520</v>
      </c>
      <c r="D1371" s="10" t="s">
        <v>120</v>
      </c>
      <c r="E1371" s="13">
        <v>46228.0</v>
      </c>
      <c r="F1371" s="10" t="s">
        <v>35</v>
      </c>
      <c r="G1371" s="10">
        <v>11.0</v>
      </c>
      <c r="I1371" s="10" t="s">
        <v>22</v>
      </c>
      <c r="J1371" s="9" t="str">
        <f t="shared" si="34"/>
        <v>No</v>
      </c>
      <c r="K1371" s="9" t="str">
        <f t="shared" si="33"/>
        <v/>
      </c>
      <c r="L1371" s="9" t="str">
        <f t="shared" si="35"/>
        <v/>
      </c>
      <c r="M1371" s="9"/>
      <c r="O1371" s="9"/>
    </row>
    <row r="1372" ht="15.75" customHeight="1">
      <c r="A1372" s="9" t="str">
        <f>IFERROR(__xludf.DUMMYFUNCTION("IF(B1372="""","""",RIGHT(REGEXREPLACE(B1372&amp;"""",""[^0-9]"",""""),9))"),"719003875")</f>
        <v>719003875</v>
      </c>
      <c r="B1372" s="48">
        <v>7.19003875E8</v>
      </c>
      <c r="C1372" s="10" t="s">
        <v>1521</v>
      </c>
      <c r="D1372" s="10" t="s">
        <v>50</v>
      </c>
      <c r="E1372" s="13">
        <v>46228.0</v>
      </c>
      <c r="F1372" s="10" t="s">
        <v>198</v>
      </c>
      <c r="G1372" s="10">
        <v>11.0</v>
      </c>
      <c r="I1372" s="10" t="s">
        <v>22</v>
      </c>
      <c r="J1372" s="9" t="str">
        <f t="shared" si="34"/>
        <v>No</v>
      </c>
      <c r="K1372" s="9" t="str">
        <f t="shared" si="33"/>
        <v/>
      </c>
      <c r="L1372" s="9" t="str">
        <f t="shared" si="35"/>
        <v/>
      </c>
      <c r="M1372" s="9"/>
      <c r="O1372" s="9"/>
    </row>
    <row r="1373" ht="15.75" customHeight="1">
      <c r="A1373" s="9" t="str">
        <f>IFERROR(__xludf.DUMMYFUNCTION("IF(B1373="""","""",RIGHT(REGEXREPLACE(B1373&amp;"""",""[^0-9]"",""""),9))"),"768330270")</f>
        <v>768330270</v>
      </c>
      <c r="B1373" s="48">
        <v>7.6833027E8</v>
      </c>
      <c r="C1373" s="10" t="s">
        <v>603</v>
      </c>
      <c r="D1373" s="10" t="s">
        <v>69</v>
      </c>
      <c r="E1373" s="13">
        <v>46228.0</v>
      </c>
      <c r="F1373" s="10" t="s">
        <v>21</v>
      </c>
      <c r="I1373" s="10" t="s">
        <v>22</v>
      </c>
      <c r="J1373" s="9" t="str">
        <f t="shared" si="34"/>
        <v>No</v>
      </c>
      <c r="K1373" s="9" t="str">
        <f t="shared" si="33"/>
        <v/>
      </c>
      <c r="L1373" s="9" t="str">
        <f t="shared" si="35"/>
        <v/>
      </c>
      <c r="M1373" s="9"/>
      <c r="O1373" s="9"/>
    </row>
    <row r="1374" ht="15.75" customHeight="1">
      <c r="A1374" s="9" t="str">
        <f>IFERROR(__xludf.DUMMYFUNCTION("IF(B1374="""","""",RIGHT(REGEXREPLACE(B1374&amp;"""",""[^0-9]"",""""),9))"),"742227664")</f>
        <v>742227664</v>
      </c>
      <c r="B1374" s="48">
        <v>7.42227664E8</v>
      </c>
      <c r="C1374" s="10" t="s">
        <v>1522</v>
      </c>
      <c r="D1374" s="10" t="s">
        <v>50</v>
      </c>
      <c r="E1374" s="13">
        <v>46228.0</v>
      </c>
      <c r="F1374" s="10" t="s">
        <v>21</v>
      </c>
      <c r="G1374" s="10">
        <v>11.0</v>
      </c>
      <c r="I1374" s="10" t="s">
        <v>22</v>
      </c>
      <c r="J1374" s="9" t="str">
        <f t="shared" si="34"/>
        <v>No</v>
      </c>
      <c r="K1374" s="9" t="str">
        <f t="shared" si="33"/>
        <v/>
      </c>
      <c r="L1374" s="9" t="str">
        <f t="shared" si="35"/>
        <v/>
      </c>
      <c r="M1374" s="9"/>
      <c r="O1374" s="9"/>
    </row>
    <row r="1375" ht="15.75" customHeight="1">
      <c r="A1375" s="9" t="str">
        <f>IFERROR(__xludf.DUMMYFUNCTION("IF(B1375="""","""",RIGHT(REGEXREPLACE(B1375&amp;"""",""[^0-9]"",""""),9))"),"741756371")</f>
        <v>741756371</v>
      </c>
      <c r="B1375" s="48">
        <v>7.41756371E8</v>
      </c>
      <c r="C1375" s="10" t="s">
        <v>1523</v>
      </c>
      <c r="D1375" s="10" t="s">
        <v>34</v>
      </c>
      <c r="E1375" s="13">
        <v>46228.0</v>
      </c>
      <c r="F1375" s="10" t="s">
        <v>35</v>
      </c>
      <c r="G1375" s="10">
        <v>11.0</v>
      </c>
      <c r="I1375" s="10" t="s">
        <v>22</v>
      </c>
      <c r="J1375" s="9" t="str">
        <f t="shared" si="34"/>
        <v>No</v>
      </c>
      <c r="K1375" s="9" t="str">
        <f t="shared" si="33"/>
        <v/>
      </c>
      <c r="L1375" s="9" t="str">
        <f t="shared" si="35"/>
        <v/>
      </c>
      <c r="M1375" s="9"/>
      <c r="O1375" s="9"/>
    </row>
    <row r="1376" ht="15.75" customHeight="1">
      <c r="A1376" s="9" t="str">
        <f>IFERROR(__xludf.DUMMYFUNCTION("IF(B1376="""","""",RIGHT(REGEXREPLACE(B1376&amp;"""",""[^0-9]"",""""),9))"),"713478138")</f>
        <v>713478138</v>
      </c>
      <c r="B1376" s="48">
        <v>7.13478138E8</v>
      </c>
      <c r="C1376" s="10" t="s">
        <v>1524</v>
      </c>
      <c r="D1376" s="10" t="s">
        <v>120</v>
      </c>
      <c r="E1376" s="13">
        <v>46228.0</v>
      </c>
      <c r="F1376" s="10" t="s">
        <v>35</v>
      </c>
      <c r="G1376" s="10">
        <v>11.0</v>
      </c>
      <c r="I1376" s="10" t="s">
        <v>22</v>
      </c>
      <c r="J1376" s="9" t="str">
        <f t="shared" si="34"/>
        <v>No</v>
      </c>
      <c r="K1376" s="9" t="str">
        <f t="shared" si="33"/>
        <v/>
      </c>
      <c r="L1376" s="9" t="str">
        <f t="shared" si="35"/>
        <v/>
      </c>
      <c r="M1376" s="9"/>
      <c r="O1376" s="9"/>
    </row>
    <row r="1377" ht="15.75" customHeight="1">
      <c r="A1377" s="9" t="str">
        <f>IFERROR(__xludf.DUMMYFUNCTION("IF(B1377="""","""",RIGHT(REGEXREPLACE(B1377&amp;"""",""[^0-9]"",""""),9))"),"766648286")</f>
        <v>766648286</v>
      </c>
      <c r="B1377" s="48">
        <v>7.66648286E8</v>
      </c>
      <c r="C1377" s="10" t="s">
        <v>1525</v>
      </c>
      <c r="D1377" s="10" t="s">
        <v>50</v>
      </c>
      <c r="E1377" s="13">
        <v>46228.0</v>
      </c>
      <c r="F1377" s="10" t="s">
        <v>35</v>
      </c>
      <c r="G1377" s="10">
        <v>11.0</v>
      </c>
      <c r="I1377" s="10" t="s">
        <v>22</v>
      </c>
      <c r="J1377" s="9" t="str">
        <f t="shared" si="34"/>
        <v>No</v>
      </c>
      <c r="K1377" s="9" t="str">
        <f t="shared" si="33"/>
        <v/>
      </c>
      <c r="L1377" s="9" t="str">
        <f t="shared" si="35"/>
        <v/>
      </c>
      <c r="M1377" s="9"/>
      <c r="O1377" s="9"/>
    </row>
    <row r="1378" ht="15.75" customHeight="1">
      <c r="A1378" s="9" t="str">
        <f>IFERROR(__xludf.DUMMYFUNCTION("IF(B1378="""","""",RIGHT(REGEXREPLACE(B1378&amp;"""",""[^0-9]"",""""),9))"),"777452034")</f>
        <v>777452034</v>
      </c>
      <c r="B1378" s="48">
        <v>7.77452034E8</v>
      </c>
      <c r="C1378" s="10" t="s">
        <v>1526</v>
      </c>
      <c r="D1378" s="10" t="s">
        <v>69</v>
      </c>
      <c r="E1378" s="13">
        <v>46228.0</v>
      </c>
      <c r="F1378" s="10" t="s">
        <v>21</v>
      </c>
      <c r="G1378" s="10">
        <v>11.0</v>
      </c>
      <c r="I1378" s="10" t="s">
        <v>22</v>
      </c>
      <c r="J1378" s="9" t="str">
        <f t="shared" si="34"/>
        <v>No</v>
      </c>
      <c r="K1378" s="9" t="str">
        <f t="shared" si="33"/>
        <v/>
      </c>
      <c r="L1378" s="9" t="str">
        <f t="shared" si="35"/>
        <v/>
      </c>
      <c r="M1378" s="9"/>
      <c r="O1378" s="9"/>
    </row>
    <row r="1379" ht="15.75" customHeight="1">
      <c r="A1379" s="9" t="str">
        <f>IFERROR(__xludf.DUMMYFUNCTION("IF(B1379="""","""",RIGHT(REGEXREPLACE(B1379&amp;"""",""[^0-9]"",""""),9))"),"701249439")</f>
        <v>701249439</v>
      </c>
      <c r="B1379" s="48">
        <v>7.01249439E8</v>
      </c>
      <c r="C1379" s="10" t="s">
        <v>1527</v>
      </c>
      <c r="D1379" s="10" t="s">
        <v>120</v>
      </c>
      <c r="E1379" s="13">
        <v>46228.0</v>
      </c>
      <c r="F1379" s="10" t="s">
        <v>21</v>
      </c>
      <c r="G1379" s="10">
        <v>11.0</v>
      </c>
      <c r="I1379" s="10" t="s">
        <v>22</v>
      </c>
      <c r="J1379" s="9" t="str">
        <f t="shared" si="34"/>
        <v>No</v>
      </c>
      <c r="K1379" s="9" t="str">
        <f t="shared" si="33"/>
        <v/>
      </c>
      <c r="L1379" s="9" t="str">
        <f t="shared" si="35"/>
        <v/>
      </c>
      <c r="M1379" s="9"/>
      <c r="O1379" s="9"/>
    </row>
    <row r="1380" ht="15.75" customHeight="1">
      <c r="A1380" s="9" t="str">
        <f>IFERROR(__xludf.DUMMYFUNCTION("IF(B1380="""","""",RIGHT(REGEXREPLACE(B1380&amp;"""",""[^0-9]"",""""),9))"),"778361616")</f>
        <v>778361616</v>
      </c>
      <c r="B1380" s="48">
        <v>7.78361616E8</v>
      </c>
      <c r="C1380" s="10" t="s">
        <v>1528</v>
      </c>
      <c r="D1380" s="10" t="s">
        <v>50</v>
      </c>
      <c r="E1380" s="13">
        <v>46228.0</v>
      </c>
      <c r="F1380" s="10" t="s">
        <v>35</v>
      </c>
      <c r="G1380" s="10">
        <v>11.0</v>
      </c>
      <c r="I1380" s="10" t="s">
        <v>22</v>
      </c>
      <c r="J1380" s="9" t="str">
        <f t="shared" si="34"/>
        <v>No</v>
      </c>
      <c r="K1380" s="9" t="str">
        <f t="shared" si="33"/>
        <v/>
      </c>
      <c r="L1380" s="9" t="str">
        <f t="shared" si="35"/>
        <v/>
      </c>
      <c r="M1380" s="9"/>
      <c r="O1380" s="9"/>
    </row>
    <row r="1381" ht="15.75" customHeight="1">
      <c r="A1381" s="9" t="str">
        <f>IFERROR(__xludf.DUMMYFUNCTION("IF(B1381="""","""",RIGHT(REGEXREPLACE(B1381&amp;"""",""[^0-9]"",""""),9))"),"714475274")</f>
        <v>714475274</v>
      </c>
      <c r="B1381" s="48">
        <v>7.14475274E8</v>
      </c>
      <c r="C1381" s="10" t="s">
        <v>1529</v>
      </c>
      <c r="D1381" s="10" t="s">
        <v>120</v>
      </c>
      <c r="E1381" s="13">
        <v>46228.0</v>
      </c>
      <c r="F1381" s="10" t="s">
        <v>21</v>
      </c>
      <c r="I1381" s="10" t="s">
        <v>22</v>
      </c>
      <c r="J1381" s="9" t="str">
        <f t="shared" si="34"/>
        <v>No</v>
      </c>
      <c r="K1381" s="9" t="str">
        <f t="shared" si="33"/>
        <v/>
      </c>
      <c r="L1381" s="9" t="str">
        <f t="shared" si="35"/>
        <v/>
      </c>
      <c r="M1381" s="9"/>
      <c r="O1381" s="9"/>
    </row>
    <row r="1382" ht="15.75" customHeight="1">
      <c r="A1382" s="9" t="str">
        <f>IFERROR(__xludf.DUMMYFUNCTION("IF(B1382="""","""",RIGHT(REGEXREPLACE(B1382&amp;"""",""[^0-9]"",""""),9))"),"768457001")</f>
        <v>768457001</v>
      </c>
      <c r="B1382" s="48">
        <v>7.68457001E8</v>
      </c>
      <c r="C1382" s="10" t="s">
        <v>1530</v>
      </c>
      <c r="D1382" s="10" t="s">
        <v>69</v>
      </c>
      <c r="E1382" s="13">
        <v>46228.0</v>
      </c>
      <c r="F1382" s="10" t="s">
        <v>198</v>
      </c>
      <c r="I1382" s="10" t="s">
        <v>22</v>
      </c>
      <c r="J1382" s="9" t="str">
        <f t="shared" si="34"/>
        <v>No</v>
      </c>
      <c r="K1382" s="9" t="str">
        <f t="shared" si="33"/>
        <v/>
      </c>
      <c r="L1382" s="9" t="str">
        <f t="shared" si="35"/>
        <v/>
      </c>
      <c r="M1382" s="9"/>
      <c r="O1382" s="9"/>
    </row>
    <row r="1383" ht="15.75" customHeight="1">
      <c r="A1383" s="9" t="str">
        <f>IFERROR(__xludf.DUMMYFUNCTION("IF(B1383="""","""",RIGHT(REGEXREPLACE(B1383&amp;"""",""[^0-9]"",""""),9))"),"774007476")</f>
        <v>774007476</v>
      </c>
      <c r="B1383" s="48">
        <v>7.74007476E8</v>
      </c>
      <c r="C1383" s="10" t="s">
        <v>1531</v>
      </c>
      <c r="D1383" s="10" t="s">
        <v>34</v>
      </c>
      <c r="E1383" s="13">
        <v>46228.0</v>
      </c>
      <c r="F1383" s="10" t="s">
        <v>35</v>
      </c>
      <c r="G1383" s="10">
        <v>9.0</v>
      </c>
      <c r="I1383" s="10" t="s">
        <v>22</v>
      </c>
      <c r="J1383" s="9" t="str">
        <f t="shared" si="34"/>
        <v>No</v>
      </c>
      <c r="K1383" s="9" t="str">
        <f t="shared" si="33"/>
        <v/>
      </c>
      <c r="L1383" s="9" t="str">
        <f t="shared" si="35"/>
        <v/>
      </c>
      <c r="M1383" s="9"/>
      <c r="O1383" s="9"/>
    </row>
    <row r="1384" ht="15.75" customHeight="1">
      <c r="A1384" s="9" t="str">
        <f>IFERROR(__xludf.DUMMYFUNCTION("IF(B1384="""","""",RIGHT(REGEXREPLACE(B1384&amp;"""",""[^0-9]"",""""),9))"),"712509471")</f>
        <v>712509471</v>
      </c>
      <c r="B1384" s="111" t="s">
        <v>1532</v>
      </c>
      <c r="C1384" s="10" t="s">
        <v>1533</v>
      </c>
      <c r="D1384" s="10" t="s">
        <v>120</v>
      </c>
      <c r="E1384" s="13">
        <v>46228.0</v>
      </c>
      <c r="F1384" s="10" t="s">
        <v>35</v>
      </c>
      <c r="G1384" s="10">
        <v>11.0</v>
      </c>
      <c r="I1384" s="10" t="s">
        <v>22</v>
      </c>
      <c r="J1384" s="9" t="str">
        <f t="shared" si="34"/>
        <v>No</v>
      </c>
      <c r="K1384" s="9" t="str">
        <f t="shared" si="33"/>
        <v/>
      </c>
      <c r="L1384" s="9" t="str">
        <f t="shared" si="35"/>
        <v/>
      </c>
      <c r="M1384" s="9"/>
      <c r="O1384" s="9"/>
    </row>
    <row r="1385" ht="15.75" customHeight="1">
      <c r="A1385" s="9" t="str">
        <f>IFERROR(__xludf.DUMMYFUNCTION("IF(B1385="""","""",RIGHT(REGEXREPLACE(B1385&amp;"""",""[^0-9]"",""""),9))"),"773383860")</f>
        <v>773383860</v>
      </c>
      <c r="B1385" s="48">
        <v>7.7338386E8</v>
      </c>
      <c r="C1385" s="10" t="s">
        <v>1534</v>
      </c>
      <c r="D1385" s="10" t="s">
        <v>50</v>
      </c>
      <c r="E1385" s="13">
        <v>46228.0</v>
      </c>
      <c r="F1385" s="10" t="s">
        <v>35</v>
      </c>
      <c r="G1385" s="10">
        <v>11.0</v>
      </c>
      <c r="H1385" s="10" t="s">
        <v>238</v>
      </c>
      <c r="I1385" s="10" t="s">
        <v>22</v>
      </c>
      <c r="J1385" s="9" t="str">
        <f t="shared" si="34"/>
        <v>No</v>
      </c>
      <c r="K1385" s="9" t="str">
        <f t="shared" si="33"/>
        <v/>
      </c>
      <c r="L1385" s="9" t="str">
        <f t="shared" si="35"/>
        <v/>
      </c>
      <c r="M1385" s="9"/>
      <c r="O1385" s="9"/>
    </row>
    <row r="1386" ht="15.75" customHeight="1">
      <c r="A1386" s="9" t="str">
        <f>IFERROR(__xludf.DUMMYFUNCTION("IF(B1386="""","""",RIGHT(REGEXREPLACE(B1386&amp;"""",""[^0-9]"",""""),9))"),"721292671")</f>
        <v>721292671</v>
      </c>
      <c r="B1386" s="48">
        <v>7.21292671E8</v>
      </c>
      <c r="C1386" s="10" t="s">
        <v>1534</v>
      </c>
      <c r="D1386" s="10" t="s">
        <v>69</v>
      </c>
      <c r="E1386" s="13">
        <v>46228.0</v>
      </c>
      <c r="F1386" s="10" t="s">
        <v>542</v>
      </c>
      <c r="G1386" s="10">
        <v>11.0</v>
      </c>
      <c r="I1386" s="10" t="s">
        <v>22</v>
      </c>
      <c r="J1386" s="9" t="str">
        <f t="shared" si="34"/>
        <v>No</v>
      </c>
      <c r="K1386" s="9" t="str">
        <f t="shared" si="33"/>
        <v/>
      </c>
      <c r="L1386" s="9" t="str">
        <f t="shared" si="35"/>
        <v/>
      </c>
      <c r="M1386" s="9"/>
      <c r="O1386" s="9"/>
    </row>
    <row r="1387" ht="15.75" customHeight="1">
      <c r="A1387" s="9" t="str">
        <f>IFERROR(__xludf.DUMMYFUNCTION("IF(B1387="""","""",RIGHT(REGEXREPLACE(B1387&amp;"""",""[^0-9]"",""""),9))"),"775265935")</f>
        <v>775265935</v>
      </c>
      <c r="B1387" s="48">
        <v>7.75265935E8</v>
      </c>
      <c r="C1387" s="10" t="s">
        <v>1535</v>
      </c>
      <c r="D1387" s="10" t="s">
        <v>34</v>
      </c>
      <c r="E1387" s="13">
        <v>46228.0</v>
      </c>
      <c r="F1387" s="10" t="s">
        <v>35</v>
      </c>
      <c r="G1387" s="10">
        <v>11.0</v>
      </c>
      <c r="I1387" s="10" t="s">
        <v>22</v>
      </c>
      <c r="J1387" s="9" t="str">
        <f t="shared" si="34"/>
        <v>No</v>
      </c>
      <c r="K1387" s="9" t="str">
        <f t="shared" si="33"/>
        <v/>
      </c>
      <c r="L1387" s="9" t="str">
        <f t="shared" si="35"/>
        <v/>
      </c>
      <c r="M1387" s="9"/>
      <c r="O1387" s="9"/>
    </row>
    <row r="1388" ht="15.75" customHeight="1">
      <c r="A1388" s="9" t="str">
        <f>IFERROR(__xludf.DUMMYFUNCTION("IF(B1388="""","""",RIGHT(REGEXREPLACE(B1388&amp;"""",""[^0-9]"",""""),9))"),"706025552")</f>
        <v>706025552</v>
      </c>
      <c r="B1388" s="48">
        <v>7.06025552E8</v>
      </c>
      <c r="C1388" s="10" t="s">
        <v>1536</v>
      </c>
      <c r="D1388" s="10" t="s">
        <v>50</v>
      </c>
      <c r="E1388" s="13">
        <v>46228.0</v>
      </c>
      <c r="F1388" s="10" t="s">
        <v>21</v>
      </c>
      <c r="G1388" s="10">
        <v>11.0</v>
      </c>
      <c r="I1388" s="10" t="s">
        <v>22</v>
      </c>
      <c r="J1388" s="9" t="str">
        <f t="shared" si="34"/>
        <v>No</v>
      </c>
      <c r="K1388" s="9" t="str">
        <f t="shared" si="33"/>
        <v/>
      </c>
      <c r="L1388" s="9" t="str">
        <f t="shared" si="35"/>
        <v/>
      </c>
      <c r="M1388" s="9"/>
      <c r="O1388" s="9"/>
    </row>
    <row r="1389" ht="15.75" customHeight="1">
      <c r="A1389" s="9" t="str">
        <f>IFERROR(__xludf.DUMMYFUNCTION("IF(B1389="""","""",RIGHT(REGEXREPLACE(B1389&amp;"""",""[^0-9]"",""""),9))"),"703499723")</f>
        <v>703499723</v>
      </c>
      <c r="B1389" s="48">
        <v>7.03499723E8</v>
      </c>
      <c r="C1389" s="10" t="s">
        <v>1537</v>
      </c>
      <c r="D1389" s="10" t="s">
        <v>34</v>
      </c>
      <c r="E1389" s="13">
        <v>46228.0</v>
      </c>
      <c r="F1389" s="10" t="s">
        <v>604</v>
      </c>
      <c r="G1389" s="10">
        <v>11.0</v>
      </c>
      <c r="I1389" s="10" t="s">
        <v>22</v>
      </c>
      <c r="J1389" s="9" t="str">
        <f t="shared" si="34"/>
        <v>No</v>
      </c>
      <c r="K1389" s="9" t="str">
        <f t="shared" si="33"/>
        <v/>
      </c>
      <c r="L1389" s="9" t="str">
        <f t="shared" si="35"/>
        <v/>
      </c>
      <c r="M1389" s="9"/>
      <c r="O1389" s="9"/>
    </row>
    <row r="1390" ht="15.75" customHeight="1">
      <c r="A1390" s="9" t="str">
        <f>IFERROR(__xludf.DUMMYFUNCTION("IF(B1390="""","""",RIGHT(REGEXREPLACE(B1390&amp;"""",""[^0-9]"",""""),9))"),"719167164")</f>
        <v>719167164</v>
      </c>
      <c r="B1390" s="48">
        <v>7.19167164E8</v>
      </c>
      <c r="C1390" s="10" t="s">
        <v>1538</v>
      </c>
      <c r="D1390" s="10" t="s">
        <v>34</v>
      </c>
      <c r="E1390" s="13">
        <v>46228.0</v>
      </c>
      <c r="F1390" s="10" t="s">
        <v>35</v>
      </c>
      <c r="G1390" s="10">
        <v>11.0</v>
      </c>
      <c r="I1390" s="10" t="s">
        <v>22</v>
      </c>
      <c r="J1390" s="9" t="str">
        <f t="shared" si="34"/>
        <v>No</v>
      </c>
      <c r="K1390" s="9" t="str">
        <f t="shared" si="33"/>
        <v/>
      </c>
      <c r="L1390" s="9" t="str">
        <f t="shared" si="35"/>
        <v/>
      </c>
      <c r="M1390" s="9"/>
      <c r="O1390" s="9"/>
    </row>
    <row r="1391" ht="15.75" customHeight="1">
      <c r="A1391" s="9" t="str">
        <f>IFERROR(__xludf.DUMMYFUNCTION("IF(B1391="""","""",RIGHT(REGEXREPLACE(B1391&amp;"""",""[^0-9]"",""""),9))"),"760686093")</f>
        <v>760686093</v>
      </c>
      <c r="B1391" s="48">
        <v>7.60686093E8</v>
      </c>
      <c r="C1391" s="10" t="s">
        <v>1539</v>
      </c>
      <c r="D1391" s="10" t="s">
        <v>120</v>
      </c>
      <c r="E1391" s="13">
        <v>46228.0</v>
      </c>
      <c r="F1391" s="10" t="s">
        <v>21</v>
      </c>
      <c r="I1391" s="10" t="s">
        <v>22</v>
      </c>
      <c r="J1391" s="9" t="str">
        <f t="shared" si="34"/>
        <v>No</v>
      </c>
      <c r="K1391" s="9" t="str">
        <f t="shared" si="33"/>
        <v/>
      </c>
      <c r="L1391" s="9" t="str">
        <f t="shared" si="35"/>
        <v/>
      </c>
      <c r="M1391" s="9"/>
      <c r="O1391" s="9"/>
    </row>
    <row r="1392" ht="15.75" customHeight="1">
      <c r="A1392" s="9" t="str">
        <f>IFERROR(__xludf.DUMMYFUNCTION("IF(B1392="""","""",RIGHT(REGEXREPLACE(B1392&amp;"""",""[^0-9]"",""""),9))"),"763593183")</f>
        <v>763593183</v>
      </c>
      <c r="B1392" s="48">
        <v>7.63593183E8</v>
      </c>
      <c r="C1392" s="10" t="s">
        <v>1540</v>
      </c>
      <c r="D1392" s="10" t="s">
        <v>50</v>
      </c>
      <c r="E1392" s="13">
        <v>46228.0</v>
      </c>
      <c r="F1392" s="10" t="s">
        <v>198</v>
      </c>
      <c r="G1392" s="10">
        <v>11.0</v>
      </c>
      <c r="I1392" s="10" t="s">
        <v>22</v>
      </c>
      <c r="J1392" s="9" t="str">
        <f t="shared" si="34"/>
        <v>No</v>
      </c>
      <c r="K1392" s="9" t="str">
        <f t="shared" si="33"/>
        <v/>
      </c>
      <c r="L1392" s="9" t="str">
        <f t="shared" si="35"/>
        <v/>
      </c>
      <c r="M1392" s="9"/>
      <c r="O1392" s="9"/>
    </row>
    <row r="1393" ht="15.75" customHeight="1">
      <c r="A1393" s="9" t="str">
        <f>IFERROR(__xludf.DUMMYFUNCTION("IF(B1393="""","""",RIGHT(REGEXREPLACE(B1393&amp;"""",""[^0-9]"",""""),9))"),"710776796")</f>
        <v>710776796</v>
      </c>
      <c r="B1393" s="48">
        <v>7.10776796E8</v>
      </c>
      <c r="C1393" s="10" t="s">
        <v>1541</v>
      </c>
      <c r="D1393" s="10" t="s">
        <v>34</v>
      </c>
      <c r="E1393" s="13">
        <v>46228.0</v>
      </c>
      <c r="F1393" s="10" t="s">
        <v>21</v>
      </c>
      <c r="I1393" s="10" t="s">
        <v>22</v>
      </c>
      <c r="J1393" s="9" t="str">
        <f t="shared" si="34"/>
        <v>No</v>
      </c>
      <c r="K1393" s="9" t="str">
        <f t="shared" si="33"/>
        <v/>
      </c>
      <c r="L1393" s="9" t="str">
        <f t="shared" si="35"/>
        <v/>
      </c>
      <c r="M1393" s="9"/>
      <c r="O1393" s="9"/>
    </row>
    <row r="1394" ht="15.75" customHeight="1">
      <c r="A1394" s="9" t="str">
        <f>IFERROR(__xludf.DUMMYFUNCTION("IF(B1394="""","""",RIGHT(REGEXREPLACE(B1394&amp;"""",""[^0-9]"",""""),9))"),"740669379")</f>
        <v>740669379</v>
      </c>
      <c r="B1394" s="48">
        <v>7.40669379E8</v>
      </c>
      <c r="C1394" s="10" t="s">
        <v>1542</v>
      </c>
      <c r="D1394" s="10" t="s">
        <v>120</v>
      </c>
      <c r="E1394" s="13">
        <v>46228.0</v>
      </c>
      <c r="F1394" s="10" t="s">
        <v>35</v>
      </c>
      <c r="G1394" s="10">
        <v>11.0</v>
      </c>
      <c r="I1394" s="10" t="s">
        <v>22</v>
      </c>
      <c r="J1394" s="9" t="str">
        <f t="shared" si="34"/>
        <v>No</v>
      </c>
      <c r="K1394" s="9" t="str">
        <f t="shared" si="33"/>
        <v/>
      </c>
      <c r="L1394" s="9" t="str">
        <f t="shared" si="35"/>
        <v/>
      </c>
      <c r="M1394" s="9"/>
      <c r="O1394" s="9"/>
    </row>
    <row r="1395" ht="15.75" customHeight="1">
      <c r="A1395" s="9" t="str">
        <f>IFERROR(__xludf.DUMMYFUNCTION("IF(B1395="""","""",RIGHT(REGEXREPLACE(B1395&amp;"""",""[^0-9]"",""""),9))"),"702249144")</f>
        <v>702249144</v>
      </c>
      <c r="B1395" s="48">
        <v>7.02249144E8</v>
      </c>
      <c r="C1395" s="10" t="s">
        <v>1543</v>
      </c>
      <c r="D1395" s="10" t="s">
        <v>69</v>
      </c>
      <c r="E1395" s="13">
        <v>46228.0</v>
      </c>
      <c r="F1395" s="10" t="s">
        <v>171</v>
      </c>
      <c r="G1395" s="10">
        <v>11.0</v>
      </c>
      <c r="I1395" s="10" t="s">
        <v>22</v>
      </c>
      <c r="J1395" s="9" t="str">
        <f t="shared" si="34"/>
        <v>No</v>
      </c>
      <c r="K1395" s="9" t="str">
        <f t="shared" si="33"/>
        <v/>
      </c>
      <c r="L1395" s="9" t="str">
        <f t="shared" si="35"/>
        <v/>
      </c>
      <c r="M1395" s="9"/>
      <c r="O1395" s="9"/>
    </row>
    <row r="1396" ht="15.75" customHeight="1">
      <c r="A1396" s="9" t="str">
        <f>IFERROR(__xludf.DUMMYFUNCTION("IF(B1396="""","""",RIGHT(REGEXREPLACE(B1396&amp;"""",""[^0-9]"",""""),9))"),"764327766")</f>
        <v>764327766</v>
      </c>
      <c r="B1396" s="48">
        <v>7.64327766E8</v>
      </c>
      <c r="C1396" s="10" t="s">
        <v>1544</v>
      </c>
      <c r="D1396" s="10" t="s">
        <v>50</v>
      </c>
      <c r="E1396" s="13">
        <v>46228.0</v>
      </c>
      <c r="F1396" s="10" t="s">
        <v>21</v>
      </c>
      <c r="G1396" s="10">
        <v>11.0</v>
      </c>
      <c r="I1396" s="10" t="s">
        <v>22</v>
      </c>
      <c r="J1396" s="9" t="str">
        <f t="shared" si="34"/>
        <v>No</v>
      </c>
      <c r="K1396" s="9" t="str">
        <f t="shared" si="33"/>
        <v/>
      </c>
      <c r="L1396" s="9" t="str">
        <f t="shared" si="35"/>
        <v/>
      </c>
      <c r="M1396" s="9"/>
      <c r="O1396" s="9"/>
    </row>
    <row r="1397" ht="15.75" customHeight="1">
      <c r="A1397" s="9" t="str">
        <f>IFERROR(__xludf.DUMMYFUNCTION("IF(B1397="""","""",RIGHT(REGEXREPLACE(B1397&amp;"""",""[^0-9]"",""""),9))"),"711619833")</f>
        <v>711619833</v>
      </c>
      <c r="B1397" s="48">
        <v>7.11619833E8</v>
      </c>
      <c r="C1397" s="10" t="s">
        <v>1545</v>
      </c>
      <c r="D1397" s="10" t="s">
        <v>34</v>
      </c>
      <c r="E1397" s="13">
        <v>46228.0</v>
      </c>
      <c r="F1397" s="10" t="s">
        <v>35</v>
      </c>
      <c r="G1397" s="10">
        <v>11.0</v>
      </c>
      <c r="I1397" s="10" t="s">
        <v>22</v>
      </c>
      <c r="J1397" s="9" t="str">
        <f t="shared" si="34"/>
        <v>No</v>
      </c>
      <c r="K1397" s="9" t="str">
        <f t="shared" si="33"/>
        <v/>
      </c>
      <c r="L1397" s="9" t="str">
        <f t="shared" si="35"/>
        <v/>
      </c>
      <c r="M1397" s="9"/>
      <c r="O1397" s="9"/>
    </row>
    <row r="1398" ht="15.75" customHeight="1">
      <c r="A1398" s="9" t="str">
        <f>IFERROR(__xludf.DUMMYFUNCTION("IF(B1398="""","""",RIGHT(REGEXREPLACE(B1398&amp;"""",""[^0-9]"",""""),9))"),"773983064")</f>
        <v>773983064</v>
      </c>
      <c r="B1398" s="48">
        <v>7.73983064E8</v>
      </c>
      <c r="C1398" s="10" t="s">
        <v>1546</v>
      </c>
      <c r="D1398" s="10" t="s">
        <v>69</v>
      </c>
      <c r="E1398" s="13">
        <v>46228.0</v>
      </c>
      <c r="F1398" s="10" t="s">
        <v>542</v>
      </c>
      <c r="G1398" s="10">
        <v>9.0</v>
      </c>
      <c r="I1398" s="10" t="s">
        <v>22</v>
      </c>
      <c r="J1398" s="9" t="str">
        <f t="shared" si="34"/>
        <v>No</v>
      </c>
      <c r="K1398" s="9" t="str">
        <f t="shared" si="33"/>
        <v/>
      </c>
      <c r="L1398" s="9" t="str">
        <f t="shared" si="35"/>
        <v/>
      </c>
      <c r="M1398" s="9"/>
      <c r="O1398" s="9"/>
    </row>
    <row r="1399" ht="15.75" customHeight="1">
      <c r="A1399" s="9" t="str">
        <f>IFERROR(__xludf.DUMMYFUNCTION("IF(B1399="""","""",RIGHT(REGEXREPLACE(B1399&amp;"""",""[^0-9]"",""""),9))"),"785947772")</f>
        <v>785947772</v>
      </c>
      <c r="B1399" s="10">
        <v>7.85947772E8</v>
      </c>
      <c r="C1399" s="10" t="s">
        <v>1547</v>
      </c>
      <c r="D1399" s="10" t="s">
        <v>20</v>
      </c>
      <c r="E1399" s="13">
        <v>46228.0</v>
      </c>
      <c r="F1399" s="10" t="s">
        <v>21</v>
      </c>
      <c r="I1399" s="10" t="s">
        <v>22</v>
      </c>
      <c r="J1399" s="9" t="str">
        <f t="shared" si="34"/>
        <v>No</v>
      </c>
      <c r="K1399" s="9" t="str">
        <f t="shared" si="33"/>
        <v/>
      </c>
      <c r="L1399" s="9" t="str">
        <f t="shared" si="35"/>
        <v/>
      </c>
      <c r="M1399" s="9"/>
      <c r="O1399" s="9"/>
    </row>
    <row r="1400" ht="15.75" customHeight="1">
      <c r="A1400" s="9" t="str">
        <f>IFERROR(__xludf.DUMMYFUNCTION("IF(B1400="""","""",RIGHT(REGEXREPLACE(B1400&amp;"""",""[^0-9]"",""""),9))"),"762281887")</f>
        <v>762281887</v>
      </c>
      <c r="B1400" s="48">
        <v>7.62281887E8</v>
      </c>
      <c r="C1400" s="10" t="s">
        <v>1548</v>
      </c>
      <c r="D1400" s="10" t="s">
        <v>120</v>
      </c>
      <c r="E1400" s="13">
        <v>46228.0</v>
      </c>
      <c r="F1400" s="10" t="s">
        <v>35</v>
      </c>
      <c r="G1400" s="10">
        <v>11.0</v>
      </c>
      <c r="I1400" s="10" t="s">
        <v>22</v>
      </c>
      <c r="J1400" s="9" t="str">
        <f t="shared" si="34"/>
        <v>No</v>
      </c>
      <c r="K1400" s="9" t="str">
        <f t="shared" si="33"/>
        <v/>
      </c>
      <c r="L1400" s="9" t="str">
        <f t="shared" si="35"/>
        <v/>
      </c>
      <c r="M1400" s="9"/>
      <c r="O1400" s="9"/>
    </row>
    <row r="1401" ht="15.75" customHeight="1">
      <c r="A1401" s="9" t="str">
        <f>IFERROR(__xludf.DUMMYFUNCTION("IF(B1401="""","""",RIGHT(REGEXREPLACE(B1401&amp;"""",""[^0-9]"",""""),9))"),"779958978")</f>
        <v>779958978</v>
      </c>
      <c r="B1401" s="48">
        <v>7.79958978E8</v>
      </c>
      <c r="C1401" s="10" t="s">
        <v>1549</v>
      </c>
      <c r="D1401" s="10" t="s">
        <v>50</v>
      </c>
      <c r="E1401" s="13">
        <v>46228.0</v>
      </c>
      <c r="F1401" s="10" t="s">
        <v>35</v>
      </c>
      <c r="G1401" s="10">
        <v>11.0</v>
      </c>
      <c r="I1401" s="10" t="s">
        <v>22</v>
      </c>
      <c r="J1401" s="9" t="str">
        <f t="shared" si="34"/>
        <v>No</v>
      </c>
      <c r="K1401" s="9" t="str">
        <f t="shared" si="33"/>
        <v/>
      </c>
      <c r="L1401" s="9" t="str">
        <f t="shared" si="35"/>
        <v/>
      </c>
      <c r="M1401" s="9"/>
      <c r="O1401" s="9"/>
    </row>
    <row r="1402" ht="15.75" customHeight="1">
      <c r="A1402" s="9" t="str">
        <f>IFERROR(__xludf.DUMMYFUNCTION("IF(B1402="""","""",RIGHT(REGEXREPLACE(B1402&amp;"""",""[^0-9]"",""""),9))"),"702831331")</f>
        <v>702831331</v>
      </c>
      <c r="B1402" s="48">
        <v>7.02831331E8</v>
      </c>
      <c r="C1402" s="10" t="s">
        <v>1550</v>
      </c>
      <c r="D1402" s="10" t="s">
        <v>34</v>
      </c>
      <c r="E1402" s="13">
        <v>46228.0</v>
      </c>
      <c r="F1402" s="10" t="s">
        <v>21</v>
      </c>
      <c r="G1402" s="10">
        <v>10.0</v>
      </c>
      <c r="I1402" s="10" t="s">
        <v>22</v>
      </c>
      <c r="J1402" s="9" t="str">
        <f t="shared" si="34"/>
        <v>No</v>
      </c>
      <c r="K1402" s="9" t="str">
        <f t="shared" si="33"/>
        <v/>
      </c>
      <c r="L1402" s="9" t="str">
        <f t="shared" si="35"/>
        <v/>
      </c>
      <c r="M1402" s="9"/>
      <c r="O1402" s="9"/>
    </row>
    <row r="1403" ht="15.75" customHeight="1">
      <c r="A1403" s="9" t="str">
        <f>IFERROR(__xludf.DUMMYFUNCTION("IF(B1403="""","""",RIGHT(REGEXREPLACE(B1403&amp;"""",""[^0-9]"",""""),9))"),"702605363")</f>
        <v>702605363</v>
      </c>
      <c r="B1403" s="48">
        <v>7.02605363E8</v>
      </c>
      <c r="C1403" s="10" t="s">
        <v>1551</v>
      </c>
      <c r="D1403" s="10" t="s">
        <v>50</v>
      </c>
      <c r="E1403" s="13">
        <v>46228.0</v>
      </c>
      <c r="F1403" s="10" t="s">
        <v>35</v>
      </c>
      <c r="G1403" s="10">
        <v>11.0</v>
      </c>
      <c r="I1403" s="10" t="s">
        <v>22</v>
      </c>
      <c r="J1403" s="9" t="str">
        <f t="shared" si="34"/>
        <v>No</v>
      </c>
      <c r="K1403" s="9" t="str">
        <f t="shared" si="33"/>
        <v/>
      </c>
      <c r="L1403" s="9" t="str">
        <f t="shared" si="35"/>
        <v/>
      </c>
      <c r="M1403" s="9"/>
      <c r="O1403" s="9"/>
    </row>
    <row r="1404" ht="15.75" customHeight="1">
      <c r="A1404" s="9" t="str">
        <f>IFERROR(__xludf.DUMMYFUNCTION("IF(B1404="""","""",RIGHT(REGEXREPLACE(B1404&amp;"""",""[^0-9]"",""""),9))"),"772245715")</f>
        <v>772245715</v>
      </c>
      <c r="B1404" s="48">
        <v>7.72245715E8</v>
      </c>
      <c r="C1404" s="10" t="s">
        <v>774</v>
      </c>
      <c r="D1404" s="10" t="s">
        <v>120</v>
      </c>
      <c r="E1404" s="13">
        <v>46228.0</v>
      </c>
      <c r="F1404" s="10" t="s">
        <v>35</v>
      </c>
      <c r="G1404" s="10">
        <v>10.0</v>
      </c>
      <c r="I1404" s="10" t="s">
        <v>22</v>
      </c>
      <c r="J1404" s="9" t="str">
        <f t="shared" si="34"/>
        <v>Yes - see Previous F-Code</v>
      </c>
      <c r="K1404" s="9" t="str">
        <f t="shared" si="33"/>
        <v>DUPLICATE - CHECK</v>
      </c>
      <c r="L1404" s="9" t="str">
        <f t="shared" si="35"/>
        <v>F70610</v>
      </c>
      <c r="M1404" s="9"/>
      <c r="O1404" s="9"/>
    </row>
    <row r="1405" ht="15.75" customHeight="1">
      <c r="A1405" s="9" t="str">
        <f>IFERROR(__xludf.DUMMYFUNCTION("IF(B1405="""","""",RIGHT(REGEXREPLACE(B1405&amp;"""",""[^0-9]"",""""),9))"),"705908876")</f>
        <v>705908876</v>
      </c>
      <c r="B1405" s="48">
        <v>7.05908876E8</v>
      </c>
      <c r="C1405" s="10" t="s">
        <v>1552</v>
      </c>
      <c r="D1405" s="10" t="s">
        <v>34</v>
      </c>
      <c r="E1405" s="13">
        <v>46228.0</v>
      </c>
      <c r="F1405" s="10" t="s">
        <v>21</v>
      </c>
      <c r="G1405" s="10">
        <v>11.0</v>
      </c>
      <c r="I1405" s="10" t="s">
        <v>22</v>
      </c>
      <c r="J1405" s="9" t="str">
        <f t="shared" si="34"/>
        <v>No</v>
      </c>
      <c r="K1405" s="9" t="str">
        <f t="shared" si="33"/>
        <v/>
      </c>
      <c r="L1405" s="9" t="str">
        <f t="shared" si="35"/>
        <v/>
      </c>
      <c r="M1405" s="9"/>
      <c r="O1405" s="9"/>
    </row>
    <row r="1406" ht="15.75" customHeight="1">
      <c r="A1406" s="9" t="str">
        <f>IFERROR(__xludf.DUMMYFUNCTION("IF(B1406="""","""",RIGHT(REGEXREPLACE(B1406&amp;"""",""[^0-9]"",""""),9))"),"775804749")</f>
        <v>775804749</v>
      </c>
      <c r="B1406" s="48">
        <v>7.75804749E8</v>
      </c>
      <c r="C1406" s="10" t="s">
        <v>1553</v>
      </c>
      <c r="D1406" s="10" t="s">
        <v>69</v>
      </c>
      <c r="E1406" s="13">
        <v>46228.0</v>
      </c>
      <c r="F1406" s="10" t="s">
        <v>198</v>
      </c>
      <c r="G1406" s="10">
        <v>10.0</v>
      </c>
      <c r="I1406" s="10" t="s">
        <v>22</v>
      </c>
      <c r="J1406" s="9" t="str">
        <f t="shared" si="34"/>
        <v>No</v>
      </c>
      <c r="K1406" s="9" t="str">
        <f t="shared" si="33"/>
        <v/>
      </c>
      <c r="L1406" s="9" t="str">
        <f t="shared" si="35"/>
        <v/>
      </c>
      <c r="M1406" s="9"/>
      <c r="O1406" s="9"/>
    </row>
    <row r="1407" ht="15.75" customHeight="1">
      <c r="A1407" s="9" t="str">
        <f>IFERROR(__xludf.DUMMYFUNCTION("IF(B1407="""","""",RIGHT(REGEXREPLACE(B1407&amp;"""",""[^0-9]"",""""),9))"),"763729067")</f>
        <v>763729067</v>
      </c>
      <c r="B1407" s="48">
        <v>7.63729067E8</v>
      </c>
      <c r="C1407" s="10" t="s">
        <v>1554</v>
      </c>
      <c r="D1407" s="10" t="s">
        <v>120</v>
      </c>
      <c r="E1407" s="13">
        <v>46228.0</v>
      </c>
      <c r="F1407" s="10" t="s">
        <v>35</v>
      </c>
      <c r="G1407" s="10">
        <v>11.0</v>
      </c>
      <c r="I1407" s="10" t="s">
        <v>22</v>
      </c>
      <c r="J1407" s="9" t="str">
        <f t="shared" si="34"/>
        <v>No</v>
      </c>
      <c r="K1407" s="9" t="str">
        <f t="shared" si="33"/>
        <v/>
      </c>
      <c r="L1407" s="9" t="str">
        <f t="shared" si="35"/>
        <v/>
      </c>
      <c r="M1407" s="9"/>
      <c r="O1407" s="9"/>
    </row>
    <row r="1408" ht="15.75" customHeight="1">
      <c r="A1408" s="9" t="str">
        <f>IFERROR(__xludf.DUMMYFUNCTION("IF(B1408="""","""",RIGHT(REGEXREPLACE(B1408&amp;"""",""[^0-9]"",""""),9))"),"767035512")</f>
        <v>767035512</v>
      </c>
      <c r="B1408" s="48">
        <v>7.67035512E8</v>
      </c>
      <c r="C1408" s="10" t="s">
        <v>1555</v>
      </c>
      <c r="D1408" s="10" t="s">
        <v>69</v>
      </c>
      <c r="E1408" s="13">
        <v>46228.0</v>
      </c>
      <c r="F1408" s="10" t="s">
        <v>21</v>
      </c>
      <c r="G1408" s="10">
        <v>11.0</v>
      </c>
      <c r="I1408" s="10" t="s">
        <v>22</v>
      </c>
      <c r="J1408" s="9" t="str">
        <f t="shared" si="34"/>
        <v>No</v>
      </c>
      <c r="K1408" s="9" t="str">
        <f t="shared" si="33"/>
        <v/>
      </c>
      <c r="L1408" s="9" t="str">
        <f t="shared" si="35"/>
        <v/>
      </c>
      <c r="M1408" s="9"/>
      <c r="O1408" s="9"/>
    </row>
    <row r="1409" ht="15.75" customHeight="1">
      <c r="A1409" s="9" t="str">
        <f>IFERROR(__xludf.DUMMYFUNCTION("IF(B1409="""","""",RIGHT(REGEXREPLACE(B1409&amp;"""",""[^0-9]"",""""),9))"),"763971813")</f>
        <v>763971813</v>
      </c>
      <c r="B1409" s="48">
        <v>7.63971813E8</v>
      </c>
      <c r="C1409" s="10" t="s">
        <v>1556</v>
      </c>
      <c r="D1409" s="10" t="s">
        <v>34</v>
      </c>
      <c r="E1409" s="13">
        <v>46228.0</v>
      </c>
      <c r="F1409" s="10" t="s">
        <v>198</v>
      </c>
      <c r="I1409" s="10" t="s">
        <v>22</v>
      </c>
      <c r="J1409" s="9" t="str">
        <f t="shared" si="34"/>
        <v>No</v>
      </c>
      <c r="K1409" s="9" t="str">
        <f t="shared" si="33"/>
        <v/>
      </c>
      <c r="L1409" s="9" t="str">
        <f t="shared" si="35"/>
        <v/>
      </c>
      <c r="M1409" s="9"/>
      <c r="O1409" s="9"/>
    </row>
    <row r="1410" ht="15.75" customHeight="1">
      <c r="A1410" s="9" t="str">
        <f>IFERROR(__xludf.DUMMYFUNCTION("IF(B1410="""","""",RIGHT(REGEXREPLACE(B1410&amp;"""",""[^0-9]"",""""),9))"),"777498353")</f>
        <v>777498353</v>
      </c>
      <c r="B1410" s="48">
        <v>7.77498353E8</v>
      </c>
      <c r="C1410" s="10" t="s">
        <v>1557</v>
      </c>
      <c r="D1410" s="10" t="s">
        <v>50</v>
      </c>
      <c r="E1410" s="13">
        <v>46228.0</v>
      </c>
      <c r="F1410" s="10" t="s">
        <v>35</v>
      </c>
      <c r="G1410" s="10">
        <v>11.0</v>
      </c>
      <c r="I1410" s="10" t="s">
        <v>22</v>
      </c>
      <c r="J1410" s="9" t="str">
        <f t="shared" si="34"/>
        <v>No</v>
      </c>
      <c r="K1410" s="9" t="str">
        <f t="shared" si="33"/>
        <v/>
      </c>
      <c r="L1410" s="9" t="str">
        <f t="shared" si="35"/>
        <v/>
      </c>
      <c r="M1410" s="9"/>
      <c r="O1410" s="9"/>
    </row>
    <row r="1411" ht="15.75" customHeight="1">
      <c r="A1411" s="9" t="str">
        <f>IFERROR(__xludf.DUMMYFUNCTION("IF(B1411="""","""",RIGHT(REGEXREPLACE(B1411&amp;"""",""[^0-9]"",""""),9))"),"755135335")</f>
        <v>755135335</v>
      </c>
      <c r="B1411" s="48">
        <v>7.55135335E8</v>
      </c>
      <c r="C1411" s="10" t="s">
        <v>1558</v>
      </c>
      <c r="D1411" s="10" t="s">
        <v>34</v>
      </c>
      <c r="E1411" s="13">
        <v>46228.0</v>
      </c>
      <c r="F1411" s="10" t="s">
        <v>113</v>
      </c>
      <c r="G1411" s="10">
        <v>10.0</v>
      </c>
      <c r="I1411" s="10" t="s">
        <v>22</v>
      </c>
      <c r="J1411" s="9" t="str">
        <f t="shared" si="34"/>
        <v>No</v>
      </c>
      <c r="K1411" s="9" t="str">
        <f t="shared" si="33"/>
        <v/>
      </c>
      <c r="L1411" s="9" t="str">
        <f t="shared" si="35"/>
        <v/>
      </c>
      <c r="M1411" s="9"/>
      <c r="O1411" s="9"/>
    </row>
    <row r="1412" ht="15.75" customHeight="1">
      <c r="A1412" s="9" t="str">
        <f>IFERROR(__xludf.DUMMYFUNCTION("IF(B1412="""","""",RIGHT(REGEXREPLACE(B1412&amp;"""",""[^0-9]"",""""),9))"),"769979482")</f>
        <v>769979482</v>
      </c>
      <c r="B1412" s="48">
        <v>7.69979482E8</v>
      </c>
      <c r="C1412" s="10" t="s">
        <v>1559</v>
      </c>
      <c r="D1412" s="10" t="s">
        <v>120</v>
      </c>
      <c r="E1412" s="13">
        <v>46228.0</v>
      </c>
      <c r="F1412" s="10" t="s">
        <v>113</v>
      </c>
      <c r="I1412" s="10" t="s">
        <v>22</v>
      </c>
      <c r="J1412" s="9" t="str">
        <f t="shared" si="34"/>
        <v>No</v>
      </c>
      <c r="K1412" s="9" t="str">
        <f t="shared" si="33"/>
        <v/>
      </c>
      <c r="L1412" s="9" t="str">
        <f t="shared" si="35"/>
        <v/>
      </c>
      <c r="M1412" s="9"/>
      <c r="O1412" s="9"/>
    </row>
    <row r="1413" ht="15.75" customHeight="1">
      <c r="A1413" s="9" t="str">
        <f>IFERROR(__xludf.DUMMYFUNCTION("IF(B1413="""","""",RIGHT(REGEXREPLACE(B1413&amp;"""",""[^0-9]"",""""),9))"),"763540731")</f>
        <v>763540731</v>
      </c>
      <c r="B1413" s="48">
        <v>7.63540731E8</v>
      </c>
      <c r="C1413" s="10" t="s">
        <v>1560</v>
      </c>
      <c r="D1413" s="10" t="s">
        <v>69</v>
      </c>
      <c r="E1413" s="13">
        <v>46228.0</v>
      </c>
      <c r="F1413" s="10" t="s">
        <v>35</v>
      </c>
      <c r="G1413" s="10">
        <v>11.0</v>
      </c>
      <c r="I1413" s="10" t="s">
        <v>22</v>
      </c>
      <c r="J1413" s="9" t="str">
        <f t="shared" si="34"/>
        <v>No</v>
      </c>
      <c r="K1413" s="9" t="str">
        <f t="shared" si="33"/>
        <v/>
      </c>
      <c r="L1413" s="9" t="str">
        <f t="shared" si="35"/>
        <v/>
      </c>
      <c r="M1413" s="9"/>
      <c r="O1413" s="9"/>
    </row>
    <row r="1414" ht="15.75" customHeight="1">
      <c r="A1414" s="9" t="str">
        <f>IFERROR(__xludf.DUMMYFUNCTION("IF(B1414="""","""",RIGHT(REGEXREPLACE(B1414&amp;"""",""[^0-9]"",""""),9))"),"723133154")</f>
        <v>723133154</v>
      </c>
      <c r="B1414" s="48">
        <v>7.23133154E8</v>
      </c>
      <c r="C1414" s="10" t="s">
        <v>1561</v>
      </c>
      <c r="D1414" s="10" t="s">
        <v>50</v>
      </c>
      <c r="E1414" s="13">
        <v>46228.0</v>
      </c>
      <c r="F1414" s="10" t="s">
        <v>35</v>
      </c>
      <c r="G1414" s="10">
        <v>11.0</v>
      </c>
      <c r="I1414" s="10" t="s">
        <v>22</v>
      </c>
      <c r="J1414" s="9" t="str">
        <f t="shared" si="34"/>
        <v>No</v>
      </c>
      <c r="K1414" s="9" t="str">
        <f t="shared" si="33"/>
        <v/>
      </c>
      <c r="L1414" s="9" t="str">
        <f t="shared" si="35"/>
        <v/>
      </c>
      <c r="M1414" s="9"/>
      <c r="O1414" s="9"/>
    </row>
    <row r="1415" ht="15.75" customHeight="1">
      <c r="A1415" s="9" t="str">
        <f>IFERROR(__xludf.DUMMYFUNCTION("IF(B1415="""","""",RIGHT(REGEXREPLACE(B1415&amp;"""",""[^0-9]"",""""),9))"),"774943931")</f>
        <v>774943931</v>
      </c>
      <c r="B1415" s="48">
        <v>7.74943931E8</v>
      </c>
      <c r="C1415" s="10" t="s">
        <v>1383</v>
      </c>
      <c r="D1415" s="10" t="s">
        <v>120</v>
      </c>
      <c r="E1415" s="13">
        <v>46228.0</v>
      </c>
      <c r="F1415" s="10" t="s">
        <v>35</v>
      </c>
      <c r="G1415" s="10">
        <v>11.0</v>
      </c>
      <c r="I1415" s="10" t="s">
        <v>22</v>
      </c>
      <c r="J1415" s="9" t="str">
        <f t="shared" si="34"/>
        <v>No</v>
      </c>
      <c r="K1415" s="9" t="str">
        <f t="shared" si="33"/>
        <v/>
      </c>
      <c r="L1415" s="9" t="str">
        <f t="shared" si="35"/>
        <v/>
      </c>
      <c r="M1415" s="9"/>
      <c r="O1415" s="9"/>
    </row>
    <row r="1416" ht="15.75" customHeight="1">
      <c r="A1416" s="9" t="str">
        <f>IFERROR(__xludf.DUMMYFUNCTION("IF(B1416="""","""",RIGHT(REGEXREPLACE(B1416&amp;"""",""[^0-9]"",""""),9))"),"761298982")</f>
        <v>761298982</v>
      </c>
      <c r="B1416" s="48">
        <v>7.61298982E8</v>
      </c>
      <c r="C1416" s="10" t="s">
        <v>1562</v>
      </c>
      <c r="D1416" s="10" t="s">
        <v>34</v>
      </c>
      <c r="E1416" s="13">
        <v>46228.0</v>
      </c>
      <c r="F1416" s="10" t="s">
        <v>35</v>
      </c>
      <c r="G1416" s="10">
        <v>11.0</v>
      </c>
      <c r="I1416" s="10" t="s">
        <v>22</v>
      </c>
      <c r="J1416" s="9" t="str">
        <f t="shared" si="34"/>
        <v>No</v>
      </c>
      <c r="K1416" s="9" t="str">
        <f t="shared" si="33"/>
        <v/>
      </c>
      <c r="L1416" s="9" t="str">
        <f t="shared" si="35"/>
        <v/>
      </c>
      <c r="M1416" s="9"/>
      <c r="O1416" s="9"/>
    </row>
    <row r="1417" ht="15.75" customHeight="1">
      <c r="A1417" s="9" t="str">
        <f>IFERROR(__xludf.DUMMYFUNCTION("IF(B1417="""","""",RIGHT(REGEXREPLACE(B1417&amp;"""",""[^0-9]"",""""),9))"),"719473081")</f>
        <v>719473081</v>
      </c>
      <c r="B1417" s="48">
        <v>7.19473081E8</v>
      </c>
      <c r="C1417" s="10" t="s">
        <v>1563</v>
      </c>
      <c r="D1417" s="10" t="s">
        <v>69</v>
      </c>
      <c r="E1417" s="13">
        <v>46228.0</v>
      </c>
      <c r="F1417" s="10" t="s">
        <v>35</v>
      </c>
      <c r="G1417" s="10">
        <v>11.0</v>
      </c>
      <c r="I1417" s="10" t="s">
        <v>22</v>
      </c>
      <c r="J1417" s="9" t="str">
        <f t="shared" si="34"/>
        <v>No</v>
      </c>
      <c r="K1417" s="9" t="str">
        <f t="shared" si="33"/>
        <v/>
      </c>
      <c r="L1417" s="9" t="str">
        <f t="shared" si="35"/>
        <v/>
      </c>
      <c r="M1417" s="9"/>
      <c r="O1417" s="9"/>
    </row>
    <row r="1418" ht="15.75" customHeight="1">
      <c r="A1418" s="9" t="str">
        <f>IFERROR(__xludf.DUMMYFUNCTION("IF(B1418="""","""",RIGHT(REGEXREPLACE(B1418&amp;"""",""[^0-9]"",""""),9))"),"740177670")</f>
        <v>740177670</v>
      </c>
      <c r="B1418" s="48">
        <v>7.4017767E8</v>
      </c>
      <c r="C1418" s="10" t="s">
        <v>1564</v>
      </c>
      <c r="D1418" s="10" t="s">
        <v>50</v>
      </c>
      <c r="E1418" s="13">
        <v>46228.0</v>
      </c>
      <c r="F1418" s="10" t="s">
        <v>35</v>
      </c>
      <c r="G1418" s="10">
        <v>11.0</v>
      </c>
      <c r="I1418" s="10" t="s">
        <v>22</v>
      </c>
      <c r="J1418" s="9" t="str">
        <f t="shared" si="34"/>
        <v>No</v>
      </c>
      <c r="K1418" s="9" t="str">
        <f t="shared" si="33"/>
        <v/>
      </c>
      <c r="L1418" s="9" t="str">
        <f t="shared" si="35"/>
        <v/>
      </c>
      <c r="M1418" s="9"/>
      <c r="O1418" s="9"/>
    </row>
    <row r="1419" ht="15.75" customHeight="1">
      <c r="A1419" s="9" t="str">
        <f>IFERROR(__xludf.DUMMYFUNCTION("IF(B1419="""","""",RIGHT(REGEXREPLACE(B1419&amp;"""",""[^0-9]"",""""),9))"),"771893510")</f>
        <v>771893510</v>
      </c>
      <c r="B1419" s="10">
        <v>7.7189351E8</v>
      </c>
      <c r="C1419" s="10" t="s">
        <v>1565</v>
      </c>
      <c r="D1419" s="10" t="s">
        <v>34</v>
      </c>
      <c r="E1419" s="13">
        <v>46228.0</v>
      </c>
      <c r="F1419" s="10" t="s">
        <v>35</v>
      </c>
      <c r="G1419" s="10">
        <v>11.0</v>
      </c>
      <c r="I1419" s="10" t="s">
        <v>22</v>
      </c>
      <c r="J1419" s="9" t="str">
        <f t="shared" si="34"/>
        <v>No</v>
      </c>
      <c r="K1419" s="9" t="str">
        <f t="shared" si="33"/>
        <v/>
      </c>
      <c r="L1419" s="9" t="str">
        <f t="shared" si="35"/>
        <v/>
      </c>
      <c r="M1419" s="9"/>
      <c r="O1419" s="9"/>
    </row>
    <row r="1420" ht="15.75" customHeight="1">
      <c r="A1420" s="9" t="str">
        <f>IFERROR(__xludf.DUMMYFUNCTION("IF(B1420="""","""",RIGHT(REGEXREPLACE(B1420&amp;"""",""[^0-9]"",""""),9))"),"767569514")</f>
        <v>767569514</v>
      </c>
      <c r="B1420" s="48">
        <v>7.67569514E8</v>
      </c>
      <c r="C1420" s="10" t="s">
        <v>1566</v>
      </c>
      <c r="D1420" s="10" t="s">
        <v>69</v>
      </c>
      <c r="E1420" s="13">
        <v>46228.0</v>
      </c>
      <c r="F1420" s="10" t="s">
        <v>604</v>
      </c>
      <c r="I1420" s="10" t="s">
        <v>22</v>
      </c>
      <c r="J1420" s="9" t="str">
        <f t="shared" si="34"/>
        <v>No</v>
      </c>
      <c r="K1420" s="9" t="str">
        <f t="shared" si="33"/>
        <v/>
      </c>
      <c r="L1420" s="9" t="str">
        <f t="shared" si="35"/>
        <v/>
      </c>
      <c r="M1420" s="9"/>
      <c r="O1420" s="9"/>
    </row>
    <row r="1421" ht="15.75" customHeight="1">
      <c r="A1421" s="9" t="str">
        <f>IFERROR(__xludf.DUMMYFUNCTION("IF(B1421="""","""",RIGHT(REGEXREPLACE(B1421&amp;"""",""[^0-9]"",""""),9))"),"741413841")</f>
        <v>741413841</v>
      </c>
      <c r="B1421" s="48">
        <v>7.41413841E8</v>
      </c>
      <c r="C1421" s="10" t="s">
        <v>1567</v>
      </c>
      <c r="D1421" s="10" t="s">
        <v>50</v>
      </c>
      <c r="E1421" s="13">
        <v>46228.0</v>
      </c>
      <c r="F1421" s="10" t="s">
        <v>198</v>
      </c>
      <c r="G1421" s="10">
        <v>11.0</v>
      </c>
      <c r="I1421" s="10" t="s">
        <v>22</v>
      </c>
      <c r="J1421" s="9" t="str">
        <f t="shared" si="34"/>
        <v>No</v>
      </c>
      <c r="K1421" s="9" t="str">
        <f t="shared" si="33"/>
        <v/>
      </c>
      <c r="L1421" s="9" t="str">
        <f t="shared" si="35"/>
        <v/>
      </c>
      <c r="M1421" s="9"/>
      <c r="O1421" s="9"/>
    </row>
    <row r="1422" ht="15.75" customHeight="1">
      <c r="A1422" s="9" t="str">
        <f>IFERROR(__xludf.DUMMYFUNCTION("IF(B1422="""","""",RIGHT(REGEXREPLACE(B1422&amp;"""",""[^0-9]"",""""),9))"),"741293699")</f>
        <v>741293699</v>
      </c>
      <c r="B1422" s="48">
        <v>7.41293699E8</v>
      </c>
      <c r="C1422" s="10" t="s">
        <v>1568</v>
      </c>
      <c r="D1422" s="10" t="s">
        <v>120</v>
      </c>
      <c r="E1422" s="13">
        <v>46228.0</v>
      </c>
      <c r="F1422" s="10" t="s">
        <v>35</v>
      </c>
      <c r="G1422" s="10">
        <v>11.0</v>
      </c>
      <c r="I1422" s="10" t="s">
        <v>22</v>
      </c>
      <c r="J1422" s="9" t="str">
        <f t="shared" si="34"/>
        <v>No</v>
      </c>
      <c r="K1422" s="9" t="str">
        <f t="shared" si="33"/>
        <v/>
      </c>
      <c r="L1422" s="9" t="str">
        <f t="shared" si="35"/>
        <v/>
      </c>
      <c r="M1422" s="9"/>
      <c r="O1422" s="9"/>
    </row>
    <row r="1423" ht="15.75" customHeight="1">
      <c r="A1423" s="9" t="str">
        <f>IFERROR(__xludf.DUMMYFUNCTION("IF(B1423="""","""",RIGHT(REGEXREPLACE(B1423&amp;"""",""[^0-9]"",""""),9))"),"716206057")</f>
        <v>716206057</v>
      </c>
      <c r="B1423" s="48">
        <v>7.16206057E8</v>
      </c>
      <c r="C1423" s="10" t="s">
        <v>1569</v>
      </c>
      <c r="D1423" s="10" t="s">
        <v>69</v>
      </c>
      <c r="E1423" s="13">
        <v>46228.0</v>
      </c>
      <c r="F1423" s="10" t="s">
        <v>35</v>
      </c>
      <c r="G1423" s="10">
        <v>11.0</v>
      </c>
      <c r="H1423" s="10" t="s">
        <v>1570</v>
      </c>
      <c r="I1423" s="10" t="s">
        <v>22</v>
      </c>
      <c r="J1423" s="9" t="str">
        <f t="shared" si="34"/>
        <v>No</v>
      </c>
      <c r="K1423" s="9" t="str">
        <f t="shared" si="33"/>
        <v/>
      </c>
      <c r="L1423" s="9" t="str">
        <f t="shared" si="35"/>
        <v/>
      </c>
      <c r="M1423" s="9"/>
      <c r="O1423" s="9"/>
    </row>
    <row r="1424" ht="15.75" customHeight="1">
      <c r="A1424" s="9" t="str">
        <f>IFERROR(__xludf.DUMMYFUNCTION("IF(B1424="""","""",RIGHT(REGEXREPLACE(B1424&amp;"""",""[^0-9]"",""""),9))"),"769960434")</f>
        <v>769960434</v>
      </c>
      <c r="B1424" s="48">
        <v>7.69960434E8</v>
      </c>
      <c r="C1424" s="10" t="s">
        <v>1571</v>
      </c>
      <c r="D1424" s="10" t="s">
        <v>50</v>
      </c>
      <c r="E1424" s="13">
        <v>46228.0</v>
      </c>
      <c r="F1424" s="10" t="s">
        <v>35</v>
      </c>
      <c r="G1424" s="10">
        <v>11.0</v>
      </c>
      <c r="I1424" s="10" t="s">
        <v>22</v>
      </c>
      <c r="J1424" s="9" t="str">
        <f t="shared" si="34"/>
        <v>No</v>
      </c>
      <c r="K1424" s="9" t="str">
        <f t="shared" si="33"/>
        <v/>
      </c>
      <c r="L1424" s="9" t="str">
        <f t="shared" si="35"/>
        <v/>
      </c>
      <c r="M1424" s="9"/>
      <c r="O1424" s="9"/>
    </row>
    <row r="1425" ht="15.75" customHeight="1">
      <c r="A1425" s="9" t="str">
        <f>IFERROR(__xludf.DUMMYFUNCTION("IF(B1425="""","""",RIGHT(REGEXREPLACE(B1425&amp;"""",""[^0-9]"",""""),9))"),"763735820")</f>
        <v>763735820</v>
      </c>
      <c r="B1425" s="48">
        <v>7.6373582E8</v>
      </c>
      <c r="C1425" s="10" t="s">
        <v>1572</v>
      </c>
      <c r="D1425" s="10" t="s">
        <v>50</v>
      </c>
      <c r="E1425" s="13">
        <v>46228.0</v>
      </c>
      <c r="F1425" s="10" t="s">
        <v>21</v>
      </c>
      <c r="G1425" s="10">
        <v>11.0</v>
      </c>
      <c r="I1425" s="10" t="s">
        <v>22</v>
      </c>
      <c r="J1425" s="9" t="str">
        <f t="shared" si="34"/>
        <v>No</v>
      </c>
      <c r="K1425" s="9" t="str">
        <f t="shared" si="33"/>
        <v/>
      </c>
      <c r="L1425" s="9" t="str">
        <f t="shared" si="35"/>
        <v/>
      </c>
      <c r="M1425" s="9"/>
      <c r="O1425" s="9"/>
    </row>
    <row r="1426" ht="15.75" customHeight="1">
      <c r="A1426" s="9" t="str">
        <f>IFERROR(__xludf.DUMMYFUNCTION("IF(B1426="""","""",RIGHT(REGEXREPLACE(B1426&amp;"""",""[^0-9]"",""""),9))"),"767651627")</f>
        <v>767651627</v>
      </c>
      <c r="B1426" s="10">
        <v>7.67651627E8</v>
      </c>
      <c r="C1426" s="10" t="s">
        <v>1573</v>
      </c>
      <c r="D1426" s="10" t="s">
        <v>20</v>
      </c>
      <c r="E1426" s="13">
        <v>46228.0</v>
      </c>
      <c r="F1426" s="10" t="s">
        <v>198</v>
      </c>
      <c r="I1426" s="10" t="s">
        <v>22</v>
      </c>
      <c r="J1426" s="9" t="str">
        <f t="shared" si="34"/>
        <v>No</v>
      </c>
      <c r="K1426" s="9" t="str">
        <f t="shared" si="33"/>
        <v/>
      </c>
      <c r="L1426" s="9" t="str">
        <f t="shared" si="35"/>
        <v/>
      </c>
      <c r="M1426" s="9"/>
      <c r="O1426" s="9"/>
    </row>
    <row r="1427" ht="15.75" customHeight="1">
      <c r="A1427" s="9" t="str">
        <f>IFERROR(__xludf.DUMMYFUNCTION("IF(B1427="""","""",RIGHT(REGEXREPLACE(B1427&amp;"""",""[^0-9]"",""""),9))"),"768871877")</f>
        <v>768871877</v>
      </c>
      <c r="B1427" s="48">
        <v>7.68871877E8</v>
      </c>
      <c r="C1427" s="10" t="s">
        <v>1574</v>
      </c>
      <c r="D1427" s="10" t="s">
        <v>34</v>
      </c>
      <c r="E1427" s="13">
        <v>46228.0</v>
      </c>
      <c r="F1427" s="10" t="s">
        <v>145</v>
      </c>
      <c r="G1427" s="10">
        <v>11.0</v>
      </c>
      <c r="I1427" s="10" t="s">
        <v>22</v>
      </c>
      <c r="J1427" s="9" t="str">
        <f t="shared" si="34"/>
        <v>No</v>
      </c>
      <c r="K1427" s="9" t="str">
        <f t="shared" si="33"/>
        <v/>
      </c>
      <c r="L1427" s="9" t="str">
        <f t="shared" si="35"/>
        <v/>
      </c>
      <c r="M1427" s="9"/>
      <c r="O1427" s="9"/>
    </row>
    <row r="1428" ht="15.75" customHeight="1">
      <c r="A1428" s="9" t="str">
        <f>IFERROR(__xludf.DUMMYFUNCTION("IF(B1428="""","""",RIGHT(REGEXREPLACE(B1428&amp;"""",""[^0-9]"",""""),9))"),"714762997")</f>
        <v>714762997</v>
      </c>
      <c r="B1428" s="10">
        <v>7.14762997E8</v>
      </c>
      <c r="C1428" s="10" t="s">
        <v>1575</v>
      </c>
      <c r="D1428" s="10" t="s">
        <v>20</v>
      </c>
      <c r="E1428" s="13">
        <v>46228.0</v>
      </c>
      <c r="F1428" s="10" t="s">
        <v>542</v>
      </c>
      <c r="G1428" s="10">
        <v>11.0</v>
      </c>
      <c r="H1428" s="10" t="s">
        <v>1233</v>
      </c>
      <c r="I1428" s="10" t="s">
        <v>22</v>
      </c>
      <c r="J1428" s="9" t="str">
        <f t="shared" si="34"/>
        <v>No</v>
      </c>
      <c r="K1428" s="9" t="str">
        <f t="shared" si="33"/>
        <v/>
      </c>
      <c r="L1428" s="9" t="str">
        <f t="shared" si="35"/>
        <v/>
      </c>
      <c r="M1428" s="9"/>
      <c r="O1428" s="9"/>
    </row>
    <row r="1429" ht="15.75" customHeight="1">
      <c r="A1429" s="9" t="str">
        <f>IFERROR(__xludf.DUMMYFUNCTION("IF(B1429="""","""",RIGHT(REGEXREPLACE(B1429&amp;"""",""[^0-9]"",""""),9))"),"712777001")</f>
        <v>712777001</v>
      </c>
      <c r="B1429" s="48">
        <v>7.12777001E8</v>
      </c>
      <c r="C1429" s="10" t="s">
        <v>1576</v>
      </c>
      <c r="D1429" s="10" t="s">
        <v>50</v>
      </c>
      <c r="E1429" s="13">
        <v>46228.0</v>
      </c>
      <c r="F1429" s="10" t="s">
        <v>35</v>
      </c>
      <c r="G1429" s="10">
        <v>11.0</v>
      </c>
      <c r="I1429" s="10" t="s">
        <v>22</v>
      </c>
      <c r="J1429" s="9" t="str">
        <f t="shared" si="34"/>
        <v>No</v>
      </c>
      <c r="K1429" s="9" t="str">
        <f t="shared" si="33"/>
        <v/>
      </c>
      <c r="L1429" s="9" t="str">
        <f t="shared" si="35"/>
        <v/>
      </c>
      <c r="M1429" s="9"/>
      <c r="O1429" s="9"/>
    </row>
    <row r="1430" ht="15.75" customHeight="1">
      <c r="A1430" s="9" t="str">
        <f>IFERROR(__xludf.DUMMYFUNCTION("IF(B1430="""","""",RIGHT(REGEXREPLACE(B1430&amp;"""",""[^0-9]"",""""),9))"),"719547434")</f>
        <v>719547434</v>
      </c>
      <c r="B1430" s="10">
        <v>7.19547434E8</v>
      </c>
      <c r="C1430" s="10" t="s">
        <v>1577</v>
      </c>
      <c r="D1430" s="10" t="s">
        <v>69</v>
      </c>
      <c r="E1430" s="13">
        <v>46228.0</v>
      </c>
      <c r="F1430" s="10" t="s">
        <v>35</v>
      </c>
      <c r="G1430" s="10">
        <v>11.0</v>
      </c>
      <c r="I1430" s="10" t="s">
        <v>22</v>
      </c>
      <c r="J1430" s="9" t="str">
        <f t="shared" si="34"/>
        <v>No</v>
      </c>
      <c r="K1430" s="9" t="str">
        <f t="shared" si="33"/>
        <v/>
      </c>
      <c r="L1430" s="9" t="str">
        <f t="shared" si="35"/>
        <v/>
      </c>
      <c r="M1430" s="9"/>
      <c r="O1430" s="9"/>
    </row>
    <row r="1431" ht="15.75" customHeight="1">
      <c r="A1431" s="9" t="str">
        <f>IFERROR(__xludf.DUMMYFUNCTION("IF(B1431="""","""",RIGHT(REGEXREPLACE(B1431&amp;"""",""[^0-9]"",""""),9))"),"740701337")</f>
        <v>740701337</v>
      </c>
      <c r="B1431" s="10">
        <v>7.40701337E8</v>
      </c>
      <c r="C1431" s="10" t="s">
        <v>1578</v>
      </c>
      <c r="D1431" s="10" t="s">
        <v>20</v>
      </c>
      <c r="E1431" s="13">
        <v>46228.0</v>
      </c>
      <c r="F1431" s="10" t="s">
        <v>35</v>
      </c>
      <c r="G1431" s="10">
        <v>11.0</v>
      </c>
      <c r="H1431" s="10" t="s">
        <v>431</v>
      </c>
      <c r="I1431" s="10" t="s">
        <v>22</v>
      </c>
      <c r="J1431" s="9" t="str">
        <f t="shared" si="34"/>
        <v>No</v>
      </c>
      <c r="K1431" s="9" t="str">
        <f t="shared" si="33"/>
        <v/>
      </c>
      <c r="L1431" s="9" t="str">
        <f t="shared" si="35"/>
        <v/>
      </c>
      <c r="M1431" s="9"/>
      <c r="O1431" s="9"/>
    </row>
    <row r="1432" ht="15.75" customHeight="1">
      <c r="A1432" s="9" t="str">
        <f>IFERROR(__xludf.DUMMYFUNCTION("IF(B1432="""","""",RIGHT(REGEXREPLACE(B1432&amp;"""",""[^0-9]"",""""),9))"),"717892132")</f>
        <v>717892132</v>
      </c>
      <c r="B1432" s="48">
        <v>7.17892132E8</v>
      </c>
      <c r="C1432" s="10" t="s">
        <v>1579</v>
      </c>
      <c r="D1432" s="10" t="s">
        <v>34</v>
      </c>
      <c r="E1432" s="13">
        <v>46228.0</v>
      </c>
      <c r="F1432" s="10" t="s">
        <v>35</v>
      </c>
      <c r="G1432" s="10">
        <v>10.0</v>
      </c>
      <c r="I1432" s="10" t="s">
        <v>22</v>
      </c>
      <c r="J1432" s="9" t="str">
        <f t="shared" si="34"/>
        <v>No</v>
      </c>
      <c r="K1432" s="9" t="str">
        <f t="shared" si="33"/>
        <v/>
      </c>
      <c r="L1432" s="9" t="str">
        <f t="shared" si="35"/>
        <v/>
      </c>
      <c r="M1432" s="9"/>
      <c r="O1432" s="9"/>
    </row>
    <row r="1433" ht="15.75" customHeight="1">
      <c r="A1433" s="9" t="str">
        <f>IFERROR(__xludf.DUMMYFUNCTION("IF(B1433="""","""",RIGHT(REGEXREPLACE(B1433&amp;"""",""[^0-9]"",""""),9))"),"770239660")</f>
        <v>770239660</v>
      </c>
      <c r="B1433" s="10">
        <v>7.7023966E8</v>
      </c>
      <c r="C1433" s="10" t="s">
        <v>1580</v>
      </c>
      <c r="D1433" s="10" t="s">
        <v>20</v>
      </c>
      <c r="E1433" s="13">
        <v>46228.0</v>
      </c>
      <c r="F1433" s="10" t="s">
        <v>35</v>
      </c>
      <c r="G1433" s="10">
        <v>11.0</v>
      </c>
      <c r="I1433" s="10" t="s">
        <v>22</v>
      </c>
      <c r="J1433" s="9" t="str">
        <f t="shared" si="34"/>
        <v>No</v>
      </c>
      <c r="K1433" s="9" t="str">
        <f t="shared" si="33"/>
        <v/>
      </c>
      <c r="L1433" s="9" t="str">
        <f t="shared" si="35"/>
        <v/>
      </c>
      <c r="M1433" s="9"/>
      <c r="O1433" s="9"/>
    </row>
    <row r="1434" ht="15.75" customHeight="1">
      <c r="A1434" s="9" t="str">
        <f>IFERROR(__xludf.DUMMYFUNCTION("IF(B1434="""","""",RIGHT(REGEXREPLACE(B1434&amp;"""",""[^0-9]"",""""),9))"),"760368354")</f>
        <v>760368354</v>
      </c>
      <c r="B1434" s="48">
        <v>7.60368354E8</v>
      </c>
      <c r="C1434" s="10" t="s">
        <v>1581</v>
      </c>
      <c r="D1434" s="10" t="s">
        <v>120</v>
      </c>
      <c r="E1434" s="13">
        <v>46228.0</v>
      </c>
      <c r="F1434" s="10" t="s">
        <v>35</v>
      </c>
      <c r="G1434" s="10">
        <v>11.0</v>
      </c>
      <c r="I1434" s="10" t="s">
        <v>22</v>
      </c>
      <c r="J1434" s="9" t="str">
        <f t="shared" si="34"/>
        <v>No</v>
      </c>
      <c r="K1434" s="9" t="str">
        <f t="shared" si="33"/>
        <v/>
      </c>
      <c r="L1434" s="9" t="str">
        <f t="shared" si="35"/>
        <v/>
      </c>
      <c r="M1434" s="9"/>
      <c r="O1434" s="9"/>
    </row>
    <row r="1435" ht="15.75" customHeight="1">
      <c r="A1435" s="9" t="str">
        <f>IFERROR(__xludf.DUMMYFUNCTION("IF(B1435="""","""",RIGHT(REGEXREPLACE(B1435&amp;"""",""[^0-9]"",""""),9))"),"767327743")</f>
        <v>767327743</v>
      </c>
      <c r="B1435" s="10">
        <v>7.67327743E8</v>
      </c>
      <c r="C1435" s="10" t="s">
        <v>1582</v>
      </c>
      <c r="D1435" s="10" t="s">
        <v>20</v>
      </c>
      <c r="E1435" s="13">
        <v>46228.0</v>
      </c>
      <c r="F1435" s="10" t="s">
        <v>171</v>
      </c>
      <c r="I1435" s="10" t="s">
        <v>22</v>
      </c>
      <c r="J1435" s="9" t="str">
        <f t="shared" si="34"/>
        <v>No</v>
      </c>
      <c r="K1435" s="9" t="str">
        <f t="shared" si="33"/>
        <v/>
      </c>
      <c r="L1435" s="9" t="str">
        <f t="shared" si="35"/>
        <v/>
      </c>
      <c r="M1435" s="9"/>
      <c r="O1435" s="9"/>
    </row>
    <row r="1436" ht="15.75" customHeight="1">
      <c r="A1436" s="9" t="str">
        <f>IFERROR(__xludf.DUMMYFUNCTION("IF(B1436="""","""",RIGHT(REGEXREPLACE(B1436&amp;"""",""[^0-9]"",""""),9))"),"761068237")</f>
        <v>761068237</v>
      </c>
      <c r="B1436" s="48">
        <v>7.61068237E8</v>
      </c>
      <c r="C1436" s="10" t="s">
        <v>1583</v>
      </c>
      <c r="D1436" s="10" t="s">
        <v>34</v>
      </c>
      <c r="E1436" s="13">
        <v>46228.0</v>
      </c>
      <c r="F1436" s="10" t="s">
        <v>35</v>
      </c>
      <c r="G1436" s="10">
        <v>11.0</v>
      </c>
      <c r="I1436" s="10" t="s">
        <v>22</v>
      </c>
      <c r="J1436" s="9" t="str">
        <f t="shared" si="34"/>
        <v>No</v>
      </c>
      <c r="K1436" s="9" t="str">
        <f t="shared" si="33"/>
        <v/>
      </c>
      <c r="L1436" s="9" t="str">
        <f t="shared" si="35"/>
        <v/>
      </c>
      <c r="M1436" s="9"/>
      <c r="O1436" s="9"/>
    </row>
    <row r="1437" ht="15.75" customHeight="1">
      <c r="A1437" s="9" t="str">
        <f>IFERROR(__xludf.DUMMYFUNCTION("IF(B1437="""","""",RIGHT(REGEXREPLACE(B1437&amp;"""",""[^0-9]"",""""),9))"),"705833320")</f>
        <v>705833320</v>
      </c>
      <c r="B1437" s="48">
        <v>7.0583332E8</v>
      </c>
      <c r="C1437" s="10" t="s">
        <v>1584</v>
      </c>
      <c r="D1437" s="10" t="s">
        <v>50</v>
      </c>
      <c r="E1437" s="13">
        <v>46228.0</v>
      </c>
      <c r="F1437" s="10" t="s">
        <v>171</v>
      </c>
      <c r="G1437" s="10">
        <v>11.0</v>
      </c>
      <c r="I1437" s="10" t="s">
        <v>22</v>
      </c>
      <c r="J1437" s="9" t="str">
        <f t="shared" si="34"/>
        <v>No</v>
      </c>
      <c r="K1437" s="9" t="str">
        <f t="shared" si="33"/>
        <v/>
      </c>
      <c r="L1437" s="9" t="str">
        <f t="shared" si="35"/>
        <v/>
      </c>
      <c r="M1437" s="9"/>
      <c r="O1437" s="9"/>
    </row>
    <row r="1438" ht="15.75" customHeight="1">
      <c r="A1438" s="9" t="str">
        <f>IFERROR(__xludf.DUMMYFUNCTION("IF(B1438="""","""",RIGHT(REGEXREPLACE(B1438&amp;"""",""[^0-9]"",""""),9))"),"741508161")</f>
        <v>741508161</v>
      </c>
      <c r="B1438" s="10">
        <v>7.41508161E8</v>
      </c>
      <c r="C1438" s="10" t="s">
        <v>1585</v>
      </c>
      <c r="D1438" s="10" t="s">
        <v>20</v>
      </c>
      <c r="E1438" s="13">
        <v>46228.0</v>
      </c>
      <c r="F1438" s="10" t="s">
        <v>35</v>
      </c>
      <c r="G1438" s="10">
        <v>10.0</v>
      </c>
      <c r="I1438" s="10" t="s">
        <v>22</v>
      </c>
      <c r="J1438" s="9" t="str">
        <f t="shared" si="34"/>
        <v>No</v>
      </c>
      <c r="K1438" s="9" t="str">
        <f t="shared" si="33"/>
        <v/>
      </c>
      <c r="L1438" s="9" t="str">
        <f t="shared" si="35"/>
        <v/>
      </c>
      <c r="M1438" s="9"/>
      <c r="O1438" s="9"/>
    </row>
    <row r="1439" ht="15.75" customHeight="1">
      <c r="A1439" s="9" t="str">
        <f>IFERROR(__xludf.DUMMYFUNCTION("IF(B1439="""","""",RIGHT(REGEXREPLACE(B1439&amp;"""",""[^0-9]"",""""),9))"),"766449601")</f>
        <v>766449601</v>
      </c>
      <c r="B1439" s="10">
        <v>7.66449601E8</v>
      </c>
      <c r="C1439" s="10" t="s">
        <v>769</v>
      </c>
      <c r="D1439" s="10" t="s">
        <v>20</v>
      </c>
      <c r="E1439" s="13">
        <v>46228.0</v>
      </c>
      <c r="F1439" s="10" t="s">
        <v>21</v>
      </c>
      <c r="G1439" s="10">
        <v>11.0</v>
      </c>
      <c r="I1439" s="10" t="s">
        <v>22</v>
      </c>
      <c r="J1439" s="9" t="str">
        <f t="shared" si="34"/>
        <v>No</v>
      </c>
      <c r="K1439" s="9" t="str">
        <f t="shared" si="33"/>
        <v/>
      </c>
      <c r="L1439" s="9" t="str">
        <f t="shared" si="35"/>
        <v/>
      </c>
      <c r="M1439" s="9"/>
      <c r="O1439" s="9"/>
    </row>
    <row r="1440" ht="15.75" customHeight="1">
      <c r="A1440" s="9" t="str">
        <f>IFERROR(__xludf.DUMMYFUNCTION("IF(B1440="""","""",RIGHT(REGEXREPLACE(B1440&amp;"""",""[^0-9]"",""""),9))"),"710359321")</f>
        <v>710359321</v>
      </c>
      <c r="B1440" s="48">
        <v>7.10359321E8</v>
      </c>
      <c r="C1440" s="10" t="s">
        <v>1586</v>
      </c>
      <c r="D1440" s="10" t="s">
        <v>69</v>
      </c>
      <c r="E1440" s="13">
        <v>46228.0</v>
      </c>
      <c r="F1440" s="10" t="s">
        <v>35</v>
      </c>
      <c r="G1440" s="10">
        <v>10.0</v>
      </c>
      <c r="I1440" s="10" t="s">
        <v>22</v>
      </c>
      <c r="J1440" s="9" t="str">
        <f t="shared" si="34"/>
        <v>No</v>
      </c>
      <c r="K1440" s="9" t="str">
        <f t="shared" si="33"/>
        <v/>
      </c>
      <c r="L1440" s="9" t="str">
        <f t="shared" si="35"/>
        <v/>
      </c>
      <c r="M1440" s="9"/>
      <c r="O1440" s="9"/>
    </row>
    <row r="1441" ht="15.75" customHeight="1">
      <c r="A1441" s="9" t="str">
        <f>IFERROR(__xludf.DUMMYFUNCTION("IF(B1441="""","""",RIGHT(REGEXREPLACE(B1441&amp;"""",""[^0-9]"",""""),9))"),"766626882")</f>
        <v>766626882</v>
      </c>
      <c r="B1441" s="48">
        <v>7.66626882E8</v>
      </c>
      <c r="C1441" s="10" t="s">
        <v>1587</v>
      </c>
      <c r="D1441" s="10" t="s">
        <v>50</v>
      </c>
      <c r="E1441" s="13">
        <v>46228.0</v>
      </c>
      <c r="F1441" s="10" t="s">
        <v>21</v>
      </c>
      <c r="G1441" s="10">
        <v>11.0</v>
      </c>
      <c r="I1441" s="10" t="s">
        <v>22</v>
      </c>
      <c r="J1441" s="9" t="str">
        <f t="shared" si="34"/>
        <v>No</v>
      </c>
      <c r="K1441" s="9" t="str">
        <f t="shared" si="33"/>
        <v/>
      </c>
      <c r="L1441" s="9" t="str">
        <f t="shared" si="35"/>
        <v/>
      </c>
      <c r="M1441" s="9"/>
      <c r="O1441" s="9"/>
    </row>
    <row r="1442" ht="15.75" customHeight="1">
      <c r="A1442" s="9" t="str">
        <f>IFERROR(__xludf.DUMMYFUNCTION("IF(B1442="""","""",RIGHT(REGEXREPLACE(B1442&amp;"""",""[^0-9]"",""""),9))"),"772283360")</f>
        <v>772283360</v>
      </c>
      <c r="B1442" s="48">
        <v>7.7228336E8</v>
      </c>
      <c r="C1442" s="10" t="s">
        <v>1588</v>
      </c>
      <c r="D1442" s="10" t="s">
        <v>34</v>
      </c>
      <c r="E1442" s="13">
        <v>46228.0</v>
      </c>
      <c r="F1442" s="10" t="s">
        <v>35</v>
      </c>
      <c r="G1442" s="10">
        <v>11.0</v>
      </c>
      <c r="I1442" s="10" t="s">
        <v>22</v>
      </c>
      <c r="J1442" s="9" t="str">
        <f t="shared" si="34"/>
        <v>No</v>
      </c>
      <c r="K1442" s="9" t="str">
        <f t="shared" si="33"/>
        <v/>
      </c>
      <c r="L1442" s="9" t="str">
        <f t="shared" si="35"/>
        <v/>
      </c>
      <c r="M1442" s="9"/>
      <c r="O1442" s="9"/>
    </row>
    <row r="1443" ht="15.75" customHeight="1">
      <c r="A1443" s="9" t="str">
        <f>IFERROR(__xludf.DUMMYFUNCTION("IF(B1443="""","""",RIGHT(REGEXREPLACE(B1443&amp;"""",""[^0-9]"",""""),9))"),"784330343")</f>
        <v>784330343</v>
      </c>
      <c r="B1443" s="10">
        <v>7.84330343E8</v>
      </c>
      <c r="C1443" s="10" t="s">
        <v>1589</v>
      </c>
      <c r="D1443" s="10" t="s">
        <v>20</v>
      </c>
      <c r="E1443" s="13">
        <v>46228.0</v>
      </c>
      <c r="F1443" s="10" t="s">
        <v>198</v>
      </c>
      <c r="I1443" s="10" t="s">
        <v>22</v>
      </c>
      <c r="J1443" s="9" t="str">
        <f t="shared" si="34"/>
        <v>No</v>
      </c>
      <c r="K1443" s="9" t="str">
        <f t="shared" si="33"/>
        <v/>
      </c>
      <c r="L1443" s="9" t="str">
        <f t="shared" si="35"/>
        <v/>
      </c>
      <c r="M1443" s="9"/>
      <c r="O1443" s="9"/>
    </row>
    <row r="1444" ht="15.75" customHeight="1">
      <c r="A1444" s="9" t="str">
        <f>IFERROR(__xludf.DUMMYFUNCTION("IF(B1444="""","""",RIGHT(REGEXREPLACE(B1444&amp;"""",""[^0-9]"",""""),9))"),"765336845")</f>
        <v>765336845</v>
      </c>
      <c r="B1444" s="48">
        <v>7.65336845E8</v>
      </c>
      <c r="C1444" s="10" t="s">
        <v>1590</v>
      </c>
      <c r="D1444" s="10" t="s">
        <v>50</v>
      </c>
      <c r="E1444" s="13">
        <v>46228.0</v>
      </c>
      <c r="F1444" s="10" t="s">
        <v>171</v>
      </c>
      <c r="I1444" s="10" t="s">
        <v>22</v>
      </c>
      <c r="J1444" s="9" t="str">
        <f t="shared" si="34"/>
        <v>No</v>
      </c>
      <c r="K1444" s="9" t="str">
        <f t="shared" si="33"/>
        <v/>
      </c>
      <c r="L1444" s="9" t="str">
        <f t="shared" si="35"/>
        <v/>
      </c>
      <c r="M1444" s="9"/>
      <c r="O1444" s="9"/>
    </row>
    <row r="1445" ht="15.75" customHeight="1">
      <c r="A1445" s="9" t="str">
        <f>IFERROR(__xludf.DUMMYFUNCTION("IF(B1445="""","""",RIGHT(REGEXREPLACE(B1445&amp;"""",""[^0-9]"",""""),9))"),"773864791")</f>
        <v>773864791</v>
      </c>
      <c r="B1445" s="48">
        <v>7.73864791E8</v>
      </c>
      <c r="C1445" s="10" t="s">
        <v>1591</v>
      </c>
      <c r="D1445" s="10" t="s">
        <v>34</v>
      </c>
      <c r="E1445" s="13">
        <v>46228.0</v>
      </c>
      <c r="F1445" s="10" t="s">
        <v>35</v>
      </c>
      <c r="G1445" s="10">
        <v>11.0</v>
      </c>
      <c r="I1445" s="10" t="s">
        <v>22</v>
      </c>
      <c r="J1445" s="9" t="str">
        <f t="shared" si="34"/>
        <v>No</v>
      </c>
      <c r="K1445" s="9" t="str">
        <f t="shared" si="33"/>
        <v/>
      </c>
      <c r="L1445" s="9" t="str">
        <f t="shared" si="35"/>
        <v/>
      </c>
      <c r="M1445" s="9"/>
      <c r="O1445" s="9"/>
    </row>
    <row r="1446" ht="15.75" customHeight="1">
      <c r="A1446" s="9" t="str">
        <f>IFERROR(__xludf.DUMMYFUNCTION("IF(B1446="""","""",RIGHT(REGEXREPLACE(B1446&amp;"""",""[^0-9]"",""""),9))"),"715179384")</f>
        <v>715179384</v>
      </c>
      <c r="B1446" s="10">
        <v>7.15179384E8</v>
      </c>
      <c r="C1446" s="10" t="s">
        <v>1592</v>
      </c>
      <c r="D1446" s="10" t="s">
        <v>20</v>
      </c>
      <c r="E1446" s="13">
        <v>46228.0</v>
      </c>
      <c r="F1446" s="10" t="s">
        <v>35</v>
      </c>
      <c r="G1446" s="10">
        <v>11.0</v>
      </c>
      <c r="H1446" s="10" t="s">
        <v>1593</v>
      </c>
      <c r="I1446" s="10" t="s">
        <v>22</v>
      </c>
      <c r="J1446" s="9" t="str">
        <f t="shared" si="34"/>
        <v>No</v>
      </c>
      <c r="K1446" s="9" t="str">
        <f t="shared" si="33"/>
        <v/>
      </c>
      <c r="L1446" s="9" t="str">
        <f t="shared" si="35"/>
        <v/>
      </c>
      <c r="M1446" s="9"/>
      <c r="O1446" s="9"/>
    </row>
    <row r="1447" ht="15.75" customHeight="1">
      <c r="A1447" s="9" t="str">
        <f>IFERROR(__xludf.DUMMYFUNCTION("IF(B1447="""","""",RIGHT(REGEXREPLACE(B1447&amp;"""",""[^0-9]"",""""),9))"),"776879841")</f>
        <v>776879841</v>
      </c>
      <c r="B1447" s="48">
        <v>7.76879841E8</v>
      </c>
      <c r="C1447" s="10" t="s">
        <v>1594</v>
      </c>
      <c r="D1447" s="10" t="s">
        <v>50</v>
      </c>
      <c r="E1447" s="13">
        <v>46228.0</v>
      </c>
      <c r="F1447" s="10" t="s">
        <v>35</v>
      </c>
      <c r="G1447" s="10">
        <v>11.0</v>
      </c>
      <c r="I1447" s="10" t="s">
        <v>22</v>
      </c>
      <c r="J1447" s="9" t="str">
        <f t="shared" si="34"/>
        <v>No</v>
      </c>
      <c r="K1447" s="9" t="str">
        <f t="shared" si="33"/>
        <v/>
      </c>
      <c r="L1447" s="9" t="str">
        <f t="shared" si="35"/>
        <v/>
      </c>
      <c r="M1447" s="9"/>
      <c r="O1447" s="9"/>
    </row>
    <row r="1448" ht="15.75" customHeight="1">
      <c r="A1448" s="9" t="str">
        <f>IFERROR(__xludf.DUMMYFUNCTION("IF(B1448="""","""",RIGHT(REGEXREPLACE(B1448&amp;"""",""[^0-9]"",""""),9))"),"713197550")</f>
        <v>713197550</v>
      </c>
      <c r="B1448" s="10">
        <v>7.1319755E8</v>
      </c>
      <c r="C1448" s="10" t="s">
        <v>1595</v>
      </c>
      <c r="D1448" s="10" t="s">
        <v>20</v>
      </c>
      <c r="E1448" s="13">
        <v>46228.0</v>
      </c>
      <c r="F1448" s="10" t="s">
        <v>171</v>
      </c>
      <c r="I1448" s="10" t="s">
        <v>22</v>
      </c>
      <c r="J1448" s="9" t="str">
        <f t="shared" si="34"/>
        <v>No</v>
      </c>
      <c r="K1448" s="9" t="str">
        <f t="shared" si="33"/>
        <v/>
      </c>
      <c r="L1448" s="9" t="str">
        <f t="shared" si="35"/>
        <v/>
      </c>
      <c r="M1448" s="9"/>
      <c r="O1448" s="9"/>
    </row>
    <row r="1449" ht="15.75" customHeight="1">
      <c r="A1449" s="9" t="str">
        <f>IFERROR(__xludf.DUMMYFUNCTION("IF(B1449="""","""",RIGHT(REGEXREPLACE(B1449&amp;"""",""[^0-9]"",""""),9))"),"772887211")</f>
        <v>772887211</v>
      </c>
      <c r="B1449" s="48">
        <v>7.72887211E8</v>
      </c>
      <c r="C1449" s="10" t="s">
        <v>1596</v>
      </c>
      <c r="D1449" s="10" t="s">
        <v>120</v>
      </c>
      <c r="E1449" s="13">
        <v>46228.0</v>
      </c>
      <c r="F1449" s="10" t="s">
        <v>35</v>
      </c>
      <c r="G1449" s="10">
        <v>11.0</v>
      </c>
      <c r="I1449" s="10" t="s">
        <v>22</v>
      </c>
      <c r="J1449" s="9" t="str">
        <f t="shared" si="34"/>
        <v>No</v>
      </c>
      <c r="K1449" s="9" t="str">
        <f t="shared" si="33"/>
        <v/>
      </c>
      <c r="L1449" s="9" t="str">
        <f t="shared" si="35"/>
        <v/>
      </c>
      <c r="M1449" s="9"/>
      <c r="O1449" s="9"/>
    </row>
    <row r="1450" ht="15.75" customHeight="1">
      <c r="A1450" s="9" t="str">
        <f>IFERROR(__xludf.DUMMYFUNCTION("IF(B1450="""","""",RIGHT(REGEXREPLACE(B1450&amp;"""",""[^0-9]"",""""),9))"),"773386591")</f>
        <v>773386591</v>
      </c>
      <c r="B1450" s="48">
        <v>7.73386591E8</v>
      </c>
      <c r="C1450" s="10" t="s">
        <v>1597</v>
      </c>
      <c r="D1450" s="10" t="s">
        <v>69</v>
      </c>
      <c r="E1450" s="13">
        <v>46228.0</v>
      </c>
      <c r="F1450" s="10" t="s">
        <v>35</v>
      </c>
      <c r="G1450" s="10">
        <v>10.0</v>
      </c>
      <c r="I1450" s="10" t="s">
        <v>22</v>
      </c>
      <c r="J1450" s="9" t="str">
        <f t="shared" si="34"/>
        <v>No</v>
      </c>
      <c r="K1450" s="9" t="str">
        <f t="shared" si="33"/>
        <v/>
      </c>
      <c r="L1450" s="9" t="str">
        <f t="shared" si="35"/>
        <v/>
      </c>
      <c r="M1450" s="9"/>
      <c r="O1450" s="9"/>
    </row>
    <row r="1451" ht="15.75" customHeight="1">
      <c r="A1451" s="9" t="str">
        <f>IFERROR(__xludf.DUMMYFUNCTION("IF(B1451="""","""",RIGHT(REGEXREPLACE(B1451&amp;"""",""[^0-9]"",""""),9))"),"768063516")</f>
        <v>768063516</v>
      </c>
      <c r="B1451" s="48">
        <v>7.68063516E8</v>
      </c>
      <c r="C1451" s="10" t="s">
        <v>1598</v>
      </c>
      <c r="D1451" s="10" t="s">
        <v>34</v>
      </c>
      <c r="E1451" s="13">
        <v>46228.0</v>
      </c>
      <c r="F1451" s="10" t="s">
        <v>35</v>
      </c>
      <c r="G1451" s="10">
        <v>11.0</v>
      </c>
      <c r="I1451" s="10" t="s">
        <v>22</v>
      </c>
      <c r="J1451" s="9" t="str">
        <f t="shared" si="34"/>
        <v>No</v>
      </c>
      <c r="K1451" s="9" t="str">
        <f t="shared" si="33"/>
        <v/>
      </c>
      <c r="L1451" s="9" t="str">
        <f t="shared" si="35"/>
        <v/>
      </c>
      <c r="M1451" s="9"/>
      <c r="O1451" s="9"/>
    </row>
    <row r="1452" ht="15.75" customHeight="1">
      <c r="A1452" s="9" t="str">
        <f>IFERROR(__xludf.DUMMYFUNCTION("IF(B1452="""","""",RIGHT(REGEXREPLACE(B1452&amp;"""",""[^0-9]"",""""),9))"),"741947344")</f>
        <v>741947344</v>
      </c>
      <c r="B1452" s="10">
        <v>7.41947344E8</v>
      </c>
      <c r="C1452" s="10" t="s">
        <v>1599</v>
      </c>
      <c r="D1452" s="10" t="s">
        <v>20</v>
      </c>
      <c r="E1452" s="13">
        <v>46228.0</v>
      </c>
      <c r="F1452" s="10" t="s">
        <v>173</v>
      </c>
      <c r="G1452" s="10">
        <v>11.0</v>
      </c>
      <c r="H1452" s="10" t="s">
        <v>1369</v>
      </c>
      <c r="I1452" s="10" t="s">
        <v>22</v>
      </c>
      <c r="J1452" s="9" t="str">
        <f t="shared" si="34"/>
        <v>No</v>
      </c>
      <c r="K1452" s="9" t="str">
        <f t="shared" si="33"/>
        <v/>
      </c>
      <c r="L1452" s="9" t="str">
        <f t="shared" si="35"/>
        <v/>
      </c>
      <c r="M1452" s="9"/>
      <c r="O1452" s="9"/>
    </row>
    <row r="1453" ht="15.75" customHeight="1">
      <c r="A1453" s="9" t="str">
        <f>IFERROR(__xludf.DUMMYFUNCTION("IF(B1453="""","""",RIGHT(REGEXREPLACE(B1453&amp;"""",""[^0-9]"",""""),9))"),"777209180")</f>
        <v>777209180</v>
      </c>
      <c r="B1453" s="10">
        <v>7.7720918E8</v>
      </c>
      <c r="C1453" s="10" t="s">
        <v>1600</v>
      </c>
      <c r="D1453" s="10" t="s">
        <v>20</v>
      </c>
      <c r="E1453" s="13">
        <v>46228.0</v>
      </c>
      <c r="F1453" s="10" t="s">
        <v>173</v>
      </c>
      <c r="G1453" s="10">
        <v>10.0</v>
      </c>
      <c r="I1453" s="10" t="s">
        <v>22</v>
      </c>
      <c r="J1453" s="9" t="str">
        <f t="shared" si="34"/>
        <v>No</v>
      </c>
      <c r="K1453" s="9" t="str">
        <f t="shared" si="33"/>
        <v/>
      </c>
      <c r="L1453" s="9" t="str">
        <f t="shared" si="35"/>
        <v/>
      </c>
      <c r="M1453" s="9"/>
      <c r="O1453" s="9"/>
    </row>
    <row r="1454" ht="15.75" customHeight="1">
      <c r="A1454" s="9" t="str">
        <f>IFERROR(__xludf.DUMMYFUNCTION("IF(B1454="""","""",RIGHT(REGEXREPLACE(B1454&amp;"""",""[^0-9]"",""""),9))"),"776781356")</f>
        <v>776781356</v>
      </c>
      <c r="B1454" s="10">
        <v>7.76781356E8</v>
      </c>
      <c r="C1454" s="10" t="s">
        <v>1601</v>
      </c>
      <c r="D1454" s="10" t="s">
        <v>20</v>
      </c>
      <c r="E1454" s="13">
        <v>46228.0</v>
      </c>
      <c r="F1454" s="10" t="s">
        <v>35</v>
      </c>
      <c r="G1454" s="10">
        <v>10.0</v>
      </c>
      <c r="H1454" s="10" t="s">
        <v>1602</v>
      </c>
      <c r="I1454" s="10" t="s">
        <v>22</v>
      </c>
      <c r="J1454" s="9" t="str">
        <f t="shared" si="34"/>
        <v>No</v>
      </c>
      <c r="K1454" s="9" t="str">
        <f t="shared" si="33"/>
        <v/>
      </c>
      <c r="L1454" s="9" t="str">
        <f t="shared" si="35"/>
        <v/>
      </c>
      <c r="M1454" s="9"/>
      <c r="O1454" s="9"/>
    </row>
    <row r="1455" ht="15.75" customHeight="1">
      <c r="A1455" s="9" t="str">
        <f>IFERROR(__xludf.DUMMYFUNCTION("IF(B1455="""","""",RIGHT(REGEXREPLACE(B1455&amp;"""",""[^0-9]"",""""),9))"),"779101522")</f>
        <v>779101522</v>
      </c>
      <c r="B1455" s="48">
        <v>7.79101522E8</v>
      </c>
      <c r="C1455" s="10" t="s">
        <v>1603</v>
      </c>
      <c r="D1455" s="10" t="s">
        <v>34</v>
      </c>
      <c r="E1455" s="13">
        <v>46228.0</v>
      </c>
      <c r="F1455" s="10" t="s">
        <v>21</v>
      </c>
      <c r="G1455" s="10">
        <v>9.0</v>
      </c>
      <c r="I1455" s="10" t="s">
        <v>22</v>
      </c>
      <c r="J1455" s="9" t="str">
        <f t="shared" si="34"/>
        <v>No</v>
      </c>
      <c r="K1455" s="9" t="str">
        <f t="shared" si="33"/>
        <v/>
      </c>
      <c r="L1455" s="9" t="str">
        <f t="shared" si="35"/>
        <v/>
      </c>
      <c r="M1455" s="9"/>
      <c r="O1455" s="9"/>
    </row>
    <row r="1456" ht="15.75" customHeight="1">
      <c r="A1456" s="9" t="str">
        <f>IFERROR(__xludf.DUMMYFUNCTION("IF(B1456="""","""",RIGHT(REGEXREPLACE(B1456&amp;"""",""[^0-9]"",""""),9))"),"768804893")</f>
        <v>768804893</v>
      </c>
      <c r="B1456" s="10">
        <v>7.68804893E8</v>
      </c>
      <c r="C1456" s="10" t="s">
        <v>1604</v>
      </c>
      <c r="D1456" s="10" t="s">
        <v>20</v>
      </c>
      <c r="E1456" s="13">
        <v>46228.0</v>
      </c>
      <c r="F1456" s="10" t="s">
        <v>604</v>
      </c>
      <c r="G1456" s="10">
        <v>11.0</v>
      </c>
      <c r="I1456" s="10" t="s">
        <v>22</v>
      </c>
      <c r="J1456" s="9" t="str">
        <f t="shared" si="34"/>
        <v>No</v>
      </c>
      <c r="K1456" s="9" t="str">
        <f t="shared" si="33"/>
        <v/>
      </c>
      <c r="L1456" s="9" t="str">
        <f t="shared" si="35"/>
        <v/>
      </c>
      <c r="M1456" s="9"/>
      <c r="O1456" s="9"/>
    </row>
    <row r="1457" ht="15.75" customHeight="1">
      <c r="A1457" s="9" t="str">
        <f>IFERROR(__xludf.DUMMYFUNCTION("IF(B1457="""","""",RIGHT(REGEXREPLACE(B1457&amp;"""",""[^0-9]"",""""),9))"),"775798058")</f>
        <v>775798058</v>
      </c>
      <c r="B1457" s="48">
        <v>7.75798058E8</v>
      </c>
      <c r="C1457" s="10" t="s">
        <v>1605</v>
      </c>
      <c r="D1457" s="10" t="s">
        <v>69</v>
      </c>
      <c r="E1457" s="13">
        <v>46228.0</v>
      </c>
      <c r="F1457" s="10" t="s">
        <v>35</v>
      </c>
      <c r="G1457" s="10">
        <v>10.0</v>
      </c>
      <c r="I1457" s="10" t="s">
        <v>22</v>
      </c>
      <c r="J1457" s="9" t="str">
        <f t="shared" si="34"/>
        <v>No</v>
      </c>
      <c r="K1457" s="9" t="str">
        <f t="shared" si="33"/>
        <v/>
      </c>
      <c r="L1457" s="9" t="str">
        <f t="shared" si="35"/>
        <v/>
      </c>
      <c r="M1457" s="9"/>
      <c r="O1457" s="9"/>
    </row>
    <row r="1458" ht="15.75" customHeight="1">
      <c r="A1458" s="9" t="str">
        <f>IFERROR(__xludf.DUMMYFUNCTION("IF(B1458="""","""",RIGHT(REGEXREPLACE(B1458&amp;"""",""[^0-9]"",""""),9))"),"789100067")</f>
        <v>789100067</v>
      </c>
      <c r="B1458" s="10">
        <v>7.89100067E8</v>
      </c>
      <c r="C1458" s="10" t="s">
        <v>1606</v>
      </c>
      <c r="D1458" s="10" t="s">
        <v>20</v>
      </c>
      <c r="E1458" s="13">
        <v>46228.0</v>
      </c>
      <c r="F1458" s="10" t="s">
        <v>648</v>
      </c>
      <c r="H1458" s="10" t="s">
        <v>1369</v>
      </c>
      <c r="I1458" s="10" t="s">
        <v>22</v>
      </c>
      <c r="J1458" s="9" t="str">
        <f t="shared" si="34"/>
        <v>No</v>
      </c>
      <c r="K1458" s="9" t="str">
        <f t="shared" si="33"/>
        <v/>
      </c>
      <c r="L1458" s="9" t="str">
        <f t="shared" si="35"/>
        <v/>
      </c>
      <c r="M1458" s="9"/>
      <c r="O1458" s="9"/>
    </row>
    <row r="1459" ht="15.75" customHeight="1">
      <c r="A1459" s="9" t="str">
        <f>IFERROR(__xludf.DUMMYFUNCTION("IF(B1459="""","""",RIGHT(REGEXREPLACE(B1459&amp;"""",""[^0-9]"",""""),9))"),"779198818")</f>
        <v>779198818</v>
      </c>
      <c r="B1459" s="48">
        <v>7.79198818E8</v>
      </c>
      <c r="C1459" s="10" t="s">
        <v>838</v>
      </c>
      <c r="D1459" s="10" t="s">
        <v>34</v>
      </c>
      <c r="E1459" s="13">
        <v>46228.0</v>
      </c>
      <c r="F1459" s="10" t="s">
        <v>21</v>
      </c>
      <c r="G1459" s="10">
        <v>11.0</v>
      </c>
      <c r="I1459" s="10" t="s">
        <v>22</v>
      </c>
      <c r="J1459" s="9" t="str">
        <f t="shared" si="34"/>
        <v>Yes - see Previous F-Code</v>
      </c>
      <c r="K1459" s="9" t="str">
        <f t="shared" si="33"/>
        <v>DUPLICATE - CHECK</v>
      </c>
      <c r="L1459" s="9" t="str">
        <f t="shared" si="35"/>
        <v>F70668</v>
      </c>
      <c r="M1459" s="9"/>
      <c r="O1459" s="9"/>
    </row>
    <row r="1460" ht="15.75" customHeight="1">
      <c r="A1460" s="9" t="str">
        <f>IFERROR(__xludf.DUMMYFUNCTION("IF(B1460="""","""",RIGHT(REGEXREPLACE(B1460&amp;"""",""[^0-9]"",""""),9))"),"712432658")</f>
        <v>712432658</v>
      </c>
      <c r="B1460" s="48">
        <v>7.12432658E8</v>
      </c>
      <c r="C1460" s="10" t="s">
        <v>1607</v>
      </c>
      <c r="D1460" s="10" t="s">
        <v>34</v>
      </c>
      <c r="E1460" s="13">
        <v>46228.0</v>
      </c>
      <c r="F1460" s="10" t="s">
        <v>113</v>
      </c>
      <c r="I1460" s="10" t="s">
        <v>22</v>
      </c>
      <c r="J1460" s="9" t="str">
        <f t="shared" si="34"/>
        <v>No</v>
      </c>
      <c r="K1460" s="9" t="str">
        <f t="shared" si="33"/>
        <v/>
      </c>
      <c r="L1460" s="9" t="str">
        <f t="shared" si="35"/>
        <v/>
      </c>
      <c r="M1460" s="9"/>
      <c r="O1460" s="9"/>
    </row>
    <row r="1461" ht="15.75" customHeight="1">
      <c r="A1461" s="9" t="str">
        <f>IFERROR(__xludf.DUMMYFUNCTION("IF(B1461="""","""",RIGHT(REGEXREPLACE(B1461&amp;"""",""[^0-9]"",""""),9))"),"742235100")</f>
        <v>742235100</v>
      </c>
      <c r="B1461" s="48">
        <v>7.422351E8</v>
      </c>
      <c r="C1461" s="10" t="s">
        <v>1608</v>
      </c>
      <c r="D1461" s="10" t="s">
        <v>69</v>
      </c>
      <c r="E1461" s="13">
        <v>46228.0</v>
      </c>
      <c r="F1461" s="10" t="s">
        <v>35</v>
      </c>
      <c r="G1461" s="10">
        <v>10.0</v>
      </c>
      <c r="I1461" s="10" t="s">
        <v>22</v>
      </c>
      <c r="J1461" s="9" t="str">
        <f t="shared" si="34"/>
        <v>No</v>
      </c>
      <c r="K1461" s="9" t="str">
        <f t="shared" si="33"/>
        <v/>
      </c>
      <c r="L1461" s="9" t="str">
        <f t="shared" si="35"/>
        <v/>
      </c>
      <c r="M1461" s="9"/>
      <c r="O1461" s="9"/>
    </row>
    <row r="1462" ht="15.75" customHeight="1">
      <c r="A1462" s="9" t="str">
        <f>IFERROR(__xludf.DUMMYFUNCTION("IF(B1462="""","""",RIGHT(REGEXREPLACE(B1462&amp;"""",""[^0-9]"",""""),9))"),"712182426")</f>
        <v>712182426</v>
      </c>
      <c r="B1462" s="48">
        <v>7.12182426E8</v>
      </c>
      <c r="C1462" s="10" t="s">
        <v>1609</v>
      </c>
      <c r="D1462" s="10" t="s">
        <v>50</v>
      </c>
      <c r="E1462" s="13">
        <v>46228.0</v>
      </c>
      <c r="F1462" s="10" t="s">
        <v>35</v>
      </c>
      <c r="G1462" s="10">
        <v>11.0</v>
      </c>
      <c r="I1462" s="10" t="s">
        <v>22</v>
      </c>
      <c r="J1462" s="9" t="str">
        <f t="shared" si="34"/>
        <v>No</v>
      </c>
      <c r="K1462" s="9" t="str">
        <f t="shared" si="33"/>
        <v/>
      </c>
      <c r="L1462" s="9" t="str">
        <f t="shared" si="35"/>
        <v/>
      </c>
      <c r="M1462" s="9"/>
      <c r="O1462" s="9"/>
    </row>
    <row r="1463" ht="15.75" customHeight="1">
      <c r="A1463" s="9" t="str">
        <f>IFERROR(__xludf.DUMMYFUNCTION("IF(B1463="""","""",RIGHT(REGEXREPLACE(B1463&amp;"""",""[^0-9]"",""""),9))"),"714036396")</f>
        <v>714036396</v>
      </c>
      <c r="B1463" s="10">
        <v>7.14036396E8</v>
      </c>
      <c r="C1463" s="10" t="s">
        <v>1610</v>
      </c>
      <c r="D1463" s="10" t="s">
        <v>20</v>
      </c>
      <c r="E1463" s="13">
        <v>46228.0</v>
      </c>
      <c r="F1463" s="10" t="s">
        <v>35</v>
      </c>
      <c r="I1463" s="10" t="s">
        <v>22</v>
      </c>
      <c r="J1463" s="9" t="str">
        <f t="shared" si="34"/>
        <v>No</v>
      </c>
      <c r="K1463" s="9" t="str">
        <f t="shared" si="33"/>
        <v/>
      </c>
      <c r="L1463" s="9" t="str">
        <f t="shared" si="35"/>
        <v/>
      </c>
      <c r="M1463" s="9"/>
      <c r="O1463" s="9"/>
    </row>
    <row r="1464" ht="15.75" customHeight="1">
      <c r="A1464" s="9" t="str">
        <f>IFERROR(__xludf.DUMMYFUNCTION("IF(B1464="""","""",RIGHT(REGEXREPLACE(B1464&amp;"""",""[^0-9]"",""""),9))"),"704131981")</f>
        <v>704131981</v>
      </c>
      <c r="B1464" s="48">
        <v>7.04131981E8</v>
      </c>
      <c r="C1464" s="10" t="s">
        <v>1611</v>
      </c>
      <c r="D1464" s="10" t="s">
        <v>34</v>
      </c>
      <c r="E1464" s="13">
        <v>46228.0</v>
      </c>
      <c r="F1464" s="10" t="s">
        <v>173</v>
      </c>
      <c r="G1464" s="10">
        <v>10.0</v>
      </c>
      <c r="I1464" s="10" t="s">
        <v>22</v>
      </c>
      <c r="J1464" s="9" t="str">
        <f t="shared" si="34"/>
        <v>No</v>
      </c>
      <c r="K1464" s="9" t="str">
        <f t="shared" si="33"/>
        <v/>
      </c>
      <c r="L1464" s="9" t="str">
        <f t="shared" si="35"/>
        <v/>
      </c>
      <c r="M1464" s="9"/>
      <c r="O1464" s="9"/>
    </row>
    <row r="1465" ht="15.75" customHeight="1">
      <c r="A1465" s="9" t="str">
        <f>IFERROR(__xludf.DUMMYFUNCTION("IF(B1465="""","""",RIGHT(REGEXREPLACE(B1465&amp;"""",""[^0-9]"",""""),9))"),"777531017")</f>
        <v>777531017</v>
      </c>
      <c r="B1465" s="48">
        <v>7.77531017E8</v>
      </c>
      <c r="C1465" s="10" t="s">
        <v>1612</v>
      </c>
      <c r="D1465" s="10" t="s">
        <v>120</v>
      </c>
      <c r="E1465" s="13">
        <v>46228.0</v>
      </c>
      <c r="F1465" s="10" t="s">
        <v>21</v>
      </c>
      <c r="G1465" s="10">
        <v>11.0</v>
      </c>
      <c r="I1465" s="10" t="s">
        <v>22</v>
      </c>
      <c r="J1465" s="9" t="str">
        <f t="shared" si="34"/>
        <v>No</v>
      </c>
      <c r="K1465" s="9" t="str">
        <f t="shared" si="33"/>
        <v/>
      </c>
      <c r="L1465" s="9" t="str">
        <f t="shared" si="35"/>
        <v/>
      </c>
      <c r="M1465" s="9"/>
      <c r="O1465" s="9"/>
    </row>
    <row r="1466" ht="15.75" customHeight="1">
      <c r="A1466" s="9" t="str">
        <f>IFERROR(__xludf.DUMMYFUNCTION("IF(B1466="""","""",RIGHT(REGEXREPLACE(B1466&amp;"""",""[^0-9]"",""""),9))"),"779287383")</f>
        <v>779287383</v>
      </c>
      <c r="B1466" s="10">
        <v>7.79287383E8</v>
      </c>
      <c r="C1466" s="10" t="s">
        <v>1613</v>
      </c>
      <c r="D1466" s="10" t="s">
        <v>20</v>
      </c>
      <c r="E1466" s="13">
        <v>46228.0</v>
      </c>
      <c r="F1466" s="10" t="s">
        <v>35</v>
      </c>
      <c r="G1466" s="10">
        <v>10.0</v>
      </c>
      <c r="I1466" s="10" t="s">
        <v>22</v>
      </c>
      <c r="J1466" s="9" t="str">
        <f t="shared" si="34"/>
        <v>No</v>
      </c>
      <c r="K1466" s="9" t="str">
        <f t="shared" si="33"/>
        <v/>
      </c>
      <c r="L1466" s="9" t="str">
        <f t="shared" si="35"/>
        <v/>
      </c>
      <c r="M1466" s="9"/>
      <c r="O1466" s="9"/>
    </row>
    <row r="1467" ht="15.75" customHeight="1">
      <c r="A1467" s="9" t="str">
        <f>IFERROR(__xludf.DUMMYFUNCTION("IF(B1467="""","""",RIGHT(REGEXREPLACE(B1467&amp;"""",""[^0-9]"",""""),9))"),"776499058")</f>
        <v>776499058</v>
      </c>
      <c r="B1467" s="48">
        <v>7.76499058E8</v>
      </c>
      <c r="C1467" s="10" t="s">
        <v>1614</v>
      </c>
      <c r="D1467" s="10" t="s">
        <v>34</v>
      </c>
      <c r="E1467" s="13">
        <v>46228.0</v>
      </c>
      <c r="F1467" s="10" t="s">
        <v>35</v>
      </c>
      <c r="G1467" s="10">
        <v>11.0</v>
      </c>
      <c r="I1467" s="10" t="s">
        <v>22</v>
      </c>
      <c r="J1467" s="9" t="str">
        <f t="shared" si="34"/>
        <v>No</v>
      </c>
      <c r="K1467" s="9" t="str">
        <f t="shared" si="33"/>
        <v/>
      </c>
      <c r="L1467" s="9" t="str">
        <f t="shared" si="35"/>
        <v/>
      </c>
      <c r="M1467" s="9"/>
      <c r="O1467" s="9"/>
    </row>
    <row r="1468" ht="15.75" customHeight="1">
      <c r="A1468" s="9" t="str">
        <f>IFERROR(__xludf.DUMMYFUNCTION("IF(B1468="""","""",RIGHT(REGEXREPLACE(B1468&amp;"""",""[^0-9]"",""""),9))"),"764634250")</f>
        <v>764634250</v>
      </c>
      <c r="B1468" s="48">
        <v>7.6463425E8</v>
      </c>
      <c r="C1468" s="10" t="s">
        <v>1615</v>
      </c>
      <c r="D1468" s="10" t="s">
        <v>120</v>
      </c>
      <c r="E1468" s="13">
        <v>46228.0</v>
      </c>
      <c r="F1468" s="10" t="s">
        <v>198</v>
      </c>
      <c r="G1468" s="10">
        <v>9.0</v>
      </c>
      <c r="I1468" s="10" t="s">
        <v>22</v>
      </c>
      <c r="J1468" s="9" t="str">
        <f t="shared" si="34"/>
        <v>No</v>
      </c>
      <c r="K1468" s="9" t="str">
        <f t="shared" si="33"/>
        <v/>
      </c>
      <c r="L1468" s="9" t="str">
        <f t="shared" si="35"/>
        <v/>
      </c>
      <c r="M1468" s="9"/>
      <c r="O1468" s="9"/>
    </row>
    <row r="1469" ht="15.75" customHeight="1">
      <c r="A1469" s="9" t="str">
        <f>IFERROR(__xludf.DUMMYFUNCTION("IF(B1469="""","""",RIGHT(REGEXREPLACE(B1469&amp;"""",""[^0-9]"",""""),9))"),"768839790")</f>
        <v>768839790</v>
      </c>
      <c r="B1469" s="10">
        <v>7.6883979E8</v>
      </c>
      <c r="C1469" s="10" t="s">
        <v>1616</v>
      </c>
      <c r="D1469" s="10" t="s">
        <v>20</v>
      </c>
      <c r="E1469" s="13">
        <v>46228.0</v>
      </c>
      <c r="F1469" s="10" t="s">
        <v>198</v>
      </c>
      <c r="G1469" s="10">
        <v>11.0</v>
      </c>
      <c r="I1469" s="10" t="s">
        <v>22</v>
      </c>
      <c r="J1469" s="9" t="str">
        <f t="shared" si="34"/>
        <v>No</v>
      </c>
      <c r="K1469" s="9" t="str">
        <f t="shared" si="33"/>
        <v/>
      </c>
      <c r="L1469" s="9" t="str">
        <f t="shared" si="35"/>
        <v/>
      </c>
      <c r="M1469" s="9"/>
      <c r="O1469" s="9"/>
    </row>
    <row r="1470" ht="15.75" customHeight="1">
      <c r="A1470" s="9" t="str">
        <f>IFERROR(__xludf.DUMMYFUNCTION("IF(B1470="""","""",RIGHT(REGEXREPLACE(B1470&amp;"""",""[^0-9]"",""""),9))"),"766277405")</f>
        <v>766277405</v>
      </c>
      <c r="B1470" s="48">
        <v>7.66277405E8</v>
      </c>
      <c r="C1470" s="10" t="s">
        <v>1617</v>
      </c>
      <c r="D1470" s="10" t="s">
        <v>50</v>
      </c>
      <c r="E1470" s="13">
        <v>46228.0</v>
      </c>
      <c r="F1470" s="10" t="s">
        <v>21</v>
      </c>
      <c r="G1470" s="10">
        <v>11.0</v>
      </c>
      <c r="I1470" s="10" t="s">
        <v>22</v>
      </c>
      <c r="J1470" s="9" t="str">
        <f t="shared" si="34"/>
        <v>No</v>
      </c>
      <c r="K1470" s="9" t="str">
        <f t="shared" si="33"/>
        <v/>
      </c>
      <c r="L1470" s="9" t="str">
        <f t="shared" si="35"/>
        <v/>
      </c>
      <c r="M1470" s="9"/>
      <c r="O1470" s="9"/>
    </row>
    <row r="1471" ht="15.75" customHeight="1">
      <c r="A1471" s="9" t="str">
        <f>IFERROR(__xludf.DUMMYFUNCTION("IF(B1471="""","""",RIGHT(REGEXREPLACE(B1471&amp;"""",""[^0-9]"",""""),9))"),"743898387")</f>
        <v>743898387</v>
      </c>
      <c r="B1471" s="48">
        <v>7.43898387E8</v>
      </c>
      <c r="C1471" s="10" t="s">
        <v>1618</v>
      </c>
      <c r="D1471" s="10" t="s">
        <v>69</v>
      </c>
      <c r="E1471" s="13">
        <v>46228.0</v>
      </c>
      <c r="F1471" s="10" t="s">
        <v>542</v>
      </c>
      <c r="G1471" s="10">
        <v>11.0</v>
      </c>
      <c r="I1471" s="10" t="s">
        <v>22</v>
      </c>
      <c r="J1471" s="9" t="str">
        <f t="shared" si="34"/>
        <v>No</v>
      </c>
      <c r="K1471" s="9" t="str">
        <f t="shared" si="33"/>
        <v/>
      </c>
      <c r="L1471" s="9" t="str">
        <f t="shared" si="35"/>
        <v/>
      </c>
      <c r="M1471" s="9"/>
      <c r="O1471" s="9"/>
    </row>
    <row r="1472" ht="15.75" customHeight="1">
      <c r="A1472" s="9" t="str">
        <f>IFERROR(__xludf.DUMMYFUNCTION("IF(B1472="""","""",RIGHT(REGEXREPLACE(B1472&amp;"""",""[^0-9]"",""""),9))"),"742830094")</f>
        <v>742830094</v>
      </c>
      <c r="B1472" s="48">
        <v>7.42830094E8</v>
      </c>
      <c r="C1472" s="10" t="s">
        <v>1619</v>
      </c>
      <c r="D1472" s="10" t="s">
        <v>120</v>
      </c>
      <c r="E1472" s="13">
        <v>46228.0</v>
      </c>
      <c r="F1472" s="10" t="s">
        <v>21</v>
      </c>
      <c r="I1472" s="10" t="s">
        <v>22</v>
      </c>
      <c r="J1472" s="9" t="str">
        <f t="shared" si="34"/>
        <v>No</v>
      </c>
      <c r="K1472" s="9" t="str">
        <f t="shared" si="33"/>
        <v/>
      </c>
      <c r="L1472" s="9" t="str">
        <f t="shared" si="35"/>
        <v/>
      </c>
      <c r="M1472" s="9"/>
      <c r="O1472" s="9"/>
    </row>
    <row r="1473" ht="15.75" customHeight="1">
      <c r="A1473" s="9" t="str">
        <f>IFERROR(__xludf.DUMMYFUNCTION("IF(B1473="""","""",RIGHT(REGEXREPLACE(B1473&amp;"""",""[^0-9]"",""""),9))"),"713311457")</f>
        <v>713311457</v>
      </c>
      <c r="B1473" s="10">
        <v>7.13311457E8</v>
      </c>
      <c r="C1473" s="10" t="s">
        <v>1620</v>
      </c>
      <c r="D1473" s="10" t="s">
        <v>20</v>
      </c>
      <c r="E1473" s="13">
        <v>46228.0</v>
      </c>
      <c r="F1473" s="10" t="s">
        <v>21</v>
      </c>
      <c r="G1473" s="10">
        <v>11.0</v>
      </c>
      <c r="I1473" s="10" t="s">
        <v>22</v>
      </c>
      <c r="J1473" s="9" t="str">
        <f t="shared" si="34"/>
        <v>No</v>
      </c>
      <c r="K1473" s="9" t="str">
        <f t="shared" si="33"/>
        <v/>
      </c>
      <c r="L1473" s="9" t="str">
        <f t="shared" si="35"/>
        <v/>
      </c>
      <c r="M1473" s="9"/>
      <c r="O1473" s="9"/>
    </row>
    <row r="1474" ht="15.75" customHeight="1">
      <c r="A1474" s="9" t="str">
        <f>IFERROR(__xludf.DUMMYFUNCTION("IF(B1474="""","""",RIGHT(REGEXREPLACE(B1474&amp;"""",""[^0-9]"",""""),9))"),"718022135")</f>
        <v>718022135</v>
      </c>
      <c r="B1474" s="48">
        <v>7.18022135E8</v>
      </c>
      <c r="C1474" s="10" t="s">
        <v>1621</v>
      </c>
      <c r="D1474" s="10" t="s">
        <v>50</v>
      </c>
      <c r="E1474" s="13">
        <v>46228.0</v>
      </c>
      <c r="F1474" s="10" t="s">
        <v>21</v>
      </c>
      <c r="G1474" s="10">
        <v>11.0</v>
      </c>
      <c r="I1474" s="10" t="s">
        <v>22</v>
      </c>
      <c r="J1474" s="9" t="str">
        <f t="shared" si="34"/>
        <v>No</v>
      </c>
      <c r="K1474" s="9" t="str">
        <f t="shared" si="33"/>
        <v/>
      </c>
      <c r="L1474" s="9" t="str">
        <f t="shared" si="35"/>
        <v/>
      </c>
      <c r="M1474" s="9"/>
      <c r="O1474" s="9"/>
    </row>
    <row r="1475" ht="15.75" customHeight="1">
      <c r="A1475" s="9" t="str">
        <f>IFERROR(__xludf.DUMMYFUNCTION("IF(B1475="""","""",RIGHT(REGEXREPLACE(B1475&amp;"""",""[^0-9]"",""""),9))"),"765353059")</f>
        <v>765353059</v>
      </c>
      <c r="B1475" s="48">
        <v>7.65353059E8</v>
      </c>
      <c r="C1475" s="10" t="s">
        <v>1622</v>
      </c>
      <c r="D1475" s="10" t="s">
        <v>34</v>
      </c>
      <c r="E1475" s="13">
        <v>46228.0</v>
      </c>
      <c r="F1475" s="10" t="s">
        <v>35</v>
      </c>
      <c r="G1475" s="10">
        <v>11.0</v>
      </c>
      <c r="I1475" s="10" t="s">
        <v>22</v>
      </c>
      <c r="J1475" s="9" t="str">
        <f t="shared" si="34"/>
        <v>No</v>
      </c>
      <c r="K1475" s="9" t="str">
        <f t="shared" si="33"/>
        <v/>
      </c>
      <c r="L1475" s="9" t="str">
        <f t="shared" si="35"/>
        <v/>
      </c>
      <c r="M1475" s="9"/>
      <c r="O1475" s="9"/>
    </row>
    <row r="1476" ht="15.75" customHeight="1">
      <c r="A1476" s="9" t="str">
        <f>IFERROR(__xludf.DUMMYFUNCTION("IF(B1476="""","""",RIGHT(REGEXREPLACE(B1476&amp;"""",""[^0-9]"",""""),9))"),"741239973")</f>
        <v>741239973</v>
      </c>
      <c r="B1476" s="10">
        <v>7.41239973E8</v>
      </c>
      <c r="C1476" s="10" t="s">
        <v>1623</v>
      </c>
      <c r="D1476" s="10" t="s">
        <v>20</v>
      </c>
      <c r="E1476" s="13">
        <v>46228.0</v>
      </c>
      <c r="F1476" s="10" t="s">
        <v>173</v>
      </c>
      <c r="G1476" s="10">
        <v>11.0</v>
      </c>
      <c r="I1476" s="10" t="s">
        <v>22</v>
      </c>
      <c r="J1476" s="9" t="str">
        <f t="shared" si="34"/>
        <v>No</v>
      </c>
      <c r="K1476" s="9" t="str">
        <f t="shared" si="33"/>
        <v/>
      </c>
      <c r="L1476" s="9" t="str">
        <f t="shared" si="35"/>
        <v/>
      </c>
      <c r="M1476" s="9"/>
      <c r="O1476" s="9"/>
    </row>
    <row r="1477" ht="15.75" customHeight="1">
      <c r="A1477" s="9" t="str">
        <f>IFERROR(__xludf.DUMMYFUNCTION("IF(B1477="""","""",RIGHT(REGEXREPLACE(B1477&amp;"""",""[^0-9]"",""""),9))"),"712350485")</f>
        <v>712350485</v>
      </c>
      <c r="B1477" s="10">
        <v>7.12350485E8</v>
      </c>
      <c r="C1477" s="10" t="s">
        <v>1624</v>
      </c>
      <c r="D1477" s="10" t="s">
        <v>20</v>
      </c>
      <c r="E1477" s="13">
        <v>46228.0</v>
      </c>
      <c r="F1477" s="10" t="s">
        <v>198</v>
      </c>
      <c r="I1477" s="10" t="s">
        <v>22</v>
      </c>
      <c r="J1477" s="9" t="str">
        <f t="shared" si="34"/>
        <v>No</v>
      </c>
      <c r="K1477" s="9" t="str">
        <f t="shared" si="33"/>
        <v/>
      </c>
      <c r="L1477" s="9" t="str">
        <f t="shared" si="35"/>
        <v/>
      </c>
      <c r="M1477" s="9"/>
      <c r="O1477" s="9"/>
    </row>
    <row r="1478" ht="15.75" customHeight="1">
      <c r="A1478" s="9" t="str">
        <f>IFERROR(__xludf.DUMMYFUNCTION("IF(B1478="""","""",RIGHT(REGEXREPLACE(B1478&amp;"""",""[^0-9]"",""""),9))"),"773740574")</f>
        <v>773740574</v>
      </c>
      <c r="B1478" s="48">
        <v>7.73740574E8</v>
      </c>
      <c r="C1478" s="10" t="s">
        <v>1625</v>
      </c>
      <c r="D1478" s="10" t="s">
        <v>120</v>
      </c>
      <c r="E1478" s="13">
        <v>46228.0</v>
      </c>
      <c r="F1478" s="10" t="s">
        <v>35</v>
      </c>
      <c r="G1478" s="10">
        <v>11.0</v>
      </c>
      <c r="I1478" s="10" t="s">
        <v>22</v>
      </c>
      <c r="J1478" s="9" t="str">
        <f t="shared" si="34"/>
        <v>No</v>
      </c>
      <c r="K1478" s="9" t="str">
        <f t="shared" si="33"/>
        <v/>
      </c>
      <c r="L1478" s="9" t="str">
        <f t="shared" si="35"/>
        <v/>
      </c>
      <c r="M1478" s="9"/>
      <c r="O1478" s="9"/>
    </row>
    <row r="1479" ht="15.75" customHeight="1">
      <c r="A1479" s="9" t="str">
        <f>IFERROR(__xludf.DUMMYFUNCTION("IF(B1479="""","""",RIGHT(REGEXREPLACE(B1479&amp;"""",""[^0-9]"",""""),9))"),"718173193")</f>
        <v>718173193</v>
      </c>
      <c r="B1479" s="48">
        <v>7.18173193E8</v>
      </c>
      <c r="C1479" s="10" t="s">
        <v>1626</v>
      </c>
      <c r="D1479" s="10" t="s">
        <v>50</v>
      </c>
      <c r="E1479" s="13">
        <v>46228.0</v>
      </c>
      <c r="F1479" s="10" t="s">
        <v>35</v>
      </c>
      <c r="G1479" s="10">
        <v>11.0</v>
      </c>
      <c r="I1479" s="10" t="s">
        <v>22</v>
      </c>
      <c r="J1479" s="9" t="str">
        <f t="shared" si="34"/>
        <v>No</v>
      </c>
      <c r="K1479" s="9" t="str">
        <f t="shared" si="33"/>
        <v/>
      </c>
      <c r="L1479" s="9" t="str">
        <f t="shared" si="35"/>
        <v/>
      </c>
      <c r="M1479" s="9"/>
      <c r="O1479" s="9"/>
    </row>
    <row r="1480" ht="15.75" customHeight="1">
      <c r="A1480" s="9" t="str">
        <f>IFERROR(__xludf.DUMMYFUNCTION("IF(B1480="""","""",RIGHT(REGEXREPLACE(B1480&amp;"""",""[^0-9]"",""""),9))"),"765313808")</f>
        <v>765313808</v>
      </c>
      <c r="B1480" s="48">
        <v>7.65313808E8</v>
      </c>
      <c r="C1480" s="10" t="s">
        <v>1627</v>
      </c>
      <c r="D1480" s="10" t="s">
        <v>34</v>
      </c>
      <c r="E1480" s="13">
        <v>46228.0</v>
      </c>
      <c r="F1480" s="10" t="s">
        <v>113</v>
      </c>
      <c r="I1480" s="10" t="s">
        <v>22</v>
      </c>
      <c r="J1480" s="9" t="str">
        <f t="shared" si="34"/>
        <v>No</v>
      </c>
      <c r="K1480" s="9" t="str">
        <f t="shared" si="33"/>
        <v/>
      </c>
      <c r="L1480" s="9" t="str">
        <f t="shared" si="35"/>
        <v/>
      </c>
      <c r="M1480" s="9"/>
      <c r="O1480" s="9"/>
    </row>
    <row r="1481" ht="15.75" customHeight="1">
      <c r="A1481" s="9" t="str">
        <f>IFERROR(__xludf.DUMMYFUNCTION("IF(B1481="""","""",RIGHT(REGEXREPLACE(B1481&amp;"""",""[^0-9]"",""""),9))"),"717018911")</f>
        <v>717018911</v>
      </c>
      <c r="B1481" s="10">
        <v>7.17018911E8</v>
      </c>
      <c r="C1481" s="10" t="s">
        <v>1628</v>
      </c>
      <c r="D1481" s="10" t="s">
        <v>20</v>
      </c>
      <c r="E1481" s="13">
        <v>46228.0</v>
      </c>
      <c r="F1481" s="10" t="s">
        <v>35</v>
      </c>
      <c r="G1481" s="10">
        <v>11.0</v>
      </c>
      <c r="H1481" s="10" t="s">
        <v>1629</v>
      </c>
      <c r="I1481" s="10" t="s">
        <v>22</v>
      </c>
      <c r="J1481" s="9" t="str">
        <f t="shared" si="34"/>
        <v>No</v>
      </c>
      <c r="K1481" s="9" t="str">
        <f t="shared" si="33"/>
        <v/>
      </c>
      <c r="L1481" s="9" t="str">
        <f t="shared" si="35"/>
        <v/>
      </c>
      <c r="M1481" s="9"/>
      <c r="O1481" s="9"/>
    </row>
    <row r="1482" ht="15.75" customHeight="1">
      <c r="A1482" s="9" t="str">
        <f>IFERROR(__xludf.DUMMYFUNCTION("IF(B1482="""","""",RIGHT(REGEXREPLACE(B1482&amp;"""",""[^0-9]"",""""),9))"),"779980104")</f>
        <v>779980104</v>
      </c>
      <c r="B1482" s="48">
        <v>7.79980104E8</v>
      </c>
      <c r="C1482" s="10" t="s">
        <v>1630</v>
      </c>
      <c r="D1482" s="10" t="s">
        <v>69</v>
      </c>
      <c r="E1482" s="13">
        <v>46228.0</v>
      </c>
      <c r="F1482" s="10" t="s">
        <v>35</v>
      </c>
      <c r="G1482" s="10">
        <v>10.0</v>
      </c>
      <c r="I1482" s="10" t="s">
        <v>22</v>
      </c>
      <c r="J1482" s="9" t="str">
        <f t="shared" si="34"/>
        <v>No</v>
      </c>
      <c r="K1482" s="9" t="str">
        <f t="shared" si="33"/>
        <v/>
      </c>
      <c r="L1482" s="9" t="str">
        <f t="shared" si="35"/>
        <v/>
      </c>
      <c r="M1482" s="9"/>
      <c r="O1482" s="9"/>
    </row>
    <row r="1483" ht="15.75" customHeight="1">
      <c r="A1483" s="9" t="str">
        <f>IFERROR(__xludf.DUMMYFUNCTION("IF(B1483="""","""",RIGHT(REGEXREPLACE(B1483&amp;"""",""[^0-9]"",""""),9))"),"769377458")</f>
        <v>769377458</v>
      </c>
      <c r="B1483" s="48">
        <v>7.69377458E8</v>
      </c>
      <c r="C1483" s="10" t="s">
        <v>1631</v>
      </c>
      <c r="D1483" s="10" t="s">
        <v>69</v>
      </c>
      <c r="E1483" s="13">
        <v>46228.0</v>
      </c>
      <c r="F1483" s="10" t="s">
        <v>21</v>
      </c>
      <c r="G1483" s="10">
        <v>11.0</v>
      </c>
      <c r="I1483" s="10" t="s">
        <v>22</v>
      </c>
      <c r="J1483" s="9" t="str">
        <f t="shared" si="34"/>
        <v>No</v>
      </c>
      <c r="K1483" s="9" t="str">
        <f t="shared" si="33"/>
        <v/>
      </c>
      <c r="L1483" s="9" t="str">
        <f t="shared" si="35"/>
        <v/>
      </c>
      <c r="M1483" s="9"/>
      <c r="O1483" s="9"/>
    </row>
    <row r="1484" ht="15.75" customHeight="1">
      <c r="A1484" s="9" t="str">
        <f>IFERROR(__xludf.DUMMYFUNCTION("IF(B1484="""","""",RIGHT(REGEXREPLACE(B1484&amp;"""",""[^0-9]"",""""),9))"),"718080287")</f>
        <v>718080287</v>
      </c>
      <c r="B1484" s="10">
        <v>7.18080287E8</v>
      </c>
      <c r="C1484" s="10" t="s">
        <v>1632</v>
      </c>
      <c r="D1484" s="10" t="s">
        <v>20</v>
      </c>
      <c r="E1484" s="13">
        <v>46228.0</v>
      </c>
      <c r="F1484" s="10" t="s">
        <v>198</v>
      </c>
      <c r="G1484" s="10">
        <v>11.0</v>
      </c>
      <c r="I1484" s="10" t="s">
        <v>22</v>
      </c>
      <c r="J1484" s="9" t="str">
        <f t="shared" si="34"/>
        <v>No</v>
      </c>
      <c r="K1484" s="9" t="str">
        <f t="shared" si="33"/>
        <v/>
      </c>
      <c r="L1484" s="9" t="str">
        <f t="shared" si="35"/>
        <v/>
      </c>
      <c r="M1484" s="9"/>
      <c r="O1484" s="9"/>
    </row>
    <row r="1485" ht="15.75" customHeight="1">
      <c r="A1485" s="9" t="str">
        <f>IFERROR(__xludf.DUMMYFUNCTION("IF(B1485="""","""",RIGHT(REGEXREPLACE(B1485&amp;"""",""[^0-9]"",""""),9))"),"781779526")</f>
        <v>781779526</v>
      </c>
      <c r="B1485" s="48">
        <v>7.81779526E8</v>
      </c>
      <c r="C1485" s="10" t="s">
        <v>1633</v>
      </c>
      <c r="D1485" s="10" t="s">
        <v>50</v>
      </c>
      <c r="E1485" s="13">
        <v>46228.0</v>
      </c>
      <c r="F1485" s="10" t="s">
        <v>21</v>
      </c>
      <c r="G1485" s="10">
        <v>11.0</v>
      </c>
      <c r="I1485" s="10" t="s">
        <v>22</v>
      </c>
      <c r="J1485" s="9" t="str">
        <f t="shared" si="34"/>
        <v>No</v>
      </c>
      <c r="K1485" s="9" t="str">
        <f t="shared" si="33"/>
        <v/>
      </c>
      <c r="L1485" s="9" t="str">
        <f t="shared" si="35"/>
        <v/>
      </c>
      <c r="M1485" s="9"/>
      <c r="O1485" s="9"/>
    </row>
    <row r="1486" ht="15.75" customHeight="1">
      <c r="A1486" s="9" t="str">
        <f>IFERROR(__xludf.DUMMYFUNCTION("IF(B1486="""","""",RIGHT(REGEXREPLACE(B1486&amp;"""",""[^0-9]"",""""),9))"),"769175247")</f>
        <v>769175247</v>
      </c>
      <c r="B1486" s="48">
        <v>7.69175247E8</v>
      </c>
      <c r="C1486" s="10" t="s">
        <v>1634</v>
      </c>
      <c r="D1486" s="10" t="s">
        <v>34</v>
      </c>
      <c r="E1486" s="13">
        <v>46228.0</v>
      </c>
      <c r="F1486" s="10" t="s">
        <v>35</v>
      </c>
      <c r="G1486" s="10">
        <v>11.0</v>
      </c>
      <c r="I1486" s="10" t="s">
        <v>22</v>
      </c>
      <c r="J1486" s="9" t="str">
        <f t="shared" si="34"/>
        <v>No</v>
      </c>
      <c r="K1486" s="9" t="str">
        <f t="shared" si="33"/>
        <v/>
      </c>
      <c r="L1486" s="9" t="str">
        <f t="shared" si="35"/>
        <v/>
      </c>
      <c r="M1486" s="9"/>
      <c r="O1486" s="9"/>
    </row>
    <row r="1487" ht="15.75" customHeight="1">
      <c r="A1487" s="9" t="str">
        <f>IFERROR(__xludf.DUMMYFUNCTION("IF(B1487="""","""",RIGHT(REGEXREPLACE(B1487&amp;"""",""[^0-9]"",""""),9))"),"761421561")</f>
        <v>761421561</v>
      </c>
      <c r="B1487" s="48">
        <v>7.61421561E8</v>
      </c>
      <c r="C1487" s="10" t="s">
        <v>1635</v>
      </c>
      <c r="D1487" s="10" t="s">
        <v>50</v>
      </c>
      <c r="E1487" s="13">
        <v>46228.0</v>
      </c>
      <c r="F1487" s="10" t="s">
        <v>21</v>
      </c>
      <c r="G1487" s="10">
        <v>11.0</v>
      </c>
      <c r="I1487" s="10" t="s">
        <v>22</v>
      </c>
      <c r="J1487" s="9" t="str">
        <f t="shared" si="34"/>
        <v>No</v>
      </c>
      <c r="K1487" s="9" t="str">
        <f t="shared" si="33"/>
        <v/>
      </c>
      <c r="L1487" s="9" t="str">
        <f t="shared" si="35"/>
        <v/>
      </c>
      <c r="M1487" s="9"/>
      <c r="O1487" s="9"/>
    </row>
    <row r="1488" ht="15.75" customHeight="1">
      <c r="A1488" s="9" t="str">
        <f>IFERROR(__xludf.DUMMYFUNCTION("IF(B1488="""","""",RIGHT(REGEXREPLACE(B1488&amp;"""",""[^0-9]"",""""),9))"),"762113413")</f>
        <v>762113413</v>
      </c>
      <c r="B1488" s="48">
        <v>7.62113413E8</v>
      </c>
      <c r="C1488" s="10" t="s">
        <v>1636</v>
      </c>
      <c r="D1488" s="10" t="s">
        <v>120</v>
      </c>
      <c r="E1488" s="13">
        <v>46228.0</v>
      </c>
      <c r="F1488" s="10" t="s">
        <v>21</v>
      </c>
      <c r="G1488" s="10">
        <v>6.0</v>
      </c>
      <c r="I1488" s="10" t="s">
        <v>22</v>
      </c>
      <c r="J1488" s="9" t="str">
        <f t="shared" si="34"/>
        <v>No</v>
      </c>
      <c r="K1488" s="9" t="str">
        <f t="shared" si="33"/>
        <v/>
      </c>
      <c r="L1488" s="9" t="str">
        <f t="shared" si="35"/>
        <v/>
      </c>
      <c r="M1488" s="9"/>
      <c r="O1488" s="9"/>
    </row>
    <row r="1489" ht="15.75" customHeight="1">
      <c r="A1489" s="9" t="str">
        <f>IFERROR(__xludf.DUMMYFUNCTION("IF(B1489="""","""",RIGHT(REGEXREPLACE(B1489&amp;"""",""[^0-9]"",""""),9))"),"768348903")</f>
        <v>768348903</v>
      </c>
      <c r="B1489" s="10">
        <v>7.68348903E8</v>
      </c>
      <c r="C1489" s="10" t="s">
        <v>1637</v>
      </c>
      <c r="D1489" s="10" t="s">
        <v>20</v>
      </c>
      <c r="E1489" s="13">
        <v>46228.0</v>
      </c>
      <c r="F1489" s="10" t="s">
        <v>21</v>
      </c>
      <c r="I1489" s="10" t="s">
        <v>22</v>
      </c>
      <c r="J1489" s="9" t="str">
        <f t="shared" si="34"/>
        <v>No</v>
      </c>
      <c r="K1489" s="9" t="str">
        <f t="shared" si="33"/>
        <v/>
      </c>
      <c r="L1489" s="9" t="str">
        <f t="shared" si="35"/>
        <v/>
      </c>
      <c r="M1489" s="9"/>
      <c r="O1489" s="9"/>
    </row>
    <row r="1490" ht="15.75" customHeight="1">
      <c r="A1490" s="9" t="str">
        <f>IFERROR(__xludf.DUMMYFUNCTION("IF(B1490="""","""",RIGHT(REGEXREPLACE(B1490&amp;"""",""[^0-9]"",""""),9))"),"789913589")</f>
        <v>789913589</v>
      </c>
      <c r="B1490" s="48">
        <v>7.89913589E8</v>
      </c>
      <c r="C1490" s="10" t="s">
        <v>1638</v>
      </c>
      <c r="D1490" s="10" t="s">
        <v>50</v>
      </c>
      <c r="E1490" s="13">
        <v>46228.0</v>
      </c>
      <c r="F1490" s="10" t="s">
        <v>198</v>
      </c>
      <c r="G1490" s="10">
        <v>10.0</v>
      </c>
      <c r="I1490" s="10" t="s">
        <v>22</v>
      </c>
      <c r="J1490" s="9" t="str">
        <f t="shared" si="34"/>
        <v>No</v>
      </c>
      <c r="K1490" s="9" t="str">
        <f t="shared" si="33"/>
        <v/>
      </c>
      <c r="L1490" s="9" t="str">
        <f t="shared" si="35"/>
        <v/>
      </c>
      <c r="M1490" s="9"/>
      <c r="O1490" s="9"/>
    </row>
    <row r="1491" ht="15.75" customHeight="1">
      <c r="A1491" s="9" t="str">
        <f>IFERROR(__xludf.DUMMYFUNCTION("IF(B1491="""","""",RIGHT(REGEXREPLACE(B1491&amp;"""",""[^0-9]"",""""),9))"),"741883536")</f>
        <v>741883536</v>
      </c>
      <c r="B1491" s="48">
        <v>7.41883536E8</v>
      </c>
      <c r="C1491" s="10" t="s">
        <v>1639</v>
      </c>
      <c r="D1491" s="10" t="s">
        <v>34</v>
      </c>
      <c r="E1491" s="13">
        <v>46228.0</v>
      </c>
      <c r="F1491" s="10" t="s">
        <v>35</v>
      </c>
      <c r="G1491" s="10">
        <v>9.0</v>
      </c>
      <c r="H1491" s="10" t="s">
        <v>1640</v>
      </c>
      <c r="I1491" s="10" t="s">
        <v>22</v>
      </c>
      <c r="J1491" s="9" t="str">
        <f t="shared" si="34"/>
        <v>No</v>
      </c>
      <c r="K1491" s="9" t="str">
        <f t="shared" si="33"/>
        <v/>
      </c>
      <c r="L1491" s="9" t="str">
        <f t="shared" si="35"/>
        <v/>
      </c>
      <c r="M1491" s="9"/>
      <c r="O1491" s="9"/>
    </row>
    <row r="1492" ht="15.75" customHeight="1">
      <c r="A1492" s="9" t="str">
        <f>IFERROR(__xludf.DUMMYFUNCTION("IF(B1492="""","""",RIGHT(REGEXREPLACE(B1492&amp;"""",""[^0-9]"",""""),9))"),"702446085")</f>
        <v>702446085</v>
      </c>
      <c r="B1492" s="48">
        <v>7.02446085E8</v>
      </c>
      <c r="C1492" s="10" t="s">
        <v>906</v>
      </c>
      <c r="D1492" s="10" t="s">
        <v>69</v>
      </c>
      <c r="E1492" s="13">
        <v>46228.0</v>
      </c>
      <c r="F1492" s="10" t="s">
        <v>35</v>
      </c>
      <c r="G1492" s="10">
        <v>10.0</v>
      </c>
      <c r="I1492" s="10" t="s">
        <v>22</v>
      </c>
      <c r="J1492" s="9" t="str">
        <f t="shared" si="34"/>
        <v>No</v>
      </c>
      <c r="K1492" s="9" t="str">
        <f t="shared" si="33"/>
        <v/>
      </c>
      <c r="L1492" s="9" t="str">
        <f t="shared" si="35"/>
        <v/>
      </c>
      <c r="M1492" s="9"/>
      <c r="O1492" s="9"/>
    </row>
    <row r="1493" ht="15.75" customHeight="1">
      <c r="A1493" s="9" t="str">
        <f>IFERROR(__xludf.DUMMYFUNCTION("IF(B1493="""","""",RIGHT(REGEXREPLACE(B1493&amp;"""",""[^0-9]"",""""),9))"),"717086676")</f>
        <v>717086676</v>
      </c>
      <c r="B1493" s="48">
        <v>7.17086676E8</v>
      </c>
      <c r="C1493" s="10" t="s">
        <v>1641</v>
      </c>
      <c r="D1493" s="10" t="s">
        <v>120</v>
      </c>
      <c r="E1493" s="13">
        <v>46228.0</v>
      </c>
      <c r="F1493" s="10" t="s">
        <v>21</v>
      </c>
      <c r="I1493" s="10" t="s">
        <v>22</v>
      </c>
      <c r="J1493" s="9" t="str">
        <f t="shared" si="34"/>
        <v>No</v>
      </c>
      <c r="K1493" s="9" t="str">
        <f t="shared" si="33"/>
        <v/>
      </c>
      <c r="L1493" s="9" t="str">
        <f t="shared" si="35"/>
        <v/>
      </c>
      <c r="M1493" s="9"/>
      <c r="O1493" s="9"/>
    </row>
    <row r="1494" ht="15.75" customHeight="1">
      <c r="A1494" s="9" t="str">
        <f>IFERROR(__xludf.DUMMYFUNCTION("IF(B1494="""","""",RIGHT(REGEXREPLACE(B1494&amp;"""",""[^0-9]"",""""),9))"),"742142639")</f>
        <v>742142639</v>
      </c>
      <c r="B1494" s="48">
        <v>7.42142639E8</v>
      </c>
      <c r="C1494" s="10" t="s">
        <v>1642</v>
      </c>
      <c r="D1494" s="10" t="s">
        <v>50</v>
      </c>
      <c r="E1494" s="13">
        <v>46228.0</v>
      </c>
      <c r="F1494" s="10" t="s">
        <v>35</v>
      </c>
      <c r="G1494" s="10">
        <v>11.0</v>
      </c>
      <c r="I1494" s="10" t="s">
        <v>22</v>
      </c>
      <c r="J1494" s="9" t="str">
        <f t="shared" si="34"/>
        <v>No</v>
      </c>
      <c r="K1494" s="9" t="str">
        <f t="shared" si="33"/>
        <v/>
      </c>
      <c r="L1494" s="9" t="str">
        <f t="shared" si="35"/>
        <v/>
      </c>
      <c r="M1494" s="9"/>
      <c r="O1494" s="9"/>
    </row>
    <row r="1495" ht="15.75" customHeight="1">
      <c r="A1495" s="9" t="str">
        <f>IFERROR(__xludf.DUMMYFUNCTION("IF(B1495="""","""",RIGHT(REGEXREPLACE(B1495&amp;"""",""[^0-9]"",""""),9))"),"714968595")</f>
        <v>714968595</v>
      </c>
      <c r="B1495" s="48">
        <v>7.14968595E8</v>
      </c>
      <c r="C1495" s="10" t="s">
        <v>1643</v>
      </c>
      <c r="D1495" s="10" t="s">
        <v>34</v>
      </c>
      <c r="E1495" s="13">
        <v>46228.0</v>
      </c>
      <c r="F1495" s="10" t="s">
        <v>35</v>
      </c>
      <c r="H1495" s="10" t="s">
        <v>1644</v>
      </c>
      <c r="I1495" s="10" t="s">
        <v>22</v>
      </c>
      <c r="J1495" s="9" t="str">
        <f t="shared" si="34"/>
        <v>No</v>
      </c>
      <c r="K1495" s="9" t="str">
        <f t="shared" si="33"/>
        <v/>
      </c>
      <c r="L1495" s="9" t="str">
        <f t="shared" si="35"/>
        <v/>
      </c>
      <c r="M1495" s="9"/>
      <c r="O1495" s="9"/>
    </row>
    <row r="1496" ht="15.75" customHeight="1">
      <c r="A1496" s="9" t="str">
        <f>IFERROR(__xludf.DUMMYFUNCTION("IF(B1496="""","""",RIGHT(REGEXREPLACE(B1496&amp;"""",""[^0-9]"",""""),9))"),"761573600")</f>
        <v>761573600</v>
      </c>
      <c r="B1496" s="48">
        <v>7.615736E8</v>
      </c>
      <c r="C1496" s="10" t="s">
        <v>1645</v>
      </c>
      <c r="D1496" s="10" t="s">
        <v>120</v>
      </c>
      <c r="E1496" s="13">
        <v>46228.0</v>
      </c>
      <c r="F1496" s="10" t="s">
        <v>35</v>
      </c>
      <c r="G1496" s="10">
        <v>11.0</v>
      </c>
      <c r="I1496" s="10" t="s">
        <v>22</v>
      </c>
      <c r="J1496" s="9" t="str">
        <f t="shared" si="34"/>
        <v>No</v>
      </c>
      <c r="K1496" s="9" t="str">
        <f t="shared" si="33"/>
        <v/>
      </c>
      <c r="L1496" s="9" t="str">
        <f t="shared" si="35"/>
        <v/>
      </c>
      <c r="M1496" s="9"/>
      <c r="O1496" s="9"/>
    </row>
    <row r="1497" ht="15.75" customHeight="1">
      <c r="A1497" s="9" t="str">
        <f>IFERROR(__xludf.DUMMYFUNCTION("IF(B1497="""","""",RIGHT(REGEXREPLACE(B1497&amp;"""",""[^0-9]"",""""),9))"),"704249205")</f>
        <v>704249205</v>
      </c>
      <c r="B1497" s="48">
        <v>7.04249205E8</v>
      </c>
      <c r="C1497" s="10" t="s">
        <v>1646</v>
      </c>
      <c r="D1497" s="10" t="s">
        <v>50</v>
      </c>
      <c r="E1497" s="13">
        <v>46228.0</v>
      </c>
      <c r="F1497" s="10" t="s">
        <v>35</v>
      </c>
      <c r="G1497" s="10">
        <v>11.0</v>
      </c>
      <c r="I1497" s="10" t="s">
        <v>22</v>
      </c>
      <c r="J1497" s="9" t="str">
        <f t="shared" si="34"/>
        <v>No</v>
      </c>
      <c r="K1497" s="9" t="str">
        <f t="shared" si="33"/>
        <v/>
      </c>
      <c r="L1497" s="9" t="str">
        <f t="shared" si="35"/>
        <v/>
      </c>
      <c r="M1497" s="9"/>
      <c r="O1497" s="9"/>
    </row>
    <row r="1498" ht="15.75" customHeight="1">
      <c r="A1498" s="9" t="str">
        <f>IFERROR(__xludf.DUMMYFUNCTION("IF(B1498="""","""",RIGHT(REGEXREPLACE(B1498&amp;"""",""[^0-9]"",""""),9))"),"719424421")</f>
        <v>719424421</v>
      </c>
      <c r="B1498" s="48">
        <v>7.19424421E8</v>
      </c>
      <c r="C1498" s="10" t="s">
        <v>1647</v>
      </c>
      <c r="D1498" s="10" t="s">
        <v>34</v>
      </c>
      <c r="E1498" s="13">
        <v>46228.0</v>
      </c>
      <c r="F1498" s="10" t="s">
        <v>35</v>
      </c>
      <c r="G1498" s="10">
        <v>10.0</v>
      </c>
      <c r="H1498" s="10" t="s">
        <v>664</v>
      </c>
      <c r="I1498" s="10" t="s">
        <v>22</v>
      </c>
      <c r="J1498" s="9" t="str">
        <f t="shared" si="34"/>
        <v>No</v>
      </c>
      <c r="K1498" s="9" t="str">
        <f t="shared" si="33"/>
        <v/>
      </c>
      <c r="L1498" s="9" t="str">
        <f t="shared" si="35"/>
        <v/>
      </c>
      <c r="M1498" s="9"/>
      <c r="O1498" s="9"/>
    </row>
    <row r="1499" ht="15.75" customHeight="1">
      <c r="A1499" s="9" t="str">
        <f>IFERROR(__xludf.DUMMYFUNCTION("IF(B1499="""","""",RIGHT(REGEXREPLACE(B1499&amp;"""",""[^0-9]"",""""),9))"),"712490060")</f>
        <v>712490060</v>
      </c>
      <c r="B1499" s="48">
        <v>7.1249006E8</v>
      </c>
      <c r="C1499" s="10" t="s">
        <v>1648</v>
      </c>
      <c r="D1499" s="10" t="s">
        <v>69</v>
      </c>
      <c r="E1499" s="13">
        <v>46228.0</v>
      </c>
      <c r="F1499" s="10" t="s">
        <v>21</v>
      </c>
      <c r="G1499" s="10">
        <v>10.0</v>
      </c>
      <c r="I1499" s="10" t="s">
        <v>22</v>
      </c>
      <c r="J1499" s="9" t="str">
        <f t="shared" si="34"/>
        <v>No</v>
      </c>
      <c r="K1499" s="9" t="str">
        <f t="shared" si="33"/>
        <v/>
      </c>
      <c r="L1499" s="9" t="str">
        <f t="shared" si="35"/>
        <v/>
      </c>
      <c r="M1499" s="9"/>
      <c r="O1499" s="9"/>
    </row>
    <row r="1500" ht="15.75" customHeight="1">
      <c r="A1500" s="9" t="str">
        <f>IFERROR(__xludf.DUMMYFUNCTION("IF(B1500="""","""",RIGHT(REGEXREPLACE(B1500&amp;"""",""[^0-9]"",""""),9))"),"740881457")</f>
        <v>740881457</v>
      </c>
      <c r="B1500" s="48">
        <v>7.40881457E8</v>
      </c>
      <c r="C1500" s="10" t="s">
        <v>1649</v>
      </c>
      <c r="D1500" s="10" t="s">
        <v>50</v>
      </c>
      <c r="E1500" s="13">
        <v>46228.0</v>
      </c>
      <c r="F1500" s="10" t="s">
        <v>21</v>
      </c>
      <c r="G1500" s="10">
        <v>11.0</v>
      </c>
      <c r="I1500" s="10" t="s">
        <v>22</v>
      </c>
      <c r="J1500" s="9" t="str">
        <f t="shared" si="34"/>
        <v>No</v>
      </c>
      <c r="K1500" s="9" t="str">
        <f t="shared" si="33"/>
        <v/>
      </c>
      <c r="L1500" s="9" t="str">
        <f t="shared" si="35"/>
        <v/>
      </c>
      <c r="M1500" s="9"/>
      <c r="O1500" s="9"/>
    </row>
    <row r="1501" ht="15.75" customHeight="1">
      <c r="A1501" s="9" t="str">
        <f>IFERROR(__xludf.DUMMYFUNCTION("IF(B1501="""","""",RIGHT(REGEXREPLACE(B1501&amp;"""",""[^0-9]"",""""),9))"),"771658273")</f>
        <v>771658273</v>
      </c>
      <c r="B1501" s="48">
        <v>7.71658273E8</v>
      </c>
      <c r="C1501" s="10" t="s">
        <v>1650</v>
      </c>
      <c r="D1501" s="10" t="s">
        <v>69</v>
      </c>
      <c r="E1501" s="13">
        <v>46228.0</v>
      </c>
      <c r="F1501" s="10" t="s">
        <v>145</v>
      </c>
      <c r="G1501" s="10">
        <v>11.0</v>
      </c>
      <c r="I1501" s="10" t="s">
        <v>22</v>
      </c>
      <c r="J1501" s="9" t="str">
        <f t="shared" si="34"/>
        <v>No</v>
      </c>
      <c r="K1501" s="9" t="str">
        <f t="shared" si="33"/>
        <v/>
      </c>
      <c r="L1501" s="9" t="str">
        <f t="shared" si="35"/>
        <v/>
      </c>
      <c r="M1501" s="9"/>
      <c r="O1501" s="9"/>
    </row>
    <row r="1502" ht="15.75" customHeight="1">
      <c r="A1502" s="9" t="str">
        <f>IFERROR(__xludf.DUMMYFUNCTION("IF(B1502="""","""",RIGHT(REGEXREPLACE(B1502&amp;"""",""[^0-9]"",""""),9))"),"714014413")</f>
        <v>714014413</v>
      </c>
      <c r="B1502" s="48">
        <v>7.14014413E8</v>
      </c>
      <c r="C1502" s="10" t="s">
        <v>1651</v>
      </c>
      <c r="D1502" s="10" t="s">
        <v>34</v>
      </c>
      <c r="E1502" s="13">
        <v>46228.0</v>
      </c>
      <c r="F1502" s="10" t="s">
        <v>35</v>
      </c>
      <c r="G1502" s="10">
        <v>11.0</v>
      </c>
      <c r="I1502" s="10" t="s">
        <v>22</v>
      </c>
      <c r="J1502" s="9" t="str">
        <f t="shared" si="34"/>
        <v>No</v>
      </c>
      <c r="K1502" s="9" t="str">
        <f t="shared" si="33"/>
        <v/>
      </c>
      <c r="L1502" s="9" t="str">
        <f t="shared" si="35"/>
        <v/>
      </c>
      <c r="M1502" s="9"/>
      <c r="O1502" s="9"/>
    </row>
    <row r="1503" ht="15.75" customHeight="1">
      <c r="A1503" s="9" t="str">
        <f>IFERROR(__xludf.DUMMYFUNCTION("IF(B1503="""","""",RIGHT(REGEXREPLACE(B1503&amp;"""",""[^0-9]"",""""),9))"),"760226208")</f>
        <v>760226208</v>
      </c>
      <c r="B1503" s="48">
        <v>7.60226208E8</v>
      </c>
      <c r="C1503" s="10" t="s">
        <v>1652</v>
      </c>
      <c r="D1503" s="10" t="s">
        <v>50</v>
      </c>
      <c r="E1503" s="13">
        <v>46228.0</v>
      </c>
      <c r="F1503" s="10" t="s">
        <v>198</v>
      </c>
      <c r="G1503" s="10">
        <v>11.0</v>
      </c>
      <c r="I1503" s="10" t="s">
        <v>22</v>
      </c>
      <c r="J1503" s="9" t="str">
        <f t="shared" si="34"/>
        <v>No</v>
      </c>
      <c r="K1503" s="9" t="str">
        <f t="shared" si="33"/>
        <v/>
      </c>
      <c r="L1503" s="9" t="str">
        <f t="shared" si="35"/>
        <v/>
      </c>
      <c r="M1503" s="9"/>
      <c r="O1503" s="9"/>
    </row>
    <row r="1504" ht="15.75" customHeight="1">
      <c r="A1504" s="9" t="str">
        <f>IFERROR(__xludf.DUMMYFUNCTION("IF(B1504="""","""",RIGHT(REGEXREPLACE(B1504&amp;"""",""[^0-9]"",""""),9))"),"763201105")</f>
        <v>763201105</v>
      </c>
      <c r="B1504" s="48">
        <v>7.63201105E8</v>
      </c>
      <c r="C1504" s="10" t="s">
        <v>1293</v>
      </c>
      <c r="D1504" s="10" t="s">
        <v>120</v>
      </c>
      <c r="E1504" s="13">
        <v>46228.0</v>
      </c>
      <c r="F1504" s="10" t="s">
        <v>21</v>
      </c>
      <c r="I1504" s="10" t="s">
        <v>22</v>
      </c>
      <c r="J1504" s="9" t="str">
        <f t="shared" si="34"/>
        <v>No</v>
      </c>
      <c r="K1504" s="9" t="str">
        <f t="shared" si="33"/>
        <v/>
      </c>
      <c r="L1504" s="9" t="str">
        <f t="shared" si="35"/>
        <v/>
      </c>
      <c r="M1504" s="9"/>
      <c r="O1504" s="9"/>
    </row>
    <row r="1505" ht="15.75" customHeight="1">
      <c r="A1505" s="9" t="str">
        <f>IFERROR(__xludf.DUMMYFUNCTION("IF(B1505="""","""",RIGHT(REGEXREPLACE(B1505&amp;"""",""[^0-9]"",""""),9))"),"776547495")</f>
        <v>776547495</v>
      </c>
      <c r="B1505" s="10">
        <v>7.76547495E8</v>
      </c>
      <c r="C1505" s="10" t="s">
        <v>1653</v>
      </c>
      <c r="D1505" s="10" t="s">
        <v>20</v>
      </c>
      <c r="E1505" s="13">
        <v>46228.0</v>
      </c>
      <c r="F1505" s="10" t="s">
        <v>35</v>
      </c>
      <c r="G1505" s="10">
        <v>11.0</v>
      </c>
      <c r="I1505" s="10" t="s">
        <v>22</v>
      </c>
      <c r="J1505" s="9" t="str">
        <f t="shared" si="34"/>
        <v>No</v>
      </c>
      <c r="K1505" s="9" t="str">
        <f t="shared" si="33"/>
        <v/>
      </c>
      <c r="L1505" s="9" t="str">
        <f t="shared" si="35"/>
        <v/>
      </c>
      <c r="M1505" s="9"/>
      <c r="O1505" s="9"/>
    </row>
    <row r="1506" ht="15.75" customHeight="1">
      <c r="A1506" s="9" t="str">
        <f>IFERROR(__xludf.DUMMYFUNCTION("IF(B1506="""","""",RIGHT(REGEXREPLACE(B1506&amp;"""",""[^0-9]"",""""),9))"),"742968183")</f>
        <v>742968183</v>
      </c>
      <c r="B1506" s="48">
        <v>7.42968183E8</v>
      </c>
      <c r="C1506" s="10" t="s">
        <v>1654</v>
      </c>
      <c r="D1506" s="10" t="s">
        <v>34</v>
      </c>
      <c r="E1506" s="13">
        <v>46228.0</v>
      </c>
      <c r="F1506" s="10" t="s">
        <v>21</v>
      </c>
      <c r="I1506" s="10" t="s">
        <v>22</v>
      </c>
      <c r="J1506" s="9" t="str">
        <f t="shared" si="34"/>
        <v>No</v>
      </c>
      <c r="K1506" s="9" t="str">
        <f t="shared" si="33"/>
        <v/>
      </c>
      <c r="L1506" s="9" t="str">
        <f t="shared" si="35"/>
        <v/>
      </c>
      <c r="M1506" s="9"/>
      <c r="O1506" s="9"/>
    </row>
    <row r="1507" ht="15.75" customHeight="1">
      <c r="A1507" s="9" t="str">
        <f>IFERROR(__xludf.DUMMYFUNCTION("IF(B1507="""","""",RIGHT(REGEXREPLACE(B1507&amp;"""",""[^0-9]"",""""),9))"),"741687161")</f>
        <v>741687161</v>
      </c>
      <c r="B1507" s="48">
        <v>7.41687161E8</v>
      </c>
      <c r="C1507" s="10" t="s">
        <v>1655</v>
      </c>
      <c r="D1507" s="10" t="s">
        <v>50</v>
      </c>
      <c r="E1507" s="13">
        <v>46228.0</v>
      </c>
      <c r="F1507" s="10" t="s">
        <v>35</v>
      </c>
      <c r="G1507" s="10">
        <v>11.0</v>
      </c>
      <c r="I1507" s="10" t="s">
        <v>22</v>
      </c>
      <c r="J1507" s="9" t="str">
        <f t="shared" si="34"/>
        <v>No</v>
      </c>
      <c r="K1507" s="9" t="str">
        <f t="shared" si="33"/>
        <v/>
      </c>
      <c r="L1507" s="9" t="str">
        <f t="shared" si="35"/>
        <v/>
      </c>
      <c r="M1507" s="9"/>
      <c r="O1507" s="9"/>
    </row>
    <row r="1508" ht="15.75" customHeight="1">
      <c r="A1508" s="9" t="str">
        <f>IFERROR(__xludf.DUMMYFUNCTION("IF(B1508="""","""",RIGHT(REGEXREPLACE(B1508&amp;"""",""[^0-9]"",""""),9))"),"717171534")</f>
        <v>717171534</v>
      </c>
      <c r="B1508" s="10">
        <v>7.17171534E8</v>
      </c>
      <c r="C1508" s="10" t="s">
        <v>1656</v>
      </c>
      <c r="D1508" s="10" t="s">
        <v>20</v>
      </c>
      <c r="E1508" s="13">
        <v>46228.0</v>
      </c>
      <c r="F1508" s="10" t="s">
        <v>35</v>
      </c>
      <c r="G1508" s="10">
        <v>11.0</v>
      </c>
      <c r="I1508" s="10" t="s">
        <v>22</v>
      </c>
      <c r="J1508" s="9" t="str">
        <f t="shared" si="34"/>
        <v>No</v>
      </c>
      <c r="K1508" s="9" t="str">
        <f t="shared" si="33"/>
        <v/>
      </c>
      <c r="L1508" s="9" t="str">
        <f t="shared" si="35"/>
        <v/>
      </c>
      <c r="M1508" s="9"/>
      <c r="O1508" s="9"/>
    </row>
    <row r="1509" ht="15.75" customHeight="1">
      <c r="A1509" s="9" t="str">
        <f>IFERROR(__xludf.DUMMYFUNCTION("IF(B1509="""","""",RIGHT(REGEXREPLACE(B1509&amp;"""",""[^0-9]"",""""),9))"),"727884200")</f>
        <v>727884200</v>
      </c>
      <c r="B1509" s="48">
        <v>7.278842E8</v>
      </c>
      <c r="C1509" s="10" t="s">
        <v>1657</v>
      </c>
      <c r="D1509" s="10" t="s">
        <v>34</v>
      </c>
      <c r="E1509" s="13">
        <v>46228.0</v>
      </c>
      <c r="F1509" s="10" t="s">
        <v>35</v>
      </c>
      <c r="G1509" s="10">
        <v>11.0</v>
      </c>
      <c r="I1509" s="10" t="s">
        <v>22</v>
      </c>
      <c r="J1509" s="9" t="str">
        <f t="shared" si="34"/>
        <v>No</v>
      </c>
      <c r="K1509" s="9" t="str">
        <f t="shared" si="33"/>
        <v/>
      </c>
      <c r="L1509" s="9" t="str">
        <f t="shared" si="35"/>
        <v/>
      </c>
      <c r="M1509" s="9"/>
      <c r="O1509" s="9"/>
    </row>
    <row r="1510" ht="15.75" customHeight="1">
      <c r="A1510" s="9" t="str">
        <f>IFERROR(__xludf.DUMMYFUNCTION("IF(B1510="""","""",RIGHT(REGEXREPLACE(B1510&amp;"""",""[^0-9]"",""""),9))"),"767919448")</f>
        <v>767919448</v>
      </c>
      <c r="B1510" s="48">
        <v>7.67919448E8</v>
      </c>
      <c r="C1510" s="10" t="s">
        <v>1658</v>
      </c>
      <c r="D1510" s="10" t="s">
        <v>50</v>
      </c>
      <c r="E1510" s="13">
        <v>46228.0</v>
      </c>
      <c r="F1510" s="10" t="s">
        <v>35</v>
      </c>
      <c r="G1510" s="10">
        <v>11.0</v>
      </c>
      <c r="I1510" s="10" t="s">
        <v>22</v>
      </c>
      <c r="J1510" s="9" t="str">
        <f t="shared" si="34"/>
        <v>No</v>
      </c>
      <c r="K1510" s="9" t="str">
        <f t="shared" si="33"/>
        <v/>
      </c>
      <c r="L1510" s="9" t="str">
        <f t="shared" si="35"/>
        <v/>
      </c>
      <c r="M1510" s="9"/>
      <c r="O1510" s="9"/>
    </row>
    <row r="1511" ht="15.75" customHeight="1">
      <c r="A1511" s="9" t="str">
        <f>IFERROR(__xludf.DUMMYFUNCTION("IF(B1511="""","""",RIGHT(REGEXREPLACE(B1511&amp;"""",""[^0-9]"",""""),9))"),"714584113")</f>
        <v>714584113</v>
      </c>
      <c r="B1511" s="10">
        <v>7.14584113E8</v>
      </c>
      <c r="C1511" s="10" t="s">
        <v>1659</v>
      </c>
      <c r="D1511" s="10" t="s">
        <v>20</v>
      </c>
      <c r="E1511" s="13">
        <v>46228.0</v>
      </c>
      <c r="F1511" s="10" t="s">
        <v>198</v>
      </c>
      <c r="G1511" s="10">
        <v>9.0</v>
      </c>
      <c r="I1511" s="10" t="s">
        <v>22</v>
      </c>
      <c r="J1511" s="9" t="str">
        <f t="shared" si="34"/>
        <v>No</v>
      </c>
      <c r="K1511" s="9" t="str">
        <f t="shared" si="33"/>
        <v/>
      </c>
      <c r="L1511" s="9" t="str">
        <f t="shared" si="35"/>
        <v/>
      </c>
      <c r="M1511" s="9"/>
      <c r="O1511" s="9"/>
    </row>
    <row r="1512" ht="15.75" customHeight="1">
      <c r="A1512" s="9" t="str">
        <f>IFERROR(__xludf.DUMMYFUNCTION("IF(B1512="""","""",RIGHT(REGEXREPLACE(B1512&amp;"""",""[^0-9]"",""""),9))"),"718102686")</f>
        <v>718102686</v>
      </c>
      <c r="B1512" s="10">
        <v>7.18102686E8</v>
      </c>
      <c r="C1512" s="10" t="s">
        <v>1660</v>
      </c>
      <c r="D1512" s="10" t="s">
        <v>20</v>
      </c>
      <c r="E1512" s="13">
        <v>46228.0</v>
      </c>
      <c r="F1512" s="10" t="s">
        <v>198</v>
      </c>
      <c r="I1512" s="10" t="s">
        <v>22</v>
      </c>
      <c r="J1512" s="9" t="str">
        <f t="shared" si="34"/>
        <v>No</v>
      </c>
      <c r="K1512" s="9" t="str">
        <f t="shared" si="33"/>
        <v/>
      </c>
      <c r="L1512" s="9" t="str">
        <f t="shared" si="35"/>
        <v/>
      </c>
      <c r="M1512" s="9"/>
      <c r="O1512" s="9"/>
    </row>
    <row r="1513" ht="15.75" customHeight="1">
      <c r="A1513" s="9" t="str">
        <f>IFERROR(__xludf.DUMMYFUNCTION("IF(B1513="""","""",RIGHT(REGEXREPLACE(B1513&amp;"""",""[^0-9]"",""""),9))"),"770758505")</f>
        <v>770758505</v>
      </c>
      <c r="B1513" s="48">
        <v>7.70758505E8</v>
      </c>
      <c r="C1513" s="10" t="s">
        <v>1661</v>
      </c>
      <c r="D1513" s="10" t="s">
        <v>120</v>
      </c>
      <c r="E1513" s="13">
        <v>46228.0</v>
      </c>
      <c r="F1513" s="10" t="s">
        <v>35</v>
      </c>
      <c r="G1513" s="10">
        <v>10.0</v>
      </c>
      <c r="I1513" s="10" t="s">
        <v>22</v>
      </c>
      <c r="J1513" s="9" t="str">
        <f t="shared" si="34"/>
        <v>No</v>
      </c>
      <c r="K1513" s="9" t="str">
        <f t="shared" si="33"/>
        <v/>
      </c>
      <c r="L1513" s="9" t="str">
        <f t="shared" si="35"/>
        <v/>
      </c>
      <c r="M1513" s="9"/>
      <c r="O1513" s="9"/>
    </row>
    <row r="1514" ht="15.75" customHeight="1">
      <c r="A1514" s="9" t="str">
        <f>IFERROR(__xludf.DUMMYFUNCTION("IF(B1514="""","""",RIGHT(REGEXREPLACE(B1514&amp;"""",""[^0-9]"",""""),9))"),"769369329")</f>
        <v>769369329</v>
      </c>
      <c r="B1514" s="48">
        <v>7.69369329E8</v>
      </c>
      <c r="C1514" s="10" t="s">
        <v>1662</v>
      </c>
      <c r="D1514" s="10" t="s">
        <v>34</v>
      </c>
      <c r="E1514" s="13">
        <v>46228.0</v>
      </c>
      <c r="F1514" s="10" t="s">
        <v>21</v>
      </c>
      <c r="I1514" s="10" t="s">
        <v>22</v>
      </c>
      <c r="J1514" s="9" t="str">
        <f t="shared" si="34"/>
        <v>No</v>
      </c>
      <c r="K1514" s="9" t="str">
        <f t="shared" si="33"/>
        <v/>
      </c>
      <c r="L1514" s="9" t="str">
        <f t="shared" si="35"/>
        <v/>
      </c>
      <c r="M1514" s="9"/>
      <c r="O1514" s="9"/>
    </row>
    <row r="1515" ht="15.75" customHeight="1">
      <c r="A1515" s="9" t="str">
        <f>IFERROR(__xludf.DUMMYFUNCTION("IF(B1515="""","""",RIGHT(REGEXREPLACE(B1515&amp;"""",""[^0-9]"",""""),9))"),"705904338")</f>
        <v>705904338</v>
      </c>
      <c r="B1515" s="10">
        <v>7.05904338E8</v>
      </c>
      <c r="C1515" s="10" t="s">
        <v>1663</v>
      </c>
      <c r="D1515" s="10" t="s">
        <v>20</v>
      </c>
      <c r="E1515" s="13">
        <v>46228.0</v>
      </c>
      <c r="F1515" s="10" t="s">
        <v>35</v>
      </c>
      <c r="G1515" s="10">
        <v>11.0</v>
      </c>
      <c r="H1515" s="10" t="s">
        <v>1230</v>
      </c>
      <c r="I1515" s="10" t="s">
        <v>22</v>
      </c>
      <c r="J1515" s="9" t="str">
        <f t="shared" si="34"/>
        <v>No</v>
      </c>
      <c r="K1515" s="9" t="str">
        <f t="shared" si="33"/>
        <v/>
      </c>
      <c r="L1515" s="9" t="str">
        <f t="shared" si="35"/>
        <v/>
      </c>
      <c r="M1515" s="9"/>
      <c r="O1515" s="9"/>
    </row>
    <row r="1516" ht="15.75" customHeight="1">
      <c r="A1516" s="9" t="str">
        <f>IFERROR(__xludf.DUMMYFUNCTION("IF(B1516="""","""",RIGHT(REGEXREPLACE(B1516&amp;"""",""[^0-9]"",""""),9))"),"768719834")</f>
        <v>768719834</v>
      </c>
      <c r="B1516" s="10">
        <v>7.68719834E8</v>
      </c>
      <c r="C1516" s="10" t="s">
        <v>1664</v>
      </c>
      <c r="D1516" s="10" t="s">
        <v>20</v>
      </c>
      <c r="E1516" s="13">
        <v>46228.0</v>
      </c>
      <c r="F1516" s="10" t="s">
        <v>198</v>
      </c>
      <c r="G1516" s="10">
        <v>11.0</v>
      </c>
      <c r="I1516" s="10" t="s">
        <v>22</v>
      </c>
      <c r="J1516" s="9" t="str">
        <f t="shared" si="34"/>
        <v>No</v>
      </c>
      <c r="K1516" s="9" t="str">
        <f t="shared" si="33"/>
        <v/>
      </c>
      <c r="L1516" s="9" t="str">
        <f t="shared" si="35"/>
        <v/>
      </c>
      <c r="M1516" s="9"/>
      <c r="O1516" s="9"/>
    </row>
    <row r="1517" ht="15.75" customHeight="1">
      <c r="A1517" s="9" t="str">
        <f>IFERROR(__xludf.DUMMYFUNCTION("IF(B1517="""","""",RIGHT(REGEXREPLACE(B1517&amp;"""",""[^0-9]"",""""),9))"),"712064602")</f>
        <v>712064602</v>
      </c>
      <c r="B1517" s="48">
        <v>7.12064602E8</v>
      </c>
      <c r="C1517" s="10" t="s">
        <v>1665</v>
      </c>
      <c r="D1517" s="10" t="s">
        <v>50</v>
      </c>
      <c r="E1517" s="13">
        <v>46228.0</v>
      </c>
      <c r="F1517" s="10" t="s">
        <v>21</v>
      </c>
      <c r="G1517" s="10">
        <v>11.0</v>
      </c>
      <c r="I1517" s="10" t="s">
        <v>22</v>
      </c>
      <c r="J1517" s="9" t="str">
        <f t="shared" si="34"/>
        <v>No</v>
      </c>
      <c r="K1517" s="9" t="str">
        <f t="shared" si="33"/>
        <v/>
      </c>
      <c r="L1517" s="9" t="str">
        <f t="shared" si="35"/>
        <v/>
      </c>
      <c r="M1517" s="9"/>
      <c r="O1517" s="9"/>
    </row>
    <row r="1518" ht="15.75" customHeight="1">
      <c r="A1518" s="9" t="str">
        <f>IFERROR(__xludf.DUMMYFUNCTION("IF(B1518="""","""",RIGHT(REGEXREPLACE(B1518&amp;"""",""[^0-9]"",""""),9))"),"778442955")</f>
        <v>778442955</v>
      </c>
      <c r="B1518" s="48">
        <v>7.78442955E8</v>
      </c>
      <c r="C1518" s="10" t="s">
        <v>1666</v>
      </c>
      <c r="D1518" s="10" t="s">
        <v>120</v>
      </c>
      <c r="E1518" s="13">
        <v>46228.0</v>
      </c>
      <c r="F1518" s="10" t="s">
        <v>21</v>
      </c>
      <c r="I1518" s="10" t="s">
        <v>22</v>
      </c>
      <c r="J1518" s="9" t="str">
        <f t="shared" si="34"/>
        <v>No</v>
      </c>
      <c r="K1518" s="9" t="str">
        <f t="shared" si="33"/>
        <v/>
      </c>
      <c r="L1518" s="9" t="str">
        <f t="shared" si="35"/>
        <v/>
      </c>
      <c r="M1518" s="9"/>
      <c r="O1518" s="9"/>
    </row>
    <row r="1519" ht="15.75" customHeight="1">
      <c r="A1519" s="9" t="str">
        <f>IFERROR(__xludf.DUMMYFUNCTION("IF(B1519="""","""",RIGHT(REGEXREPLACE(B1519&amp;"""",""[^0-9]"",""""),9))"),"710189894")</f>
        <v>710189894</v>
      </c>
      <c r="B1519" s="48">
        <v>7.10189894E8</v>
      </c>
      <c r="C1519" s="10" t="s">
        <v>1667</v>
      </c>
      <c r="D1519" s="10" t="s">
        <v>69</v>
      </c>
      <c r="E1519" s="13">
        <v>46228.0</v>
      </c>
      <c r="F1519" s="10" t="s">
        <v>113</v>
      </c>
      <c r="H1519" s="10" t="s">
        <v>315</v>
      </c>
      <c r="I1519" s="10" t="s">
        <v>22</v>
      </c>
      <c r="J1519" s="9" t="str">
        <f t="shared" si="34"/>
        <v>No</v>
      </c>
      <c r="K1519" s="9" t="str">
        <f t="shared" si="33"/>
        <v/>
      </c>
      <c r="L1519" s="9" t="str">
        <f t="shared" si="35"/>
        <v/>
      </c>
      <c r="M1519" s="9"/>
      <c r="O1519" s="9"/>
    </row>
    <row r="1520" ht="15.75" customHeight="1">
      <c r="A1520" s="9" t="str">
        <f>IFERROR(__xludf.DUMMYFUNCTION("IF(B1520="""","""",RIGHT(REGEXREPLACE(B1520&amp;"""",""[^0-9]"",""""),9))"),"768202088")</f>
        <v>768202088</v>
      </c>
      <c r="B1520" s="48">
        <v>7.68202088E8</v>
      </c>
      <c r="C1520" s="10" t="s">
        <v>1668</v>
      </c>
      <c r="D1520" s="10" t="s">
        <v>50</v>
      </c>
      <c r="E1520" s="13">
        <v>46228.0</v>
      </c>
      <c r="F1520" s="10" t="s">
        <v>35</v>
      </c>
      <c r="G1520" s="10">
        <v>11.0</v>
      </c>
      <c r="I1520" s="10" t="s">
        <v>22</v>
      </c>
      <c r="J1520" s="9" t="str">
        <f t="shared" si="34"/>
        <v>No</v>
      </c>
      <c r="K1520" s="9" t="str">
        <f t="shared" si="33"/>
        <v/>
      </c>
      <c r="L1520" s="9" t="str">
        <f t="shared" si="35"/>
        <v/>
      </c>
      <c r="M1520" s="9"/>
      <c r="O1520" s="9"/>
    </row>
    <row r="1521" ht="15.75" customHeight="1">
      <c r="A1521" s="9" t="str">
        <f>IFERROR(__xludf.DUMMYFUNCTION("IF(B1521="""","""",RIGHT(REGEXREPLACE(B1521&amp;"""",""[^0-9]"",""""),9))"),"775115237")</f>
        <v>775115237</v>
      </c>
      <c r="B1521" s="10">
        <v>7.75115237E8</v>
      </c>
      <c r="C1521" s="10" t="s">
        <v>1669</v>
      </c>
      <c r="D1521" s="10" t="s">
        <v>20</v>
      </c>
      <c r="E1521" s="13">
        <v>46228.0</v>
      </c>
      <c r="F1521" s="10" t="s">
        <v>35</v>
      </c>
      <c r="G1521" s="10">
        <v>11.0</v>
      </c>
      <c r="I1521" s="10" t="s">
        <v>22</v>
      </c>
      <c r="J1521" s="9" t="str">
        <f t="shared" si="34"/>
        <v>No</v>
      </c>
      <c r="K1521" s="9" t="str">
        <f t="shared" si="33"/>
        <v/>
      </c>
      <c r="L1521" s="9" t="str">
        <f t="shared" si="35"/>
        <v/>
      </c>
      <c r="M1521" s="9"/>
      <c r="O1521" s="9"/>
    </row>
    <row r="1522" ht="15.75" customHeight="1">
      <c r="A1522" s="9" t="str">
        <f>IFERROR(__xludf.DUMMYFUNCTION("IF(B1522="""","""",RIGHT(REGEXREPLACE(B1522&amp;"""",""[^0-9]"",""""),9))"),"718408722")</f>
        <v>718408722</v>
      </c>
      <c r="B1522" s="48">
        <v>7.18408722E8</v>
      </c>
      <c r="C1522" s="10" t="s">
        <v>1670</v>
      </c>
      <c r="D1522" s="10" t="s">
        <v>120</v>
      </c>
      <c r="E1522" s="13">
        <v>46228.0</v>
      </c>
      <c r="F1522" s="10" t="s">
        <v>648</v>
      </c>
      <c r="I1522" s="10" t="s">
        <v>22</v>
      </c>
      <c r="J1522" s="9" t="str">
        <f t="shared" si="34"/>
        <v>No</v>
      </c>
      <c r="K1522" s="9" t="str">
        <f t="shared" si="33"/>
        <v/>
      </c>
      <c r="L1522" s="9" t="str">
        <f t="shared" si="35"/>
        <v/>
      </c>
      <c r="M1522" s="9"/>
      <c r="O1522" s="9"/>
    </row>
    <row r="1523" ht="15.75" customHeight="1">
      <c r="A1523" s="9" t="str">
        <f>IFERROR(__xludf.DUMMYFUNCTION("IF(B1523="""","""",RIGHT(REGEXREPLACE(B1523&amp;"""",""[^0-9]"",""""),9))"),"776283338")</f>
        <v>776283338</v>
      </c>
      <c r="B1523" s="48">
        <v>7.76283338E8</v>
      </c>
      <c r="C1523" s="10" t="s">
        <v>1671</v>
      </c>
      <c r="D1523" s="10" t="s">
        <v>34</v>
      </c>
      <c r="E1523" s="13">
        <v>46228.0</v>
      </c>
      <c r="F1523" s="10" t="s">
        <v>35</v>
      </c>
      <c r="G1523" s="10">
        <v>11.0</v>
      </c>
      <c r="I1523" s="10" t="s">
        <v>22</v>
      </c>
      <c r="J1523" s="9" t="str">
        <f t="shared" si="34"/>
        <v>No</v>
      </c>
      <c r="K1523" s="9" t="str">
        <f t="shared" si="33"/>
        <v/>
      </c>
      <c r="L1523" s="9" t="str">
        <f t="shared" si="35"/>
        <v/>
      </c>
      <c r="M1523" s="9"/>
      <c r="O1523" s="9"/>
    </row>
    <row r="1524" ht="15.75" customHeight="1">
      <c r="A1524" s="9" t="str">
        <f>IFERROR(__xludf.DUMMYFUNCTION("IF(B1524="""","""",RIGHT(REGEXREPLACE(B1524&amp;"""",""[^0-9]"",""""),9))"),"717301568")</f>
        <v>717301568</v>
      </c>
      <c r="B1524" s="10">
        <v>7.17301568E8</v>
      </c>
      <c r="C1524" s="10" t="s">
        <v>1672</v>
      </c>
      <c r="D1524" s="10" t="s">
        <v>20</v>
      </c>
      <c r="E1524" s="13">
        <v>46228.0</v>
      </c>
      <c r="F1524" s="10" t="s">
        <v>171</v>
      </c>
      <c r="I1524" s="10" t="s">
        <v>22</v>
      </c>
      <c r="J1524" s="9" t="str">
        <f t="shared" si="34"/>
        <v>No</v>
      </c>
      <c r="K1524" s="9" t="str">
        <f t="shared" si="33"/>
        <v/>
      </c>
      <c r="L1524" s="9" t="str">
        <f t="shared" si="35"/>
        <v/>
      </c>
      <c r="M1524" s="9"/>
      <c r="O1524" s="9"/>
    </row>
    <row r="1525" ht="15.75" customHeight="1">
      <c r="A1525" s="9" t="str">
        <f>IFERROR(__xludf.DUMMYFUNCTION("IF(B1525="""","""",RIGHT(REGEXREPLACE(B1525&amp;"""",""[^0-9]"",""""),9))"),"713082660")</f>
        <v>713082660</v>
      </c>
      <c r="B1525" s="48">
        <v>7.1308266E8</v>
      </c>
      <c r="C1525" s="10" t="s">
        <v>1673</v>
      </c>
      <c r="D1525" s="10" t="s">
        <v>120</v>
      </c>
      <c r="E1525" s="13">
        <v>46228.0</v>
      </c>
      <c r="F1525" s="10" t="s">
        <v>21</v>
      </c>
      <c r="G1525" s="10">
        <v>11.0</v>
      </c>
      <c r="I1525" s="10" t="s">
        <v>22</v>
      </c>
      <c r="J1525" s="9" t="str">
        <f t="shared" si="34"/>
        <v>No</v>
      </c>
      <c r="K1525" s="9" t="str">
        <f t="shared" si="33"/>
        <v/>
      </c>
      <c r="L1525" s="9" t="str">
        <f t="shared" si="35"/>
        <v/>
      </c>
      <c r="M1525" s="9"/>
      <c r="O1525" s="9"/>
    </row>
    <row r="1526" ht="15.75" customHeight="1">
      <c r="A1526" s="9" t="str">
        <f>IFERROR(__xludf.DUMMYFUNCTION("IF(B1526="""","""",RIGHT(REGEXREPLACE(B1526&amp;"""",""[^0-9]"",""""),9))"),"768802260")</f>
        <v>768802260</v>
      </c>
      <c r="B1526" s="48">
        <v>7.6880226E8</v>
      </c>
      <c r="C1526" s="10" t="s">
        <v>1674</v>
      </c>
      <c r="D1526" s="10" t="s">
        <v>69</v>
      </c>
      <c r="E1526" s="13">
        <v>46228.0</v>
      </c>
      <c r="F1526" s="10" t="s">
        <v>35</v>
      </c>
      <c r="G1526" s="10">
        <v>11.0</v>
      </c>
      <c r="H1526" s="10" t="s">
        <v>1570</v>
      </c>
      <c r="I1526" s="10" t="s">
        <v>22</v>
      </c>
      <c r="J1526" s="9" t="str">
        <f t="shared" si="34"/>
        <v>No</v>
      </c>
      <c r="K1526" s="9" t="str">
        <f t="shared" si="33"/>
        <v/>
      </c>
      <c r="L1526" s="9" t="str">
        <f t="shared" si="35"/>
        <v/>
      </c>
      <c r="M1526" s="9"/>
      <c r="O1526" s="9"/>
    </row>
    <row r="1527" ht="15.75" customHeight="1">
      <c r="A1527" s="9" t="str">
        <f>IFERROR(__xludf.DUMMYFUNCTION("IF(B1527="""","""",RIGHT(REGEXREPLACE(B1527&amp;"""",""[^0-9]"",""""),9))"),"741531021")</f>
        <v>741531021</v>
      </c>
      <c r="B1527" s="10">
        <v>7.41531021E8</v>
      </c>
      <c r="C1527" s="10" t="s">
        <v>1114</v>
      </c>
      <c r="D1527" s="10" t="s">
        <v>20</v>
      </c>
      <c r="E1527" s="13">
        <v>46228.0</v>
      </c>
      <c r="F1527" s="10" t="s">
        <v>35</v>
      </c>
      <c r="G1527" s="10">
        <v>11.0</v>
      </c>
      <c r="I1527" s="10" t="s">
        <v>22</v>
      </c>
      <c r="J1527" s="9" t="str">
        <f t="shared" si="34"/>
        <v>No</v>
      </c>
      <c r="K1527" s="9" t="str">
        <f t="shared" si="33"/>
        <v/>
      </c>
      <c r="L1527" s="9" t="str">
        <f t="shared" si="35"/>
        <v/>
      </c>
      <c r="M1527" s="9"/>
      <c r="O1527" s="9"/>
    </row>
    <row r="1528" ht="15.75" customHeight="1">
      <c r="A1528" s="9" t="str">
        <f>IFERROR(__xludf.DUMMYFUNCTION("IF(B1528="""","""",RIGHT(REGEXREPLACE(B1528&amp;"""",""[^0-9]"",""""),9))"),"717779324")</f>
        <v>717779324</v>
      </c>
      <c r="B1528" s="48">
        <v>7.17779324E8</v>
      </c>
      <c r="C1528" s="10" t="s">
        <v>1675</v>
      </c>
      <c r="D1528" s="10" t="s">
        <v>50</v>
      </c>
      <c r="E1528" s="13">
        <v>46228.0</v>
      </c>
      <c r="F1528" s="10" t="s">
        <v>21</v>
      </c>
      <c r="I1528" s="10" t="s">
        <v>22</v>
      </c>
      <c r="J1528" s="9" t="str">
        <f t="shared" si="34"/>
        <v>No</v>
      </c>
      <c r="K1528" s="9" t="str">
        <f t="shared" si="33"/>
        <v/>
      </c>
      <c r="L1528" s="9" t="str">
        <f t="shared" si="35"/>
        <v/>
      </c>
      <c r="M1528" s="9"/>
      <c r="O1528" s="9"/>
    </row>
    <row r="1529" ht="15.75" customHeight="1">
      <c r="A1529" s="9" t="str">
        <f>IFERROR(__xludf.DUMMYFUNCTION("IF(B1529="""","""",RIGHT(REGEXREPLACE(B1529&amp;"""",""[^0-9]"",""""),9))"),"762071742")</f>
        <v>762071742</v>
      </c>
      <c r="B1529" s="48">
        <v>7.62071742E8</v>
      </c>
      <c r="C1529" s="10" t="s">
        <v>1676</v>
      </c>
      <c r="D1529" s="10" t="s">
        <v>120</v>
      </c>
      <c r="E1529" s="13">
        <v>46228.0</v>
      </c>
      <c r="F1529" s="10" t="s">
        <v>21</v>
      </c>
      <c r="I1529" s="10" t="s">
        <v>22</v>
      </c>
      <c r="J1529" s="9" t="str">
        <f t="shared" si="34"/>
        <v>No</v>
      </c>
      <c r="K1529" s="9" t="str">
        <f t="shared" si="33"/>
        <v/>
      </c>
      <c r="L1529" s="9" t="str">
        <f t="shared" si="35"/>
        <v/>
      </c>
      <c r="M1529" s="9"/>
      <c r="O1529" s="9"/>
    </row>
    <row r="1530" ht="15.75" customHeight="1">
      <c r="A1530" s="9" t="str">
        <f>IFERROR(__xludf.DUMMYFUNCTION("IF(B1530="""","""",RIGHT(REGEXREPLACE(B1530&amp;"""",""[^0-9]"",""""),9))"),"715299009")</f>
        <v>715299009</v>
      </c>
      <c r="B1530" s="48">
        <v>7.15299009E8</v>
      </c>
      <c r="C1530" s="10" t="s">
        <v>1677</v>
      </c>
      <c r="D1530" s="10" t="s">
        <v>34</v>
      </c>
      <c r="E1530" s="13">
        <v>46228.0</v>
      </c>
      <c r="F1530" s="10" t="s">
        <v>35</v>
      </c>
      <c r="G1530" s="10">
        <v>11.0</v>
      </c>
      <c r="I1530" s="10" t="s">
        <v>22</v>
      </c>
      <c r="J1530" s="9" t="str">
        <f t="shared" si="34"/>
        <v>No</v>
      </c>
      <c r="K1530" s="9" t="str">
        <f t="shared" si="33"/>
        <v/>
      </c>
      <c r="L1530" s="9" t="str">
        <f t="shared" si="35"/>
        <v/>
      </c>
      <c r="M1530" s="9"/>
      <c r="O1530" s="9"/>
    </row>
    <row r="1531" ht="15.75" customHeight="1">
      <c r="A1531" s="9" t="str">
        <f>IFERROR(__xludf.DUMMYFUNCTION("IF(B1531="""","""",RIGHT(REGEXREPLACE(B1531&amp;"""",""[^0-9]"",""""),9))"),"741105017")</f>
        <v>741105017</v>
      </c>
      <c r="B1531" s="48">
        <v>7.41105017E8</v>
      </c>
      <c r="C1531" s="10" t="s">
        <v>1678</v>
      </c>
      <c r="D1531" s="10" t="s">
        <v>50</v>
      </c>
      <c r="E1531" s="13">
        <v>46228.0</v>
      </c>
      <c r="F1531" s="10" t="s">
        <v>35</v>
      </c>
      <c r="G1531" s="10">
        <v>11.0</v>
      </c>
      <c r="I1531" s="10" t="s">
        <v>22</v>
      </c>
      <c r="J1531" s="9" t="str">
        <f t="shared" si="34"/>
        <v>No</v>
      </c>
      <c r="K1531" s="9" t="str">
        <f t="shared" si="33"/>
        <v/>
      </c>
      <c r="L1531" s="9" t="str">
        <f t="shared" si="35"/>
        <v/>
      </c>
      <c r="M1531" s="9"/>
      <c r="O1531" s="9"/>
    </row>
    <row r="1532" ht="15.75" customHeight="1">
      <c r="A1532" s="9" t="str">
        <f>IFERROR(__xludf.DUMMYFUNCTION("IF(B1532="""","""",RIGHT(REGEXREPLACE(B1532&amp;"""",""[^0-9]"",""""),9))"),"718937493")</f>
        <v>718937493</v>
      </c>
      <c r="B1532" s="48">
        <v>7.18937493E8</v>
      </c>
      <c r="C1532" s="10" t="s">
        <v>1679</v>
      </c>
      <c r="D1532" s="10" t="s">
        <v>69</v>
      </c>
      <c r="E1532" s="13">
        <v>46228.0</v>
      </c>
      <c r="F1532" s="10" t="s">
        <v>35</v>
      </c>
      <c r="G1532" s="10">
        <v>11.0</v>
      </c>
      <c r="I1532" s="10" t="s">
        <v>22</v>
      </c>
      <c r="J1532" s="9" t="str">
        <f t="shared" si="34"/>
        <v>No</v>
      </c>
      <c r="K1532" s="9" t="str">
        <f t="shared" si="33"/>
        <v/>
      </c>
      <c r="L1532" s="9" t="str">
        <f t="shared" si="35"/>
        <v/>
      </c>
      <c r="M1532" s="9"/>
      <c r="O1532" s="9"/>
    </row>
    <row r="1533" ht="15.75" customHeight="1">
      <c r="A1533" s="9" t="str">
        <f>IFERROR(__xludf.DUMMYFUNCTION("IF(B1533="""","""",RIGHT(REGEXREPLACE(B1533&amp;"""",""[^0-9]"",""""),9))"),"775006073")</f>
        <v>775006073</v>
      </c>
      <c r="B1533" s="48">
        <v>7.75006073E8</v>
      </c>
      <c r="C1533" s="10" t="s">
        <v>1680</v>
      </c>
      <c r="D1533" s="10" t="s">
        <v>120</v>
      </c>
      <c r="E1533" s="13">
        <v>46228.0</v>
      </c>
      <c r="F1533" s="10" t="s">
        <v>35</v>
      </c>
      <c r="G1533" s="10">
        <v>11.0</v>
      </c>
      <c r="I1533" s="10" t="s">
        <v>22</v>
      </c>
      <c r="J1533" s="9" t="str">
        <f t="shared" si="34"/>
        <v>No</v>
      </c>
      <c r="K1533" s="9" t="str">
        <f t="shared" si="33"/>
        <v/>
      </c>
      <c r="L1533" s="9" t="str">
        <f t="shared" si="35"/>
        <v/>
      </c>
      <c r="M1533" s="9"/>
      <c r="O1533" s="9"/>
    </row>
    <row r="1534" ht="15.75" customHeight="1">
      <c r="A1534" s="9" t="str">
        <f>IFERROR(__xludf.DUMMYFUNCTION("IF(B1534="""","""",RIGHT(REGEXREPLACE(B1534&amp;"""",""[^0-9]"",""""),9))"),"774380171")</f>
        <v>774380171</v>
      </c>
      <c r="B1534" s="10">
        <v>7.74380171E8</v>
      </c>
      <c r="C1534" s="10" t="s">
        <v>1681</v>
      </c>
      <c r="D1534" s="10" t="s">
        <v>20</v>
      </c>
      <c r="E1534" s="13">
        <v>46228.0</v>
      </c>
      <c r="F1534" s="10" t="s">
        <v>35</v>
      </c>
      <c r="G1534" s="10">
        <v>10.0</v>
      </c>
      <c r="I1534" s="10" t="s">
        <v>22</v>
      </c>
      <c r="J1534" s="9" t="str">
        <f t="shared" si="34"/>
        <v>No</v>
      </c>
      <c r="K1534" s="9" t="str">
        <f t="shared" si="33"/>
        <v/>
      </c>
      <c r="L1534" s="9" t="str">
        <f t="shared" si="35"/>
        <v/>
      </c>
      <c r="M1534" s="9"/>
      <c r="O1534" s="9"/>
    </row>
    <row r="1535" ht="15.75" customHeight="1">
      <c r="A1535" s="9" t="str">
        <f>IFERROR(__xludf.DUMMYFUNCTION("IF(B1535="""","""",RIGHT(REGEXREPLACE(B1535&amp;"""",""[^0-9]"",""""),9))"),"706407097")</f>
        <v>706407097</v>
      </c>
      <c r="B1535" s="48">
        <v>7.06407097E8</v>
      </c>
      <c r="C1535" s="10" t="s">
        <v>1681</v>
      </c>
      <c r="D1535" s="10" t="s">
        <v>34</v>
      </c>
      <c r="E1535" s="13">
        <v>46228.0</v>
      </c>
      <c r="F1535" s="10" t="s">
        <v>171</v>
      </c>
      <c r="I1535" s="10" t="s">
        <v>22</v>
      </c>
      <c r="J1535" s="9" t="str">
        <f t="shared" si="34"/>
        <v>No</v>
      </c>
      <c r="K1535" s="9" t="str">
        <f t="shared" si="33"/>
        <v/>
      </c>
      <c r="L1535" s="9" t="str">
        <f t="shared" si="35"/>
        <v/>
      </c>
      <c r="M1535" s="9"/>
      <c r="O1535" s="9"/>
    </row>
    <row r="1536" ht="15.75" customHeight="1">
      <c r="A1536" s="9" t="str">
        <f>IFERROR(__xludf.DUMMYFUNCTION("IF(B1536="""","""",RIGHT(REGEXREPLACE(B1536&amp;"""",""[^0-9]"",""""),9))"),"770412119")</f>
        <v>770412119</v>
      </c>
      <c r="B1536" s="10">
        <v>7.70412119E8</v>
      </c>
      <c r="C1536" s="10" t="s">
        <v>1682</v>
      </c>
      <c r="D1536" s="10" t="s">
        <v>20</v>
      </c>
      <c r="E1536" s="13">
        <v>46228.0</v>
      </c>
      <c r="F1536" s="10" t="s">
        <v>35</v>
      </c>
      <c r="G1536" s="10">
        <v>11.0</v>
      </c>
      <c r="I1536" s="10" t="s">
        <v>22</v>
      </c>
      <c r="J1536" s="9" t="str">
        <f t="shared" si="34"/>
        <v>No</v>
      </c>
      <c r="K1536" s="9" t="str">
        <f t="shared" si="33"/>
        <v/>
      </c>
      <c r="L1536" s="9" t="str">
        <f t="shared" si="35"/>
        <v/>
      </c>
      <c r="M1536" s="9"/>
      <c r="O1536" s="9"/>
    </row>
    <row r="1537" ht="15.75" customHeight="1">
      <c r="A1537" s="9" t="str">
        <f>IFERROR(__xludf.DUMMYFUNCTION("IF(B1537="""","""",RIGHT(REGEXREPLACE(B1537&amp;"""",""[^0-9]"",""""),9))"),"762309944")</f>
        <v>762309944</v>
      </c>
      <c r="B1537" s="48">
        <v>7.62309944E8</v>
      </c>
      <c r="C1537" s="10" t="s">
        <v>1683</v>
      </c>
      <c r="D1537" s="10" t="s">
        <v>34</v>
      </c>
      <c r="E1537" s="13">
        <v>46228.0</v>
      </c>
      <c r="F1537" s="10" t="s">
        <v>35</v>
      </c>
      <c r="G1537" s="10">
        <v>11.0</v>
      </c>
      <c r="I1537" s="10" t="s">
        <v>22</v>
      </c>
      <c r="J1537" s="9" t="str">
        <f t="shared" si="34"/>
        <v>No</v>
      </c>
      <c r="K1537" s="9" t="str">
        <f t="shared" si="33"/>
        <v/>
      </c>
      <c r="L1537" s="9" t="str">
        <f t="shared" si="35"/>
        <v/>
      </c>
      <c r="M1537" s="9"/>
      <c r="O1537" s="9"/>
    </row>
    <row r="1538" ht="15.75" customHeight="1">
      <c r="A1538" s="9" t="str">
        <f>IFERROR(__xludf.DUMMYFUNCTION("IF(B1538="""","""",RIGHT(REGEXREPLACE(B1538&amp;"""",""[^0-9]"",""""),9))"),"714878914")</f>
        <v>714878914</v>
      </c>
      <c r="B1538" s="48">
        <v>7.14878914E8</v>
      </c>
      <c r="C1538" s="10" t="s">
        <v>1684</v>
      </c>
      <c r="D1538" s="10" t="s">
        <v>50</v>
      </c>
      <c r="E1538" s="13">
        <v>46228.0</v>
      </c>
      <c r="F1538" s="10" t="s">
        <v>35</v>
      </c>
      <c r="G1538" s="10">
        <v>11.0</v>
      </c>
      <c r="H1538" s="10" t="s">
        <v>238</v>
      </c>
      <c r="I1538" s="10" t="s">
        <v>22</v>
      </c>
      <c r="J1538" s="9" t="str">
        <f t="shared" si="34"/>
        <v>No</v>
      </c>
      <c r="K1538" s="9" t="str">
        <f t="shared" si="33"/>
        <v/>
      </c>
      <c r="L1538" s="9" t="str">
        <f t="shared" si="35"/>
        <v/>
      </c>
      <c r="M1538" s="9"/>
      <c r="O1538" s="9"/>
    </row>
    <row r="1539" ht="15.75" customHeight="1">
      <c r="A1539" s="9" t="str">
        <f>IFERROR(__xludf.DUMMYFUNCTION("IF(B1539="""","""",RIGHT(REGEXREPLACE(B1539&amp;"""",""[^0-9]"",""""),9))"),"711154934")</f>
        <v>711154934</v>
      </c>
      <c r="B1539" s="10">
        <v>7.11154934E8</v>
      </c>
      <c r="C1539" s="10" t="s">
        <v>1685</v>
      </c>
      <c r="D1539" s="10" t="s">
        <v>20</v>
      </c>
      <c r="E1539" s="13">
        <v>46228.0</v>
      </c>
      <c r="F1539" s="10" t="s">
        <v>35</v>
      </c>
      <c r="H1539" s="10" t="s">
        <v>238</v>
      </c>
      <c r="I1539" s="10" t="s">
        <v>22</v>
      </c>
      <c r="J1539" s="9" t="str">
        <f t="shared" si="34"/>
        <v>No</v>
      </c>
      <c r="K1539" s="9" t="str">
        <f t="shared" si="33"/>
        <v/>
      </c>
      <c r="L1539" s="9" t="str">
        <f t="shared" si="35"/>
        <v/>
      </c>
      <c r="M1539" s="9"/>
      <c r="O1539" s="9"/>
    </row>
    <row r="1540" ht="15.75" customHeight="1">
      <c r="A1540" s="9" t="str">
        <f>IFERROR(__xludf.DUMMYFUNCTION("IF(B1540="""","""",RIGHT(REGEXREPLACE(B1540&amp;"""",""[^0-9]"",""""),9))"),"775263849")</f>
        <v>775263849</v>
      </c>
      <c r="B1540" s="10">
        <v>7.75263849E8</v>
      </c>
      <c r="C1540" s="10" t="s">
        <v>1686</v>
      </c>
      <c r="D1540" s="10" t="s">
        <v>20</v>
      </c>
      <c r="E1540" s="13">
        <v>46228.0</v>
      </c>
      <c r="F1540" s="10" t="s">
        <v>198</v>
      </c>
      <c r="I1540" s="10" t="s">
        <v>22</v>
      </c>
      <c r="J1540" s="9" t="str">
        <f t="shared" si="34"/>
        <v>No</v>
      </c>
      <c r="K1540" s="9" t="str">
        <f t="shared" si="33"/>
        <v/>
      </c>
      <c r="L1540" s="9" t="str">
        <f t="shared" si="35"/>
        <v/>
      </c>
      <c r="M1540" s="9"/>
      <c r="O1540" s="9"/>
    </row>
    <row r="1541" ht="15.75" customHeight="1">
      <c r="A1541" s="9" t="str">
        <f>IFERROR(__xludf.DUMMYFUNCTION("IF(B1541="""","""",RIGHT(REGEXREPLACE(B1541&amp;"""",""[^0-9]"",""""),9))"),"766164730")</f>
        <v>766164730</v>
      </c>
      <c r="B1541" s="48">
        <v>7.6616473E8</v>
      </c>
      <c r="C1541" s="10" t="s">
        <v>1687</v>
      </c>
      <c r="D1541" s="10" t="s">
        <v>34</v>
      </c>
      <c r="E1541" s="13">
        <v>46228.0</v>
      </c>
      <c r="F1541" s="10" t="s">
        <v>35</v>
      </c>
      <c r="G1541" s="10">
        <v>10.0</v>
      </c>
      <c r="I1541" s="10" t="s">
        <v>22</v>
      </c>
      <c r="J1541" s="9" t="str">
        <f t="shared" si="34"/>
        <v>No</v>
      </c>
      <c r="K1541" s="9" t="str">
        <f t="shared" si="33"/>
        <v/>
      </c>
      <c r="L1541" s="9" t="str">
        <f t="shared" si="35"/>
        <v/>
      </c>
      <c r="M1541" s="9"/>
      <c r="O1541" s="9"/>
    </row>
    <row r="1542" ht="15.75" customHeight="1">
      <c r="A1542" s="9" t="str">
        <f>IFERROR(__xludf.DUMMYFUNCTION("IF(B1542="""","""",RIGHT(REGEXREPLACE(B1542&amp;"""",""[^0-9]"",""""),9))"),"787339110")</f>
        <v>787339110</v>
      </c>
      <c r="B1542" s="10">
        <v>7.8733911E8</v>
      </c>
      <c r="C1542" s="10" t="s">
        <v>1688</v>
      </c>
      <c r="D1542" s="10" t="s">
        <v>20</v>
      </c>
      <c r="E1542" s="13">
        <v>46228.0</v>
      </c>
      <c r="F1542" s="10" t="s">
        <v>35</v>
      </c>
      <c r="I1542" s="10" t="s">
        <v>22</v>
      </c>
      <c r="J1542" s="9" t="str">
        <f t="shared" si="34"/>
        <v>No</v>
      </c>
      <c r="K1542" s="9" t="str">
        <f t="shared" si="33"/>
        <v/>
      </c>
      <c r="L1542" s="9" t="str">
        <f t="shared" si="35"/>
        <v/>
      </c>
      <c r="M1542" s="9"/>
      <c r="O1542" s="9"/>
    </row>
    <row r="1543" ht="15.75" customHeight="1">
      <c r="A1543" s="9" t="str">
        <f>IFERROR(__xludf.DUMMYFUNCTION("IF(B1543="""","""",RIGHT(REGEXREPLACE(B1543&amp;"""",""[^0-9]"",""""),9))"),"775701084")</f>
        <v>775701084</v>
      </c>
      <c r="B1543" s="10">
        <v>7.75701084E8</v>
      </c>
      <c r="C1543" s="10" t="s">
        <v>1689</v>
      </c>
      <c r="D1543" s="10" t="s">
        <v>20</v>
      </c>
      <c r="E1543" s="13">
        <v>46228.0</v>
      </c>
      <c r="F1543" s="10" t="s">
        <v>21</v>
      </c>
      <c r="I1543" s="10" t="s">
        <v>22</v>
      </c>
      <c r="J1543" s="9" t="str">
        <f t="shared" si="34"/>
        <v>No</v>
      </c>
      <c r="K1543" s="9" t="str">
        <f t="shared" si="33"/>
        <v/>
      </c>
      <c r="L1543" s="9" t="str">
        <f t="shared" si="35"/>
        <v/>
      </c>
      <c r="M1543" s="9"/>
      <c r="O1543" s="9"/>
    </row>
    <row r="1544" ht="15.75" customHeight="1">
      <c r="A1544" s="9" t="str">
        <f>IFERROR(__xludf.DUMMYFUNCTION("IF(B1544="""","""",RIGHT(REGEXREPLACE(B1544&amp;"""",""[^0-9]"",""""),9))"),"741074389")</f>
        <v>741074389</v>
      </c>
      <c r="B1544" s="10">
        <v>7.41074389E8</v>
      </c>
      <c r="C1544" s="10" t="s">
        <v>1690</v>
      </c>
      <c r="D1544" s="10" t="s">
        <v>20</v>
      </c>
      <c r="E1544" s="13">
        <v>46228.0</v>
      </c>
      <c r="F1544" s="10" t="s">
        <v>171</v>
      </c>
      <c r="I1544" s="10" t="s">
        <v>22</v>
      </c>
      <c r="J1544" s="9" t="str">
        <f t="shared" si="34"/>
        <v>No</v>
      </c>
      <c r="K1544" s="9" t="str">
        <f t="shared" si="33"/>
        <v/>
      </c>
      <c r="L1544" s="9" t="str">
        <f t="shared" si="35"/>
        <v/>
      </c>
      <c r="M1544" s="9"/>
      <c r="O1544" s="9"/>
    </row>
    <row r="1545" ht="15.75" customHeight="1">
      <c r="A1545" s="9" t="str">
        <f>IFERROR(__xludf.DUMMYFUNCTION("IF(B1545="""","""",RIGHT(REGEXREPLACE(B1545&amp;"""",""[^0-9]"",""""),9))"),"759065394")</f>
        <v>759065394</v>
      </c>
      <c r="B1545" s="10">
        <v>7.59065394E8</v>
      </c>
      <c r="C1545" s="10" t="s">
        <v>1691</v>
      </c>
      <c r="D1545" s="10" t="s">
        <v>20</v>
      </c>
      <c r="E1545" s="13">
        <v>46228.0</v>
      </c>
      <c r="F1545" s="10" t="s">
        <v>21</v>
      </c>
      <c r="G1545" s="10">
        <v>11.0</v>
      </c>
      <c r="I1545" s="10" t="s">
        <v>22</v>
      </c>
      <c r="J1545" s="9" t="str">
        <f t="shared" si="34"/>
        <v>No</v>
      </c>
      <c r="K1545" s="9" t="str">
        <f t="shared" si="33"/>
        <v/>
      </c>
      <c r="L1545" s="9" t="str">
        <f t="shared" si="35"/>
        <v/>
      </c>
      <c r="M1545" s="9"/>
      <c r="O1545" s="9"/>
    </row>
    <row r="1546" ht="15.75" customHeight="1">
      <c r="A1546" s="9" t="str">
        <f>IFERROR(__xludf.DUMMYFUNCTION("IF(B1546="""","""",RIGHT(REGEXREPLACE(B1546&amp;"""",""[^0-9]"",""""),9))"),"773656577")</f>
        <v>773656577</v>
      </c>
      <c r="B1546" s="48">
        <v>7.73656577E8</v>
      </c>
      <c r="C1546" s="10" t="s">
        <v>1692</v>
      </c>
      <c r="D1546" s="10" t="s">
        <v>50</v>
      </c>
      <c r="E1546" s="13">
        <v>46228.0</v>
      </c>
      <c r="F1546" s="10" t="s">
        <v>35</v>
      </c>
      <c r="G1546" s="10">
        <v>11.0</v>
      </c>
      <c r="H1546" s="10" t="s">
        <v>1693</v>
      </c>
      <c r="I1546" s="10" t="s">
        <v>22</v>
      </c>
      <c r="J1546" s="9" t="str">
        <f t="shared" si="34"/>
        <v>No</v>
      </c>
      <c r="K1546" s="9" t="str">
        <f t="shared" si="33"/>
        <v/>
      </c>
      <c r="L1546" s="9" t="str">
        <f t="shared" si="35"/>
        <v/>
      </c>
      <c r="M1546" s="9"/>
      <c r="O1546" s="9"/>
    </row>
    <row r="1547" ht="15.75" customHeight="1">
      <c r="A1547" s="9" t="str">
        <f>IFERROR(__xludf.DUMMYFUNCTION("IF(B1547="""","""",RIGHT(REGEXREPLACE(B1547&amp;"""",""[^0-9]"",""""),9))"),"777114368")</f>
        <v>777114368</v>
      </c>
      <c r="B1547" s="48">
        <v>7.77114368E8</v>
      </c>
      <c r="C1547" s="10" t="s">
        <v>1694</v>
      </c>
      <c r="D1547" s="10" t="s">
        <v>50</v>
      </c>
      <c r="E1547" s="13">
        <v>46228.0</v>
      </c>
      <c r="F1547" s="10" t="s">
        <v>35</v>
      </c>
      <c r="G1547" s="10">
        <v>11.0</v>
      </c>
      <c r="I1547" s="10" t="s">
        <v>22</v>
      </c>
      <c r="J1547" s="9" t="str">
        <f t="shared" si="34"/>
        <v>No</v>
      </c>
      <c r="K1547" s="9" t="str">
        <f t="shared" si="33"/>
        <v/>
      </c>
      <c r="L1547" s="9" t="str">
        <f t="shared" si="35"/>
        <v/>
      </c>
      <c r="M1547" s="9"/>
      <c r="O1547" s="9"/>
    </row>
    <row r="1548" ht="15.75" customHeight="1">
      <c r="A1548" s="9" t="str">
        <f>IFERROR(__xludf.DUMMYFUNCTION("IF(B1548="""","""",RIGHT(REGEXREPLACE(B1548&amp;"""",""[^0-9]"",""""),9))"),"702830046")</f>
        <v>702830046</v>
      </c>
      <c r="B1548" s="48">
        <v>7.02830046E8</v>
      </c>
      <c r="C1548" s="10" t="s">
        <v>1695</v>
      </c>
      <c r="D1548" s="10" t="s">
        <v>69</v>
      </c>
      <c r="E1548" s="13">
        <v>46228.0</v>
      </c>
      <c r="F1548" s="10" t="s">
        <v>542</v>
      </c>
      <c r="G1548" s="10">
        <v>9.0</v>
      </c>
      <c r="I1548" s="10" t="s">
        <v>22</v>
      </c>
      <c r="J1548" s="9" t="str">
        <f t="shared" si="34"/>
        <v>No</v>
      </c>
      <c r="K1548" s="9" t="str">
        <f t="shared" si="33"/>
        <v/>
      </c>
      <c r="L1548" s="9" t="str">
        <f t="shared" si="35"/>
        <v/>
      </c>
      <c r="M1548" s="9"/>
      <c r="O1548" s="9"/>
    </row>
    <row r="1549" ht="15.75" customHeight="1">
      <c r="A1549" s="9" t="str">
        <f>IFERROR(__xludf.DUMMYFUNCTION("IF(B1549="""","""",RIGHT(REGEXREPLACE(B1549&amp;"""",""[^0-9]"",""""),9))"),"761057547")</f>
        <v>761057547</v>
      </c>
      <c r="B1549" s="48">
        <v>7.61057547E8</v>
      </c>
      <c r="C1549" s="10" t="s">
        <v>1696</v>
      </c>
      <c r="D1549" s="10" t="s">
        <v>120</v>
      </c>
      <c r="E1549" s="13">
        <v>46228.0</v>
      </c>
      <c r="F1549" s="10" t="s">
        <v>21</v>
      </c>
      <c r="I1549" s="10" t="s">
        <v>22</v>
      </c>
      <c r="J1549" s="9" t="str">
        <f t="shared" si="34"/>
        <v>No</v>
      </c>
      <c r="K1549" s="9" t="str">
        <f t="shared" si="33"/>
        <v/>
      </c>
      <c r="L1549" s="9" t="str">
        <f t="shared" si="35"/>
        <v/>
      </c>
      <c r="M1549" s="9"/>
      <c r="O1549" s="9"/>
    </row>
    <row r="1550" ht="15.75" customHeight="1">
      <c r="A1550" s="9" t="str">
        <f>IFERROR(__xludf.DUMMYFUNCTION("IF(B1550="""","""",RIGHT(REGEXREPLACE(B1550&amp;"""",""[^0-9]"",""""),9))"),"741209714")</f>
        <v>741209714</v>
      </c>
      <c r="B1550" s="48">
        <v>7.41209714E8</v>
      </c>
      <c r="C1550" s="10" t="s">
        <v>1697</v>
      </c>
      <c r="D1550" s="10" t="s">
        <v>50</v>
      </c>
      <c r="E1550" s="13">
        <v>46228.0</v>
      </c>
      <c r="F1550" s="10" t="s">
        <v>35</v>
      </c>
      <c r="G1550" s="10">
        <v>9.0</v>
      </c>
      <c r="I1550" s="10" t="s">
        <v>22</v>
      </c>
      <c r="J1550" s="9" t="str">
        <f t="shared" si="34"/>
        <v>No</v>
      </c>
      <c r="K1550" s="9" t="str">
        <f t="shared" si="33"/>
        <v/>
      </c>
      <c r="L1550" s="9" t="str">
        <f t="shared" si="35"/>
        <v/>
      </c>
      <c r="M1550" s="9"/>
      <c r="O1550" s="9"/>
    </row>
    <row r="1551" ht="15.75" customHeight="1">
      <c r="A1551" s="9" t="str">
        <f>IFERROR(__xludf.DUMMYFUNCTION("IF(B1551="""","""",RIGHT(REGEXREPLACE(B1551&amp;"""",""[^0-9]"",""""),9))"),"771345162")</f>
        <v>771345162</v>
      </c>
      <c r="B1551" s="48">
        <v>7.71345162E8</v>
      </c>
      <c r="C1551" s="10" t="s">
        <v>1698</v>
      </c>
      <c r="D1551" s="10">
        <v>6.0</v>
      </c>
      <c r="E1551" s="13">
        <v>46228.0</v>
      </c>
      <c r="F1551" s="10" t="s">
        <v>35</v>
      </c>
      <c r="G1551" s="10">
        <v>6.0</v>
      </c>
      <c r="I1551" s="10" t="s">
        <v>22</v>
      </c>
      <c r="J1551" s="9" t="str">
        <f t="shared" si="34"/>
        <v>No</v>
      </c>
      <c r="K1551" s="9" t="str">
        <f t="shared" si="33"/>
        <v/>
      </c>
      <c r="L1551" s="9" t="str">
        <f t="shared" si="35"/>
        <v/>
      </c>
      <c r="M1551" s="9"/>
      <c r="O1551" s="9"/>
    </row>
    <row r="1552" ht="15.75" customHeight="1">
      <c r="A1552" s="9" t="str">
        <f>IFERROR(__xludf.DUMMYFUNCTION("IF(B1552="""","""",RIGHT(REGEXREPLACE(B1552&amp;"""",""[^0-9]"",""""),9))"),"751379892")</f>
        <v>751379892</v>
      </c>
      <c r="B1552" s="48">
        <v>7.51379892E8</v>
      </c>
      <c r="C1552" s="10" t="s">
        <v>1699</v>
      </c>
      <c r="D1552" s="10" t="s">
        <v>50</v>
      </c>
      <c r="E1552" s="13">
        <v>46228.0</v>
      </c>
      <c r="F1552" s="10" t="s">
        <v>21</v>
      </c>
      <c r="G1552" s="10">
        <v>11.0</v>
      </c>
      <c r="I1552" s="10" t="s">
        <v>22</v>
      </c>
      <c r="J1552" s="9" t="str">
        <f t="shared" si="34"/>
        <v>No</v>
      </c>
      <c r="K1552" s="9" t="str">
        <f t="shared" si="33"/>
        <v/>
      </c>
      <c r="L1552" s="9" t="str">
        <f t="shared" si="35"/>
        <v/>
      </c>
      <c r="M1552" s="9"/>
      <c r="O1552" s="9"/>
    </row>
    <row r="1553" ht="15.75" customHeight="1">
      <c r="A1553" s="9" t="str">
        <f>IFERROR(__xludf.DUMMYFUNCTION("IF(B1553="""","""",RIGHT(REGEXREPLACE(B1553&amp;"""",""[^0-9]"",""""),9))"),"741201855")</f>
        <v>741201855</v>
      </c>
      <c r="B1553" s="48">
        <v>7.41201855E8</v>
      </c>
      <c r="C1553" s="10" t="s">
        <v>1700</v>
      </c>
      <c r="D1553" s="10" t="s">
        <v>50</v>
      </c>
      <c r="E1553" s="13">
        <v>46228.0</v>
      </c>
      <c r="F1553" s="10" t="s">
        <v>21</v>
      </c>
      <c r="G1553" s="10">
        <v>11.0</v>
      </c>
      <c r="I1553" s="10" t="s">
        <v>22</v>
      </c>
      <c r="J1553" s="9" t="str">
        <f t="shared" si="34"/>
        <v>No</v>
      </c>
      <c r="K1553" s="9" t="str">
        <f t="shared" si="33"/>
        <v/>
      </c>
      <c r="L1553" s="9" t="str">
        <f t="shared" si="35"/>
        <v/>
      </c>
      <c r="M1553" s="9"/>
      <c r="O1553" s="9"/>
    </row>
    <row r="1554" ht="15.75" customHeight="1">
      <c r="A1554" s="9" t="str">
        <f>IFERROR(__xludf.DUMMYFUNCTION("IF(B1554="""","""",RIGHT(REGEXREPLACE(B1554&amp;"""",""[^0-9]"",""""),9))"),"777742129")</f>
        <v>777742129</v>
      </c>
      <c r="B1554" s="48">
        <v>7.77742129E8</v>
      </c>
      <c r="C1554" s="10" t="s">
        <v>1701</v>
      </c>
      <c r="D1554" s="10" t="s">
        <v>69</v>
      </c>
      <c r="E1554" s="13">
        <v>46228.0</v>
      </c>
      <c r="F1554" s="10" t="s">
        <v>21</v>
      </c>
      <c r="G1554" s="10">
        <v>11.0</v>
      </c>
      <c r="I1554" s="10" t="s">
        <v>22</v>
      </c>
      <c r="J1554" s="9" t="str">
        <f t="shared" si="34"/>
        <v>No</v>
      </c>
      <c r="K1554" s="9" t="str">
        <f t="shared" si="33"/>
        <v/>
      </c>
      <c r="L1554" s="9" t="str">
        <f t="shared" si="35"/>
        <v/>
      </c>
      <c r="M1554" s="9"/>
      <c r="O1554" s="9"/>
    </row>
    <row r="1555" ht="15.75" customHeight="1">
      <c r="A1555" s="9" t="str">
        <f>IFERROR(__xludf.DUMMYFUNCTION("IF(B1555="""","""",RIGHT(REGEXREPLACE(B1555&amp;"""",""[^0-9]"",""""),9))"),"779142164")</f>
        <v>779142164</v>
      </c>
      <c r="B1555" s="48">
        <v>7.79142164E8</v>
      </c>
      <c r="C1555" s="10" t="s">
        <v>1702</v>
      </c>
      <c r="D1555" s="10" t="s">
        <v>120</v>
      </c>
      <c r="E1555" s="13">
        <v>46228.0</v>
      </c>
      <c r="F1555" s="10" t="s">
        <v>35</v>
      </c>
      <c r="G1555" s="10">
        <v>10.0</v>
      </c>
      <c r="I1555" s="10" t="s">
        <v>22</v>
      </c>
      <c r="J1555" s="9" t="str">
        <f t="shared" si="34"/>
        <v>No</v>
      </c>
      <c r="K1555" s="9" t="str">
        <f t="shared" si="33"/>
        <v/>
      </c>
      <c r="L1555" s="9" t="str">
        <f t="shared" si="35"/>
        <v/>
      </c>
      <c r="M1555" s="9"/>
      <c r="O1555" s="9"/>
    </row>
    <row r="1556" ht="15.75" customHeight="1">
      <c r="A1556" s="9" t="str">
        <f>IFERROR(__xludf.DUMMYFUNCTION("IF(B1556="""","""",RIGHT(REGEXREPLACE(B1556&amp;"""",""[^0-9]"",""""),9))"),"775937826")</f>
        <v>775937826</v>
      </c>
      <c r="B1556" s="48">
        <v>7.75937826E8</v>
      </c>
      <c r="C1556" s="10" t="s">
        <v>1703</v>
      </c>
      <c r="D1556" s="10" t="s">
        <v>69</v>
      </c>
      <c r="E1556" s="13">
        <v>46228.0</v>
      </c>
      <c r="F1556" s="10" t="s">
        <v>35</v>
      </c>
      <c r="G1556" s="10">
        <v>11.0</v>
      </c>
      <c r="I1556" s="10" t="s">
        <v>22</v>
      </c>
      <c r="J1556" s="9" t="str">
        <f t="shared" si="34"/>
        <v>No</v>
      </c>
      <c r="K1556" s="9" t="str">
        <f t="shared" si="33"/>
        <v/>
      </c>
      <c r="L1556" s="9" t="str">
        <f t="shared" si="35"/>
        <v/>
      </c>
      <c r="M1556" s="9"/>
      <c r="O1556" s="9"/>
    </row>
    <row r="1557" ht="15.75" customHeight="1">
      <c r="A1557" s="9" t="str">
        <f>IFERROR(__xludf.DUMMYFUNCTION("IF(B1557="""","""",RIGHT(REGEXREPLACE(B1557&amp;"""",""[^0-9]"",""""),9))"),"768045877")</f>
        <v>768045877</v>
      </c>
      <c r="B1557" s="48">
        <v>7.68045877E8</v>
      </c>
      <c r="C1557" s="10" t="s">
        <v>1704</v>
      </c>
      <c r="D1557" s="10" t="s">
        <v>120</v>
      </c>
      <c r="E1557" s="13">
        <v>46228.0</v>
      </c>
      <c r="F1557" s="10" t="s">
        <v>35</v>
      </c>
      <c r="G1557" s="10">
        <v>11.0</v>
      </c>
      <c r="I1557" s="10" t="s">
        <v>22</v>
      </c>
      <c r="J1557" s="9" t="str">
        <f t="shared" si="34"/>
        <v>No</v>
      </c>
      <c r="K1557" s="9" t="str">
        <f t="shared" si="33"/>
        <v/>
      </c>
      <c r="L1557" s="9" t="str">
        <f t="shared" si="35"/>
        <v/>
      </c>
      <c r="M1557" s="9"/>
      <c r="O1557" s="9"/>
    </row>
    <row r="1558" ht="15.75" customHeight="1">
      <c r="A1558" s="9" t="str">
        <f>IFERROR(__xludf.DUMMYFUNCTION("IF(B1558="""","""",RIGHT(REGEXREPLACE(B1558&amp;"""",""[^0-9]"",""""),9))"),"761217564")</f>
        <v>761217564</v>
      </c>
      <c r="B1558" s="10">
        <v>7.61217564E8</v>
      </c>
      <c r="C1558" s="10" t="s">
        <v>1421</v>
      </c>
      <c r="D1558" s="10" t="s">
        <v>34</v>
      </c>
      <c r="E1558" s="13">
        <v>46228.0</v>
      </c>
      <c r="F1558" s="10" t="s">
        <v>35</v>
      </c>
      <c r="G1558" s="10">
        <v>11.0</v>
      </c>
      <c r="I1558" s="10" t="s">
        <v>22</v>
      </c>
      <c r="J1558" s="9" t="str">
        <f t="shared" si="34"/>
        <v>Yes - see Previous F-Code</v>
      </c>
      <c r="K1558" s="9" t="str">
        <f t="shared" si="33"/>
        <v>DUPLICATE - CHECK</v>
      </c>
      <c r="L1558" s="9" t="str">
        <f t="shared" si="35"/>
        <v>F71224</v>
      </c>
      <c r="M1558" s="9"/>
      <c r="O1558" s="9"/>
    </row>
    <row r="1559" ht="15.75" customHeight="1">
      <c r="A1559" s="9" t="str">
        <f>IFERROR(__xludf.DUMMYFUNCTION("IF(B1559="""","""",RIGHT(REGEXREPLACE(B1559&amp;"""",""[^0-9]"",""""),9))"),"725089094")</f>
        <v>725089094</v>
      </c>
      <c r="B1559" s="48">
        <v>7.25089094E8</v>
      </c>
      <c r="C1559" s="10" t="s">
        <v>1705</v>
      </c>
      <c r="D1559" s="10" t="s">
        <v>50</v>
      </c>
      <c r="E1559" s="13">
        <v>46228.0</v>
      </c>
      <c r="F1559" s="10" t="s">
        <v>21</v>
      </c>
      <c r="G1559" s="10">
        <v>11.0</v>
      </c>
      <c r="I1559" s="10" t="s">
        <v>22</v>
      </c>
      <c r="J1559" s="9" t="str">
        <f t="shared" si="34"/>
        <v>No</v>
      </c>
      <c r="K1559" s="9" t="str">
        <f t="shared" si="33"/>
        <v/>
      </c>
      <c r="L1559" s="9" t="str">
        <f t="shared" si="35"/>
        <v/>
      </c>
      <c r="M1559" s="9"/>
      <c r="O1559" s="9"/>
    </row>
    <row r="1560" ht="15.75" customHeight="1">
      <c r="A1560" s="9" t="str">
        <f>IFERROR(__xludf.DUMMYFUNCTION("IF(B1560="""","""",RIGHT(REGEXREPLACE(B1560&amp;"""",""[^0-9]"",""""),9))"),"765480676")</f>
        <v>765480676</v>
      </c>
      <c r="B1560" s="48">
        <v>7.65480676E8</v>
      </c>
      <c r="C1560" s="10" t="s">
        <v>1706</v>
      </c>
      <c r="D1560" s="10" t="s">
        <v>120</v>
      </c>
      <c r="E1560" s="13">
        <v>46228.0</v>
      </c>
      <c r="F1560" s="10" t="s">
        <v>21</v>
      </c>
      <c r="G1560" s="10">
        <v>10.0</v>
      </c>
      <c r="I1560" s="10" t="s">
        <v>22</v>
      </c>
      <c r="J1560" s="9" t="str">
        <f t="shared" si="34"/>
        <v>No</v>
      </c>
      <c r="K1560" s="9" t="str">
        <f t="shared" si="33"/>
        <v/>
      </c>
      <c r="L1560" s="9" t="str">
        <f t="shared" si="35"/>
        <v/>
      </c>
      <c r="M1560" s="9"/>
      <c r="O1560" s="9"/>
    </row>
    <row r="1561" ht="15.75" customHeight="1">
      <c r="A1561" s="9" t="str">
        <f>IFERROR(__xludf.DUMMYFUNCTION("IF(B1561="""","""",RIGHT(REGEXREPLACE(B1561&amp;"""",""[^0-9]"",""""),9))"),"762485287")</f>
        <v>762485287</v>
      </c>
      <c r="B1561" s="48">
        <v>7.62485287E8</v>
      </c>
      <c r="C1561" s="10" t="s">
        <v>1707</v>
      </c>
      <c r="D1561" s="10" t="s">
        <v>69</v>
      </c>
      <c r="E1561" s="13">
        <v>46228.0</v>
      </c>
      <c r="F1561" s="10" t="s">
        <v>35</v>
      </c>
      <c r="G1561" s="10">
        <v>10.0</v>
      </c>
      <c r="I1561" s="10" t="s">
        <v>22</v>
      </c>
      <c r="J1561" s="9" t="str">
        <f t="shared" si="34"/>
        <v>No</v>
      </c>
      <c r="K1561" s="9" t="str">
        <f t="shared" si="33"/>
        <v/>
      </c>
      <c r="L1561" s="9" t="str">
        <f t="shared" si="35"/>
        <v/>
      </c>
      <c r="M1561" s="9"/>
      <c r="O1561" s="9"/>
    </row>
    <row r="1562" ht="15.75" customHeight="1">
      <c r="A1562" s="9" t="str">
        <f>IFERROR(__xludf.DUMMYFUNCTION("IF(B1562="""","""",RIGHT(REGEXREPLACE(B1562&amp;"""",""[^0-9]"",""""),9))"),"764914885")</f>
        <v>764914885</v>
      </c>
      <c r="B1562" s="48">
        <v>7.64914885E8</v>
      </c>
      <c r="C1562" s="10" t="s">
        <v>1708</v>
      </c>
      <c r="D1562" s="10" t="s">
        <v>120</v>
      </c>
      <c r="E1562" s="13">
        <v>46228.0</v>
      </c>
      <c r="F1562" s="10" t="s">
        <v>198</v>
      </c>
      <c r="I1562" s="10" t="s">
        <v>22</v>
      </c>
      <c r="J1562" s="9" t="str">
        <f t="shared" si="34"/>
        <v>No</v>
      </c>
      <c r="K1562" s="9" t="str">
        <f t="shared" si="33"/>
        <v/>
      </c>
      <c r="L1562" s="9" t="str">
        <f t="shared" si="35"/>
        <v/>
      </c>
      <c r="M1562" s="9"/>
      <c r="O1562" s="9"/>
    </row>
    <row r="1563" ht="15.75" customHeight="1">
      <c r="A1563" s="9" t="str">
        <f>IFERROR(__xludf.DUMMYFUNCTION("IF(B1563="""","""",RIGHT(REGEXREPLACE(B1563&amp;"""",""[^0-9]"",""""),9))"),"714601321")</f>
        <v>714601321</v>
      </c>
      <c r="B1563" s="48">
        <v>7.14601321E8</v>
      </c>
      <c r="C1563" s="10" t="s">
        <v>1709</v>
      </c>
      <c r="D1563" s="10" t="s">
        <v>120</v>
      </c>
      <c r="E1563" s="13">
        <v>46228.0</v>
      </c>
      <c r="F1563" s="10" t="s">
        <v>198</v>
      </c>
      <c r="I1563" s="10" t="s">
        <v>22</v>
      </c>
      <c r="J1563" s="9" t="str">
        <f t="shared" si="34"/>
        <v>No</v>
      </c>
      <c r="K1563" s="9" t="str">
        <f t="shared" si="33"/>
        <v/>
      </c>
      <c r="L1563" s="9" t="str">
        <f t="shared" si="35"/>
        <v/>
      </c>
      <c r="M1563" s="9"/>
      <c r="O1563" s="9"/>
    </row>
    <row r="1564" ht="15.75" customHeight="1">
      <c r="A1564" s="9" t="str">
        <f>IFERROR(__xludf.DUMMYFUNCTION("IF(B1564="""","""",RIGHT(REGEXREPLACE(B1564&amp;"""",""[^0-9]"",""""),9))"),"777394259")</f>
        <v>777394259</v>
      </c>
      <c r="B1564" s="48">
        <v>7.77394259E8</v>
      </c>
      <c r="C1564" s="10" t="s">
        <v>1710</v>
      </c>
      <c r="D1564" s="10" t="s">
        <v>34</v>
      </c>
      <c r="E1564" s="13">
        <v>46228.0</v>
      </c>
      <c r="F1564" s="10" t="s">
        <v>21</v>
      </c>
      <c r="G1564" s="10">
        <v>9.0</v>
      </c>
      <c r="I1564" s="10" t="s">
        <v>22</v>
      </c>
      <c r="J1564" s="9" t="str">
        <f t="shared" si="34"/>
        <v>No</v>
      </c>
      <c r="K1564" s="9" t="str">
        <f t="shared" si="33"/>
        <v/>
      </c>
      <c r="L1564" s="9" t="str">
        <f t="shared" si="35"/>
        <v/>
      </c>
      <c r="M1564" s="9"/>
      <c r="O1564" s="9"/>
    </row>
    <row r="1565" ht="15.75" customHeight="1">
      <c r="A1565" s="9" t="str">
        <f>IFERROR(__xludf.DUMMYFUNCTION("IF(B1565="""","""",RIGHT(REGEXREPLACE(B1565&amp;"""",""[^0-9]"",""""),9))"),"772123104")</f>
        <v>772123104</v>
      </c>
      <c r="B1565" s="48">
        <v>7.72123104E8</v>
      </c>
      <c r="C1565" s="10" t="s">
        <v>898</v>
      </c>
      <c r="D1565" s="10" t="s">
        <v>69</v>
      </c>
      <c r="E1565" s="13">
        <v>46228.0</v>
      </c>
      <c r="F1565" s="10" t="s">
        <v>35</v>
      </c>
      <c r="G1565" s="10">
        <v>11.0</v>
      </c>
      <c r="I1565" s="10" t="s">
        <v>22</v>
      </c>
      <c r="J1565" s="9" t="str">
        <f t="shared" si="34"/>
        <v>No</v>
      </c>
      <c r="K1565" s="9" t="str">
        <f t="shared" si="33"/>
        <v/>
      </c>
      <c r="L1565" s="9" t="str">
        <f t="shared" si="35"/>
        <v/>
      </c>
      <c r="M1565" s="9"/>
      <c r="O1565" s="9"/>
    </row>
    <row r="1566" ht="15.75" customHeight="1">
      <c r="A1566" s="9" t="str">
        <f>IFERROR(__xludf.DUMMYFUNCTION("IF(B1566="""","""",RIGHT(REGEXREPLACE(B1566&amp;"""",""[^0-9]"",""""),9))"),"713000060")</f>
        <v>713000060</v>
      </c>
      <c r="B1566" s="48">
        <v>7.1300006E8</v>
      </c>
      <c r="C1566" s="10" t="s">
        <v>1711</v>
      </c>
      <c r="D1566" s="10" t="s">
        <v>50</v>
      </c>
      <c r="E1566" s="13">
        <v>46228.0</v>
      </c>
      <c r="F1566" s="10" t="s">
        <v>35</v>
      </c>
      <c r="G1566" s="10">
        <v>11.0</v>
      </c>
      <c r="I1566" s="10" t="s">
        <v>22</v>
      </c>
      <c r="J1566" s="9" t="str">
        <f t="shared" si="34"/>
        <v>No</v>
      </c>
      <c r="K1566" s="9" t="str">
        <f t="shared" si="33"/>
        <v/>
      </c>
      <c r="L1566" s="9" t="str">
        <f t="shared" si="35"/>
        <v/>
      </c>
      <c r="M1566" s="9"/>
      <c r="O1566" s="9"/>
    </row>
    <row r="1567" ht="15.75" customHeight="1">
      <c r="A1567" s="9" t="str">
        <f>IFERROR(__xludf.DUMMYFUNCTION("IF(B1567="""","""",RIGHT(REGEXREPLACE(B1567&amp;"""",""[^0-9]"",""""),9))"),"774845357")</f>
        <v>774845357</v>
      </c>
      <c r="B1567" s="48">
        <v>7.74845357E8</v>
      </c>
      <c r="C1567" s="10" t="s">
        <v>1712</v>
      </c>
      <c r="D1567" s="10" t="s">
        <v>34</v>
      </c>
      <c r="E1567" s="13">
        <v>46228.0</v>
      </c>
      <c r="F1567" s="10" t="s">
        <v>21</v>
      </c>
      <c r="G1567" s="10">
        <v>11.0</v>
      </c>
      <c r="I1567" s="10" t="s">
        <v>22</v>
      </c>
      <c r="J1567" s="9" t="str">
        <f t="shared" si="34"/>
        <v>No</v>
      </c>
      <c r="K1567" s="9" t="str">
        <f t="shared" si="33"/>
        <v/>
      </c>
      <c r="L1567" s="9" t="str">
        <f t="shared" si="35"/>
        <v/>
      </c>
      <c r="M1567" s="9"/>
      <c r="O1567" s="9"/>
    </row>
    <row r="1568" ht="15.75" customHeight="1">
      <c r="A1568" s="9" t="str">
        <f>IFERROR(__xludf.DUMMYFUNCTION("IF(B1568="""","""",RIGHT(REGEXREPLACE(B1568&amp;"""",""[^0-9]"",""""),9))"),"753402357")</f>
        <v>753402357</v>
      </c>
      <c r="B1568" s="48">
        <v>7.53402357E8</v>
      </c>
      <c r="C1568" s="10" t="s">
        <v>1713</v>
      </c>
      <c r="D1568" s="10" t="s">
        <v>120</v>
      </c>
      <c r="E1568" s="13">
        <v>46228.0</v>
      </c>
      <c r="F1568" s="10" t="s">
        <v>145</v>
      </c>
      <c r="I1568" s="10" t="s">
        <v>22</v>
      </c>
      <c r="J1568" s="9" t="str">
        <f t="shared" si="34"/>
        <v>No</v>
      </c>
      <c r="K1568" s="9" t="str">
        <f t="shared" si="33"/>
        <v/>
      </c>
      <c r="L1568" s="9" t="str">
        <f t="shared" si="35"/>
        <v/>
      </c>
      <c r="M1568" s="9"/>
      <c r="O1568" s="9"/>
    </row>
    <row r="1569" ht="15.75" customHeight="1">
      <c r="A1569" s="9" t="str">
        <f>IFERROR(__xludf.DUMMYFUNCTION("IF(B1569="""","""",RIGHT(REGEXREPLACE(B1569&amp;"""",""[^0-9]"",""""),9))"),"769044253")</f>
        <v>769044253</v>
      </c>
      <c r="B1569" s="48">
        <v>7.69044253E8</v>
      </c>
      <c r="C1569" s="10" t="s">
        <v>1714</v>
      </c>
      <c r="D1569" s="10" t="s">
        <v>50</v>
      </c>
      <c r="E1569" s="13">
        <v>46228.0</v>
      </c>
      <c r="F1569" s="10" t="s">
        <v>35</v>
      </c>
      <c r="G1569" s="10">
        <v>11.0</v>
      </c>
      <c r="I1569" s="10" t="s">
        <v>22</v>
      </c>
      <c r="J1569" s="9" t="str">
        <f t="shared" si="34"/>
        <v>No</v>
      </c>
      <c r="K1569" s="9" t="str">
        <f t="shared" si="33"/>
        <v/>
      </c>
      <c r="L1569" s="9" t="str">
        <f t="shared" si="35"/>
        <v/>
      </c>
      <c r="M1569" s="9"/>
      <c r="O1569" s="9"/>
    </row>
    <row r="1570" ht="15.75" customHeight="1">
      <c r="A1570" s="9" t="str">
        <f>IFERROR(__xludf.DUMMYFUNCTION("IF(B1570="""","""",RIGHT(REGEXREPLACE(B1570&amp;"""",""[^0-9]"",""""),9))"),"718041324")</f>
        <v>718041324</v>
      </c>
      <c r="B1570" s="48">
        <v>7.18041324E8</v>
      </c>
      <c r="C1570" s="10" t="s">
        <v>1715</v>
      </c>
      <c r="D1570" s="10" t="s">
        <v>69</v>
      </c>
      <c r="E1570" s="13">
        <v>46228.0</v>
      </c>
      <c r="F1570" s="10" t="s">
        <v>145</v>
      </c>
      <c r="G1570" s="10">
        <v>11.0</v>
      </c>
      <c r="I1570" s="10" t="s">
        <v>22</v>
      </c>
      <c r="J1570" s="9" t="str">
        <f t="shared" si="34"/>
        <v>No</v>
      </c>
      <c r="K1570" s="9" t="str">
        <f t="shared" si="33"/>
        <v/>
      </c>
      <c r="L1570" s="9" t="str">
        <f t="shared" si="35"/>
        <v/>
      </c>
      <c r="M1570" s="9"/>
      <c r="O1570" s="9"/>
    </row>
    <row r="1571" ht="15.75" customHeight="1">
      <c r="A1571" s="9" t="str">
        <f>IFERROR(__xludf.DUMMYFUNCTION("IF(B1571="""","""",RIGHT(REGEXREPLACE(B1571&amp;"""",""[^0-9]"",""""),9))"),"761676446")</f>
        <v>761676446</v>
      </c>
      <c r="B1571" s="48">
        <v>7.61676446E8</v>
      </c>
      <c r="C1571" s="10" t="s">
        <v>1716</v>
      </c>
      <c r="D1571" s="10" t="s">
        <v>34</v>
      </c>
      <c r="E1571" s="13">
        <v>46228.0</v>
      </c>
      <c r="F1571" s="10" t="s">
        <v>198</v>
      </c>
      <c r="I1571" s="10" t="s">
        <v>22</v>
      </c>
      <c r="J1571" s="9" t="str">
        <f t="shared" si="34"/>
        <v>No</v>
      </c>
      <c r="K1571" s="9" t="str">
        <f t="shared" si="33"/>
        <v/>
      </c>
      <c r="L1571" s="9" t="str">
        <f t="shared" si="35"/>
        <v/>
      </c>
      <c r="M1571" s="9"/>
      <c r="O1571" s="9"/>
    </row>
    <row r="1572" ht="15.75" customHeight="1">
      <c r="A1572" s="9" t="str">
        <f>IFERROR(__xludf.DUMMYFUNCTION("IF(B1572="""","""",RIGHT(REGEXREPLACE(B1572&amp;"""",""[^0-9]"",""""),9))"),"765498192")</f>
        <v>765498192</v>
      </c>
      <c r="B1572" s="48">
        <v>7.65498192E8</v>
      </c>
      <c r="C1572" s="10" t="s">
        <v>1717</v>
      </c>
      <c r="D1572" s="10" t="s">
        <v>34</v>
      </c>
      <c r="E1572" s="13">
        <v>46228.0</v>
      </c>
      <c r="F1572" s="10" t="s">
        <v>21</v>
      </c>
      <c r="I1572" s="10" t="s">
        <v>22</v>
      </c>
      <c r="J1572" s="9" t="str">
        <f t="shared" si="34"/>
        <v>No</v>
      </c>
      <c r="K1572" s="9" t="str">
        <f t="shared" si="33"/>
        <v/>
      </c>
      <c r="L1572" s="9" t="str">
        <f t="shared" si="35"/>
        <v/>
      </c>
      <c r="M1572" s="9"/>
      <c r="O1572" s="9"/>
    </row>
    <row r="1573" ht="15.75" customHeight="1">
      <c r="A1573" s="9" t="str">
        <f>IFERROR(__xludf.DUMMYFUNCTION("IF(B1573="""","""",RIGHT(REGEXREPLACE(B1573&amp;"""",""[^0-9]"",""""),9))"),"702917470")</f>
        <v>702917470</v>
      </c>
      <c r="B1573" s="48">
        <v>7.0291747E8</v>
      </c>
      <c r="C1573" s="10" t="s">
        <v>1718</v>
      </c>
      <c r="D1573" s="10" t="s">
        <v>120</v>
      </c>
      <c r="E1573" s="13">
        <v>46228.0</v>
      </c>
      <c r="F1573" s="10" t="s">
        <v>35</v>
      </c>
      <c r="G1573" s="10">
        <v>11.0</v>
      </c>
      <c r="I1573" s="10" t="s">
        <v>22</v>
      </c>
      <c r="J1573" s="9" t="str">
        <f t="shared" si="34"/>
        <v>No</v>
      </c>
      <c r="K1573" s="9" t="str">
        <f t="shared" si="33"/>
        <v/>
      </c>
      <c r="L1573" s="9" t="str">
        <f t="shared" si="35"/>
        <v/>
      </c>
      <c r="M1573" s="9"/>
      <c r="O1573" s="9"/>
    </row>
    <row r="1574" ht="15.75" customHeight="1">
      <c r="A1574" s="9" t="str">
        <f>IFERROR(__xludf.DUMMYFUNCTION("IF(B1574="""","""",RIGHT(REGEXREPLACE(B1574&amp;"""",""[^0-9]"",""""),9))"),"714944583")</f>
        <v>714944583</v>
      </c>
      <c r="B1574" s="48">
        <v>7.14944583E8</v>
      </c>
      <c r="C1574" s="10" t="s">
        <v>1719</v>
      </c>
      <c r="D1574" s="10" t="s">
        <v>50</v>
      </c>
      <c r="E1574" s="13">
        <v>46228.0</v>
      </c>
      <c r="F1574" s="10" t="s">
        <v>35</v>
      </c>
      <c r="G1574" s="10">
        <v>11.0</v>
      </c>
      <c r="I1574" s="10" t="s">
        <v>22</v>
      </c>
      <c r="J1574" s="9" t="str">
        <f t="shared" si="34"/>
        <v>No</v>
      </c>
      <c r="K1574" s="9" t="str">
        <f t="shared" si="33"/>
        <v/>
      </c>
      <c r="L1574" s="9" t="str">
        <f t="shared" si="35"/>
        <v/>
      </c>
      <c r="M1574" s="9"/>
      <c r="O1574" s="9"/>
    </row>
    <row r="1575" ht="15.75" customHeight="1">
      <c r="A1575" s="9" t="str">
        <f>IFERROR(__xludf.DUMMYFUNCTION("IF(B1575="""","""",RIGHT(REGEXREPLACE(B1575&amp;"""",""[^0-9]"",""""),9))"),"766669376")</f>
        <v>766669376</v>
      </c>
      <c r="B1575" s="48">
        <v>7.66669376E8</v>
      </c>
      <c r="C1575" s="10" t="s">
        <v>1720</v>
      </c>
      <c r="D1575" s="10" t="s">
        <v>34</v>
      </c>
      <c r="E1575" s="13">
        <v>46228.0</v>
      </c>
      <c r="F1575" s="10" t="s">
        <v>35</v>
      </c>
      <c r="G1575" s="10">
        <v>11.0</v>
      </c>
      <c r="I1575" s="10" t="s">
        <v>22</v>
      </c>
      <c r="J1575" s="9" t="str">
        <f t="shared" si="34"/>
        <v>No</v>
      </c>
      <c r="K1575" s="9" t="str">
        <f t="shared" si="33"/>
        <v/>
      </c>
      <c r="L1575" s="9" t="str">
        <f t="shared" si="35"/>
        <v/>
      </c>
      <c r="M1575" s="9"/>
      <c r="O1575" s="9"/>
    </row>
    <row r="1576" ht="15.75" customHeight="1">
      <c r="A1576" s="9" t="str">
        <f>IFERROR(__xludf.DUMMYFUNCTION("IF(B1576="""","""",RIGHT(REGEXREPLACE(B1576&amp;"""",""[^0-9]"",""""),9))"),"752780995")</f>
        <v>752780995</v>
      </c>
      <c r="B1576" s="48">
        <v>7.52780995E8</v>
      </c>
      <c r="C1576" s="10" t="s">
        <v>1721</v>
      </c>
      <c r="D1576" s="10" t="s">
        <v>69</v>
      </c>
      <c r="E1576" s="13">
        <v>46228.0</v>
      </c>
      <c r="F1576" s="10" t="s">
        <v>21</v>
      </c>
      <c r="G1576" s="10">
        <v>11.0</v>
      </c>
      <c r="I1576" s="10" t="s">
        <v>22</v>
      </c>
      <c r="J1576" s="9" t="str">
        <f t="shared" si="34"/>
        <v>No</v>
      </c>
      <c r="K1576" s="9" t="str">
        <f t="shared" si="33"/>
        <v/>
      </c>
      <c r="L1576" s="9" t="str">
        <f t="shared" si="35"/>
        <v/>
      </c>
      <c r="M1576" s="9"/>
      <c r="O1576" s="9"/>
    </row>
    <row r="1577" ht="15.75" customHeight="1">
      <c r="A1577" s="9" t="str">
        <f>IFERROR(__xludf.DUMMYFUNCTION("IF(B1577="""","""",RIGHT(REGEXREPLACE(B1577&amp;"""",""[^0-9]"",""""),9))"),"767773181")</f>
        <v>767773181</v>
      </c>
      <c r="B1577" s="48">
        <v>7.67773181E8</v>
      </c>
      <c r="C1577" s="10" t="s">
        <v>1722</v>
      </c>
      <c r="D1577" s="10" t="s">
        <v>50</v>
      </c>
      <c r="E1577" s="13">
        <v>46228.0</v>
      </c>
      <c r="F1577" s="10" t="s">
        <v>35</v>
      </c>
      <c r="G1577" s="10">
        <v>11.0</v>
      </c>
      <c r="I1577" s="10" t="s">
        <v>22</v>
      </c>
      <c r="J1577" s="9" t="str">
        <f t="shared" si="34"/>
        <v>No</v>
      </c>
      <c r="K1577" s="9" t="str">
        <f t="shared" si="33"/>
        <v/>
      </c>
      <c r="L1577" s="9" t="str">
        <f t="shared" si="35"/>
        <v/>
      </c>
      <c r="M1577" s="9"/>
      <c r="O1577" s="9"/>
    </row>
    <row r="1578" ht="15.75" customHeight="1">
      <c r="A1578" s="9" t="str">
        <f>IFERROR(__xludf.DUMMYFUNCTION("IF(B1578="""","""",RIGHT(REGEXREPLACE(B1578&amp;"""",""[^0-9]"",""""),9))"),"776661275")</f>
        <v>776661275</v>
      </c>
      <c r="B1578" s="48">
        <v>7.76661275E8</v>
      </c>
      <c r="C1578" s="10" t="s">
        <v>1723</v>
      </c>
      <c r="D1578" s="10" t="s">
        <v>34</v>
      </c>
      <c r="E1578" s="13">
        <v>46228.0</v>
      </c>
      <c r="F1578" s="10" t="s">
        <v>21</v>
      </c>
      <c r="I1578" s="10" t="s">
        <v>22</v>
      </c>
      <c r="J1578" s="9" t="str">
        <f t="shared" si="34"/>
        <v>No</v>
      </c>
      <c r="K1578" s="9" t="str">
        <f t="shared" si="33"/>
        <v/>
      </c>
      <c r="L1578" s="9" t="str">
        <f t="shared" si="35"/>
        <v/>
      </c>
      <c r="M1578" s="9"/>
      <c r="O1578" s="9"/>
    </row>
    <row r="1579" ht="15.75" customHeight="1">
      <c r="A1579" s="9" t="str">
        <f>IFERROR(__xludf.DUMMYFUNCTION("IF(B1579="""","""",RIGHT(REGEXREPLACE(B1579&amp;"""",""[^0-9]"",""""),9))"),"761257621")</f>
        <v>761257621</v>
      </c>
      <c r="B1579" s="48">
        <v>7.61257621E8</v>
      </c>
      <c r="C1579" s="10" t="s">
        <v>1724</v>
      </c>
      <c r="D1579" s="10" t="s">
        <v>69</v>
      </c>
      <c r="E1579" s="13">
        <v>46228.0</v>
      </c>
      <c r="F1579" s="10" t="s">
        <v>35</v>
      </c>
      <c r="G1579" s="10">
        <v>11.0</v>
      </c>
      <c r="I1579" s="10" t="s">
        <v>22</v>
      </c>
      <c r="J1579" s="9" t="str">
        <f t="shared" si="34"/>
        <v>No</v>
      </c>
      <c r="K1579" s="9" t="str">
        <f t="shared" si="33"/>
        <v/>
      </c>
      <c r="L1579" s="9" t="str">
        <f t="shared" si="35"/>
        <v/>
      </c>
      <c r="M1579" s="9"/>
      <c r="O1579" s="9"/>
    </row>
    <row r="1580" ht="15.75" customHeight="1">
      <c r="A1580" s="9" t="str">
        <f>IFERROR(__xludf.DUMMYFUNCTION("IF(B1580="""","""",RIGHT(REGEXREPLACE(B1580&amp;"""",""[^0-9]"",""""),9))"),"742195240")</f>
        <v>742195240</v>
      </c>
      <c r="B1580" s="48">
        <v>7.4219524E8</v>
      </c>
      <c r="C1580" s="10" t="s">
        <v>1725</v>
      </c>
      <c r="D1580" s="10" t="s">
        <v>34</v>
      </c>
      <c r="E1580" s="13">
        <v>46228.0</v>
      </c>
      <c r="F1580" s="10" t="s">
        <v>21</v>
      </c>
      <c r="I1580" s="10" t="s">
        <v>22</v>
      </c>
      <c r="J1580" s="9" t="str">
        <f t="shared" si="34"/>
        <v>No</v>
      </c>
      <c r="K1580" s="9" t="str">
        <f t="shared" si="33"/>
        <v/>
      </c>
      <c r="L1580" s="9" t="str">
        <f t="shared" si="35"/>
        <v/>
      </c>
      <c r="M1580" s="9"/>
      <c r="O1580" s="9"/>
    </row>
    <row r="1581" ht="15.75" customHeight="1">
      <c r="A1581" s="9" t="str">
        <f>IFERROR(__xludf.DUMMYFUNCTION("IF(B1581="""","""",RIGHT(REGEXREPLACE(B1581&amp;"""",""[^0-9]"",""""),9))"),"716731413")</f>
        <v>716731413</v>
      </c>
      <c r="B1581" s="10">
        <v>7.16731413E8</v>
      </c>
      <c r="C1581" s="10" t="s">
        <v>1726</v>
      </c>
      <c r="D1581" s="10" t="s">
        <v>20</v>
      </c>
      <c r="E1581" s="13">
        <v>46228.0</v>
      </c>
      <c r="F1581" s="10" t="s">
        <v>21</v>
      </c>
      <c r="I1581" s="10" t="s">
        <v>22</v>
      </c>
      <c r="J1581" s="9" t="str">
        <f t="shared" si="34"/>
        <v>No</v>
      </c>
      <c r="K1581" s="9" t="str">
        <f t="shared" si="33"/>
        <v/>
      </c>
      <c r="L1581" s="9" t="str">
        <f t="shared" si="35"/>
        <v/>
      </c>
      <c r="M1581" s="9"/>
      <c r="O1581" s="9"/>
    </row>
    <row r="1582" ht="15.75" customHeight="1">
      <c r="A1582" s="9" t="str">
        <f>IFERROR(__xludf.DUMMYFUNCTION("IF(B1582="""","""",RIGHT(REGEXREPLACE(B1582&amp;"""",""[^0-9]"",""""),9))"),"713391108")</f>
        <v>713391108</v>
      </c>
      <c r="B1582" s="48">
        <v>7.13391108E8</v>
      </c>
      <c r="C1582" s="10" t="s">
        <v>1727</v>
      </c>
      <c r="D1582" s="10" t="s">
        <v>120</v>
      </c>
      <c r="E1582" s="13">
        <v>46228.0</v>
      </c>
      <c r="F1582" s="10" t="s">
        <v>604</v>
      </c>
      <c r="I1582" s="10" t="s">
        <v>22</v>
      </c>
      <c r="J1582" s="9" t="str">
        <f t="shared" si="34"/>
        <v>No</v>
      </c>
      <c r="K1582" s="9" t="str">
        <f t="shared" si="33"/>
        <v/>
      </c>
      <c r="L1582" s="9" t="str">
        <f t="shared" si="35"/>
        <v/>
      </c>
      <c r="M1582" s="9"/>
      <c r="O1582" s="9"/>
    </row>
    <row r="1583" ht="15.75" customHeight="1">
      <c r="A1583" s="9" t="str">
        <f>IFERROR(__xludf.DUMMYFUNCTION("IF(B1583="""","""",RIGHT(REGEXREPLACE(B1583&amp;"""",""[^0-9]"",""""),9))"),"761608828")</f>
        <v>761608828</v>
      </c>
      <c r="B1583" s="10">
        <v>7.61608828E8</v>
      </c>
      <c r="C1583" s="10" t="s">
        <v>1728</v>
      </c>
      <c r="D1583" s="10" t="s">
        <v>20</v>
      </c>
      <c r="E1583" s="13">
        <v>46228.0</v>
      </c>
      <c r="F1583" s="10" t="s">
        <v>21</v>
      </c>
      <c r="G1583" s="10">
        <v>11.0</v>
      </c>
      <c r="I1583" s="10" t="s">
        <v>22</v>
      </c>
      <c r="J1583" s="9" t="str">
        <f t="shared" si="34"/>
        <v>No</v>
      </c>
      <c r="K1583" s="9" t="str">
        <f t="shared" si="33"/>
        <v/>
      </c>
      <c r="L1583" s="9" t="str">
        <f t="shared" si="35"/>
        <v/>
      </c>
      <c r="M1583" s="9"/>
      <c r="O1583" s="9"/>
    </row>
    <row r="1584" ht="15.75" customHeight="1">
      <c r="A1584" s="9" t="str">
        <f>IFERROR(__xludf.DUMMYFUNCTION("IF(B1584="""","""",RIGHT(REGEXREPLACE(B1584&amp;"""",""[^0-9]"",""""),9))"),"741095858")</f>
        <v>741095858</v>
      </c>
      <c r="B1584" s="48">
        <v>7.41095858E8</v>
      </c>
      <c r="C1584" s="10" t="s">
        <v>1729</v>
      </c>
      <c r="D1584" s="10" t="s">
        <v>50</v>
      </c>
      <c r="E1584" s="13">
        <v>46228.0</v>
      </c>
      <c r="F1584" s="10" t="s">
        <v>198</v>
      </c>
      <c r="I1584" s="10" t="s">
        <v>22</v>
      </c>
      <c r="J1584" s="9" t="str">
        <f t="shared" si="34"/>
        <v>No</v>
      </c>
      <c r="K1584" s="9" t="str">
        <f t="shared" si="33"/>
        <v/>
      </c>
      <c r="L1584" s="9" t="str">
        <f t="shared" si="35"/>
        <v/>
      </c>
      <c r="M1584" s="9"/>
      <c r="O1584" s="9"/>
    </row>
    <row r="1585" ht="15.75" customHeight="1">
      <c r="A1585" s="9" t="str">
        <f>IFERROR(__xludf.DUMMYFUNCTION("IF(B1585="""","""",RIGHT(REGEXREPLACE(B1585&amp;"""",""[^0-9]"",""""),9))"),"760724399")</f>
        <v>760724399</v>
      </c>
      <c r="B1585" s="10">
        <v>7.60724399E8</v>
      </c>
      <c r="C1585" s="10" t="s">
        <v>1730</v>
      </c>
      <c r="D1585" s="10" t="s">
        <v>20</v>
      </c>
      <c r="E1585" s="13">
        <v>46228.0</v>
      </c>
      <c r="F1585" s="10" t="s">
        <v>35</v>
      </c>
      <c r="G1585" s="10">
        <v>11.0</v>
      </c>
      <c r="H1585" s="10" t="s">
        <v>1369</v>
      </c>
      <c r="I1585" s="10" t="s">
        <v>22</v>
      </c>
      <c r="J1585" s="9" t="str">
        <f t="shared" si="34"/>
        <v>No</v>
      </c>
      <c r="K1585" s="9" t="str">
        <f t="shared" si="33"/>
        <v/>
      </c>
      <c r="L1585" s="9" t="str">
        <f t="shared" si="35"/>
        <v/>
      </c>
      <c r="M1585" s="9"/>
      <c r="O1585" s="9"/>
    </row>
    <row r="1586" ht="15.75" customHeight="1">
      <c r="A1586" s="9" t="str">
        <f>IFERROR(__xludf.DUMMYFUNCTION("IF(B1586="""","""",RIGHT(REGEXREPLACE(B1586&amp;"""",""[^0-9]"",""""),9))"),"741565095")</f>
        <v>741565095</v>
      </c>
      <c r="B1586" s="48">
        <v>7.41565095E8</v>
      </c>
      <c r="C1586" s="10" t="s">
        <v>1731</v>
      </c>
      <c r="D1586" s="10" t="s">
        <v>34</v>
      </c>
      <c r="E1586" s="13">
        <v>46228.0</v>
      </c>
      <c r="F1586" s="10" t="s">
        <v>35</v>
      </c>
      <c r="G1586" s="10">
        <v>10.0</v>
      </c>
      <c r="I1586" s="10" t="s">
        <v>22</v>
      </c>
      <c r="J1586" s="9" t="str">
        <f t="shared" si="34"/>
        <v>No</v>
      </c>
      <c r="K1586" s="9" t="str">
        <f t="shared" si="33"/>
        <v/>
      </c>
      <c r="L1586" s="9" t="str">
        <f t="shared" si="35"/>
        <v/>
      </c>
      <c r="M1586" s="9"/>
      <c r="O1586" s="9"/>
    </row>
    <row r="1587" ht="15.75" customHeight="1">
      <c r="A1587" s="9" t="str">
        <f>IFERROR(__xludf.DUMMYFUNCTION("IF(B1587="""","""",RIGHT(REGEXREPLACE(B1587&amp;"""",""[^0-9]"",""""),9))"),"766629933")</f>
        <v>766629933</v>
      </c>
      <c r="B1587" s="48">
        <v>7.66629933E8</v>
      </c>
      <c r="C1587" s="10" t="s">
        <v>1732</v>
      </c>
      <c r="D1587" s="10" t="s">
        <v>69</v>
      </c>
      <c r="E1587" s="13">
        <v>46228.0</v>
      </c>
      <c r="F1587" s="10" t="s">
        <v>542</v>
      </c>
      <c r="G1587" s="10">
        <v>11.0</v>
      </c>
      <c r="I1587" s="10" t="s">
        <v>22</v>
      </c>
      <c r="J1587" s="9" t="str">
        <f t="shared" si="34"/>
        <v>No</v>
      </c>
      <c r="K1587" s="9" t="str">
        <f t="shared" si="33"/>
        <v/>
      </c>
      <c r="L1587" s="9" t="str">
        <f t="shared" si="35"/>
        <v/>
      </c>
      <c r="M1587" s="9"/>
      <c r="O1587" s="9"/>
    </row>
    <row r="1588" ht="15.75" customHeight="1">
      <c r="A1588" s="9" t="str">
        <f>IFERROR(__xludf.DUMMYFUNCTION("IF(B1588="""","""",RIGHT(REGEXREPLACE(B1588&amp;"""",""[^0-9]"",""""),9))"),"763690947")</f>
        <v>763690947</v>
      </c>
      <c r="B1588" s="10">
        <v>7.63690947E8</v>
      </c>
      <c r="C1588" s="10" t="s">
        <v>1733</v>
      </c>
      <c r="D1588" s="10" t="s">
        <v>20</v>
      </c>
      <c r="E1588" s="13">
        <v>46228.0</v>
      </c>
      <c r="F1588" s="10" t="s">
        <v>35</v>
      </c>
      <c r="G1588" s="10">
        <v>11.0</v>
      </c>
      <c r="I1588" s="10" t="s">
        <v>22</v>
      </c>
      <c r="J1588" s="9" t="str">
        <f t="shared" si="34"/>
        <v>No</v>
      </c>
      <c r="K1588" s="9" t="str">
        <f t="shared" si="33"/>
        <v/>
      </c>
      <c r="L1588" s="9" t="str">
        <f t="shared" si="35"/>
        <v/>
      </c>
      <c r="M1588" s="9"/>
      <c r="O1588" s="9"/>
    </row>
    <row r="1589" ht="15.75" customHeight="1">
      <c r="A1589" s="9" t="str">
        <f>IFERROR(__xludf.DUMMYFUNCTION("IF(B1589="""","""",RIGHT(REGEXREPLACE(B1589&amp;"""",""[^0-9]"",""""),9))"),"775348390")</f>
        <v>775348390</v>
      </c>
      <c r="B1589" s="48">
        <v>7.7534839E8</v>
      </c>
      <c r="C1589" s="10" t="s">
        <v>1734</v>
      </c>
      <c r="D1589" s="10" t="s">
        <v>50</v>
      </c>
      <c r="E1589" s="13">
        <v>46228.0</v>
      </c>
      <c r="F1589" s="10" t="s">
        <v>35</v>
      </c>
      <c r="G1589" s="10">
        <v>11.0</v>
      </c>
      <c r="I1589" s="10" t="s">
        <v>22</v>
      </c>
      <c r="J1589" s="9" t="str">
        <f t="shared" si="34"/>
        <v>No</v>
      </c>
      <c r="K1589" s="9" t="str">
        <f t="shared" si="33"/>
        <v/>
      </c>
      <c r="L1589" s="9" t="str">
        <f t="shared" si="35"/>
        <v/>
      </c>
      <c r="M1589" s="9"/>
      <c r="O1589" s="9"/>
    </row>
    <row r="1590" ht="15.75" customHeight="1">
      <c r="A1590" s="9" t="str">
        <f>IFERROR(__xludf.DUMMYFUNCTION("IF(B1590="""","""",RIGHT(REGEXREPLACE(B1590&amp;"""",""[^0-9]"",""""),9))"),"768090550")</f>
        <v>768090550</v>
      </c>
      <c r="B1590" s="48">
        <v>7.6809055E8</v>
      </c>
      <c r="C1590" s="10" t="s">
        <v>1735</v>
      </c>
      <c r="D1590" s="10" t="s">
        <v>120</v>
      </c>
      <c r="E1590" s="13">
        <v>46228.0</v>
      </c>
      <c r="F1590" s="10" t="s">
        <v>198</v>
      </c>
      <c r="G1590" s="10">
        <v>11.0</v>
      </c>
      <c r="I1590" s="10" t="s">
        <v>22</v>
      </c>
      <c r="J1590" s="9" t="str">
        <f t="shared" si="34"/>
        <v>No</v>
      </c>
      <c r="K1590" s="9" t="str">
        <f t="shared" si="33"/>
        <v/>
      </c>
      <c r="L1590" s="9" t="str">
        <f t="shared" si="35"/>
        <v/>
      </c>
      <c r="M1590" s="9"/>
      <c r="O1590" s="9"/>
    </row>
    <row r="1591" ht="15.75" customHeight="1">
      <c r="A1591" s="9" t="str">
        <f>IFERROR(__xludf.DUMMYFUNCTION("IF(B1591="""","""",RIGHT(REGEXREPLACE(B1591&amp;"""",""[^0-9]"",""""),9))"),"712527000")</f>
        <v>712527000</v>
      </c>
      <c r="B1591" s="10">
        <v>7.12527E8</v>
      </c>
      <c r="C1591" s="10" t="s">
        <v>1736</v>
      </c>
      <c r="D1591" s="10" t="s">
        <v>20</v>
      </c>
      <c r="E1591" s="13">
        <v>46228.0</v>
      </c>
      <c r="F1591" s="10" t="s">
        <v>35</v>
      </c>
      <c r="G1591" s="10">
        <v>11.0</v>
      </c>
      <c r="I1591" s="10" t="s">
        <v>22</v>
      </c>
      <c r="J1591" s="9" t="str">
        <f t="shared" si="34"/>
        <v>No</v>
      </c>
      <c r="K1591" s="9" t="str">
        <f t="shared" si="33"/>
        <v/>
      </c>
      <c r="L1591" s="9" t="str">
        <f t="shared" si="35"/>
        <v/>
      </c>
      <c r="M1591" s="9"/>
      <c r="O1591" s="9"/>
    </row>
    <row r="1592" ht="15.75" customHeight="1">
      <c r="A1592" s="9" t="str">
        <f>IFERROR(__xludf.DUMMYFUNCTION("IF(B1592="""","""",RIGHT(REGEXREPLACE(B1592&amp;"""",""[^0-9]"",""""),9))"),"768459715")</f>
        <v>768459715</v>
      </c>
      <c r="B1592" s="48">
        <v>7.68459715E8</v>
      </c>
      <c r="C1592" s="10" t="s">
        <v>1737</v>
      </c>
      <c r="D1592" s="10" t="s">
        <v>34</v>
      </c>
      <c r="E1592" s="13">
        <v>46228.0</v>
      </c>
      <c r="F1592" s="10" t="s">
        <v>35</v>
      </c>
      <c r="G1592" s="10">
        <v>11.0</v>
      </c>
      <c r="I1592" s="10" t="s">
        <v>22</v>
      </c>
      <c r="J1592" s="9" t="str">
        <f t="shared" si="34"/>
        <v>No</v>
      </c>
      <c r="K1592" s="9" t="str">
        <f t="shared" si="33"/>
        <v/>
      </c>
      <c r="L1592" s="9" t="str">
        <f t="shared" si="35"/>
        <v/>
      </c>
      <c r="M1592" s="9"/>
      <c r="O1592" s="9"/>
    </row>
    <row r="1593" ht="15.75" customHeight="1">
      <c r="A1593" s="9" t="str">
        <f>IFERROR(__xludf.DUMMYFUNCTION("IF(B1593="""","""",RIGHT(REGEXREPLACE(B1593&amp;"""",""[^0-9]"",""""),9))"),"772852510")</f>
        <v>772852510</v>
      </c>
      <c r="B1593" s="48">
        <v>7.7285251E8</v>
      </c>
      <c r="C1593" s="10" t="s">
        <v>1738</v>
      </c>
      <c r="D1593" s="10" t="s">
        <v>120</v>
      </c>
      <c r="E1593" s="13">
        <v>46228.0</v>
      </c>
      <c r="F1593" s="10" t="s">
        <v>35</v>
      </c>
      <c r="G1593" s="10">
        <v>11.0</v>
      </c>
      <c r="I1593" s="10" t="s">
        <v>22</v>
      </c>
      <c r="J1593" s="9" t="str">
        <f t="shared" si="34"/>
        <v>No</v>
      </c>
      <c r="K1593" s="9" t="str">
        <f t="shared" si="33"/>
        <v/>
      </c>
      <c r="L1593" s="9" t="str">
        <f t="shared" si="35"/>
        <v/>
      </c>
      <c r="M1593" s="9"/>
      <c r="O1593" s="9"/>
    </row>
    <row r="1594" ht="15.75" customHeight="1">
      <c r="A1594" s="9" t="str">
        <f>IFERROR(__xludf.DUMMYFUNCTION("IF(B1594="""","""",RIGHT(REGEXREPLACE(B1594&amp;"""",""[^0-9]"",""""),9))"),"754452438")</f>
        <v>754452438</v>
      </c>
      <c r="B1594" s="10">
        <v>7.54452438E8</v>
      </c>
      <c r="C1594" s="10" t="s">
        <v>1739</v>
      </c>
      <c r="D1594" s="10" t="s">
        <v>20</v>
      </c>
      <c r="E1594" s="13">
        <v>46228.0</v>
      </c>
      <c r="F1594" s="10" t="s">
        <v>21</v>
      </c>
      <c r="G1594" s="10">
        <v>11.0</v>
      </c>
      <c r="I1594" s="10" t="s">
        <v>22</v>
      </c>
      <c r="J1594" s="9" t="str">
        <f t="shared" si="34"/>
        <v>No</v>
      </c>
      <c r="K1594" s="9" t="str">
        <f t="shared" si="33"/>
        <v/>
      </c>
      <c r="L1594" s="9" t="str">
        <f t="shared" si="35"/>
        <v/>
      </c>
      <c r="M1594" s="9"/>
      <c r="O1594" s="9"/>
    </row>
    <row r="1595" ht="15.75" customHeight="1">
      <c r="A1595" s="9" t="str">
        <f>IFERROR(__xludf.DUMMYFUNCTION("IF(B1595="""","""",RIGHT(REGEXREPLACE(B1595&amp;"""",""[^0-9]"",""""),9))"),"774859627")</f>
        <v>774859627</v>
      </c>
      <c r="B1595" s="48">
        <v>7.74859627E8</v>
      </c>
      <c r="C1595" s="10" t="s">
        <v>1740</v>
      </c>
      <c r="D1595" s="10" t="s">
        <v>50</v>
      </c>
      <c r="E1595" s="13">
        <v>46228.0</v>
      </c>
      <c r="F1595" s="10" t="s">
        <v>35</v>
      </c>
      <c r="G1595" s="10">
        <v>10.0</v>
      </c>
      <c r="I1595" s="10" t="s">
        <v>22</v>
      </c>
      <c r="J1595" s="9" t="str">
        <f t="shared" si="34"/>
        <v>No</v>
      </c>
      <c r="K1595" s="9" t="str">
        <f t="shared" si="33"/>
        <v/>
      </c>
      <c r="L1595" s="9" t="str">
        <f t="shared" si="35"/>
        <v/>
      </c>
      <c r="M1595" s="9"/>
      <c r="O1595" s="9"/>
    </row>
    <row r="1596" ht="15.75" customHeight="1">
      <c r="A1596" s="9" t="str">
        <f>IFERROR(__xludf.DUMMYFUNCTION("IF(B1596="""","""",RIGHT(REGEXREPLACE(B1596&amp;"""",""[^0-9]"",""""),9))"),"703724660")</f>
        <v>703724660</v>
      </c>
      <c r="B1596" s="48">
        <v>7.0372466E8</v>
      </c>
      <c r="C1596" s="10" t="s">
        <v>1741</v>
      </c>
      <c r="D1596" s="10" t="s">
        <v>69</v>
      </c>
      <c r="E1596" s="13">
        <v>46228.0</v>
      </c>
      <c r="F1596" s="10" t="s">
        <v>171</v>
      </c>
      <c r="I1596" s="10" t="s">
        <v>22</v>
      </c>
      <c r="J1596" s="9" t="str">
        <f t="shared" si="34"/>
        <v>No</v>
      </c>
      <c r="K1596" s="9" t="str">
        <f t="shared" si="33"/>
        <v/>
      </c>
      <c r="L1596" s="9" t="str">
        <f t="shared" si="35"/>
        <v/>
      </c>
      <c r="M1596" s="9"/>
      <c r="O1596" s="9"/>
    </row>
    <row r="1597" ht="15.75" customHeight="1">
      <c r="A1597" s="9" t="str">
        <f>IFERROR(__xludf.DUMMYFUNCTION("IF(B1597="""","""",RIGHT(REGEXREPLACE(B1597&amp;"""",""[^0-9]"",""""),9))"),"719741120")</f>
        <v>719741120</v>
      </c>
      <c r="B1597" s="48">
        <v>7.1974112E8</v>
      </c>
      <c r="C1597" s="10" t="s">
        <v>1742</v>
      </c>
      <c r="D1597" s="10" t="s">
        <v>34</v>
      </c>
      <c r="E1597" s="13">
        <v>46228.0</v>
      </c>
      <c r="F1597" s="10" t="s">
        <v>35</v>
      </c>
      <c r="G1597" s="10">
        <v>11.0</v>
      </c>
      <c r="I1597" s="10" t="s">
        <v>22</v>
      </c>
      <c r="J1597" s="9" t="str">
        <f t="shared" si="34"/>
        <v>No</v>
      </c>
      <c r="K1597" s="9" t="str">
        <f t="shared" si="33"/>
        <v/>
      </c>
      <c r="L1597" s="9" t="str">
        <f t="shared" si="35"/>
        <v/>
      </c>
      <c r="M1597" s="9"/>
      <c r="O1597" s="9"/>
    </row>
    <row r="1598" ht="15.75" customHeight="1">
      <c r="A1598" s="9" t="str">
        <f>IFERROR(__xludf.DUMMYFUNCTION("IF(B1598="""","""",RIGHT(REGEXREPLACE(B1598&amp;"""",""[^0-9]"",""""),9))"),"707405283")</f>
        <v>707405283</v>
      </c>
      <c r="B1598" s="10">
        <v>7.07405283E8</v>
      </c>
      <c r="C1598" s="10" t="s">
        <v>1743</v>
      </c>
      <c r="D1598" s="10" t="s">
        <v>69</v>
      </c>
      <c r="E1598" s="13">
        <v>46228.0</v>
      </c>
      <c r="F1598" s="10" t="s">
        <v>604</v>
      </c>
      <c r="I1598" s="10" t="s">
        <v>22</v>
      </c>
      <c r="J1598" s="9" t="str">
        <f t="shared" si="34"/>
        <v>No</v>
      </c>
      <c r="K1598" s="9" t="str">
        <f t="shared" si="33"/>
        <v/>
      </c>
      <c r="L1598" s="9" t="str">
        <f t="shared" si="35"/>
        <v/>
      </c>
      <c r="M1598" s="9"/>
      <c r="O1598" s="9"/>
    </row>
    <row r="1599" ht="15.75" customHeight="1">
      <c r="A1599" s="9" t="str">
        <f>IFERROR(__xludf.DUMMYFUNCTION("IF(B1599="""","""",RIGHT(REGEXREPLACE(B1599&amp;"""",""[^0-9]"",""""),9))"),"779653520")</f>
        <v>779653520</v>
      </c>
      <c r="B1599" s="10">
        <v>7.7965352E8</v>
      </c>
      <c r="C1599" s="10" t="s">
        <v>707</v>
      </c>
      <c r="D1599" s="10" t="s">
        <v>20</v>
      </c>
      <c r="E1599" s="13">
        <v>46228.0</v>
      </c>
      <c r="F1599" s="10" t="s">
        <v>648</v>
      </c>
      <c r="I1599" s="10" t="s">
        <v>22</v>
      </c>
      <c r="J1599" s="9" t="str">
        <f t="shared" si="34"/>
        <v>No</v>
      </c>
      <c r="K1599" s="9" t="str">
        <f t="shared" si="33"/>
        <v/>
      </c>
      <c r="L1599" s="9" t="str">
        <f t="shared" si="35"/>
        <v/>
      </c>
      <c r="M1599" s="9"/>
      <c r="O1599" s="9"/>
    </row>
    <row r="1600" ht="15.75" customHeight="1">
      <c r="A1600" s="9" t="str">
        <f>IFERROR(__xludf.DUMMYFUNCTION("IF(B1600="""","""",RIGHT(REGEXREPLACE(B1600&amp;"""",""[^0-9]"",""""),9))"),"742292104")</f>
        <v>742292104</v>
      </c>
      <c r="B1600" s="48">
        <v>7.42292104E8</v>
      </c>
      <c r="C1600" s="10" t="s">
        <v>1744</v>
      </c>
      <c r="D1600" s="10" t="s">
        <v>120</v>
      </c>
      <c r="E1600" s="13">
        <v>46228.0</v>
      </c>
      <c r="F1600" s="10" t="s">
        <v>198</v>
      </c>
      <c r="I1600" s="10" t="s">
        <v>22</v>
      </c>
      <c r="J1600" s="9" t="str">
        <f t="shared" si="34"/>
        <v>No</v>
      </c>
      <c r="K1600" s="9" t="str">
        <f t="shared" si="33"/>
        <v/>
      </c>
      <c r="L1600" s="9" t="str">
        <f t="shared" si="35"/>
        <v/>
      </c>
      <c r="M1600" s="9"/>
      <c r="O1600" s="9"/>
    </row>
    <row r="1601" ht="15.75" customHeight="1">
      <c r="A1601" s="9" t="str">
        <f>IFERROR(__xludf.DUMMYFUNCTION("IF(B1601="""","""",RIGHT(REGEXREPLACE(B1601&amp;"""",""[^0-9]"",""""),9))"),"776102266")</f>
        <v>776102266</v>
      </c>
      <c r="B1601" s="10">
        <v>7.76102266E8</v>
      </c>
      <c r="C1601" s="10" t="s">
        <v>1745</v>
      </c>
      <c r="D1601" s="10" t="s">
        <v>20</v>
      </c>
      <c r="E1601" s="13">
        <v>46228.0</v>
      </c>
      <c r="F1601" s="10" t="s">
        <v>198</v>
      </c>
      <c r="G1601" s="10">
        <v>11.0</v>
      </c>
      <c r="I1601" s="10" t="s">
        <v>22</v>
      </c>
      <c r="J1601" s="9" t="str">
        <f t="shared" si="34"/>
        <v>No</v>
      </c>
      <c r="K1601" s="9" t="str">
        <f t="shared" si="33"/>
        <v/>
      </c>
      <c r="L1601" s="9" t="str">
        <f t="shared" si="35"/>
        <v/>
      </c>
      <c r="M1601" s="9"/>
      <c r="O1601" s="9"/>
    </row>
    <row r="1602" ht="15.75" customHeight="1">
      <c r="A1602" s="9" t="str">
        <f>IFERROR(__xludf.DUMMYFUNCTION("IF(B1602="""","""",RIGHT(REGEXREPLACE(B1602&amp;"""",""[^0-9]"",""""),9))"),"763778461")</f>
        <v>763778461</v>
      </c>
      <c r="B1602" s="48">
        <v>7.63778461E8</v>
      </c>
      <c r="C1602" s="10" t="s">
        <v>1746</v>
      </c>
      <c r="D1602" s="10" t="s">
        <v>50</v>
      </c>
      <c r="E1602" s="13">
        <v>46228.0</v>
      </c>
      <c r="F1602" s="10" t="s">
        <v>35</v>
      </c>
      <c r="G1602" s="10">
        <v>11.0</v>
      </c>
      <c r="I1602" s="10" t="s">
        <v>22</v>
      </c>
      <c r="J1602" s="9" t="str">
        <f t="shared" si="34"/>
        <v>No</v>
      </c>
      <c r="K1602" s="9" t="str">
        <f t="shared" si="33"/>
        <v/>
      </c>
      <c r="L1602" s="9" t="str">
        <f t="shared" si="35"/>
        <v/>
      </c>
      <c r="M1602" s="9"/>
      <c r="O1602" s="9"/>
    </row>
    <row r="1603" ht="15.75" customHeight="1">
      <c r="A1603" s="9" t="str">
        <f>IFERROR(__xludf.DUMMYFUNCTION("IF(B1603="""","""",RIGHT(REGEXREPLACE(B1603&amp;"""",""[^0-9]"",""""),9))"),"763939737")</f>
        <v>763939737</v>
      </c>
      <c r="B1603" s="48">
        <v>7.63939737E8</v>
      </c>
      <c r="C1603" s="10" t="s">
        <v>1747</v>
      </c>
      <c r="D1603" s="10" t="s">
        <v>34</v>
      </c>
      <c r="E1603" s="13">
        <v>46228.0</v>
      </c>
      <c r="F1603" s="10" t="s">
        <v>35</v>
      </c>
      <c r="G1603" s="10">
        <v>11.0</v>
      </c>
      <c r="I1603" s="10" t="s">
        <v>22</v>
      </c>
      <c r="J1603" s="9" t="str">
        <f t="shared" si="34"/>
        <v>No</v>
      </c>
      <c r="K1603" s="9" t="str">
        <f t="shared" si="33"/>
        <v/>
      </c>
      <c r="L1603" s="9" t="str">
        <f t="shared" si="35"/>
        <v/>
      </c>
      <c r="M1603" s="9"/>
      <c r="O1603" s="9"/>
    </row>
    <row r="1604" ht="15.75" customHeight="1">
      <c r="A1604" s="9" t="str">
        <f>IFERROR(__xludf.DUMMYFUNCTION("IF(B1604="""","""",RIGHT(REGEXREPLACE(B1604&amp;"""",""[^0-9]"",""""),9))"),"718023110")</f>
        <v>718023110</v>
      </c>
      <c r="B1604" s="48">
        <v>7.1802311E8</v>
      </c>
      <c r="C1604" s="10" t="s">
        <v>1748</v>
      </c>
      <c r="D1604" s="10" t="s">
        <v>69</v>
      </c>
      <c r="E1604" s="13">
        <v>46228.0</v>
      </c>
      <c r="F1604" s="10" t="s">
        <v>542</v>
      </c>
      <c r="G1604" s="10" t="s">
        <v>1749</v>
      </c>
      <c r="I1604" s="10" t="s">
        <v>22</v>
      </c>
      <c r="J1604" s="9" t="str">
        <f t="shared" si="34"/>
        <v>No</v>
      </c>
      <c r="K1604" s="9" t="str">
        <f t="shared" si="33"/>
        <v/>
      </c>
      <c r="L1604" s="9" t="str">
        <f t="shared" si="35"/>
        <v/>
      </c>
      <c r="M1604" s="9"/>
      <c r="O1604" s="9"/>
    </row>
    <row r="1605" ht="15.75" customHeight="1">
      <c r="A1605" s="9" t="str">
        <f>IFERROR(__xludf.DUMMYFUNCTION("IF(B1605="""","""",RIGHT(REGEXREPLACE(B1605&amp;"""",""[^0-9]"",""""),9))"),"761563361")</f>
        <v>761563361</v>
      </c>
      <c r="B1605" s="48">
        <v>7.61563361E8</v>
      </c>
      <c r="C1605" s="10" t="s">
        <v>1750</v>
      </c>
      <c r="D1605" s="10" t="s">
        <v>120</v>
      </c>
      <c r="E1605" s="13">
        <v>46228.0</v>
      </c>
      <c r="F1605" s="10" t="s">
        <v>145</v>
      </c>
      <c r="I1605" s="10" t="s">
        <v>22</v>
      </c>
      <c r="J1605" s="9" t="str">
        <f t="shared" si="34"/>
        <v>No</v>
      </c>
      <c r="K1605" s="9" t="str">
        <f t="shared" si="33"/>
        <v/>
      </c>
      <c r="L1605" s="9" t="str">
        <f t="shared" si="35"/>
        <v/>
      </c>
      <c r="M1605" s="9"/>
      <c r="O1605" s="9"/>
    </row>
    <row r="1606" ht="15.75" customHeight="1">
      <c r="A1606" s="9" t="str">
        <f>IFERROR(__xludf.DUMMYFUNCTION("IF(B1606="""","""",RIGHT(REGEXREPLACE(B1606&amp;"""",""[^0-9]"",""""),9))"),"718081444")</f>
        <v>718081444</v>
      </c>
      <c r="B1606" s="10">
        <v>7.18081444E8</v>
      </c>
      <c r="C1606" s="10" t="s">
        <v>1751</v>
      </c>
      <c r="D1606" s="10" t="s">
        <v>20</v>
      </c>
      <c r="E1606" s="13">
        <v>46228.0</v>
      </c>
      <c r="F1606" s="10" t="s">
        <v>198</v>
      </c>
      <c r="G1606" s="10">
        <v>11.0</v>
      </c>
      <c r="I1606" s="10" t="s">
        <v>22</v>
      </c>
      <c r="J1606" s="9" t="str">
        <f t="shared" si="34"/>
        <v>No</v>
      </c>
      <c r="K1606" s="9" t="str">
        <f t="shared" si="33"/>
        <v/>
      </c>
      <c r="L1606" s="9" t="str">
        <f t="shared" si="35"/>
        <v/>
      </c>
      <c r="M1606" s="9"/>
      <c r="O1606" s="9"/>
    </row>
    <row r="1607" ht="15.75" customHeight="1">
      <c r="A1607" s="9" t="str">
        <f>IFERROR(__xludf.DUMMYFUNCTION("IF(B1607="""","""",RIGHT(REGEXREPLACE(B1607&amp;"""",""[^0-9]"",""""),9))"),"743466536")</f>
        <v>743466536</v>
      </c>
      <c r="B1607" s="48">
        <v>7.43466536E8</v>
      </c>
      <c r="C1607" s="10" t="s">
        <v>1752</v>
      </c>
      <c r="D1607" s="10" t="s">
        <v>50</v>
      </c>
      <c r="E1607" s="13">
        <v>46228.0</v>
      </c>
      <c r="F1607" s="10" t="s">
        <v>35</v>
      </c>
      <c r="G1607" s="10">
        <v>10.0</v>
      </c>
      <c r="H1607" s="10" t="s">
        <v>238</v>
      </c>
      <c r="I1607" s="10" t="s">
        <v>22</v>
      </c>
      <c r="J1607" s="9" t="str">
        <f t="shared" si="34"/>
        <v>No</v>
      </c>
      <c r="K1607" s="9" t="str">
        <f t="shared" si="33"/>
        <v/>
      </c>
      <c r="L1607" s="9" t="str">
        <f t="shared" si="35"/>
        <v/>
      </c>
      <c r="M1607" s="9"/>
      <c r="O1607" s="9"/>
    </row>
    <row r="1608" ht="15.75" customHeight="1">
      <c r="A1608" s="9" t="str">
        <f>IFERROR(__xludf.DUMMYFUNCTION("IF(B1608="""","""",RIGHT(REGEXREPLACE(B1608&amp;"""",""[^0-9]"",""""),9))"),"705141940")</f>
        <v>705141940</v>
      </c>
      <c r="B1608" s="10">
        <v>7.0514194E8</v>
      </c>
      <c r="C1608" s="10" t="s">
        <v>1753</v>
      </c>
      <c r="D1608" s="10" t="s">
        <v>20</v>
      </c>
      <c r="E1608" s="13">
        <v>46228.0</v>
      </c>
      <c r="F1608" s="10" t="s">
        <v>198</v>
      </c>
      <c r="G1608" s="10">
        <v>11.0</v>
      </c>
      <c r="I1608" s="10" t="s">
        <v>22</v>
      </c>
      <c r="J1608" s="9" t="str">
        <f t="shared" si="34"/>
        <v>No</v>
      </c>
      <c r="K1608" s="9" t="str">
        <f t="shared" si="33"/>
        <v/>
      </c>
      <c r="L1608" s="9" t="str">
        <f t="shared" si="35"/>
        <v/>
      </c>
      <c r="M1608" s="9"/>
      <c r="O1608" s="9"/>
    </row>
    <row r="1609" ht="15.75" customHeight="1">
      <c r="A1609" s="9" t="str">
        <f>IFERROR(__xludf.DUMMYFUNCTION("IF(B1609="""","""",RIGHT(REGEXREPLACE(B1609&amp;"""",""[^0-9]"",""""),9))"),"715974060")</f>
        <v>715974060</v>
      </c>
      <c r="B1609" s="10">
        <v>7.1597406E8</v>
      </c>
      <c r="C1609" s="10" t="s">
        <v>1754</v>
      </c>
      <c r="D1609" s="10" t="s">
        <v>20</v>
      </c>
      <c r="E1609" s="13">
        <v>46228.0</v>
      </c>
      <c r="F1609" s="10" t="s">
        <v>35</v>
      </c>
      <c r="G1609" s="10">
        <v>11.0</v>
      </c>
      <c r="I1609" s="10" t="s">
        <v>22</v>
      </c>
      <c r="J1609" s="9" t="str">
        <f t="shared" si="34"/>
        <v>No</v>
      </c>
      <c r="K1609" s="9" t="str">
        <f t="shared" si="33"/>
        <v/>
      </c>
      <c r="L1609" s="9" t="str">
        <f t="shared" si="35"/>
        <v/>
      </c>
      <c r="M1609" s="9"/>
      <c r="O1609" s="9"/>
    </row>
    <row r="1610" ht="15.75" customHeight="1">
      <c r="A1610" s="9" t="str">
        <f>IFERROR(__xludf.DUMMYFUNCTION("IF(B1610="""","""",RIGHT(REGEXREPLACE(B1610&amp;"""",""[^0-9]"",""""),9))"),"713255185")</f>
        <v>713255185</v>
      </c>
      <c r="B1610" s="48">
        <v>7.13255185E8</v>
      </c>
      <c r="C1610" s="10" t="s">
        <v>1755</v>
      </c>
      <c r="D1610" s="10" t="s">
        <v>34</v>
      </c>
      <c r="E1610" s="13">
        <v>46228.0</v>
      </c>
      <c r="F1610" s="10" t="s">
        <v>35</v>
      </c>
      <c r="G1610" s="10">
        <v>11.0</v>
      </c>
      <c r="I1610" s="10" t="s">
        <v>22</v>
      </c>
      <c r="J1610" s="9" t="str">
        <f t="shared" si="34"/>
        <v>No</v>
      </c>
      <c r="K1610" s="9" t="str">
        <f t="shared" si="33"/>
        <v/>
      </c>
      <c r="L1610" s="9" t="str">
        <f t="shared" si="35"/>
        <v/>
      </c>
      <c r="M1610" s="9"/>
      <c r="O1610" s="9"/>
    </row>
    <row r="1611" ht="15.75" customHeight="1">
      <c r="A1611" s="9" t="str">
        <f>IFERROR(__xludf.DUMMYFUNCTION("IF(B1611="""","""",RIGHT(REGEXREPLACE(B1611&amp;"""",""[^0-9]"",""""),9))"),"704084085")</f>
        <v>704084085</v>
      </c>
      <c r="B1611" s="10">
        <v>7.04084085E8</v>
      </c>
      <c r="C1611" s="10" t="s">
        <v>1756</v>
      </c>
      <c r="D1611" s="10" t="s">
        <v>20</v>
      </c>
      <c r="E1611" s="13">
        <v>46228.0</v>
      </c>
      <c r="F1611" s="10" t="s">
        <v>35</v>
      </c>
      <c r="G1611" s="10">
        <v>11.0</v>
      </c>
      <c r="I1611" s="10" t="s">
        <v>22</v>
      </c>
      <c r="J1611" s="9" t="str">
        <f t="shared" si="34"/>
        <v>No</v>
      </c>
      <c r="K1611" s="9" t="str">
        <f t="shared" si="33"/>
        <v/>
      </c>
      <c r="L1611" s="9" t="str">
        <f t="shared" si="35"/>
        <v/>
      </c>
      <c r="M1611" s="9"/>
      <c r="O1611" s="9"/>
    </row>
    <row r="1612" ht="15.75" customHeight="1">
      <c r="A1612" s="9" t="str">
        <f>IFERROR(__xludf.DUMMYFUNCTION("IF(B1612="""","""",RIGHT(REGEXREPLACE(B1612&amp;"""",""[^0-9]"",""""),9))"),"778636465")</f>
        <v>778636465</v>
      </c>
      <c r="B1612" s="48">
        <v>7.78636465E8</v>
      </c>
      <c r="C1612" s="10" t="s">
        <v>1757</v>
      </c>
      <c r="D1612" s="10" t="s">
        <v>120</v>
      </c>
      <c r="E1612" s="13">
        <v>46228.0</v>
      </c>
      <c r="F1612" s="10" t="s">
        <v>35</v>
      </c>
      <c r="G1612" s="10">
        <v>11.0</v>
      </c>
      <c r="I1612" s="10" t="s">
        <v>22</v>
      </c>
      <c r="J1612" s="9" t="str">
        <f t="shared" si="34"/>
        <v>No</v>
      </c>
      <c r="K1612" s="9" t="str">
        <f t="shared" si="33"/>
        <v/>
      </c>
      <c r="L1612" s="9" t="str">
        <f t="shared" si="35"/>
        <v/>
      </c>
      <c r="M1612" s="9"/>
      <c r="O1612" s="9"/>
    </row>
    <row r="1613" ht="15.75" customHeight="1">
      <c r="A1613" s="9" t="str">
        <f>IFERROR(__xludf.DUMMYFUNCTION("IF(B1613="""","""",RIGHT(REGEXREPLACE(B1613&amp;"""",""[^0-9]"",""""),9))"),"768921607")</f>
        <v>768921607</v>
      </c>
      <c r="B1613" s="10">
        <v>7.68921607E8</v>
      </c>
      <c r="C1613" s="10" t="s">
        <v>1758</v>
      </c>
      <c r="D1613" s="10" t="s">
        <v>20</v>
      </c>
      <c r="E1613" s="13">
        <v>46228.0</v>
      </c>
      <c r="F1613" s="10" t="s">
        <v>35</v>
      </c>
      <c r="G1613" s="10">
        <v>11.0</v>
      </c>
      <c r="H1613" s="10" t="s">
        <v>1759</v>
      </c>
      <c r="I1613" s="10" t="s">
        <v>22</v>
      </c>
      <c r="J1613" s="9" t="str">
        <f t="shared" si="34"/>
        <v>No</v>
      </c>
      <c r="K1613" s="9" t="str">
        <f t="shared" si="33"/>
        <v/>
      </c>
      <c r="L1613" s="9" t="str">
        <f t="shared" si="35"/>
        <v/>
      </c>
      <c r="M1613" s="9"/>
      <c r="O1613" s="9"/>
    </row>
    <row r="1614" ht="15.75" customHeight="1">
      <c r="A1614" s="9" t="str">
        <f>IFERROR(__xludf.DUMMYFUNCTION("IF(B1614="""","""",RIGHT(REGEXREPLACE(B1614&amp;"""",""[^0-9]"",""""),9))"),"763165169")</f>
        <v>763165169</v>
      </c>
      <c r="B1614" s="48">
        <v>7.63165169E8</v>
      </c>
      <c r="C1614" s="10" t="s">
        <v>1760</v>
      </c>
      <c r="D1614" s="10" t="s">
        <v>69</v>
      </c>
      <c r="E1614" s="13">
        <v>46228.0</v>
      </c>
      <c r="F1614" s="10" t="s">
        <v>35</v>
      </c>
      <c r="G1614" s="10">
        <v>7.0</v>
      </c>
      <c r="I1614" s="10" t="s">
        <v>22</v>
      </c>
      <c r="J1614" s="9" t="str">
        <f t="shared" si="34"/>
        <v>No</v>
      </c>
      <c r="K1614" s="9" t="str">
        <f t="shared" si="33"/>
        <v/>
      </c>
      <c r="L1614" s="9" t="str">
        <f t="shared" si="35"/>
        <v/>
      </c>
      <c r="M1614" s="9"/>
      <c r="O1614" s="9"/>
    </row>
    <row r="1615" ht="15.75" customHeight="1">
      <c r="A1615" s="9" t="str">
        <f>IFERROR(__xludf.DUMMYFUNCTION("IF(B1615="""","""",RIGHT(REGEXREPLACE(B1615&amp;"""",""[^0-9]"",""""),9))"),"765411032")</f>
        <v>765411032</v>
      </c>
      <c r="B1615" s="48">
        <v>7.65411032E8</v>
      </c>
      <c r="C1615" s="10" t="s">
        <v>1761</v>
      </c>
      <c r="D1615" s="10" t="s">
        <v>50</v>
      </c>
      <c r="E1615" s="13">
        <v>46228.0</v>
      </c>
      <c r="F1615" s="10" t="s">
        <v>35</v>
      </c>
      <c r="G1615" s="10">
        <v>11.0</v>
      </c>
      <c r="I1615" s="10" t="s">
        <v>22</v>
      </c>
      <c r="J1615" s="9" t="str">
        <f t="shared" si="34"/>
        <v>No</v>
      </c>
      <c r="K1615" s="9" t="str">
        <f t="shared" si="33"/>
        <v/>
      </c>
      <c r="L1615" s="9" t="str">
        <f t="shared" si="35"/>
        <v/>
      </c>
      <c r="M1615" s="9"/>
      <c r="O1615" s="9"/>
    </row>
    <row r="1616" ht="15.75" customHeight="1">
      <c r="A1616" s="9" t="str">
        <f>IFERROR(__xludf.DUMMYFUNCTION("IF(B1616="""","""",RIGHT(REGEXREPLACE(B1616&amp;"""",""[^0-9]"",""""),9))"),"710584648")</f>
        <v>710584648</v>
      </c>
      <c r="B1616" s="48">
        <v>7.10584648E8</v>
      </c>
      <c r="C1616" s="10" t="s">
        <v>1762</v>
      </c>
      <c r="D1616" s="10" t="s">
        <v>34</v>
      </c>
      <c r="E1616" s="13">
        <v>46228.0</v>
      </c>
      <c r="F1616" s="10" t="s">
        <v>21</v>
      </c>
      <c r="I1616" s="10" t="s">
        <v>22</v>
      </c>
      <c r="J1616" s="9" t="str">
        <f t="shared" si="34"/>
        <v>No</v>
      </c>
      <c r="K1616" s="9" t="str">
        <f t="shared" si="33"/>
        <v/>
      </c>
      <c r="L1616" s="9" t="str">
        <f t="shared" si="35"/>
        <v/>
      </c>
      <c r="M1616" s="9"/>
      <c r="O1616" s="9"/>
    </row>
    <row r="1617" ht="15.75" customHeight="1">
      <c r="A1617" s="9" t="str">
        <f>IFERROR(__xludf.DUMMYFUNCTION("IF(B1617="""","""",RIGHT(REGEXREPLACE(B1617&amp;"""",""[^0-9]"",""""),9))"),"722634034")</f>
        <v>722634034</v>
      </c>
      <c r="B1617" s="10">
        <v>7.22634034E8</v>
      </c>
      <c r="C1617" s="10" t="s">
        <v>1763</v>
      </c>
      <c r="D1617" s="10" t="s">
        <v>20</v>
      </c>
      <c r="E1617" s="13">
        <v>46228.0</v>
      </c>
      <c r="F1617" s="10" t="s">
        <v>35</v>
      </c>
      <c r="G1617" s="10">
        <v>7.0</v>
      </c>
      <c r="H1617" s="10" t="s">
        <v>1764</v>
      </c>
      <c r="I1617" s="10" t="s">
        <v>22</v>
      </c>
      <c r="J1617" s="9" t="str">
        <f t="shared" si="34"/>
        <v>No</v>
      </c>
      <c r="K1617" s="9" t="str">
        <f t="shared" si="33"/>
        <v/>
      </c>
      <c r="L1617" s="9" t="str">
        <f t="shared" si="35"/>
        <v/>
      </c>
      <c r="M1617" s="9"/>
      <c r="O1617" s="9"/>
    </row>
    <row r="1618" ht="15.75" customHeight="1">
      <c r="A1618" s="9" t="str">
        <f>IFERROR(__xludf.DUMMYFUNCTION("IF(B1618="""","""",RIGHT(REGEXREPLACE(B1618&amp;"""",""[^0-9]"",""""),9))"),"716383834")</f>
        <v>716383834</v>
      </c>
      <c r="B1618" s="48">
        <v>7.16383834E8</v>
      </c>
      <c r="C1618" s="10" t="s">
        <v>1765</v>
      </c>
      <c r="D1618" s="10" t="s">
        <v>50</v>
      </c>
      <c r="E1618" s="13">
        <v>46228.0</v>
      </c>
      <c r="F1618" s="10" t="s">
        <v>198</v>
      </c>
      <c r="G1618" s="10">
        <v>11.0</v>
      </c>
      <c r="I1618" s="10" t="s">
        <v>22</v>
      </c>
      <c r="J1618" s="9" t="str">
        <f t="shared" si="34"/>
        <v>No</v>
      </c>
      <c r="K1618" s="9" t="str">
        <f t="shared" si="33"/>
        <v/>
      </c>
      <c r="L1618" s="9" t="str">
        <f t="shared" si="35"/>
        <v/>
      </c>
      <c r="M1618" s="9"/>
      <c r="O1618" s="9"/>
    </row>
    <row r="1619" ht="15.75" customHeight="1">
      <c r="A1619" s="9" t="str">
        <f>IFERROR(__xludf.DUMMYFUNCTION("IF(B1619="""","""",RIGHT(REGEXREPLACE(B1619&amp;"""",""[^0-9]"",""""),9))"),"715575540")</f>
        <v>715575540</v>
      </c>
      <c r="B1619" s="48">
        <v>7.1557554E8</v>
      </c>
      <c r="C1619" s="10" t="s">
        <v>1766</v>
      </c>
      <c r="D1619" s="10" t="s">
        <v>34</v>
      </c>
      <c r="E1619" s="13">
        <v>46228.0</v>
      </c>
      <c r="F1619" s="10" t="s">
        <v>35</v>
      </c>
      <c r="G1619" s="10">
        <v>11.0</v>
      </c>
      <c r="I1619" s="10" t="s">
        <v>22</v>
      </c>
      <c r="J1619" s="9" t="str">
        <f t="shared" si="34"/>
        <v>No</v>
      </c>
      <c r="K1619" s="9" t="str">
        <f t="shared" si="33"/>
        <v/>
      </c>
      <c r="L1619" s="9" t="str">
        <f t="shared" si="35"/>
        <v/>
      </c>
      <c r="M1619" s="9"/>
      <c r="O1619" s="9"/>
    </row>
    <row r="1620" ht="15.75" customHeight="1">
      <c r="A1620" s="9" t="str">
        <f>IFERROR(__xludf.DUMMYFUNCTION("IF(B1620="""","""",RIGHT(REGEXREPLACE(B1620&amp;"""",""[^0-9]"",""""),9))"),"715651572")</f>
        <v>715651572</v>
      </c>
      <c r="B1620" s="48">
        <v>7.15651572E8</v>
      </c>
      <c r="C1620" s="10" t="s">
        <v>1767</v>
      </c>
      <c r="D1620" s="10" t="s">
        <v>69</v>
      </c>
      <c r="E1620" s="13">
        <v>46228.0</v>
      </c>
      <c r="F1620" s="10" t="s">
        <v>542</v>
      </c>
      <c r="G1620" s="10">
        <v>10.0</v>
      </c>
      <c r="I1620" s="10" t="s">
        <v>22</v>
      </c>
      <c r="J1620" s="9" t="str">
        <f t="shared" si="34"/>
        <v>No</v>
      </c>
      <c r="K1620" s="9" t="str">
        <f t="shared" si="33"/>
        <v/>
      </c>
      <c r="L1620" s="9" t="str">
        <f t="shared" si="35"/>
        <v/>
      </c>
      <c r="M1620" s="9"/>
      <c r="O1620" s="9"/>
    </row>
    <row r="1621" ht="15.75" customHeight="1">
      <c r="A1621" s="9" t="str">
        <f>IFERROR(__xludf.DUMMYFUNCTION("IF(B1621="""","""",RIGHT(REGEXREPLACE(B1621&amp;"""",""[^0-9]"",""""),9))"),"773676203")</f>
        <v>773676203</v>
      </c>
      <c r="B1621" s="48">
        <v>4.773676203E9</v>
      </c>
      <c r="C1621" s="10" t="s">
        <v>1768</v>
      </c>
      <c r="D1621" s="10" t="s">
        <v>120</v>
      </c>
      <c r="E1621" s="13">
        <v>46228.0</v>
      </c>
      <c r="F1621" s="10" t="s">
        <v>21</v>
      </c>
      <c r="I1621" s="10" t="s">
        <v>22</v>
      </c>
      <c r="J1621" s="9" t="str">
        <f t="shared" si="34"/>
        <v>No</v>
      </c>
      <c r="K1621" s="9" t="str">
        <f t="shared" si="33"/>
        <v/>
      </c>
      <c r="L1621" s="9" t="str">
        <f t="shared" si="35"/>
        <v/>
      </c>
      <c r="M1621" s="9"/>
      <c r="O1621" s="9"/>
    </row>
    <row r="1622" ht="15.75" customHeight="1">
      <c r="A1622" s="9" t="str">
        <f>IFERROR(__xludf.DUMMYFUNCTION("IF(B1622="""","""",RIGHT(REGEXREPLACE(B1622&amp;"""",""[^0-9]"",""""),9))"),"767063657")</f>
        <v>767063657</v>
      </c>
      <c r="B1622" s="48">
        <v>7.67063657E8</v>
      </c>
      <c r="C1622" s="10" t="s">
        <v>1769</v>
      </c>
      <c r="D1622" s="10" t="s">
        <v>50</v>
      </c>
      <c r="E1622" s="13">
        <v>46228.0</v>
      </c>
      <c r="F1622" s="10" t="s">
        <v>35</v>
      </c>
      <c r="G1622" s="10">
        <v>11.0</v>
      </c>
      <c r="I1622" s="10" t="s">
        <v>22</v>
      </c>
      <c r="J1622" s="9" t="str">
        <f t="shared" si="34"/>
        <v>No</v>
      </c>
      <c r="K1622" s="9" t="str">
        <f t="shared" si="33"/>
        <v/>
      </c>
      <c r="L1622" s="9" t="str">
        <f t="shared" si="35"/>
        <v/>
      </c>
      <c r="M1622" s="9"/>
      <c r="O1622" s="9"/>
    </row>
    <row r="1623" ht="15.75" customHeight="1">
      <c r="A1623" s="9" t="str">
        <f>IFERROR(__xludf.DUMMYFUNCTION("IF(B1623="""","""",RIGHT(REGEXREPLACE(B1623&amp;"""",""[^0-9]"",""""),9))"),"771747345")</f>
        <v>771747345</v>
      </c>
      <c r="B1623" s="10">
        <v>7.71747345E8</v>
      </c>
      <c r="C1623" s="10" t="s">
        <v>1770</v>
      </c>
      <c r="D1623" s="10" t="s">
        <v>20</v>
      </c>
      <c r="E1623" s="13">
        <v>46228.0</v>
      </c>
      <c r="F1623" s="10" t="s">
        <v>604</v>
      </c>
      <c r="I1623" s="10" t="s">
        <v>22</v>
      </c>
      <c r="J1623" s="9" t="str">
        <f t="shared" si="34"/>
        <v>No</v>
      </c>
      <c r="K1623" s="9" t="str">
        <f t="shared" si="33"/>
        <v/>
      </c>
      <c r="L1623" s="9" t="str">
        <f t="shared" si="35"/>
        <v/>
      </c>
      <c r="M1623" s="9"/>
      <c r="O1623" s="9"/>
    </row>
    <row r="1624" ht="15.75" customHeight="1">
      <c r="A1624" s="9" t="str">
        <f>IFERROR(__xludf.DUMMYFUNCTION("IF(B1624="""","""",RIGHT(REGEXREPLACE(B1624&amp;"""",""[^0-9]"",""""),9))"),"713682458")</f>
        <v>713682458</v>
      </c>
      <c r="B1624" s="48">
        <v>7.13682458E8</v>
      </c>
      <c r="C1624" s="10" t="s">
        <v>1771</v>
      </c>
      <c r="D1624" s="10" t="s">
        <v>34</v>
      </c>
      <c r="E1624" s="13">
        <v>46228.0</v>
      </c>
      <c r="F1624" s="10" t="s">
        <v>35</v>
      </c>
      <c r="G1624" s="10">
        <v>10.0</v>
      </c>
      <c r="I1624" s="10" t="s">
        <v>22</v>
      </c>
      <c r="J1624" s="9" t="str">
        <f t="shared" si="34"/>
        <v>No</v>
      </c>
      <c r="K1624" s="9" t="str">
        <f t="shared" si="33"/>
        <v/>
      </c>
      <c r="L1624" s="9" t="str">
        <f t="shared" si="35"/>
        <v/>
      </c>
      <c r="M1624" s="9"/>
      <c r="O1624" s="9"/>
    </row>
    <row r="1625" ht="15.75" customHeight="1">
      <c r="A1625" s="9" t="str">
        <f>IFERROR(__xludf.DUMMYFUNCTION("IF(B1625="""","""",RIGHT(REGEXREPLACE(B1625&amp;"""",""[^0-9]"",""""),9))"),"743682419")</f>
        <v>743682419</v>
      </c>
      <c r="B1625" s="48">
        <v>7.43682419E8</v>
      </c>
      <c r="C1625" s="10" t="s">
        <v>1772</v>
      </c>
      <c r="D1625" s="10" t="s">
        <v>120</v>
      </c>
      <c r="E1625" s="13">
        <v>46228.0</v>
      </c>
      <c r="F1625" s="10" t="s">
        <v>35</v>
      </c>
      <c r="G1625" s="10">
        <v>11.0</v>
      </c>
      <c r="I1625" s="10" t="s">
        <v>22</v>
      </c>
      <c r="J1625" s="9" t="str">
        <f t="shared" si="34"/>
        <v>No</v>
      </c>
      <c r="K1625" s="9" t="str">
        <f t="shared" si="33"/>
        <v/>
      </c>
      <c r="L1625" s="9" t="str">
        <f t="shared" si="35"/>
        <v/>
      </c>
      <c r="M1625" s="9"/>
      <c r="O1625" s="9"/>
    </row>
    <row r="1626" ht="15.75" customHeight="1">
      <c r="A1626" s="9" t="str">
        <f>IFERROR(__xludf.DUMMYFUNCTION("IF(B1626="""","""",RIGHT(REGEXREPLACE(B1626&amp;"""",""[^0-9]"",""""),9))"),"760838862")</f>
        <v>760838862</v>
      </c>
      <c r="B1626" s="10">
        <v>7.60838862E8</v>
      </c>
      <c r="C1626" s="10" t="s">
        <v>1773</v>
      </c>
      <c r="D1626" s="10" t="s">
        <v>20</v>
      </c>
      <c r="E1626" s="13">
        <v>46228.0</v>
      </c>
      <c r="F1626" s="10" t="s">
        <v>35</v>
      </c>
      <c r="G1626" s="10">
        <v>10.0</v>
      </c>
      <c r="I1626" s="10" t="s">
        <v>22</v>
      </c>
      <c r="J1626" s="9" t="str">
        <f t="shared" si="34"/>
        <v>No</v>
      </c>
      <c r="K1626" s="9" t="str">
        <f t="shared" si="33"/>
        <v/>
      </c>
      <c r="L1626" s="9" t="str">
        <f t="shared" si="35"/>
        <v/>
      </c>
      <c r="M1626" s="9"/>
      <c r="O1626" s="9"/>
    </row>
    <row r="1627" ht="15.75" customHeight="1">
      <c r="A1627" s="9" t="str">
        <f>IFERROR(__xludf.DUMMYFUNCTION("IF(B1627="""","""",RIGHT(REGEXREPLACE(B1627&amp;"""",""[^0-9]"",""""),9))"),"765756488")</f>
        <v>765756488</v>
      </c>
      <c r="B1627" s="48">
        <v>7.65756488E8</v>
      </c>
      <c r="C1627" s="10" t="s">
        <v>1773</v>
      </c>
      <c r="D1627" s="10" t="s">
        <v>50</v>
      </c>
      <c r="E1627" s="13">
        <v>46228.0</v>
      </c>
      <c r="F1627" s="10" t="s">
        <v>21</v>
      </c>
      <c r="G1627" s="10">
        <v>11.0</v>
      </c>
      <c r="I1627" s="10" t="s">
        <v>22</v>
      </c>
      <c r="J1627" s="9" t="str">
        <f t="shared" si="34"/>
        <v>No</v>
      </c>
      <c r="K1627" s="9" t="str">
        <f t="shared" si="33"/>
        <v/>
      </c>
      <c r="L1627" s="9" t="str">
        <f t="shared" si="35"/>
        <v/>
      </c>
      <c r="M1627" s="9"/>
      <c r="O1627" s="9"/>
    </row>
    <row r="1628" ht="15.75" customHeight="1">
      <c r="A1628" s="9" t="str">
        <f>IFERROR(__xludf.DUMMYFUNCTION("IF(B1628="""","""",RIGHT(REGEXREPLACE(B1628&amp;"""",""[^0-9]"",""""),9))"),"773367530")</f>
        <v>773367530</v>
      </c>
      <c r="B1628" s="10">
        <v>7.7336753E8</v>
      </c>
      <c r="C1628" s="10" t="s">
        <v>1774</v>
      </c>
      <c r="D1628" s="10" t="s">
        <v>20</v>
      </c>
      <c r="E1628" s="13">
        <v>46228.0</v>
      </c>
      <c r="F1628" s="10" t="s">
        <v>21</v>
      </c>
      <c r="I1628" s="10" t="s">
        <v>22</v>
      </c>
      <c r="J1628" s="9" t="str">
        <f t="shared" si="34"/>
        <v>No</v>
      </c>
      <c r="K1628" s="9" t="str">
        <f t="shared" si="33"/>
        <v/>
      </c>
      <c r="L1628" s="9" t="str">
        <f t="shared" si="35"/>
        <v/>
      </c>
      <c r="M1628" s="9"/>
      <c r="O1628" s="9"/>
    </row>
    <row r="1629" ht="15.75" customHeight="1">
      <c r="A1629" s="9" t="str">
        <f>IFERROR(__xludf.DUMMYFUNCTION("IF(B1629="""","""",RIGHT(REGEXREPLACE(B1629&amp;"""",""[^0-9]"",""""),9))"),"729762185")</f>
        <v>729762185</v>
      </c>
      <c r="B1629" s="48">
        <v>7.29762185E8</v>
      </c>
      <c r="C1629" s="10" t="s">
        <v>1775</v>
      </c>
      <c r="D1629" s="10" t="s">
        <v>69</v>
      </c>
      <c r="E1629" s="13">
        <v>46228.0</v>
      </c>
      <c r="F1629" s="10" t="s">
        <v>21</v>
      </c>
      <c r="G1629" s="10">
        <v>10.0</v>
      </c>
      <c r="I1629" s="10" t="s">
        <v>22</v>
      </c>
      <c r="J1629" s="9" t="str">
        <f t="shared" si="34"/>
        <v>No</v>
      </c>
      <c r="K1629" s="9" t="str">
        <f t="shared" si="33"/>
        <v/>
      </c>
      <c r="L1629" s="9" t="str">
        <f t="shared" si="35"/>
        <v/>
      </c>
      <c r="M1629" s="9"/>
      <c r="O1629" s="9"/>
    </row>
    <row r="1630" ht="15.75" customHeight="1">
      <c r="A1630" s="9" t="str">
        <f>IFERROR(__xludf.DUMMYFUNCTION("IF(B1630="""","""",RIGHT(REGEXREPLACE(B1630&amp;"""",""[^0-9]"",""""),9))"),"788520046")</f>
        <v>788520046</v>
      </c>
      <c r="B1630" s="48">
        <v>7.88520046E8</v>
      </c>
      <c r="C1630" s="10" t="s">
        <v>1776</v>
      </c>
      <c r="D1630" s="10" t="s">
        <v>50</v>
      </c>
      <c r="E1630" s="13">
        <v>46228.0</v>
      </c>
      <c r="F1630" s="10" t="s">
        <v>35</v>
      </c>
      <c r="G1630" s="10">
        <v>10.0</v>
      </c>
      <c r="I1630" s="10" t="s">
        <v>22</v>
      </c>
      <c r="J1630" s="9" t="str">
        <f t="shared" si="34"/>
        <v>No</v>
      </c>
      <c r="K1630" s="9" t="str">
        <f t="shared" si="33"/>
        <v/>
      </c>
      <c r="L1630" s="9" t="str">
        <f t="shared" si="35"/>
        <v/>
      </c>
      <c r="M1630" s="9"/>
      <c r="O1630" s="9"/>
    </row>
    <row r="1631" ht="15.75" customHeight="1">
      <c r="A1631" s="9" t="str">
        <f>IFERROR(__xludf.DUMMYFUNCTION("IF(B1631="""","""",RIGHT(REGEXREPLACE(B1631&amp;"""",""[^0-9]"",""""),9))"),"719804488")</f>
        <v>719804488</v>
      </c>
      <c r="B1631" s="48">
        <v>7.19804488E8</v>
      </c>
      <c r="C1631" s="10" t="s">
        <v>1777</v>
      </c>
      <c r="D1631" s="10" t="s">
        <v>120</v>
      </c>
      <c r="E1631" s="13">
        <v>46228.0</v>
      </c>
      <c r="F1631" s="10" t="s">
        <v>113</v>
      </c>
      <c r="I1631" s="10" t="s">
        <v>22</v>
      </c>
      <c r="J1631" s="9" t="str">
        <f t="shared" si="34"/>
        <v>No</v>
      </c>
      <c r="K1631" s="9" t="str">
        <f t="shared" si="33"/>
        <v/>
      </c>
      <c r="L1631" s="9" t="str">
        <f t="shared" si="35"/>
        <v/>
      </c>
      <c r="M1631" s="9"/>
      <c r="O1631" s="9"/>
    </row>
    <row r="1632" ht="15.75" customHeight="1">
      <c r="A1632" s="9" t="str">
        <f>IFERROR(__xludf.DUMMYFUNCTION("IF(B1632="""","""",RIGHT(REGEXREPLACE(B1632&amp;"""",""[^0-9]"",""""),9))"),"717702469")</f>
        <v>717702469</v>
      </c>
      <c r="B1632" s="48">
        <v>7.17702469E8</v>
      </c>
      <c r="C1632" s="10" t="s">
        <v>1778</v>
      </c>
      <c r="D1632" s="10" t="s">
        <v>34</v>
      </c>
      <c r="E1632" s="13">
        <v>46228.0</v>
      </c>
      <c r="F1632" s="10" t="s">
        <v>198</v>
      </c>
      <c r="I1632" s="10" t="s">
        <v>22</v>
      </c>
      <c r="J1632" s="9" t="str">
        <f t="shared" si="34"/>
        <v>No</v>
      </c>
      <c r="K1632" s="9" t="str">
        <f t="shared" si="33"/>
        <v/>
      </c>
      <c r="L1632" s="9" t="str">
        <f t="shared" si="35"/>
        <v/>
      </c>
      <c r="M1632" s="9"/>
      <c r="O1632" s="9"/>
    </row>
    <row r="1633" ht="15.75" customHeight="1">
      <c r="A1633" s="9" t="str">
        <f>IFERROR(__xludf.DUMMYFUNCTION("IF(B1633="""","""",RIGHT(REGEXREPLACE(B1633&amp;"""",""[^0-9]"",""""),9))"),"711928210")</f>
        <v>711928210</v>
      </c>
      <c r="B1633" s="10">
        <v>7.1192821E8</v>
      </c>
      <c r="C1633" s="10" t="s">
        <v>1779</v>
      </c>
      <c r="D1633" s="10" t="s">
        <v>20</v>
      </c>
      <c r="E1633" s="13">
        <v>46228.0</v>
      </c>
      <c r="F1633" s="10" t="s">
        <v>198</v>
      </c>
      <c r="G1633" s="10">
        <v>11.0</v>
      </c>
      <c r="I1633" s="10" t="s">
        <v>22</v>
      </c>
      <c r="J1633" s="9" t="str">
        <f t="shared" si="34"/>
        <v>No</v>
      </c>
      <c r="K1633" s="9" t="str">
        <f t="shared" si="33"/>
        <v/>
      </c>
      <c r="L1633" s="9" t="str">
        <f t="shared" si="35"/>
        <v/>
      </c>
      <c r="M1633" s="9"/>
      <c r="O1633" s="9"/>
    </row>
    <row r="1634" ht="15.75" customHeight="1">
      <c r="A1634" s="9" t="str">
        <f>IFERROR(__xludf.DUMMYFUNCTION("IF(B1634="""","""",RIGHT(REGEXREPLACE(B1634&amp;"""",""[^0-9]"",""""),9))"),"710182558")</f>
        <v>710182558</v>
      </c>
      <c r="B1634" s="48">
        <v>7.10182558E8</v>
      </c>
      <c r="C1634" s="10" t="s">
        <v>1780</v>
      </c>
      <c r="D1634" s="10" t="s">
        <v>34</v>
      </c>
      <c r="E1634" s="13">
        <v>46228.0</v>
      </c>
      <c r="F1634" s="10" t="s">
        <v>198</v>
      </c>
      <c r="I1634" s="10" t="s">
        <v>22</v>
      </c>
      <c r="J1634" s="9" t="str">
        <f t="shared" si="34"/>
        <v>No</v>
      </c>
      <c r="K1634" s="9" t="str">
        <f t="shared" si="33"/>
        <v/>
      </c>
      <c r="L1634" s="9" t="str">
        <f t="shared" si="35"/>
        <v/>
      </c>
      <c r="M1634" s="9"/>
      <c r="O1634" s="9"/>
    </row>
    <row r="1635" ht="15.75" customHeight="1">
      <c r="A1635" s="9" t="str">
        <f>IFERROR(__xludf.DUMMYFUNCTION("IF(B1635="""","""",RIGHT(REGEXREPLACE(B1635&amp;"""",""[^0-9]"",""""),9))"),"753174005")</f>
        <v>753174005</v>
      </c>
      <c r="B1635" s="48">
        <v>7.53174005E8</v>
      </c>
      <c r="C1635" s="10" t="s">
        <v>1781</v>
      </c>
      <c r="D1635" s="10" t="s">
        <v>50</v>
      </c>
      <c r="E1635" s="13">
        <v>46228.0</v>
      </c>
      <c r="F1635" s="10" t="s">
        <v>35</v>
      </c>
      <c r="G1635" s="10">
        <v>11.0</v>
      </c>
      <c r="I1635" s="10" t="s">
        <v>22</v>
      </c>
      <c r="J1635" s="9" t="str">
        <f t="shared" si="34"/>
        <v>No</v>
      </c>
      <c r="K1635" s="9" t="str">
        <f t="shared" si="33"/>
        <v/>
      </c>
      <c r="L1635" s="9" t="str">
        <f t="shared" si="35"/>
        <v/>
      </c>
      <c r="M1635" s="9"/>
      <c r="O1635" s="9"/>
    </row>
    <row r="1636" ht="15.75" customHeight="1">
      <c r="A1636" s="9" t="str">
        <f>IFERROR(__xludf.DUMMYFUNCTION("IF(B1636="""","""",RIGHT(REGEXREPLACE(B1636&amp;"""",""[^0-9]"",""""),9))"),"715780001")</f>
        <v>715780001</v>
      </c>
      <c r="B1636" s="48">
        <v>7.15780001E8</v>
      </c>
      <c r="C1636" s="10" t="s">
        <v>1782</v>
      </c>
      <c r="D1636" s="10" t="s">
        <v>69</v>
      </c>
      <c r="E1636" s="13">
        <v>46228.0</v>
      </c>
      <c r="F1636" s="10" t="s">
        <v>21</v>
      </c>
      <c r="G1636" s="10">
        <v>11.0</v>
      </c>
      <c r="I1636" s="10" t="s">
        <v>22</v>
      </c>
      <c r="J1636" s="9" t="str">
        <f t="shared" si="34"/>
        <v>No</v>
      </c>
      <c r="K1636" s="9" t="str">
        <f t="shared" si="33"/>
        <v/>
      </c>
      <c r="L1636" s="9" t="str">
        <f t="shared" si="35"/>
        <v/>
      </c>
      <c r="M1636" s="9"/>
      <c r="O1636" s="9"/>
    </row>
    <row r="1637" ht="15.75" customHeight="1">
      <c r="A1637" s="9" t="str">
        <f>IFERROR(__xludf.DUMMYFUNCTION("IF(B1637="""","""",RIGHT(REGEXREPLACE(B1637&amp;"""",""[^0-9]"",""""),9))"),"752319557")</f>
        <v>752319557</v>
      </c>
      <c r="B1637" s="48">
        <v>7.52319557E8</v>
      </c>
      <c r="C1637" s="10" t="s">
        <v>1783</v>
      </c>
      <c r="D1637" s="10" t="s">
        <v>120</v>
      </c>
      <c r="E1637" s="13">
        <v>46228.0</v>
      </c>
      <c r="F1637" s="10" t="s">
        <v>35</v>
      </c>
      <c r="G1637" s="10">
        <v>11.0</v>
      </c>
      <c r="I1637" s="10" t="s">
        <v>22</v>
      </c>
      <c r="J1637" s="9" t="str">
        <f t="shared" si="34"/>
        <v>No</v>
      </c>
      <c r="K1637" s="9" t="str">
        <f t="shared" si="33"/>
        <v/>
      </c>
      <c r="L1637" s="9" t="str">
        <f t="shared" si="35"/>
        <v/>
      </c>
      <c r="M1637" s="9"/>
      <c r="O1637" s="9"/>
    </row>
    <row r="1638" ht="15.75" customHeight="1">
      <c r="A1638" s="9" t="str">
        <f>IFERROR(__xludf.DUMMYFUNCTION("IF(B1638="""","""",RIGHT(REGEXREPLACE(B1638&amp;"""",""[^0-9]"",""""),9))"),"718648494")</f>
        <v>718648494</v>
      </c>
      <c r="B1638" s="48">
        <v>7.18648494E8</v>
      </c>
      <c r="C1638" s="10" t="s">
        <v>1784</v>
      </c>
      <c r="D1638" s="10" t="s">
        <v>34</v>
      </c>
      <c r="E1638" s="13">
        <v>46228.0</v>
      </c>
      <c r="F1638" s="10" t="s">
        <v>198</v>
      </c>
      <c r="I1638" s="10" t="s">
        <v>22</v>
      </c>
      <c r="J1638" s="9" t="str">
        <f t="shared" si="34"/>
        <v>No</v>
      </c>
      <c r="K1638" s="9" t="str">
        <f t="shared" si="33"/>
        <v/>
      </c>
      <c r="L1638" s="9" t="str">
        <f t="shared" si="35"/>
        <v/>
      </c>
      <c r="M1638" s="9"/>
      <c r="O1638" s="9"/>
    </row>
    <row r="1639" ht="15.75" customHeight="1">
      <c r="A1639" s="9" t="str">
        <f>IFERROR(__xludf.DUMMYFUNCTION("IF(B1639="""","""",RIGHT(REGEXREPLACE(B1639&amp;"""",""[^0-9]"",""""),9))"),"717404587")</f>
        <v>717404587</v>
      </c>
      <c r="B1639" s="10">
        <v>7.17404587E8</v>
      </c>
      <c r="C1639" s="10" t="s">
        <v>1783</v>
      </c>
      <c r="D1639" s="10" t="s">
        <v>20</v>
      </c>
      <c r="E1639" s="13">
        <v>46228.0</v>
      </c>
      <c r="F1639" s="10" t="s">
        <v>35</v>
      </c>
      <c r="G1639" s="10">
        <v>11.0</v>
      </c>
      <c r="H1639" s="10" t="s">
        <v>1291</v>
      </c>
      <c r="I1639" s="10" t="s">
        <v>22</v>
      </c>
      <c r="J1639" s="9" t="str">
        <f t="shared" si="34"/>
        <v>No</v>
      </c>
      <c r="K1639" s="9" t="str">
        <f t="shared" si="33"/>
        <v/>
      </c>
      <c r="L1639" s="9" t="str">
        <f t="shared" si="35"/>
        <v/>
      </c>
      <c r="M1639" s="9"/>
      <c r="O1639" s="9"/>
    </row>
    <row r="1640" ht="15.75" customHeight="1">
      <c r="A1640" s="9" t="str">
        <f>IFERROR(__xludf.DUMMYFUNCTION("IF(B1640="""","""",RIGHT(REGEXREPLACE(B1640&amp;"""",""[^0-9]"",""""),9))"),"766966444")</f>
        <v>766966444</v>
      </c>
      <c r="B1640" s="48">
        <v>7.66966444E8</v>
      </c>
      <c r="C1640" s="10" t="s">
        <v>1785</v>
      </c>
      <c r="D1640" s="10" t="s">
        <v>50</v>
      </c>
      <c r="E1640" s="13">
        <v>46228.0</v>
      </c>
      <c r="F1640" s="10" t="s">
        <v>171</v>
      </c>
      <c r="G1640" s="10">
        <v>11.0</v>
      </c>
      <c r="I1640" s="10" t="s">
        <v>22</v>
      </c>
      <c r="J1640" s="9" t="str">
        <f t="shared" si="34"/>
        <v>No</v>
      </c>
      <c r="K1640" s="9" t="str">
        <f t="shared" si="33"/>
        <v/>
      </c>
      <c r="L1640" s="9" t="str">
        <f t="shared" si="35"/>
        <v/>
      </c>
      <c r="M1640" s="9"/>
      <c r="O1640" s="9"/>
    </row>
    <row r="1641" ht="15.75" customHeight="1">
      <c r="A1641" s="9" t="str">
        <f>IFERROR(__xludf.DUMMYFUNCTION("IF(B1641="""","""",RIGHT(REGEXREPLACE(B1641&amp;"""",""[^0-9]"",""""),9))"),"718045774")</f>
        <v>718045774</v>
      </c>
      <c r="B1641" s="48">
        <v>7.18045774E8</v>
      </c>
      <c r="C1641" s="10" t="s">
        <v>1786</v>
      </c>
      <c r="D1641" s="10" t="s">
        <v>34</v>
      </c>
      <c r="E1641" s="13">
        <v>46228.0</v>
      </c>
      <c r="F1641" s="10" t="s">
        <v>35</v>
      </c>
      <c r="G1641" s="10">
        <v>11.0</v>
      </c>
      <c r="I1641" s="10" t="s">
        <v>22</v>
      </c>
      <c r="J1641" s="9" t="str">
        <f t="shared" si="34"/>
        <v>No</v>
      </c>
      <c r="K1641" s="9" t="str">
        <f t="shared" si="33"/>
        <v/>
      </c>
      <c r="L1641" s="9" t="str">
        <f t="shared" si="35"/>
        <v/>
      </c>
      <c r="M1641" s="9"/>
      <c r="O1641" s="9"/>
    </row>
    <row r="1642" ht="15.75" customHeight="1">
      <c r="A1642" s="9" t="str">
        <f>IFERROR(__xludf.DUMMYFUNCTION("IF(B1642="""","""",RIGHT(REGEXREPLACE(B1642&amp;"""",""[^0-9]"",""""),9))"),"768656708")</f>
        <v>768656708</v>
      </c>
      <c r="B1642" s="10">
        <v>7.68656708E8</v>
      </c>
      <c r="C1642" s="10" t="s">
        <v>1787</v>
      </c>
      <c r="D1642" s="10" t="s">
        <v>20</v>
      </c>
      <c r="E1642" s="13">
        <v>46228.0</v>
      </c>
      <c r="F1642" s="10" t="s">
        <v>113</v>
      </c>
      <c r="I1642" s="10" t="s">
        <v>22</v>
      </c>
      <c r="J1642" s="9" t="str">
        <f t="shared" si="34"/>
        <v>No</v>
      </c>
      <c r="K1642" s="9" t="str">
        <f t="shared" si="33"/>
        <v/>
      </c>
      <c r="L1642" s="9" t="str">
        <f t="shared" si="35"/>
        <v/>
      </c>
      <c r="M1642" s="9"/>
      <c r="O1642" s="9"/>
    </row>
    <row r="1643" ht="15.75" customHeight="1">
      <c r="A1643" s="9" t="str">
        <f>IFERROR(__xludf.DUMMYFUNCTION("IF(B1643="""","""",RIGHT(REGEXREPLACE(B1643&amp;"""",""[^0-9]"",""""),9))"),"756090349")</f>
        <v>756090349</v>
      </c>
      <c r="B1643" s="48">
        <v>7.56090349E8</v>
      </c>
      <c r="C1643" s="10" t="s">
        <v>744</v>
      </c>
      <c r="D1643" s="10" t="s">
        <v>69</v>
      </c>
      <c r="E1643" s="13">
        <v>46228.0</v>
      </c>
      <c r="F1643" s="10" t="s">
        <v>113</v>
      </c>
      <c r="G1643" s="10">
        <v>11.0</v>
      </c>
      <c r="I1643" s="10" t="s">
        <v>22</v>
      </c>
      <c r="J1643" s="9" t="str">
        <f t="shared" si="34"/>
        <v>Yes - see Previous F-Code</v>
      </c>
      <c r="K1643" s="9" t="str">
        <f t="shared" si="33"/>
        <v>DUPLICATE - CHECK</v>
      </c>
      <c r="L1643" s="9" t="str">
        <f t="shared" si="35"/>
        <v>F70580</v>
      </c>
      <c r="M1643" s="9"/>
      <c r="O1643" s="9"/>
    </row>
    <row r="1644" ht="15.75" customHeight="1">
      <c r="A1644" s="9" t="str">
        <f>IFERROR(__xludf.DUMMYFUNCTION("IF(B1644="""","""",RIGHT(REGEXREPLACE(B1644&amp;"""",""[^0-9]"",""""),9))"),"777395222")</f>
        <v>777395222</v>
      </c>
      <c r="B1644" s="48">
        <v>7.77395222E8</v>
      </c>
      <c r="C1644" s="10" t="s">
        <v>1788</v>
      </c>
      <c r="D1644" s="10" t="s">
        <v>50</v>
      </c>
      <c r="E1644" s="13">
        <v>46228.0</v>
      </c>
      <c r="F1644" s="10" t="s">
        <v>35</v>
      </c>
      <c r="G1644" s="10">
        <v>11.0</v>
      </c>
      <c r="I1644" s="10" t="s">
        <v>22</v>
      </c>
      <c r="J1644" s="9" t="str">
        <f t="shared" si="34"/>
        <v>No</v>
      </c>
      <c r="K1644" s="9" t="str">
        <f t="shared" si="33"/>
        <v/>
      </c>
      <c r="L1644" s="9" t="str">
        <f t="shared" si="35"/>
        <v/>
      </c>
      <c r="M1644" s="9"/>
      <c r="O1644" s="9"/>
    </row>
    <row r="1645" ht="15.75" customHeight="1">
      <c r="A1645" s="9" t="str">
        <f>IFERROR(__xludf.DUMMYFUNCTION("IF(B1645="""","""",RIGHT(REGEXREPLACE(B1645&amp;"""",""[^0-9]"",""""),9))"),"762434996")</f>
        <v>762434996</v>
      </c>
      <c r="B1645" s="48">
        <v>7.62434996E8</v>
      </c>
      <c r="C1645" s="10" t="s">
        <v>1789</v>
      </c>
      <c r="D1645" s="10" t="s">
        <v>69</v>
      </c>
      <c r="E1645" s="13">
        <v>46228.0</v>
      </c>
      <c r="F1645" s="10" t="s">
        <v>35</v>
      </c>
      <c r="G1645" s="10">
        <v>11.0</v>
      </c>
      <c r="I1645" s="10" t="s">
        <v>22</v>
      </c>
      <c r="J1645" s="9" t="str">
        <f t="shared" si="34"/>
        <v>No</v>
      </c>
      <c r="K1645" s="9" t="str">
        <f t="shared" si="33"/>
        <v/>
      </c>
      <c r="L1645" s="9" t="str">
        <f t="shared" si="35"/>
        <v/>
      </c>
      <c r="M1645" s="9"/>
      <c r="O1645" s="9"/>
    </row>
    <row r="1646" ht="15.75" customHeight="1">
      <c r="A1646" s="9" t="str">
        <f>IFERROR(__xludf.DUMMYFUNCTION("IF(B1646="""","""",RIGHT(REGEXREPLACE(B1646&amp;"""",""[^0-9]"",""""),9))"),"778188495")</f>
        <v>778188495</v>
      </c>
      <c r="B1646" s="10">
        <v>7.78188495E8</v>
      </c>
      <c r="C1646" s="10" t="s">
        <v>1790</v>
      </c>
      <c r="D1646" s="10" t="s">
        <v>20</v>
      </c>
      <c r="E1646" s="13">
        <v>46228.0</v>
      </c>
      <c r="F1646" s="10" t="s">
        <v>35</v>
      </c>
      <c r="G1646" s="10">
        <v>11.0</v>
      </c>
      <c r="H1646" s="10" t="s">
        <v>1764</v>
      </c>
      <c r="I1646" s="10" t="s">
        <v>22</v>
      </c>
      <c r="J1646" s="9" t="str">
        <f t="shared" si="34"/>
        <v>No</v>
      </c>
      <c r="K1646" s="9" t="str">
        <f t="shared" si="33"/>
        <v/>
      </c>
      <c r="L1646" s="9" t="str">
        <f t="shared" si="35"/>
        <v/>
      </c>
      <c r="M1646" s="9"/>
      <c r="O1646" s="9"/>
    </row>
    <row r="1647" ht="15.75" customHeight="1">
      <c r="A1647" s="9" t="str">
        <f>IFERROR(__xludf.DUMMYFUNCTION("IF(B1647="""","""",RIGHT(REGEXREPLACE(B1647&amp;"""",""[^0-9]"",""""),9))"),"719612861")</f>
        <v>719612861</v>
      </c>
      <c r="B1647" s="48">
        <v>7.19612861E8</v>
      </c>
      <c r="C1647" s="10" t="s">
        <v>1791</v>
      </c>
      <c r="D1647" s="10" t="s">
        <v>50</v>
      </c>
      <c r="E1647" s="13">
        <v>46228.0</v>
      </c>
      <c r="F1647" s="10" t="s">
        <v>35</v>
      </c>
      <c r="G1647" s="10">
        <v>11.0</v>
      </c>
      <c r="I1647" s="10" t="s">
        <v>22</v>
      </c>
      <c r="J1647" s="9" t="str">
        <f t="shared" si="34"/>
        <v>No</v>
      </c>
      <c r="K1647" s="9" t="str">
        <f t="shared" si="33"/>
        <v/>
      </c>
      <c r="L1647" s="9" t="str">
        <f t="shared" si="35"/>
        <v/>
      </c>
      <c r="M1647" s="9"/>
      <c r="O1647" s="9"/>
    </row>
    <row r="1648" ht="15.75" customHeight="1">
      <c r="A1648" s="9" t="str">
        <f>IFERROR(__xludf.DUMMYFUNCTION("IF(B1648="""","""",RIGHT(REGEXREPLACE(B1648&amp;"""",""[^0-9]"",""""),9))"),"718116506")</f>
        <v>718116506</v>
      </c>
      <c r="B1648" s="48">
        <v>7.18116506E8</v>
      </c>
      <c r="C1648" s="10" t="s">
        <v>1792</v>
      </c>
      <c r="D1648" s="10" t="s">
        <v>120</v>
      </c>
      <c r="E1648" s="13">
        <v>46228.0</v>
      </c>
      <c r="F1648" s="10" t="s">
        <v>198</v>
      </c>
      <c r="I1648" s="10" t="s">
        <v>22</v>
      </c>
      <c r="J1648" s="9" t="str">
        <f t="shared" si="34"/>
        <v>No</v>
      </c>
      <c r="K1648" s="9" t="str">
        <f t="shared" si="33"/>
        <v/>
      </c>
      <c r="L1648" s="9" t="str">
        <f t="shared" si="35"/>
        <v/>
      </c>
      <c r="M1648" s="9"/>
      <c r="O1648" s="9"/>
    </row>
    <row r="1649" ht="15.75" customHeight="1">
      <c r="A1649" s="9" t="str">
        <f>IFERROR(__xludf.DUMMYFUNCTION("IF(B1649="""","""",RIGHT(REGEXREPLACE(B1649&amp;"""",""[^0-9]"",""""),9))"),"776331962")</f>
        <v>776331962</v>
      </c>
      <c r="B1649" s="48">
        <v>7.76331962E8</v>
      </c>
      <c r="C1649" s="10" t="s">
        <v>1793</v>
      </c>
      <c r="D1649" s="10" t="s">
        <v>34</v>
      </c>
      <c r="E1649" s="13">
        <v>46228.0</v>
      </c>
      <c r="F1649" s="10" t="s">
        <v>35</v>
      </c>
      <c r="G1649" s="10">
        <v>11.0</v>
      </c>
      <c r="I1649" s="10" t="s">
        <v>22</v>
      </c>
      <c r="J1649" s="9" t="str">
        <f t="shared" si="34"/>
        <v>No</v>
      </c>
      <c r="K1649" s="9" t="str">
        <f t="shared" si="33"/>
        <v/>
      </c>
      <c r="L1649" s="9" t="str">
        <f t="shared" si="35"/>
        <v/>
      </c>
      <c r="M1649" s="9"/>
      <c r="O1649" s="9"/>
    </row>
    <row r="1650" ht="15.75" customHeight="1">
      <c r="A1650" s="9" t="str">
        <f>IFERROR(__xludf.DUMMYFUNCTION("IF(B1650="""","""",RIGHT(REGEXREPLACE(B1650&amp;"""",""[^0-9]"",""""),9))"),"714915828")</f>
        <v>714915828</v>
      </c>
      <c r="B1650" s="10">
        <v>7.14915828E8</v>
      </c>
      <c r="C1650" s="10" t="s">
        <v>1794</v>
      </c>
      <c r="D1650" s="10" t="s">
        <v>20</v>
      </c>
      <c r="E1650" s="13">
        <v>46228.0</v>
      </c>
      <c r="F1650" s="10" t="s">
        <v>648</v>
      </c>
      <c r="I1650" s="10" t="s">
        <v>22</v>
      </c>
      <c r="J1650" s="9" t="str">
        <f t="shared" si="34"/>
        <v>No</v>
      </c>
      <c r="K1650" s="9" t="str">
        <f t="shared" si="33"/>
        <v/>
      </c>
      <c r="L1650" s="9" t="str">
        <f t="shared" si="35"/>
        <v/>
      </c>
      <c r="M1650" s="9"/>
      <c r="O1650" s="9"/>
    </row>
    <row r="1651" ht="15.75" customHeight="1">
      <c r="A1651" s="9" t="str">
        <f>IFERROR(__xludf.DUMMYFUNCTION("IF(B1651="""","""",RIGHT(REGEXREPLACE(B1651&amp;"""",""[^0-9]"",""""),9))"),"714064780")</f>
        <v>714064780</v>
      </c>
      <c r="B1651" s="48">
        <v>7.1406478E8</v>
      </c>
      <c r="C1651" s="10" t="s">
        <v>1795</v>
      </c>
      <c r="D1651" s="10" t="s">
        <v>120</v>
      </c>
      <c r="E1651" s="13">
        <v>46228.0</v>
      </c>
      <c r="F1651" s="10" t="s">
        <v>35</v>
      </c>
      <c r="G1651" s="10">
        <v>10.0</v>
      </c>
      <c r="I1651" s="10" t="s">
        <v>22</v>
      </c>
      <c r="J1651" s="9" t="str">
        <f t="shared" si="34"/>
        <v>No</v>
      </c>
      <c r="K1651" s="9" t="str">
        <f t="shared" si="33"/>
        <v/>
      </c>
      <c r="L1651" s="9" t="str">
        <f t="shared" si="35"/>
        <v/>
      </c>
      <c r="M1651" s="9"/>
      <c r="O1651" s="9"/>
    </row>
    <row r="1652" ht="15.75" customHeight="1">
      <c r="A1652" s="9" t="str">
        <f>IFERROR(__xludf.DUMMYFUNCTION("IF(B1652="""","""",RIGHT(REGEXREPLACE(B1652&amp;"""",""[^0-9]"",""""),9))"),"719414621")</f>
        <v>719414621</v>
      </c>
      <c r="B1652" s="48">
        <v>7.19414621E8</v>
      </c>
      <c r="C1652" s="10" t="s">
        <v>1796</v>
      </c>
      <c r="D1652" s="10" t="s">
        <v>50</v>
      </c>
      <c r="E1652" s="13">
        <v>46228.0</v>
      </c>
      <c r="F1652" s="10" t="s">
        <v>35</v>
      </c>
      <c r="G1652" s="10">
        <v>11.0</v>
      </c>
      <c r="I1652" s="10" t="s">
        <v>22</v>
      </c>
      <c r="J1652" s="9" t="str">
        <f t="shared" si="34"/>
        <v>No</v>
      </c>
      <c r="K1652" s="9" t="str">
        <f t="shared" si="33"/>
        <v/>
      </c>
      <c r="L1652" s="9" t="str">
        <f t="shared" si="35"/>
        <v/>
      </c>
      <c r="M1652" s="9"/>
      <c r="O1652" s="9"/>
    </row>
    <row r="1653" ht="15.75" customHeight="1">
      <c r="A1653" s="9" t="str">
        <f>IFERROR(__xludf.DUMMYFUNCTION("IF(B1653="""","""",RIGHT(REGEXREPLACE(B1653&amp;"""",""[^0-9]"",""""),9))"),"716270639")</f>
        <v>716270639</v>
      </c>
      <c r="B1653" s="48">
        <v>7.16270639E8</v>
      </c>
      <c r="C1653" s="10" t="s">
        <v>1797</v>
      </c>
      <c r="D1653" s="10" t="s">
        <v>69</v>
      </c>
      <c r="E1653" s="13">
        <v>46228.0</v>
      </c>
      <c r="F1653" s="10" t="s">
        <v>21</v>
      </c>
      <c r="G1653" s="10">
        <v>11.0</v>
      </c>
      <c r="I1653" s="10" t="s">
        <v>22</v>
      </c>
      <c r="J1653" s="9" t="str">
        <f t="shared" si="34"/>
        <v>No</v>
      </c>
      <c r="K1653" s="9" t="str">
        <f t="shared" si="33"/>
        <v/>
      </c>
      <c r="L1653" s="9" t="str">
        <f t="shared" si="35"/>
        <v/>
      </c>
      <c r="M1653" s="9"/>
      <c r="O1653" s="9"/>
    </row>
    <row r="1654" ht="15.75" customHeight="1">
      <c r="A1654" s="9" t="str">
        <f>IFERROR(__xludf.DUMMYFUNCTION("IF(B1654="""","""",RIGHT(REGEXREPLACE(B1654&amp;"""",""[^0-9]"",""""),9))"),"711899002")</f>
        <v>711899002</v>
      </c>
      <c r="B1654" s="48">
        <v>7.11899002E8</v>
      </c>
      <c r="C1654" s="10" t="s">
        <v>1798</v>
      </c>
      <c r="D1654" s="10" t="s">
        <v>50</v>
      </c>
      <c r="E1654" s="13">
        <v>46228.0</v>
      </c>
      <c r="F1654" s="10" t="s">
        <v>35</v>
      </c>
      <c r="G1654" s="10">
        <v>11.0</v>
      </c>
      <c r="I1654" s="10" t="s">
        <v>22</v>
      </c>
      <c r="J1654" s="9" t="str">
        <f t="shared" si="34"/>
        <v>No</v>
      </c>
      <c r="K1654" s="9" t="str">
        <f t="shared" si="33"/>
        <v/>
      </c>
      <c r="L1654" s="9" t="str">
        <f t="shared" si="35"/>
        <v/>
      </c>
      <c r="M1654" s="9"/>
      <c r="O1654" s="9"/>
    </row>
    <row r="1655" ht="15.75" customHeight="1">
      <c r="A1655" s="9" t="str">
        <f>IFERROR(__xludf.DUMMYFUNCTION("IF(B1655="""","""",RIGHT(REGEXREPLACE(B1655&amp;"""",""[^0-9]"",""""),9))"),"711693368")</f>
        <v>711693368</v>
      </c>
      <c r="B1655" s="48">
        <v>7.11693368E8</v>
      </c>
      <c r="C1655" s="10" t="s">
        <v>1799</v>
      </c>
      <c r="D1655" s="10" t="s">
        <v>34</v>
      </c>
      <c r="E1655" s="13">
        <v>46228.0</v>
      </c>
      <c r="F1655" s="10" t="s">
        <v>21</v>
      </c>
      <c r="I1655" s="10" t="s">
        <v>22</v>
      </c>
      <c r="J1655" s="9" t="str">
        <f t="shared" si="34"/>
        <v>No</v>
      </c>
      <c r="K1655" s="9" t="str">
        <f t="shared" si="33"/>
        <v/>
      </c>
      <c r="L1655" s="9" t="str">
        <f t="shared" si="35"/>
        <v/>
      </c>
      <c r="M1655" s="9"/>
      <c r="O1655" s="9"/>
    </row>
    <row r="1656" ht="15.75" customHeight="1">
      <c r="A1656" s="9" t="str">
        <f>IFERROR(__xludf.DUMMYFUNCTION("IF(B1656="""","""",RIGHT(REGEXREPLACE(B1656&amp;"""",""[^0-9]"",""""),9))"),"778839635")</f>
        <v>778839635</v>
      </c>
      <c r="B1656" s="48">
        <v>7.78839635E8</v>
      </c>
      <c r="C1656" s="10" t="s">
        <v>1170</v>
      </c>
      <c r="D1656" s="10" t="s">
        <v>69</v>
      </c>
      <c r="E1656" s="13">
        <v>46228.0</v>
      </c>
      <c r="F1656" s="10" t="s">
        <v>35</v>
      </c>
      <c r="G1656" s="10">
        <v>11.0</v>
      </c>
      <c r="I1656" s="10" t="s">
        <v>22</v>
      </c>
      <c r="J1656" s="9" t="str">
        <f t="shared" si="34"/>
        <v>No</v>
      </c>
      <c r="K1656" s="9" t="str">
        <f t="shared" si="33"/>
        <v/>
      </c>
      <c r="L1656" s="9" t="str">
        <f t="shared" si="35"/>
        <v/>
      </c>
      <c r="M1656" s="9"/>
      <c r="O1656" s="9"/>
    </row>
    <row r="1657" ht="15.75" customHeight="1">
      <c r="A1657" s="9" t="str">
        <f>IFERROR(__xludf.DUMMYFUNCTION("IF(B1657="""","""",RIGHT(REGEXREPLACE(B1657&amp;"""",""[^0-9]"",""""),9))"),"776318270")</f>
        <v>776318270</v>
      </c>
      <c r="B1657" s="48">
        <v>7.7631827E8</v>
      </c>
      <c r="C1657" s="10" t="s">
        <v>1800</v>
      </c>
      <c r="D1657" s="10" t="s">
        <v>50</v>
      </c>
      <c r="E1657" s="13">
        <v>46228.0</v>
      </c>
      <c r="F1657" s="10" t="s">
        <v>35</v>
      </c>
      <c r="G1657" s="10">
        <v>11.0</v>
      </c>
      <c r="I1657" s="10" t="s">
        <v>22</v>
      </c>
      <c r="J1657" s="9" t="str">
        <f t="shared" si="34"/>
        <v>No</v>
      </c>
      <c r="K1657" s="9" t="str">
        <f t="shared" si="33"/>
        <v/>
      </c>
      <c r="L1657" s="9" t="str">
        <f t="shared" si="35"/>
        <v/>
      </c>
      <c r="M1657" s="9"/>
      <c r="O1657" s="9"/>
    </row>
    <row r="1658" ht="15.75" customHeight="1">
      <c r="A1658" s="9" t="str">
        <f>IFERROR(__xludf.DUMMYFUNCTION("IF(B1658="""","""",RIGHT(REGEXREPLACE(B1658&amp;"""",""[^0-9]"",""""),9))"),"711402139")</f>
        <v>711402139</v>
      </c>
      <c r="B1658" s="48">
        <v>7.11402139E8</v>
      </c>
      <c r="C1658" s="10" t="s">
        <v>1801</v>
      </c>
      <c r="D1658" s="10" t="s">
        <v>120</v>
      </c>
      <c r="E1658" s="13">
        <v>46228.0</v>
      </c>
      <c r="F1658" s="10" t="s">
        <v>35</v>
      </c>
      <c r="G1658" s="10">
        <v>11.0</v>
      </c>
      <c r="I1658" s="10" t="s">
        <v>22</v>
      </c>
      <c r="J1658" s="9" t="str">
        <f t="shared" si="34"/>
        <v>No</v>
      </c>
      <c r="K1658" s="9" t="str">
        <f t="shared" si="33"/>
        <v/>
      </c>
      <c r="L1658" s="9" t="str">
        <f t="shared" si="35"/>
        <v/>
      </c>
      <c r="M1658" s="9"/>
      <c r="O1658" s="9"/>
    </row>
    <row r="1659" ht="15.75" customHeight="1">
      <c r="A1659" s="9" t="str">
        <f>IFERROR(__xludf.DUMMYFUNCTION("IF(B1659="""","""",RIGHT(REGEXREPLACE(B1659&amp;"""",""[^0-9]"",""""),9))"),"701561135")</f>
        <v>701561135</v>
      </c>
      <c r="B1659" s="10">
        <v>7.01561135E8</v>
      </c>
      <c r="C1659" s="10" t="s">
        <v>1802</v>
      </c>
      <c r="D1659" s="10" t="s">
        <v>20</v>
      </c>
      <c r="E1659" s="13">
        <v>46228.0</v>
      </c>
      <c r="F1659" s="10" t="s">
        <v>198</v>
      </c>
      <c r="I1659" s="10" t="s">
        <v>22</v>
      </c>
      <c r="J1659" s="9" t="str">
        <f t="shared" si="34"/>
        <v>No</v>
      </c>
      <c r="K1659" s="9" t="str">
        <f t="shared" si="33"/>
        <v/>
      </c>
      <c r="L1659" s="9" t="str">
        <f t="shared" si="35"/>
        <v/>
      </c>
      <c r="M1659" s="9"/>
      <c r="O1659" s="9"/>
    </row>
    <row r="1660" ht="15.75" customHeight="1">
      <c r="A1660" s="9" t="str">
        <f>IFERROR(__xludf.DUMMYFUNCTION("IF(B1660="""","""",RIGHT(REGEXREPLACE(B1660&amp;"""",""[^0-9]"",""""),9))"),"775253220")</f>
        <v>775253220</v>
      </c>
      <c r="B1660" s="48">
        <v>7.7525322E8</v>
      </c>
      <c r="C1660" s="10" t="s">
        <v>1803</v>
      </c>
      <c r="D1660" s="10" t="s">
        <v>34</v>
      </c>
      <c r="E1660" s="13">
        <v>46228.0</v>
      </c>
      <c r="F1660" s="10" t="s">
        <v>21</v>
      </c>
      <c r="G1660" s="10">
        <v>7.0</v>
      </c>
      <c r="I1660" s="10" t="s">
        <v>22</v>
      </c>
      <c r="J1660" s="9" t="str">
        <f t="shared" si="34"/>
        <v>No</v>
      </c>
      <c r="K1660" s="9" t="str">
        <f t="shared" si="33"/>
        <v/>
      </c>
      <c r="L1660" s="9" t="str">
        <f t="shared" si="35"/>
        <v/>
      </c>
      <c r="M1660" s="9"/>
      <c r="O1660" s="9"/>
    </row>
    <row r="1661" ht="15.75" customHeight="1">
      <c r="A1661" s="9" t="str">
        <f>IFERROR(__xludf.DUMMYFUNCTION("IF(B1661="""","""",RIGHT(REGEXREPLACE(B1661&amp;"""",""[^0-9]"",""""),9))"),"703282629")</f>
        <v>703282629</v>
      </c>
      <c r="B1661" s="10">
        <v>7.03282629E8</v>
      </c>
      <c r="C1661" s="10" t="s">
        <v>1804</v>
      </c>
      <c r="D1661" s="10" t="s">
        <v>20</v>
      </c>
      <c r="E1661" s="13">
        <v>46228.0</v>
      </c>
      <c r="F1661" s="10" t="s">
        <v>35</v>
      </c>
      <c r="G1661" s="10">
        <v>10.0</v>
      </c>
      <c r="I1661" s="10" t="s">
        <v>22</v>
      </c>
      <c r="J1661" s="9" t="str">
        <f t="shared" si="34"/>
        <v>No</v>
      </c>
      <c r="K1661" s="9" t="str">
        <f t="shared" si="33"/>
        <v/>
      </c>
      <c r="L1661" s="9" t="str">
        <f t="shared" si="35"/>
        <v/>
      </c>
      <c r="M1661" s="9"/>
      <c r="O1661" s="9"/>
    </row>
    <row r="1662" ht="15.75" customHeight="1">
      <c r="A1662" s="9" t="str">
        <f>IFERROR(__xludf.DUMMYFUNCTION("IF(B1662="""","""",RIGHT(REGEXREPLACE(B1662&amp;"""",""[^0-9]"",""""),9))"),"740964609")</f>
        <v>740964609</v>
      </c>
      <c r="B1662" s="48">
        <v>7.40964609E8</v>
      </c>
      <c r="C1662" s="10" t="s">
        <v>1805</v>
      </c>
      <c r="D1662" s="10" t="s">
        <v>50</v>
      </c>
      <c r="E1662" s="13">
        <v>46228.0</v>
      </c>
      <c r="F1662" s="10" t="s">
        <v>21</v>
      </c>
      <c r="G1662" s="10">
        <v>10.0</v>
      </c>
      <c r="I1662" s="10" t="s">
        <v>22</v>
      </c>
      <c r="J1662" s="9" t="str">
        <f t="shared" si="34"/>
        <v>No</v>
      </c>
      <c r="K1662" s="9" t="str">
        <f t="shared" si="33"/>
        <v/>
      </c>
      <c r="L1662" s="9" t="str">
        <f t="shared" si="35"/>
        <v/>
      </c>
      <c r="M1662" s="9"/>
      <c r="O1662" s="9"/>
    </row>
    <row r="1663" ht="15.75" customHeight="1">
      <c r="A1663" s="9" t="str">
        <f>IFERROR(__xludf.DUMMYFUNCTION("IF(B1663="""","""",RIGHT(REGEXREPLACE(B1663&amp;"""",""[^0-9]"",""""),9))"),"773798498")</f>
        <v>773798498</v>
      </c>
      <c r="B1663" s="10">
        <v>7.73798498E8</v>
      </c>
      <c r="C1663" s="10" t="s">
        <v>1806</v>
      </c>
      <c r="D1663" s="10" t="s">
        <v>20</v>
      </c>
      <c r="E1663" s="13">
        <v>46228.0</v>
      </c>
      <c r="F1663" s="10" t="s">
        <v>35</v>
      </c>
      <c r="G1663" s="10">
        <v>11.0</v>
      </c>
      <c r="H1663" s="10" t="s">
        <v>1230</v>
      </c>
      <c r="I1663" s="10" t="s">
        <v>22</v>
      </c>
      <c r="J1663" s="9" t="str">
        <f t="shared" si="34"/>
        <v>No</v>
      </c>
      <c r="K1663" s="9" t="str">
        <f t="shared" si="33"/>
        <v/>
      </c>
      <c r="L1663" s="9" t="str">
        <f t="shared" si="35"/>
        <v/>
      </c>
      <c r="M1663" s="9"/>
      <c r="O1663" s="9"/>
    </row>
    <row r="1664" ht="15.75" customHeight="1">
      <c r="A1664" s="9" t="str">
        <f>IFERROR(__xludf.DUMMYFUNCTION("IF(B1664="""","""",RIGHT(REGEXREPLACE(B1664&amp;"""",""[^0-9]"",""""),9))"),"778648865")</f>
        <v>778648865</v>
      </c>
      <c r="B1664" s="10">
        <v>7.78648865E8</v>
      </c>
      <c r="C1664" s="10" t="s">
        <v>1807</v>
      </c>
      <c r="D1664" s="10" t="s">
        <v>69</v>
      </c>
      <c r="E1664" s="13">
        <v>46228.0</v>
      </c>
      <c r="F1664" s="10" t="s">
        <v>35</v>
      </c>
      <c r="G1664" s="10">
        <v>11.0</v>
      </c>
      <c r="I1664" s="10" t="s">
        <v>22</v>
      </c>
      <c r="J1664" s="9" t="str">
        <f t="shared" si="34"/>
        <v>No</v>
      </c>
      <c r="K1664" s="9" t="str">
        <f t="shared" si="33"/>
        <v/>
      </c>
      <c r="L1664" s="9" t="str">
        <f t="shared" si="35"/>
        <v/>
      </c>
      <c r="M1664" s="9"/>
      <c r="O1664" s="9"/>
    </row>
    <row r="1665" ht="15.75" customHeight="1">
      <c r="A1665" s="9" t="str">
        <f>IFERROR(__xludf.DUMMYFUNCTION("IF(B1665="""","""",RIGHT(REGEXREPLACE(B1665&amp;"""",""[^0-9]"",""""),9))"),"772918987")</f>
        <v>772918987</v>
      </c>
      <c r="B1665" s="48">
        <v>7.72918987E8</v>
      </c>
      <c r="C1665" s="10" t="s">
        <v>1808</v>
      </c>
      <c r="D1665" s="10" t="s">
        <v>120</v>
      </c>
      <c r="E1665" s="13">
        <v>46228.0</v>
      </c>
      <c r="F1665" s="10" t="s">
        <v>35</v>
      </c>
      <c r="G1665" s="10">
        <v>11.0</v>
      </c>
      <c r="I1665" s="10" t="s">
        <v>22</v>
      </c>
      <c r="J1665" s="9" t="str">
        <f t="shared" si="34"/>
        <v>No</v>
      </c>
      <c r="K1665" s="9" t="str">
        <f t="shared" si="33"/>
        <v/>
      </c>
      <c r="L1665" s="9" t="str">
        <f t="shared" si="35"/>
        <v/>
      </c>
      <c r="M1665" s="9"/>
      <c r="O1665" s="9"/>
    </row>
    <row r="1666" ht="15.75" customHeight="1">
      <c r="A1666" s="9" t="str">
        <f>IFERROR(__xludf.DUMMYFUNCTION("IF(B1666="""","""",RIGHT(REGEXREPLACE(B1666&amp;"""",""[^0-9]"",""""),9))"),"766336907")</f>
        <v>766336907</v>
      </c>
      <c r="B1666" s="48">
        <v>7.66336907E8</v>
      </c>
      <c r="C1666" s="10" t="s">
        <v>1809</v>
      </c>
      <c r="D1666" s="10" t="s">
        <v>34</v>
      </c>
      <c r="E1666" s="13">
        <v>46228.0</v>
      </c>
      <c r="F1666" s="10" t="s">
        <v>35</v>
      </c>
      <c r="G1666" s="10">
        <v>10.0</v>
      </c>
      <c r="I1666" s="10" t="s">
        <v>22</v>
      </c>
      <c r="J1666" s="9" t="str">
        <f t="shared" si="34"/>
        <v>No</v>
      </c>
      <c r="K1666" s="9" t="str">
        <f t="shared" si="33"/>
        <v/>
      </c>
      <c r="L1666" s="9" t="str">
        <f t="shared" si="35"/>
        <v/>
      </c>
      <c r="M1666" s="9"/>
      <c r="O1666" s="9"/>
    </row>
    <row r="1667" ht="15.75" customHeight="1">
      <c r="A1667" s="9" t="str">
        <f>IFERROR(__xludf.DUMMYFUNCTION("IF(B1667="""","""",RIGHT(REGEXREPLACE(B1667&amp;"""",""[^0-9]"",""""),9))"),"716360653")</f>
        <v>716360653</v>
      </c>
      <c r="B1667" s="48">
        <v>7.16360653E8</v>
      </c>
      <c r="C1667" s="10" t="s">
        <v>1810</v>
      </c>
      <c r="D1667" s="10" t="s">
        <v>50</v>
      </c>
      <c r="E1667" s="13">
        <v>46228.0</v>
      </c>
      <c r="F1667" s="10" t="s">
        <v>648</v>
      </c>
      <c r="I1667" s="10" t="s">
        <v>22</v>
      </c>
      <c r="J1667" s="9" t="str">
        <f t="shared" si="34"/>
        <v>No</v>
      </c>
      <c r="K1667" s="9" t="str">
        <f t="shared" si="33"/>
        <v/>
      </c>
      <c r="L1667" s="9" t="str">
        <f t="shared" si="35"/>
        <v/>
      </c>
      <c r="M1667" s="9"/>
      <c r="O1667" s="9"/>
    </row>
    <row r="1668" ht="15.75" customHeight="1">
      <c r="A1668" s="9" t="str">
        <f>IFERROR(__xludf.DUMMYFUNCTION("IF(B1668="""","""",RIGHT(REGEXREPLACE(B1668&amp;"""",""[^0-9]"",""""),9))"),"760148166")</f>
        <v>760148166</v>
      </c>
      <c r="B1668" s="10">
        <v>7.60148166E8</v>
      </c>
      <c r="C1668" s="10" t="s">
        <v>1811</v>
      </c>
      <c r="D1668" s="10" t="s">
        <v>20</v>
      </c>
      <c r="E1668" s="13">
        <v>46228.0</v>
      </c>
      <c r="F1668" s="10" t="s">
        <v>198</v>
      </c>
      <c r="G1668" s="10">
        <v>11.0</v>
      </c>
      <c r="I1668" s="10" t="s">
        <v>22</v>
      </c>
      <c r="J1668" s="9" t="str">
        <f t="shared" si="34"/>
        <v>No</v>
      </c>
      <c r="K1668" s="9" t="str">
        <f t="shared" si="33"/>
        <v/>
      </c>
      <c r="L1668" s="9" t="str">
        <f t="shared" si="35"/>
        <v/>
      </c>
      <c r="M1668" s="9"/>
      <c r="O1668" s="9"/>
    </row>
    <row r="1669" ht="15.75" customHeight="1">
      <c r="A1669" s="9" t="str">
        <f>IFERROR(__xludf.DUMMYFUNCTION("IF(B1669="""","""",RIGHT(REGEXREPLACE(B1669&amp;"""",""[^0-9]"",""""),9))"),"774415052")</f>
        <v>774415052</v>
      </c>
      <c r="B1669" s="10">
        <v>7.74415052E8</v>
      </c>
      <c r="C1669" s="10" t="s">
        <v>1812</v>
      </c>
      <c r="D1669" s="10" t="s">
        <v>20</v>
      </c>
      <c r="E1669" s="13">
        <v>46228.0</v>
      </c>
      <c r="F1669" s="10" t="s">
        <v>113</v>
      </c>
      <c r="I1669" s="10" t="s">
        <v>22</v>
      </c>
      <c r="J1669" s="9" t="str">
        <f t="shared" si="34"/>
        <v>No</v>
      </c>
      <c r="K1669" s="9" t="str">
        <f t="shared" si="33"/>
        <v/>
      </c>
      <c r="L1669" s="9" t="str">
        <f t="shared" si="35"/>
        <v/>
      </c>
      <c r="M1669" s="9"/>
      <c r="O1669" s="9"/>
    </row>
    <row r="1670" ht="15.75" customHeight="1">
      <c r="A1670" s="9" t="str">
        <f>IFERROR(__xludf.DUMMYFUNCTION("IF(B1670="""","""",RIGHT(REGEXREPLACE(B1670&amp;"""",""[^0-9]"",""""),9))"),"741180356")</f>
        <v>741180356</v>
      </c>
      <c r="B1670" s="48">
        <v>7.41180356E8</v>
      </c>
      <c r="C1670" s="10" t="s">
        <v>1813</v>
      </c>
      <c r="D1670" s="10" t="s">
        <v>69</v>
      </c>
      <c r="E1670" s="13">
        <v>46228.0</v>
      </c>
      <c r="F1670" s="10" t="s">
        <v>21</v>
      </c>
      <c r="G1670" s="10">
        <v>11.0</v>
      </c>
      <c r="I1670" s="10" t="s">
        <v>22</v>
      </c>
      <c r="J1670" s="9" t="str">
        <f t="shared" si="34"/>
        <v>No</v>
      </c>
      <c r="K1670" s="9" t="str">
        <f t="shared" si="33"/>
        <v/>
      </c>
      <c r="L1670" s="9" t="str">
        <f t="shared" si="35"/>
        <v/>
      </c>
      <c r="M1670" s="9"/>
      <c r="O1670" s="9"/>
    </row>
    <row r="1671" ht="15.75" customHeight="1">
      <c r="A1671" s="9" t="str">
        <f>IFERROR(__xludf.DUMMYFUNCTION("IF(B1671="""","""",RIGHT(REGEXREPLACE(B1671&amp;"""",""[^0-9]"",""""),9))"),"776675856")</f>
        <v>776675856</v>
      </c>
      <c r="B1671" s="48">
        <v>7.76675856E8</v>
      </c>
      <c r="C1671" s="10" t="s">
        <v>1814</v>
      </c>
      <c r="D1671" s="10" t="s">
        <v>50</v>
      </c>
      <c r="E1671" s="13">
        <v>46228.0</v>
      </c>
      <c r="F1671" s="10" t="s">
        <v>35</v>
      </c>
      <c r="G1671" s="10">
        <v>11.0</v>
      </c>
      <c r="I1671" s="10" t="s">
        <v>22</v>
      </c>
      <c r="J1671" s="9" t="str">
        <f t="shared" si="34"/>
        <v>No</v>
      </c>
      <c r="K1671" s="9" t="str">
        <f t="shared" si="33"/>
        <v/>
      </c>
      <c r="L1671" s="9" t="str">
        <f t="shared" si="35"/>
        <v/>
      </c>
      <c r="M1671" s="9"/>
      <c r="O1671" s="9"/>
    </row>
    <row r="1672" ht="15.75" customHeight="1">
      <c r="A1672" s="9" t="str">
        <f>IFERROR(__xludf.DUMMYFUNCTION("IF(B1672="""","""",RIGHT(REGEXREPLACE(B1672&amp;"""",""[^0-9]"",""""),9))"),"714420757")</f>
        <v>714420757</v>
      </c>
      <c r="B1672" s="48">
        <v>7.14420757E8</v>
      </c>
      <c r="C1672" s="10" t="s">
        <v>1815</v>
      </c>
      <c r="D1672" s="10" t="s">
        <v>120</v>
      </c>
      <c r="E1672" s="13">
        <v>46228.0</v>
      </c>
      <c r="F1672" s="10" t="s">
        <v>35</v>
      </c>
      <c r="G1672" s="10">
        <v>11.0</v>
      </c>
      <c r="I1672" s="10" t="s">
        <v>22</v>
      </c>
      <c r="J1672" s="9" t="str">
        <f t="shared" si="34"/>
        <v>No</v>
      </c>
      <c r="K1672" s="9" t="str">
        <f t="shared" si="33"/>
        <v/>
      </c>
      <c r="L1672" s="9" t="str">
        <f t="shared" si="35"/>
        <v/>
      </c>
      <c r="M1672" s="9"/>
      <c r="O1672" s="9"/>
    </row>
    <row r="1673" ht="15.75" customHeight="1">
      <c r="A1673" s="9" t="str">
        <f>IFERROR(__xludf.DUMMYFUNCTION("IF(B1673="""","""",RIGHT(REGEXREPLACE(B1673&amp;"""",""[^0-9]"",""""),9))"),"743434217")</f>
        <v>743434217</v>
      </c>
      <c r="B1673" s="48">
        <v>7.43434217E8</v>
      </c>
      <c r="C1673" s="10" t="s">
        <v>1816</v>
      </c>
      <c r="D1673" s="10" t="s">
        <v>34</v>
      </c>
      <c r="E1673" s="13">
        <v>46228.0</v>
      </c>
      <c r="F1673" s="10" t="s">
        <v>604</v>
      </c>
      <c r="I1673" s="10" t="s">
        <v>22</v>
      </c>
      <c r="J1673" s="9" t="str">
        <f t="shared" si="34"/>
        <v>No</v>
      </c>
      <c r="K1673" s="9" t="str">
        <f t="shared" si="33"/>
        <v/>
      </c>
      <c r="L1673" s="9" t="str">
        <f t="shared" si="35"/>
        <v/>
      </c>
      <c r="M1673" s="9"/>
      <c r="O1673" s="9"/>
    </row>
    <row r="1674" ht="15.75" customHeight="1">
      <c r="A1674" s="9" t="str">
        <f>IFERROR(__xludf.DUMMYFUNCTION("IF(B1674="""","""",RIGHT(REGEXREPLACE(B1674&amp;"""",""[^0-9]"",""""),9))"),"768730807")</f>
        <v>768730807</v>
      </c>
      <c r="B1674" s="10">
        <v>7.68730807E8</v>
      </c>
      <c r="C1674" s="10" t="s">
        <v>1817</v>
      </c>
      <c r="D1674" s="10" t="s">
        <v>20</v>
      </c>
      <c r="E1674" s="13">
        <v>46228.0</v>
      </c>
      <c r="F1674" s="10" t="s">
        <v>35</v>
      </c>
      <c r="G1674" s="10">
        <v>10.0</v>
      </c>
      <c r="I1674" s="10" t="s">
        <v>22</v>
      </c>
      <c r="J1674" s="9" t="str">
        <f t="shared" si="34"/>
        <v>No</v>
      </c>
      <c r="K1674" s="9" t="str">
        <f t="shared" si="33"/>
        <v/>
      </c>
      <c r="L1674" s="9" t="str">
        <f t="shared" si="35"/>
        <v/>
      </c>
      <c r="M1674" s="9"/>
      <c r="O1674" s="9"/>
    </row>
    <row r="1675" ht="15.75" customHeight="1">
      <c r="A1675" s="9" t="str">
        <f>IFERROR(__xludf.DUMMYFUNCTION("IF(B1675="""","""",RIGHT(REGEXREPLACE(B1675&amp;"""",""[^0-9]"",""""),9))"),"770616061")</f>
        <v>770616061</v>
      </c>
      <c r="B1675" s="48">
        <v>7.70616061E8</v>
      </c>
      <c r="C1675" s="10" t="s">
        <v>1818</v>
      </c>
      <c r="D1675" s="10" t="s">
        <v>50</v>
      </c>
      <c r="E1675" s="13">
        <v>46228.0</v>
      </c>
      <c r="F1675" s="10" t="s">
        <v>21</v>
      </c>
      <c r="G1675" s="10">
        <v>11.0</v>
      </c>
      <c r="I1675" s="10" t="s">
        <v>22</v>
      </c>
      <c r="J1675" s="9" t="str">
        <f t="shared" si="34"/>
        <v>No</v>
      </c>
      <c r="K1675" s="9" t="str">
        <f t="shared" si="33"/>
        <v/>
      </c>
      <c r="L1675" s="9" t="str">
        <f t="shared" si="35"/>
        <v/>
      </c>
      <c r="M1675" s="9"/>
      <c r="O1675" s="9"/>
    </row>
    <row r="1676" ht="15.75" customHeight="1">
      <c r="A1676" s="9" t="str">
        <f>IFERROR(__xludf.DUMMYFUNCTION("IF(B1676="""","""",RIGHT(REGEXREPLACE(B1676&amp;"""",""[^0-9]"",""""),9))"),"718430887")</f>
        <v>718430887</v>
      </c>
      <c r="B1676" s="48">
        <v>7.18430887E8</v>
      </c>
      <c r="C1676" s="10" t="s">
        <v>1818</v>
      </c>
      <c r="D1676" s="10" t="s">
        <v>34</v>
      </c>
      <c r="E1676" s="13">
        <v>46228.0</v>
      </c>
      <c r="F1676" s="10" t="s">
        <v>35</v>
      </c>
      <c r="G1676" s="10">
        <v>11.0</v>
      </c>
      <c r="I1676" s="10" t="s">
        <v>22</v>
      </c>
      <c r="J1676" s="9" t="str">
        <f t="shared" si="34"/>
        <v>No</v>
      </c>
      <c r="K1676" s="9" t="str">
        <f t="shared" si="33"/>
        <v/>
      </c>
      <c r="L1676" s="9" t="str">
        <f t="shared" si="35"/>
        <v/>
      </c>
      <c r="M1676" s="9"/>
      <c r="O1676" s="9"/>
    </row>
    <row r="1677" ht="15.75" customHeight="1">
      <c r="A1677" s="9" t="str">
        <f>IFERROR(__xludf.DUMMYFUNCTION("IF(B1677="""","""",RIGHT(REGEXREPLACE(B1677&amp;"""",""[^0-9]"",""""),9))"),"766321349")</f>
        <v>766321349</v>
      </c>
      <c r="B1677" s="10">
        <v>7.66321349E8</v>
      </c>
      <c r="C1677" s="10" t="s">
        <v>1819</v>
      </c>
      <c r="D1677" s="10" t="s">
        <v>20</v>
      </c>
      <c r="E1677" s="13">
        <v>46228.0</v>
      </c>
      <c r="F1677" s="10" t="s">
        <v>35</v>
      </c>
      <c r="H1677" s="10" t="s">
        <v>1369</v>
      </c>
      <c r="I1677" s="10" t="s">
        <v>22</v>
      </c>
      <c r="J1677" s="9" t="str">
        <f t="shared" si="34"/>
        <v>No</v>
      </c>
      <c r="K1677" s="9" t="str">
        <f t="shared" si="33"/>
        <v/>
      </c>
      <c r="L1677" s="9" t="str">
        <f t="shared" si="35"/>
        <v/>
      </c>
      <c r="M1677" s="9"/>
      <c r="O1677" s="9"/>
    </row>
    <row r="1678" ht="15.75" customHeight="1">
      <c r="A1678" s="9" t="str">
        <f>IFERROR(__xludf.DUMMYFUNCTION("IF(B1678="""","""",RIGHT(REGEXREPLACE(B1678&amp;"""",""[^0-9]"",""""),9))"),"715551099")</f>
        <v>715551099</v>
      </c>
      <c r="B1678" s="48">
        <v>7.15551099E8</v>
      </c>
      <c r="C1678" s="10" t="s">
        <v>1820</v>
      </c>
      <c r="D1678" s="10" t="s">
        <v>69</v>
      </c>
      <c r="E1678" s="13">
        <v>46228.0</v>
      </c>
      <c r="F1678" s="10" t="s">
        <v>604</v>
      </c>
      <c r="G1678" s="10">
        <v>10.0</v>
      </c>
      <c r="I1678" s="10" t="s">
        <v>22</v>
      </c>
      <c r="J1678" s="9" t="str">
        <f t="shared" si="34"/>
        <v>No</v>
      </c>
      <c r="K1678" s="9" t="str">
        <f t="shared" si="33"/>
        <v/>
      </c>
      <c r="L1678" s="9" t="str">
        <f t="shared" si="35"/>
        <v/>
      </c>
      <c r="M1678" s="9"/>
      <c r="O1678" s="9"/>
    </row>
    <row r="1679" ht="15.75" customHeight="1">
      <c r="A1679" s="9" t="str">
        <f>IFERROR(__xludf.DUMMYFUNCTION("IF(B1679="""","""",RIGHT(REGEXREPLACE(B1679&amp;"""",""[^0-9]"",""""),9))"),"770657015")</f>
        <v>770657015</v>
      </c>
      <c r="B1679" s="10">
        <v>7.70657015E8</v>
      </c>
      <c r="C1679" s="10" t="s">
        <v>1821</v>
      </c>
      <c r="D1679" s="10" t="s">
        <v>20</v>
      </c>
      <c r="E1679" s="13">
        <v>46228.0</v>
      </c>
      <c r="F1679" s="10" t="s">
        <v>35</v>
      </c>
      <c r="G1679" s="10">
        <v>11.0</v>
      </c>
      <c r="I1679" s="10" t="s">
        <v>22</v>
      </c>
      <c r="J1679" s="9" t="str">
        <f t="shared" si="34"/>
        <v>No</v>
      </c>
      <c r="K1679" s="9" t="str">
        <f t="shared" si="33"/>
        <v/>
      </c>
      <c r="L1679" s="9" t="str">
        <f t="shared" si="35"/>
        <v/>
      </c>
      <c r="M1679" s="9"/>
      <c r="O1679" s="9"/>
    </row>
    <row r="1680" ht="15.75" customHeight="1">
      <c r="A1680" s="9" t="str">
        <f>IFERROR(__xludf.DUMMYFUNCTION("IF(B1680="""","""",RIGHT(REGEXREPLACE(B1680&amp;"""",""[^0-9]"",""""),9))"),"718569719")</f>
        <v>718569719</v>
      </c>
      <c r="B1680" s="48">
        <v>7.18569719E8</v>
      </c>
      <c r="C1680" s="10" t="s">
        <v>1822</v>
      </c>
      <c r="D1680" s="10" t="s">
        <v>50</v>
      </c>
      <c r="E1680" s="13">
        <v>46228.0</v>
      </c>
      <c r="F1680" s="10" t="s">
        <v>35</v>
      </c>
      <c r="G1680" s="10">
        <v>11.0</v>
      </c>
      <c r="I1680" s="10" t="s">
        <v>22</v>
      </c>
      <c r="J1680" s="9" t="str">
        <f t="shared" si="34"/>
        <v>No</v>
      </c>
      <c r="K1680" s="9" t="str">
        <f t="shared" si="33"/>
        <v/>
      </c>
      <c r="L1680" s="9" t="str">
        <f t="shared" si="35"/>
        <v/>
      </c>
      <c r="M1680" s="9"/>
      <c r="O1680" s="9"/>
    </row>
    <row r="1681" ht="15.75" customHeight="1">
      <c r="A1681" s="9" t="str">
        <f>IFERROR(__xludf.DUMMYFUNCTION("IF(B1681="""","""",RIGHT(REGEXREPLACE(B1681&amp;"""",""[^0-9]"",""""),9))"),"759958356")</f>
        <v>759958356</v>
      </c>
      <c r="B1681" s="48">
        <v>7.59958356E8</v>
      </c>
      <c r="C1681" s="10" t="s">
        <v>1823</v>
      </c>
      <c r="D1681" s="10" t="s">
        <v>34</v>
      </c>
      <c r="E1681" s="13">
        <v>46228.0</v>
      </c>
      <c r="F1681" s="10" t="s">
        <v>35</v>
      </c>
      <c r="G1681" s="10">
        <v>11.0</v>
      </c>
      <c r="I1681" s="10" t="s">
        <v>22</v>
      </c>
      <c r="J1681" s="9" t="str">
        <f t="shared" si="34"/>
        <v>No</v>
      </c>
      <c r="K1681" s="9" t="str">
        <f t="shared" si="33"/>
        <v/>
      </c>
      <c r="L1681" s="9" t="str">
        <f t="shared" si="35"/>
        <v/>
      </c>
      <c r="M1681" s="9"/>
      <c r="O1681" s="9"/>
    </row>
    <row r="1682" ht="15.75" customHeight="1">
      <c r="A1682" s="9" t="str">
        <f>IFERROR(__xludf.DUMMYFUNCTION("IF(B1682="""","""",RIGHT(REGEXREPLACE(B1682&amp;"""",""[^0-9]"",""""),9))"),"741513015")</f>
        <v>741513015</v>
      </c>
      <c r="B1682" s="48">
        <v>7.41513015E8</v>
      </c>
      <c r="C1682" s="10" t="s">
        <v>1824</v>
      </c>
      <c r="D1682" s="10" t="s">
        <v>69</v>
      </c>
      <c r="E1682" s="13">
        <v>46228.0</v>
      </c>
      <c r="F1682" s="10" t="s">
        <v>21</v>
      </c>
      <c r="G1682" s="10">
        <v>11.0</v>
      </c>
      <c r="I1682" s="10" t="s">
        <v>22</v>
      </c>
      <c r="J1682" s="9" t="str">
        <f t="shared" si="34"/>
        <v>No</v>
      </c>
      <c r="K1682" s="9" t="str">
        <f t="shared" si="33"/>
        <v/>
      </c>
      <c r="L1682" s="9" t="str">
        <f t="shared" si="35"/>
        <v/>
      </c>
      <c r="M1682" s="9"/>
      <c r="O1682" s="9"/>
    </row>
    <row r="1683" ht="15.75" customHeight="1">
      <c r="A1683" s="9" t="str">
        <f>IFERROR(__xludf.DUMMYFUNCTION("IF(B1683="""","""",RIGHT(REGEXREPLACE(B1683&amp;"""",""[^0-9]"",""""),9))"),"779309533")</f>
        <v>779309533</v>
      </c>
      <c r="B1683" s="10">
        <v>7.79309533E8</v>
      </c>
      <c r="C1683" s="10" t="s">
        <v>1825</v>
      </c>
      <c r="D1683" s="10" t="s">
        <v>20</v>
      </c>
      <c r="E1683" s="13">
        <v>46228.0</v>
      </c>
      <c r="F1683" s="10" t="s">
        <v>198</v>
      </c>
      <c r="G1683" s="10">
        <v>11.0</v>
      </c>
      <c r="I1683" s="10" t="s">
        <v>22</v>
      </c>
      <c r="J1683" s="9" t="str">
        <f t="shared" si="34"/>
        <v>No</v>
      </c>
      <c r="K1683" s="9" t="str">
        <f t="shared" si="33"/>
        <v/>
      </c>
      <c r="L1683" s="9" t="str">
        <f t="shared" si="35"/>
        <v/>
      </c>
      <c r="M1683" s="9"/>
      <c r="O1683" s="9"/>
    </row>
    <row r="1684" ht="15.75" customHeight="1">
      <c r="A1684" s="9" t="str">
        <f>IFERROR(__xludf.DUMMYFUNCTION("IF(B1684="""","""",RIGHT(REGEXREPLACE(B1684&amp;"""",""[^0-9]"",""""),9))"),"754111302")</f>
        <v>754111302</v>
      </c>
      <c r="B1684" s="48">
        <v>7.54111302E8</v>
      </c>
      <c r="C1684" s="10" t="s">
        <v>1826</v>
      </c>
      <c r="D1684" s="10" t="s">
        <v>120</v>
      </c>
      <c r="E1684" s="13">
        <v>46228.0</v>
      </c>
      <c r="F1684" s="10" t="s">
        <v>21</v>
      </c>
      <c r="G1684" s="10">
        <v>11.0</v>
      </c>
      <c r="I1684" s="10" t="s">
        <v>22</v>
      </c>
      <c r="J1684" s="9" t="str">
        <f t="shared" si="34"/>
        <v>No</v>
      </c>
      <c r="K1684" s="9" t="str">
        <f t="shared" si="33"/>
        <v/>
      </c>
      <c r="L1684" s="9" t="str">
        <f t="shared" si="35"/>
        <v/>
      </c>
      <c r="M1684" s="9"/>
      <c r="O1684" s="9"/>
    </row>
    <row r="1685" ht="15.75" customHeight="1">
      <c r="A1685" s="9" t="str">
        <f>IFERROR(__xludf.DUMMYFUNCTION("IF(B1685="""","""",RIGHT(REGEXREPLACE(B1685&amp;"""",""[^0-9]"",""""),9))"),"769940642")</f>
        <v>769940642</v>
      </c>
      <c r="B1685" s="48">
        <v>7.69940642E8</v>
      </c>
      <c r="C1685" s="10" t="s">
        <v>1827</v>
      </c>
      <c r="D1685" s="10" t="s">
        <v>50</v>
      </c>
      <c r="E1685" s="13">
        <v>46228.0</v>
      </c>
      <c r="F1685" s="10" t="s">
        <v>21</v>
      </c>
      <c r="G1685" s="10">
        <v>11.0</v>
      </c>
      <c r="I1685" s="10" t="s">
        <v>22</v>
      </c>
      <c r="J1685" s="9" t="str">
        <f t="shared" si="34"/>
        <v>No</v>
      </c>
      <c r="K1685" s="9" t="str">
        <f t="shared" si="33"/>
        <v/>
      </c>
      <c r="L1685" s="9" t="str">
        <f t="shared" si="35"/>
        <v/>
      </c>
      <c r="M1685" s="9"/>
      <c r="O1685" s="9"/>
    </row>
    <row r="1686" ht="15.75" customHeight="1">
      <c r="A1686" s="9" t="str">
        <f>IFERROR(__xludf.DUMMYFUNCTION("IF(B1686="""","""",RIGHT(REGEXREPLACE(B1686&amp;"""",""[^0-9]"",""""),9))"),"767613380")</f>
        <v>767613380</v>
      </c>
      <c r="B1686" s="48">
        <v>7.6761338E8</v>
      </c>
      <c r="C1686" s="10" t="s">
        <v>1828</v>
      </c>
      <c r="D1686" s="10" t="s">
        <v>69</v>
      </c>
      <c r="E1686" s="13">
        <v>46228.0</v>
      </c>
      <c r="F1686" s="10" t="s">
        <v>171</v>
      </c>
      <c r="G1686" s="10">
        <v>11.0</v>
      </c>
      <c r="I1686" s="10" t="s">
        <v>22</v>
      </c>
      <c r="J1686" s="9" t="str">
        <f t="shared" si="34"/>
        <v>No</v>
      </c>
      <c r="K1686" s="9" t="str">
        <f t="shared" si="33"/>
        <v/>
      </c>
      <c r="L1686" s="9" t="str">
        <f t="shared" si="35"/>
        <v/>
      </c>
      <c r="M1686" s="9"/>
      <c r="O1686" s="9"/>
    </row>
    <row r="1687" ht="15.75" customHeight="1">
      <c r="A1687" s="9" t="str">
        <f>IFERROR(__xludf.DUMMYFUNCTION("IF(B1687="""","""",RIGHT(REGEXREPLACE(B1687&amp;"""",""[^0-9]"",""""),9))"),"775697363")</f>
        <v>775697363</v>
      </c>
      <c r="B1687" s="48">
        <v>7.75697363E8</v>
      </c>
      <c r="C1687" s="10" t="s">
        <v>1829</v>
      </c>
      <c r="D1687" s="10" t="s">
        <v>34</v>
      </c>
      <c r="E1687" s="13">
        <v>46228.0</v>
      </c>
      <c r="F1687" s="10" t="s">
        <v>35</v>
      </c>
      <c r="G1687" s="10">
        <v>11.0</v>
      </c>
      <c r="I1687" s="10" t="s">
        <v>22</v>
      </c>
      <c r="J1687" s="9" t="str">
        <f t="shared" si="34"/>
        <v>No</v>
      </c>
      <c r="K1687" s="9" t="str">
        <f t="shared" si="33"/>
        <v/>
      </c>
      <c r="L1687" s="9" t="str">
        <f t="shared" si="35"/>
        <v/>
      </c>
      <c r="M1687" s="9"/>
      <c r="O1687" s="9"/>
    </row>
    <row r="1688" ht="15.75" customHeight="1">
      <c r="A1688" s="9" t="str">
        <f>IFERROR(__xludf.DUMMYFUNCTION("IF(B1688="""","""",RIGHT(REGEXREPLACE(B1688&amp;"""",""[^0-9]"",""""),9))"),"763735513")</f>
        <v>763735513</v>
      </c>
      <c r="B1688" s="48">
        <v>7.63735513E8</v>
      </c>
      <c r="C1688" s="10" t="s">
        <v>1830</v>
      </c>
      <c r="D1688" s="10" t="s">
        <v>120</v>
      </c>
      <c r="E1688" s="13">
        <v>46228.0</v>
      </c>
      <c r="F1688" s="10" t="s">
        <v>35</v>
      </c>
      <c r="G1688" s="10">
        <v>11.0</v>
      </c>
      <c r="I1688" s="10" t="s">
        <v>22</v>
      </c>
      <c r="J1688" s="9" t="str">
        <f t="shared" si="34"/>
        <v>No</v>
      </c>
      <c r="K1688" s="9" t="str">
        <f t="shared" si="33"/>
        <v/>
      </c>
      <c r="L1688" s="9" t="str">
        <f t="shared" si="35"/>
        <v/>
      </c>
      <c r="M1688" s="9"/>
      <c r="O1688" s="9"/>
    </row>
    <row r="1689" ht="15.75" customHeight="1">
      <c r="A1689" s="9" t="str">
        <f>IFERROR(__xludf.DUMMYFUNCTION("IF(B1689="""","""",RIGHT(REGEXREPLACE(B1689&amp;"""",""[^0-9]"",""""),9))"),"767951545")</f>
        <v>767951545</v>
      </c>
      <c r="B1689" s="10">
        <v>7.67951545E8</v>
      </c>
      <c r="C1689" s="10" t="s">
        <v>1831</v>
      </c>
      <c r="D1689" s="10" t="s">
        <v>20</v>
      </c>
      <c r="E1689" s="13">
        <v>46228.0</v>
      </c>
      <c r="F1689" s="10" t="s">
        <v>35</v>
      </c>
      <c r="G1689" s="10">
        <v>11.0</v>
      </c>
      <c r="H1689" s="10" t="s">
        <v>567</v>
      </c>
      <c r="I1689" s="10" t="s">
        <v>22</v>
      </c>
      <c r="J1689" s="9" t="str">
        <f t="shared" si="34"/>
        <v>No</v>
      </c>
      <c r="K1689" s="9" t="str">
        <f t="shared" si="33"/>
        <v/>
      </c>
      <c r="L1689" s="9" t="str">
        <f t="shared" si="35"/>
        <v/>
      </c>
      <c r="M1689" s="9"/>
      <c r="O1689" s="9"/>
    </row>
    <row r="1690" ht="15.75" customHeight="1">
      <c r="A1690" s="9" t="str">
        <f>IFERROR(__xludf.DUMMYFUNCTION("IF(B1690="""","""",RIGHT(REGEXREPLACE(B1690&amp;"""",""[^0-9]"",""""),9))"),"714981756")</f>
        <v>714981756</v>
      </c>
      <c r="B1690" s="48">
        <v>7.14981756E8</v>
      </c>
      <c r="C1690" s="10" t="s">
        <v>1832</v>
      </c>
      <c r="D1690" s="10" t="s">
        <v>69</v>
      </c>
      <c r="E1690" s="13">
        <v>46228.0</v>
      </c>
      <c r="F1690" s="10" t="s">
        <v>21</v>
      </c>
      <c r="G1690" s="10">
        <v>11.0</v>
      </c>
      <c r="I1690" s="10" t="s">
        <v>22</v>
      </c>
      <c r="J1690" s="9" t="str">
        <f t="shared" si="34"/>
        <v>No</v>
      </c>
      <c r="K1690" s="9" t="str">
        <f t="shared" si="33"/>
        <v/>
      </c>
      <c r="L1690" s="9" t="str">
        <f t="shared" si="35"/>
        <v/>
      </c>
      <c r="M1690" s="9"/>
      <c r="O1690" s="9"/>
    </row>
    <row r="1691" ht="15.75" customHeight="1">
      <c r="A1691" s="9" t="str">
        <f>IFERROR(__xludf.DUMMYFUNCTION("IF(B1691="""","""",RIGHT(REGEXREPLACE(B1691&amp;"""",""[^0-9]"",""""),9))"),"741414636")</f>
        <v>741414636</v>
      </c>
      <c r="B1691" s="48">
        <v>7.41414636E8</v>
      </c>
      <c r="C1691" s="10" t="s">
        <v>1833</v>
      </c>
      <c r="D1691" s="10" t="s">
        <v>50</v>
      </c>
      <c r="E1691" s="13">
        <v>46228.0</v>
      </c>
      <c r="F1691" s="10" t="s">
        <v>35</v>
      </c>
      <c r="G1691" s="10">
        <v>11.0</v>
      </c>
      <c r="I1691" s="10" t="s">
        <v>22</v>
      </c>
      <c r="J1691" s="9" t="str">
        <f t="shared" si="34"/>
        <v>No</v>
      </c>
      <c r="K1691" s="9" t="str">
        <f t="shared" si="33"/>
        <v/>
      </c>
      <c r="L1691" s="9" t="str">
        <f t="shared" si="35"/>
        <v/>
      </c>
      <c r="M1691" s="9"/>
      <c r="O1691" s="9"/>
    </row>
    <row r="1692" ht="15.75" customHeight="1">
      <c r="A1692" s="9" t="str">
        <f>IFERROR(__xludf.DUMMYFUNCTION("IF(B1692="""","""",RIGHT(REGEXREPLACE(B1692&amp;"""",""[^0-9]"",""""),9))"),"765781021")</f>
        <v>765781021</v>
      </c>
      <c r="B1692" s="10">
        <v>7.65781021E8</v>
      </c>
      <c r="C1692" s="10" t="s">
        <v>1834</v>
      </c>
      <c r="D1692" s="10" t="s">
        <v>20</v>
      </c>
      <c r="E1692" s="13">
        <v>46228.0</v>
      </c>
      <c r="F1692" s="10" t="s">
        <v>35</v>
      </c>
      <c r="G1692" s="10">
        <v>11.0</v>
      </c>
      <c r="I1692" s="10" t="s">
        <v>22</v>
      </c>
      <c r="J1692" s="9" t="str">
        <f t="shared" si="34"/>
        <v>No</v>
      </c>
      <c r="K1692" s="9" t="str">
        <f t="shared" si="33"/>
        <v/>
      </c>
      <c r="L1692" s="9" t="str">
        <f t="shared" si="35"/>
        <v/>
      </c>
      <c r="M1692" s="9"/>
      <c r="O1692" s="9"/>
    </row>
    <row r="1693" ht="15.75" customHeight="1">
      <c r="A1693" s="9" t="str">
        <f>IFERROR(__xludf.DUMMYFUNCTION("IF(B1693="""","""",RIGHT(REGEXREPLACE(B1693&amp;"""",""[^0-9]"",""""),9))"),"767862059")</f>
        <v>767862059</v>
      </c>
      <c r="B1693" s="48">
        <v>7.67862059E8</v>
      </c>
      <c r="C1693" s="10" t="s">
        <v>1835</v>
      </c>
      <c r="D1693" s="10" t="s">
        <v>34</v>
      </c>
      <c r="E1693" s="13">
        <v>46228.0</v>
      </c>
      <c r="F1693" s="10" t="s">
        <v>35</v>
      </c>
      <c r="G1693" s="10">
        <v>11.0</v>
      </c>
      <c r="I1693" s="10" t="s">
        <v>22</v>
      </c>
      <c r="J1693" s="9" t="str">
        <f t="shared" si="34"/>
        <v>No</v>
      </c>
      <c r="K1693" s="9" t="str">
        <f t="shared" si="33"/>
        <v/>
      </c>
      <c r="L1693" s="9" t="str">
        <f t="shared" si="35"/>
        <v/>
      </c>
      <c r="M1693" s="9"/>
      <c r="O1693" s="9"/>
    </row>
    <row r="1694" ht="15.75" customHeight="1">
      <c r="A1694" s="9" t="str">
        <f>IFERROR(__xludf.DUMMYFUNCTION("IF(B1694="""","""",RIGHT(REGEXREPLACE(B1694&amp;"""",""[^0-9]"",""""),9))"),"726039813")</f>
        <v>726039813</v>
      </c>
      <c r="B1694" s="48">
        <v>7.26039813E8</v>
      </c>
      <c r="C1694" s="10" t="s">
        <v>1836</v>
      </c>
      <c r="D1694" s="10" t="s">
        <v>120</v>
      </c>
      <c r="E1694" s="13">
        <v>46228.0</v>
      </c>
      <c r="F1694" s="10" t="s">
        <v>35</v>
      </c>
      <c r="G1694" s="10">
        <v>11.0</v>
      </c>
      <c r="I1694" s="10" t="s">
        <v>22</v>
      </c>
      <c r="J1694" s="9" t="str">
        <f t="shared" si="34"/>
        <v>No</v>
      </c>
      <c r="K1694" s="9" t="str">
        <f t="shared" si="33"/>
        <v/>
      </c>
      <c r="L1694" s="9" t="str">
        <f t="shared" si="35"/>
        <v/>
      </c>
      <c r="M1694" s="9"/>
      <c r="O1694" s="9"/>
    </row>
    <row r="1695" ht="15.75" customHeight="1">
      <c r="A1695" s="9" t="str">
        <f>IFERROR(__xludf.DUMMYFUNCTION("IF(B1695="""","""",RIGHT(REGEXREPLACE(B1695&amp;"""",""[^0-9]"",""""),9))"),"715297871")</f>
        <v>715297871</v>
      </c>
      <c r="B1695" s="48">
        <v>7.15297871E8</v>
      </c>
      <c r="C1695" s="10" t="s">
        <v>1837</v>
      </c>
      <c r="D1695" s="10" t="s">
        <v>69</v>
      </c>
      <c r="E1695" s="13">
        <v>46228.0</v>
      </c>
      <c r="F1695" s="10" t="s">
        <v>171</v>
      </c>
      <c r="I1695" s="10" t="s">
        <v>22</v>
      </c>
      <c r="J1695" s="9" t="str">
        <f t="shared" si="34"/>
        <v>No</v>
      </c>
      <c r="K1695" s="9" t="str">
        <f t="shared" si="33"/>
        <v/>
      </c>
      <c r="L1695" s="9" t="str">
        <f t="shared" si="35"/>
        <v/>
      </c>
      <c r="M1695" s="9"/>
      <c r="O1695" s="9"/>
    </row>
    <row r="1696" ht="15.75" customHeight="1">
      <c r="A1696" s="9" t="str">
        <f>IFERROR(__xludf.DUMMYFUNCTION("IF(B1696="""","""",RIGHT(REGEXREPLACE(B1696&amp;"""",""[^0-9]"",""""),9))"),"716218834")</f>
        <v>716218834</v>
      </c>
      <c r="B1696" s="48">
        <v>7.16218834E8</v>
      </c>
      <c r="C1696" s="10" t="s">
        <v>1838</v>
      </c>
      <c r="D1696" s="10" t="s">
        <v>34</v>
      </c>
      <c r="E1696" s="13">
        <v>46228.0</v>
      </c>
      <c r="F1696" s="10" t="s">
        <v>113</v>
      </c>
      <c r="I1696" s="10" t="s">
        <v>22</v>
      </c>
      <c r="J1696" s="9" t="str">
        <f t="shared" si="34"/>
        <v>No</v>
      </c>
      <c r="K1696" s="9" t="str">
        <f t="shared" si="33"/>
        <v/>
      </c>
      <c r="L1696" s="9" t="str">
        <f t="shared" si="35"/>
        <v/>
      </c>
      <c r="M1696" s="9"/>
      <c r="O1696" s="9"/>
    </row>
    <row r="1697" ht="15.75" customHeight="1">
      <c r="A1697" s="9" t="str">
        <f>IFERROR(__xludf.DUMMYFUNCTION("IF(B1697="""","""",RIGHT(REGEXREPLACE(B1697&amp;"""",""[^0-9]"",""""),9))"),"772869876")</f>
        <v>772869876</v>
      </c>
      <c r="B1697" s="48">
        <v>7.72869876E8</v>
      </c>
      <c r="C1697" s="10" t="s">
        <v>1839</v>
      </c>
      <c r="D1697" s="10" t="s">
        <v>50</v>
      </c>
      <c r="E1697" s="13">
        <v>46228.0</v>
      </c>
      <c r="F1697" s="10" t="s">
        <v>198</v>
      </c>
      <c r="G1697" s="10">
        <v>11.0</v>
      </c>
      <c r="I1697" s="10" t="s">
        <v>22</v>
      </c>
      <c r="J1697" s="9" t="str">
        <f t="shared" si="34"/>
        <v>No</v>
      </c>
      <c r="K1697" s="9" t="str">
        <f t="shared" si="33"/>
        <v/>
      </c>
      <c r="L1697" s="9" t="str">
        <f t="shared" si="35"/>
        <v/>
      </c>
      <c r="M1697" s="9"/>
      <c r="O1697" s="9"/>
    </row>
    <row r="1698" ht="15.75" customHeight="1">
      <c r="A1698" s="9" t="str">
        <f>IFERROR(__xludf.DUMMYFUNCTION("IF(B1698="""","""",RIGHT(REGEXREPLACE(B1698&amp;"""",""[^0-9]"",""""),9))"),"760730190")</f>
        <v>760730190</v>
      </c>
      <c r="B1698" s="10">
        <v>7.6073019E8</v>
      </c>
      <c r="C1698" s="10" t="s">
        <v>1840</v>
      </c>
      <c r="D1698" s="10" t="s">
        <v>20</v>
      </c>
      <c r="E1698" s="13">
        <v>46228.0</v>
      </c>
      <c r="F1698" s="10" t="s">
        <v>198</v>
      </c>
      <c r="I1698" s="10" t="s">
        <v>22</v>
      </c>
      <c r="J1698" s="9" t="str">
        <f t="shared" si="34"/>
        <v>No</v>
      </c>
      <c r="K1698" s="9" t="str">
        <f t="shared" si="33"/>
        <v/>
      </c>
      <c r="L1698" s="9" t="str">
        <f t="shared" si="35"/>
        <v/>
      </c>
      <c r="M1698" s="9"/>
      <c r="O1698" s="9"/>
    </row>
    <row r="1699" ht="15.75" customHeight="1">
      <c r="A1699" s="9" t="str">
        <f>IFERROR(__xludf.DUMMYFUNCTION("IF(B1699="""","""",RIGHT(REGEXREPLACE(B1699&amp;"""",""[^0-9]"",""""),9))"),"711191776")</f>
        <v>711191776</v>
      </c>
      <c r="B1699" s="48">
        <v>7.11191776E8</v>
      </c>
      <c r="C1699" s="10" t="s">
        <v>1841</v>
      </c>
      <c r="D1699" s="10" t="s">
        <v>34</v>
      </c>
      <c r="E1699" s="13">
        <v>46228.0</v>
      </c>
      <c r="F1699" s="10" t="s">
        <v>35</v>
      </c>
      <c r="G1699" s="10">
        <v>11.0</v>
      </c>
      <c r="I1699" s="10" t="s">
        <v>22</v>
      </c>
      <c r="J1699" s="9" t="str">
        <f t="shared" si="34"/>
        <v>No</v>
      </c>
      <c r="K1699" s="9" t="str">
        <f t="shared" si="33"/>
        <v/>
      </c>
      <c r="L1699" s="9" t="str">
        <f t="shared" si="35"/>
        <v/>
      </c>
      <c r="M1699" s="9"/>
      <c r="O1699" s="9"/>
    </row>
    <row r="1700" ht="15.75" customHeight="1">
      <c r="A1700" s="9" t="str">
        <f>IFERROR(__xludf.DUMMYFUNCTION("IF(B1700="""","""",RIGHT(REGEXREPLACE(B1700&amp;"""",""[^0-9]"",""""),9))"),"702377470")</f>
        <v>702377470</v>
      </c>
      <c r="B1700" s="48">
        <v>7.0237747E8</v>
      </c>
      <c r="C1700" s="10" t="s">
        <v>1842</v>
      </c>
      <c r="D1700" s="10" t="s">
        <v>50</v>
      </c>
      <c r="E1700" s="13">
        <v>46228.0</v>
      </c>
      <c r="F1700" s="10" t="s">
        <v>35</v>
      </c>
      <c r="G1700" s="10">
        <v>11.0</v>
      </c>
      <c r="I1700" s="10" t="s">
        <v>22</v>
      </c>
      <c r="J1700" s="9" t="str">
        <f t="shared" si="34"/>
        <v>No</v>
      </c>
      <c r="K1700" s="9" t="str">
        <f t="shared" si="33"/>
        <v/>
      </c>
      <c r="L1700" s="9" t="str">
        <f t="shared" si="35"/>
        <v/>
      </c>
      <c r="M1700" s="9"/>
      <c r="O1700" s="9"/>
    </row>
    <row r="1701" ht="15.75" customHeight="1">
      <c r="A1701" s="9" t="str">
        <f>IFERROR(__xludf.DUMMYFUNCTION("IF(B1701="""","""",RIGHT(REGEXREPLACE(B1701&amp;"""",""[^0-9]"",""""),9))"),"779136356")</f>
        <v>779136356</v>
      </c>
      <c r="B1701" s="10">
        <v>7.79136356E8</v>
      </c>
      <c r="C1701" s="10" t="s">
        <v>1843</v>
      </c>
      <c r="D1701" s="10" t="s">
        <v>20</v>
      </c>
      <c r="E1701" s="13">
        <v>46228.0</v>
      </c>
      <c r="F1701" s="10" t="s">
        <v>35</v>
      </c>
      <c r="G1701" s="10">
        <v>10.0</v>
      </c>
      <c r="I1701" s="10" t="s">
        <v>22</v>
      </c>
      <c r="J1701" s="9" t="str">
        <f t="shared" si="34"/>
        <v>No</v>
      </c>
      <c r="K1701" s="9" t="str">
        <f t="shared" si="33"/>
        <v/>
      </c>
      <c r="L1701" s="9" t="str">
        <f t="shared" si="35"/>
        <v/>
      </c>
      <c r="M1701" s="9"/>
      <c r="O1701" s="9"/>
    </row>
    <row r="1702" ht="15.75" customHeight="1">
      <c r="A1702" s="9" t="str">
        <f>IFERROR(__xludf.DUMMYFUNCTION("IF(B1702="""","""",RIGHT(REGEXREPLACE(B1702&amp;"""",""[^0-9]"",""""),9))"),"777831488")</f>
        <v>777831488</v>
      </c>
      <c r="B1702" s="48">
        <v>7.77831488E8</v>
      </c>
      <c r="C1702" s="10" t="s">
        <v>1844</v>
      </c>
      <c r="D1702" s="10" t="s">
        <v>69</v>
      </c>
      <c r="E1702" s="13">
        <v>46228.0</v>
      </c>
      <c r="F1702" s="10" t="s">
        <v>21</v>
      </c>
      <c r="I1702" s="10" t="s">
        <v>22</v>
      </c>
      <c r="J1702" s="9" t="str">
        <f t="shared" si="34"/>
        <v>No</v>
      </c>
      <c r="K1702" s="9" t="str">
        <f t="shared" si="33"/>
        <v/>
      </c>
      <c r="L1702" s="9" t="str">
        <f t="shared" si="35"/>
        <v/>
      </c>
      <c r="M1702" s="9"/>
      <c r="O1702" s="9"/>
    </row>
    <row r="1703" ht="15.75" customHeight="1">
      <c r="A1703" s="9" t="str">
        <f>IFERROR(__xludf.DUMMYFUNCTION("IF(B1703="""","""",RIGHT(REGEXREPLACE(B1703&amp;"""",""[^0-9]"",""""),9))"),"775906629")</f>
        <v>775906629</v>
      </c>
      <c r="B1703" s="48">
        <v>7.75906629E8</v>
      </c>
      <c r="C1703" s="10" t="s">
        <v>1845</v>
      </c>
      <c r="D1703" s="10" t="s">
        <v>34</v>
      </c>
      <c r="E1703" s="13">
        <v>46228.0</v>
      </c>
      <c r="F1703" s="10" t="s">
        <v>35</v>
      </c>
      <c r="G1703" s="10">
        <v>11.0</v>
      </c>
      <c r="I1703" s="10" t="s">
        <v>22</v>
      </c>
      <c r="J1703" s="9" t="str">
        <f t="shared" si="34"/>
        <v>No</v>
      </c>
      <c r="K1703" s="9" t="str">
        <f t="shared" si="33"/>
        <v/>
      </c>
      <c r="L1703" s="9" t="str">
        <f t="shared" si="35"/>
        <v/>
      </c>
      <c r="M1703" s="9"/>
      <c r="O1703" s="9"/>
    </row>
    <row r="1704" ht="15.75" customHeight="1">
      <c r="A1704" s="9" t="str">
        <f>IFERROR(__xludf.DUMMYFUNCTION("IF(B1704="""","""",RIGHT(REGEXREPLACE(B1704&amp;"""",""[^0-9]"",""""),9))"),"705213029")</f>
        <v>705213029</v>
      </c>
      <c r="B1704" s="48">
        <v>7.05213029E8</v>
      </c>
      <c r="C1704" s="10" t="s">
        <v>1846</v>
      </c>
      <c r="D1704" s="10" t="s">
        <v>120</v>
      </c>
      <c r="E1704" s="13">
        <v>46228.0</v>
      </c>
      <c r="F1704" s="10" t="s">
        <v>604</v>
      </c>
      <c r="I1704" s="10" t="s">
        <v>22</v>
      </c>
      <c r="J1704" s="9" t="str">
        <f t="shared" si="34"/>
        <v>No</v>
      </c>
      <c r="K1704" s="9" t="str">
        <f t="shared" si="33"/>
        <v/>
      </c>
      <c r="L1704" s="9" t="str">
        <f t="shared" si="35"/>
        <v/>
      </c>
      <c r="M1704" s="9"/>
      <c r="O1704" s="9"/>
    </row>
    <row r="1705" ht="15.75" customHeight="1">
      <c r="A1705" s="9" t="str">
        <f>IFERROR(__xludf.DUMMYFUNCTION("IF(B1705="""","""",RIGHT(REGEXREPLACE(B1705&amp;"""",""[^0-9]"",""""),9))"),"713954939")</f>
        <v>713954939</v>
      </c>
      <c r="B1705" s="48">
        <v>7.13954939E8</v>
      </c>
      <c r="C1705" s="10" t="s">
        <v>1847</v>
      </c>
      <c r="D1705" s="10" t="s">
        <v>50</v>
      </c>
      <c r="E1705" s="13">
        <v>46228.0</v>
      </c>
      <c r="F1705" s="10" t="s">
        <v>35</v>
      </c>
      <c r="G1705" s="10">
        <v>10.0</v>
      </c>
      <c r="I1705" s="10" t="s">
        <v>22</v>
      </c>
      <c r="J1705" s="9" t="str">
        <f t="shared" si="34"/>
        <v>No</v>
      </c>
      <c r="K1705" s="9" t="str">
        <f t="shared" si="33"/>
        <v/>
      </c>
      <c r="L1705" s="9" t="str">
        <f t="shared" si="35"/>
        <v/>
      </c>
      <c r="M1705" s="9"/>
      <c r="O1705" s="9"/>
    </row>
    <row r="1706" ht="15.75" customHeight="1">
      <c r="A1706" s="9" t="str">
        <f>IFERROR(__xludf.DUMMYFUNCTION("IF(B1706="""","""",RIGHT(REGEXREPLACE(B1706&amp;"""",""[^0-9]"",""""),9))"),"767719978")</f>
        <v>767719978</v>
      </c>
      <c r="B1706" s="48">
        <v>7.67719978E8</v>
      </c>
      <c r="C1706" s="10" t="s">
        <v>969</v>
      </c>
      <c r="D1706" s="10" t="s">
        <v>69</v>
      </c>
      <c r="E1706" s="13">
        <v>46228.0</v>
      </c>
      <c r="F1706" s="10" t="s">
        <v>542</v>
      </c>
      <c r="G1706" s="10">
        <v>11.0</v>
      </c>
      <c r="I1706" s="10" t="s">
        <v>22</v>
      </c>
      <c r="J1706" s="9" t="str">
        <f t="shared" si="34"/>
        <v>No</v>
      </c>
      <c r="K1706" s="9" t="str">
        <f t="shared" si="33"/>
        <v/>
      </c>
      <c r="L1706" s="9" t="str">
        <f t="shared" si="35"/>
        <v/>
      </c>
      <c r="M1706" s="9"/>
      <c r="O1706" s="9"/>
    </row>
    <row r="1707" ht="15.75" customHeight="1">
      <c r="A1707" s="9" t="str">
        <f>IFERROR(__xludf.DUMMYFUNCTION("IF(B1707="""","""",RIGHT(REGEXREPLACE(B1707&amp;"""",""[^0-9]"",""""),9))"),"773862969")</f>
        <v>773862969</v>
      </c>
      <c r="B1707" s="48">
        <v>7.73862969E8</v>
      </c>
      <c r="C1707" s="10" t="s">
        <v>1848</v>
      </c>
      <c r="D1707" s="10" t="s">
        <v>120</v>
      </c>
      <c r="E1707" s="13">
        <v>46228.0</v>
      </c>
      <c r="F1707" s="10" t="s">
        <v>198</v>
      </c>
      <c r="I1707" s="10" t="s">
        <v>22</v>
      </c>
      <c r="J1707" s="9" t="str">
        <f t="shared" si="34"/>
        <v>No</v>
      </c>
      <c r="K1707" s="9" t="str">
        <f t="shared" si="33"/>
        <v/>
      </c>
      <c r="L1707" s="9" t="str">
        <f t="shared" si="35"/>
        <v/>
      </c>
      <c r="M1707" s="9"/>
      <c r="O1707" s="9"/>
    </row>
    <row r="1708" ht="15.75" customHeight="1">
      <c r="A1708" s="9" t="str">
        <f>IFERROR(__xludf.DUMMYFUNCTION("IF(B1708="""","""",RIGHT(REGEXREPLACE(B1708&amp;"""",""[^0-9]"",""""),9))"),"775214627")</f>
        <v>775214627</v>
      </c>
      <c r="B1708" s="48">
        <v>7.75214627E8</v>
      </c>
      <c r="C1708" s="10" t="s">
        <v>1849</v>
      </c>
      <c r="D1708" s="10" t="s">
        <v>50</v>
      </c>
      <c r="E1708" s="13">
        <v>46228.0</v>
      </c>
      <c r="F1708" s="10" t="s">
        <v>21</v>
      </c>
      <c r="G1708" s="10">
        <v>10.0</v>
      </c>
      <c r="I1708" s="10" t="s">
        <v>22</v>
      </c>
      <c r="J1708" s="9" t="str">
        <f t="shared" si="34"/>
        <v>No</v>
      </c>
      <c r="K1708" s="9" t="str">
        <f t="shared" si="33"/>
        <v/>
      </c>
      <c r="L1708" s="9" t="str">
        <f t="shared" si="35"/>
        <v/>
      </c>
      <c r="M1708" s="9"/>
      <c r="O1708" s="9"/>
    </row>
    <row r="1709" ht="15.75" customHeight="1">
      <c r="A1709" s="9" t="str">
        <f>IFERROR(__xludf.DUMMYFUNCTION("IF(B1709="""","""",RIGHT(REGEXREPLACE(B1709&amp;"""",""[^0-9]"",""""),9))"),"772697922")</f>
        <v>772697922</v>
      </c>
      <c r="B1709" s="48">
        <v>7.72697922E8</v>
      </c>
      <c r="C1709" s="10" t="s">
        <v>1850</v>
      </c>
      <c r="D1709" s="10" t="s">
        <v>50</v>
      </c>
      <c r="E1709" s="13">
        <v>46228.0</v>
      </c>
      <c r="F1709" s="10" t="s">
        <v>198</v>
      </c>
      <c r="G1709" s="10">
        <v>11.0</v>
      </c>
      <c r="I1709" s="10" t="s">
        <v>22</v>
      </c>
      <c r="J1709" s="9" t="str">
        <f t="shared" si="34"/>
        <v>No</v>
      </c>
      <c r="K1709" s="9" t="str">
        <f t="shared" si="33"/>
        <v/>
      </c>
      <c r="L1709" s="9" t="str">
        <f t="shared" si="35"/>
        <v/>
      </c>
      <c r="M1709" s="9"/>
      <c r="O1709" s="9"/>
    </row>
    <row r="1710" ht="15.75" customHeight="1">
      <c r="A1710" s="9" t="str">
        <f>IFERROR(__xludf.DUMMYFUNCTION("IF(B1710="""","""",RIGHT(REGEXREPLACE(B1710&amp;"""",""[^0-9]"",""""),9))"),"742123792")</f>
        <v>742123792</v>
      </c>
      <c r="B1710" s="48">
        <v>7.42123792E8</v>
      </c>
      <c r="C1710" s="10" t="s">
        <v>1851</v>
      </c>
      <c r="D1710" s="10" t="s">
        <v>34</v>
      </c>
      <c r="E1710" s="13">
        <v>46228.0</v>
      </c>
      <c r="F1710" s="10" t="s">
        <v>113</v>
      </c>
      <c r="I1710" s="10" t="s">
        <v>22</v>
      </c>
      <c r="J1710" s="9" t="str">
        <f t="shared" si="34"/>
        <v>No</v>
      </c>
      <c r="K1710" s="9" t="str">
        <f t="shared" si="33"/>
        <v/>
      </c>
      <c r="L1710" s="9" t="str">
        <f t="shared" si="35"/>
        <v/>
      </c>
      <c r="M1710" s="9"/>
      <c r="O1710" s="9"/>
    </row>
    <row r="1711" ht="15.75" customHeight="1">
      <c r="A1711" s="9" t="str">
        <f>IFERROR(__xludf.DUMMYFUNCTION("IF(B1711="""","""",RIGHT(REGEXREPLACE(B1711&amp;"""",""[^0-9]"",""""),9))"),"772697922")</f>
        <v>772697922</v>
      </c>
      <c r="B1711" s="48">
        <v>7.72697922E8</v>
      </c>
      <c r="C1711" s="10" t="s">
        <v>1850</v>
      </c>
      <c r="D1711" s="10" t="s">
        <v>120</v>
      </c>
      <c r="E1711" s="13">
        <v>46228.0</v>
      </c>
      <c r="F1711" s="10" t="s">
        <v>198</v>
      </c>
      <c r="G1711" s="10">
        <v>11.0</v>
      </c>
      <c r="I1711" s="10" t="s">
        <v>22</v>
      </c>
      <c r="J1711" s="9" t="str">
        <f t="shared" si="34"/>
        <v>Yes - see Previous F-Code</v>
      </c>
      <c r="K1711" s="9" t="str">
        <f t="shared" si="33"/>
        <v>DUPLICATE - CHECK</v>
      </c>
      <c r="L1711" s="9" t="str">
        <f t="shared" si="35"/>
        <v>F71634</v>
      </c>
      <c r="M1711" s="9"/>
      <c r="O1711" s="9"/>
    </row>
    <row r="1712" ht="15.75" customHeight="1">
      <c r="A1712" s="9" t="str">
        <f>IFERROR(__xludf.DUMMYFUNCTION("IF(B1712="""","""",RIGHT(REGEXREPLACE(B1712&amp;"""",""[^0-9]"",""""),9))"),"778074233")</f>
        <v>778074233</v>
      </c>
      <c r="B1712" s="10">
        <v>7.78074233E8</v>
      </c>
      <c r="C1712" s="10" t="s">
        <v>1852</v>
      </c>
      <c r="D1712" s="10" t="s">
        <v>20</v>
      </c>
      <c r="E1712" s="13">
        <v>46228.0</v>
      </c>
      <c r="F1712" s="10" t="s">
        <v>35</v>
      </c>
      <c r="G1712" s="10">
        <v>11.0</v>
      </c>
      <c r="I1712" s="10" t="s">
        <v>22</v>
      </c>
      <c r="J1712" s="9" t="str">
        <f t="shared" si="34"/>
        <v>No</v>
      </c>
      <c r="K1712" s="9" t="str">
        <f t="shared" si="33"/>
        <v/>
      </c>
      <c r="L1712" s="9" t="str">
        <f t="shared" si="35"/>
        <v/>
      </c>
      <c r="M1712" s="9"/>
      <c r="O1712" s="9"/>
    </row>
    <row r="1713" ht="15.75" customHeight="1">
      <c r="A1713" s="9" t="str">
        <f>IFERROR(__xludf.DUMMYFUNCTION("IF(B1713="""","""",RIGHT(REGEXREPLACE(B1713&amp;"""",""[^0-9]"",""""),9))"),"770038652")</f>
        <v>770038652</v>
      </c>
      <c r="B1713" s="48">
        <v>7.70038652E8</v>
      </c>
      <c r="C1713" s="10" t="s">
        <v>1853</v>
      </c>
      <c r="D1713" s="10" t="s">
        <v>50</v>
      </c>
      <c r="E1713" s="13">
        <v>46228.0</v>
      </c>
      <c r="F1713" s="10" t="s">
        <v>21</v>
      </c>
      <c r="G1713" s="10">
        <v>11.0</v>
      </c>
      <c r="I1713" s="10" t="s">
        <v>22</v>
      </c>
      <c r="J1713" s="9" t="str">
        <f t="shared" si="34"/>
        <v>No</v>
      </c>
      <c r="K1713" s="9" t="str">
        <f t="shared" si="33"/>
        <v/>
      </c>
      <c r="L1713" s="9" t="str">
        <f t="shared" si="35"/>
        <v/>
      </c>
      <c r="M1713" s="9"/>
      <c r="O1713" s="9"/>
    </row>
    <row r="1714" ht="15.75" customHeight="1">
      <c r="A1714" s="9" t="str">
        <f>IFERROR(__xludf.DUMMYFUNCTION("IF(B1714="""","""",RIGHT(REGEXREPLACE(B1714&amp;"""",""[^0-9]"",""""),9))"),"715485919")</f>
        <v>715485919</v>
      </c>
      <c r="B1714" s="10">
        <v>7.15485919E8</v>
      </c>
      <c r="C1714" s="10" t="s">
        <v>1854</v>
      </c>
      <c r="D1714" s="10" t="s">
        <v>20</v>
      </c>
      <c r="E1714" s="13">
        <v>46228.0</v>
      </c>
      <c r="F1714" s="10" t="s">
        <v>198</v>
      </c>
      <c r="G1714" s="10">
        <v>10.0</v>
      </c>
      <c r="I1714" s="10" t="s">
        <v>22</v>
      </c>
      <c r="J1714" s="9" t="str">
        <f t="shared" si="34"/>
        <v>No</v>
      </c>
      <c r="K1714" s="9" t="str">
        <f t="shared" si="33"/>
        <v/>
      </c>
      <c r="L1714" s="9" t="str">
        <f t="shared" si="35"/>
        <v/>
      </c>
      <c r="M1714" s="9"/>
      <c r="O1714" s="9"/>
    </row>
    <row r="1715" ht="15.75" customHeight="1">
      <c r="A1715" s="9" t="str">
        <f>IFERROR(__xludf.DUMMYFUNCTION("IF(B1715="""","""",RIGHT(REGEXREPLACE(B1715&amp;"""",""[^0-9]"",""""),9))"),"702786621")</f>
        <v>702786621</v>
      </c>
      <c r="B1715" s="48">
        <v>7.02786621E8</v>
      </c>
      <c r="C1715" s="10" t="s">
        <v>1855</v>
      </c>
      <c r="D1715" s="10" t="s">
        <v>120</v>
      </c>
      <c r="E1715" s="13">
        <v>46228.0</v>
      </c>
      <c r="F1715" s="10" t="s">
        <v>35</v>
      </c>
      <c r="G1715" s="10">
        <v>11.0</v>
      </c>
      <c r="I1715" s="10" t="s">
        <v>22</v>
      </c>
      <c r="J1715" s="9" t="str">
        <f t="shared" si="34"/>
        <v>No</v>
      </c>
      <c r="K1715" s="9" t="str">
        <f t="shared" si="33"/>
        <v/>
      </c>
      <c r="L1715" s="9" t="str">
        <f t="shared" si="35"/>
        <v/>
      </c>
      <c r="M1715" s="9"/>
      <c r="O1715" s="9"/>
    </row>
    <row r="1716" ht="15.75" customHeight="1">
      <c r="A1716" s="9" t="str">
        <f>IFERROR(__xludf.DUMMYFUNCTION("IF(B1716="""","""",RIGHT(REGEXREPLACE(B1716&amp;"""",""[^0-9]"",""""),9))"),"761962899")</f>
        <v>761962899</v>
      </c>
      <c r="B1716" s="48">
        <v>7.61962899E8</v>
      </c>
      <c r="C1716" s="10" t="s">
        <v>1856</v>
      </c>
      <c r="D1716" s="10" t="s">
        <v>34</v>
      </c>
      <c r="E1716" s="13">
        <v>46228.0</v>
      </c>
      <c r="F1716" s="10" t="s">
        <v>21</v>
      </c>
      <c r="G1716" s="10">
        <v>11.0</v>
      </c>
      <c r="I1716" s="10" t="s">
        <v>22</v>
      </c>
      <c r="J1716" s="9" t="str">
        <f t="shared" si="34"/>
        <v>No</v>
      </c>
      <c r="K1716" s="9" t="str">
        <f t="shared" si="33"/>
        <v/>
      </c>
      <c r="L1716" s="9" t="str">
        <f t="shared" si="35"/>
        <v/>
      </c>
      <c r="M1716" s="9"/>
      <c r="O1716" s="9"/>
    </row>
    <row r="1717" ht="15.75" customHeight="1">
      <c r="A1717" s="9" t="str">
        <f>IFERROR(__xludf.DUMMYFUNCTION("IF(B1717="""","""",RIGHT(REGEXREPLACE(B1717&amp;"""",""[^0-9]"",""""),9))"),"740890957")</f>
        <v>740890957</v>
      </c>
      <c r="B1717" s="48">
        <v>7.40890957E8</v>
      </c>
      <c r="C1717" s="10" t="s">
        <v>1857</v>
      </c>
      <c r="D1717" s="10" t="s">
        <v>50</v>
      </c>
      <c r="E1717" s="13">
        <v>46228.0</v>
      </c>
      <c r="F1717" s="10" t="s">
        <v>35</v>
      </c>
      <c r="G1717" s="10">
        <v>11.0</v>
      </c>
      <c r="I1717" s="10" t="s">
        <v>22</v>
      </c>
      <c r="J1717" s="9" t="str">
        <f t="shared" si="34"/>
        <v>No</v>
      </c>
      <c r="K1717" s="9" t="str">
        <f t="shared" si="33"/>
        <v/>
      </c>
      <c r="L1717" s="9" t="str">
        <f t="shared" si="35"/>
        <v/>
      </c>
      <c r="M1717" s="9"/>
      <c r="O1717" s="9"/>
    </row>
    <row r="1718" ht="15.75" customHeight="1">
      <c r="A1718" s="9" t="str">
        <f>IFERROR(__xludf.DUMMYFUNCTION("IF(B1718="""","""",RIGHT(REGEXREPLACE(B1718&amp;"""",""[^0-9]"",""""),9))"),"775727415")</f>
        <v>775727415</v>
      </c>
      <c r="B1718" s="10">
        <v>7.75727415E8</v>
      </c>
      <c r="C1718" s="10" t="s">
        <v>1858</v>
      </c>
      <c r="D1718" s="10" t="s">
        <v>20</v>
      </c>
      <c r="E1718" s="13">
        <v>46228.0</v>
      </c>
      <c r="F1718" s="10" t="s">
        <v>171</v>
      </c>
      <c r="I1718" s="10" t="s">
        <v>22</v>
      </c>
      <c r="J1718" s="9" t="str">
        <f t="shared" si="34"/>
        <v>No</v>
      </c>
      <c r="K1718" s="9" t="str">
        <f t="shared" si="33"/>
        <v/>
      </c>
      <c r="L1718" s="9" t="str">
        <f t="shared" si="35"/>
        <v/>
      </c>
      <c r="M1718" s="9"/>
      <c r="O1718" s="9"/>
    </row>
    <row r="1719" ht="15.75" customHeight="1">
      <c r="A1719" s="9" t="str">
        <f>IFERROR(__xludf.DUMMYFUNCTION("IF(B1719="""","""",RIGHT(REGEXREPLACE(B1719&amp;"""",""[^0-9]"",""""),9))"),"767672843")</f>
        <v>767672843</v>
      </c>
      <c r="B1719" s="10">
        <v>7.67672843E8</v>
      </c>
      <c r="C1719" s="10" t="s">
        <v>1859</v>
      </c>
      <c r="D1719" s="10" t="s">
        <v>20</v>
      </c>
      <c r="E1719" s="13">
        <v>46228.0</v>
      </c>
      <c r="F1719" s="10" t="s">
        <v>35</v>
      </c>
      <c r="G1719" s="10">
        <v>11.0</v>
      </c>
      <c r="I1719" s="10" t="s">
        <v>22</v>
      </c>
      <c r="J1719" s="9" t="str">
        <f t="shared" si="34"/>
        <v>No</v>
      </c>
      <c r="K1719" s="9" t="str">
        <f t="shared" si="33"/>
        <v/>
      </c>
      <c r="L1719" s="9" t="str">
        <f t="shared" si="35"/>
        <v/>
      </c>
      <c r="M1719" s="9"/>
      <c r="O1719" s="9"/>
    </row>
    <row r="1720" ht="15.75" customHeight="1">
      <c r="A1720" s="9" t="str">
        <f>IFERROR(__xludf.DUMMYFUNCTION("IF(B1720="""","""",RIGHT(REGEXREPLACE(B1720&amp;"""",""[^0-9]"",""""),9))"),"771556007")</f>
        <v>771556007</v>
      </c>
      <c r="B1720" s="10">
        <v>7.71556007E8</v>
      </c>
      <c r="C1720" s="10" t="s">
        <v>1860</v>
      </c>
      <c r="D1720" s="10" t="s">
        <v>69</v>
      </c>
      <c r="E1720" s="13">
        <v>46228.0</v>
      </c>
      <c r="F1720" s="10" t="s">
        <v>35</v>
      </c>
      <c r="G1720" s="10">
        <v>11.0</v>
      </c>
      <c r="I1720" s="10" t="s">
        <v>22</v>
      </c>
      <c r="J1720" s="9" t="str">
        <f t="shared" si="34"/>
        <v>No</v>
      </c>
      <c r="K1720" s="9" t="str">
        <f t="shared" si="33"/>
        <v/>
      </c>
      <c r="L1720" s="9" t="str">
        <f t="shared" si="35"/>
        <v/>
      </c>
      <c r="M1720" s="9"/>
      <c r="O1720" s="9"/>
    </row>
    <row r="1721" ht="15.75" customHeight="1">
      <c r="A1721" s="9" t="str">
        <f>IFERROR(__xludf.DUMMYFUNCTION("IF(B1721="""","""",RIGHT(REGEXREPLACE(B1721&amp;"""",""[^0-9]"",""""),9))"),"750625630")</f>
        <v>750625630</v>
      </c>
      <c r="B1721" s="48">
        <v>7.5062563E8</v>
      </c>
      <c r="C1721" s="10" t="s">
        <v>1861</v>
      </c>
      <c r="D1721" s="10" t="s">
        <v>120</v>
      </c>
      <c r="E1721" s="13">
        <v>46228.0</v>
      </c>
      <c r="F1721" s="10" t="s">
        <v>113</v>
      </c>
      <c r="I1721" s="10" t="s">
        <v>22</v>
      </c>
      <c r="J1721" s="9" t="str">
        <f t="shared" si="34"/>
        <v>No</v>
      </c>
      <c r="K1721" s="9" t="str">
        <f t="shared" si="33"/>
        <v/>
      </c>
      <c r="L1721" s="9" t="str">
        <f t="shared" si="35"/>
        <v/>
      </c>
      <c r="M1721" s="9"/>
      <c r="O1721" s="9"/>
    </row>
    <row r="1722" ht="15.75" customHeight="1">
      <c r="A1722" s="9" t="str">
        <f>IFERROR(__xludf.DUMMYFUNCTION("IF(B1722="""","""",RIGHT(REGEXREPLACE(B1722&amp;"""",""[^0-9]"",""""),9))"),"784404488")</f>
        <v>784404488</v>
      </c>
      <c r="B1722" s="10">
        <v>7.84404488E8</v>
      </c>
      <c r="C1722" s="10" t="s">
        <v>1862</v>
      </c>
      <c r="D1722" s="10" t="s">
        <v>20</v>
      </c>
      <c r="E1722" s="13">
        <v>46228.0</v>
      </c>
      <c r="F1722" s="10" t="s">
        <v>113</v>
      </c>
      <c r="I1722" s="10" t="s">
        <v>22</v>
      </c>
      <c r="J1722" s="9" t="str">
        <f t="shared" si="34"/>
        <v>No</v>
      </c>
      <c r="K1722" s="9" t="str">
        <f t="shared" si="33"/>
        <v/>
      </c>
      <c r="L1722" s="9" t="str">
        <f t="shared" si="35"/>
        <v/>
      </c>
      <c r="M1722" s="9"/>
      <c r="O1722" s="9"/>
    </row>
    <row r="1723" ht="15.75" customHeight="1">
      <c r="A1723" s="9" t="str">
        <f>IFERROR(__xludf.DUMMYFUNCTION("IF(B1723="""","""",RIGHT(REGEXREPLACE(B1723&amp;"""",""[^0-9]"",""""),9))"),"774379620")</f>
        <v>774379620</v>
      </c>
      <c r="B1723" s="48">
        <v>7.7437962E8</v>
      </c>
      <c r="C1723" s="10" t="s">
        <v>1863</v>
      </c>
      <c r="D1723" s="10" t="s">
        <v>50</v>
      </c>
      <c r="E1723" s="13">
        <v>46228.0</v>
      </c>
      <c r="F1723" s="10" t="s">
        <v>35</v>
      </c>
      <c r="G1723" s="10">
        <v>11.0</v>
      </c>
      <c r="I1723" s="10" t="s">
        <v>22</v>
      </c>
      <c r="J1723" s="9" t="str">
        <f t="shared" si="34"/>
        <v>No</v>
      </c>
      <c r="K1723" s="9" t="str">
        <f t="shared" si="33"/>
        <v/>
      </c>
      <c r="L1723" s="9" t="str">
        <f t="shared" si="35"/>
        <v/>
      </c>
      <c r="M1723" s="9"/>
      <c r="O1723" s="9"/>
    </row>
    <row r="1724" ht="15.75" customHeight="1">
      <c r="A1724" s="9" t="str">
        <f>IFERROR(__xludf.DUMMYFUNCTION("IF(B1724="""","""",RIGHT(REGEXREPLACE(B1724&amp;"""",""[^0-9]"",""""),9))"),"767142050")</f>
        <v>767142050</v>
      </c>
      <c r="B1724" s="48">
        <v>7.6714205E8</v>
      </c>
      <c r="C1724" s="10" t="s">
        <v>1864</v>
      </c>
      <c r="D1724" s="10" t="s">
        <v>120</v>
      </c>
      <c r="E1724" s="13">
        <v>46228.0</v>
      </c>
      <c r="F1724" s="10" t="s">
        <v>35</v>
      </c>
      <c r="G1724" s="10">
        <v>11.0</v>
      </c>
      <c r="I1724" s="10" t="s">
        <v>22</v>
      </c>
      <c r="J1724" s="9" t="str">
        <f t="shared" si="34"/>
        <v>No</v>
      </c>
      <c r="K1724" s="9" t="str">
        <f t="shared" si="33"/>
        <v/>
      </c>
      <c r="L1724" s="9" t="str">
        <f t="shared" si="35"/>
        <v/>
      </c>
      <c r="M1724" s="9"/>
      <c r="O1724" s="9"/>
    </row>
    <row r="1725" ht="15.75" customHeight="1">
      <c r="A1725" s="9" t="str">
        <f>IFERROR(__xludf.DUMMYFUNCTION("IF(B1725="""","""",RIGHT(REGEXREPLACE(B1725&amp;"""",""[^0-9]"",""""),9))"),"775971208")</f>
        <v>775971208</v>
      </c>
      <c r="B1725" s="10">
        <v>7.75971208E8</v>
      </c>
      <c r="C1725" s="10" t="s">
        <v>935</v>
      </c>
      <c r="D1725" s="10" t="s">
        <v>20</v>
      </c>
      <c r="E1725" s="13">
        <v>46228.0</v>
      </c>
      <c r="F1725" s="10" t="s">
        <v>21</v>
      </c>
      <c r="G1725" s="10">
        <v>11.0</v>
      </c>
      <c r="I1725" s="10" t="s">
        <v>22</v>
      </c>
      <c r="J1725" s="9" t="str">
        <f t="shared" si="34"/>
        <v>No</v>
      </c>
      <c r="K1725" s="9" t="str">
        <f t="shared" si="33"/>
        <v/>
      </c>
      <c r="L1725" s="9" t="str">
        <f t="shared" si="35"/>
        <v/>
      </c>
      <c r="M1725" s="9"/>
      <c r="O1725" s="9"/>
    </row>
    <row r="1726" ht="15.75" customHeight="1">
      <c r="A1726" s="9" t="str">
        <f>IFERROR(__xludf.DUMMYFUNCTION("IF(B1726="""","""",RIGHT(REGEXREPLACE(B1726&amp;"""",""[^0-9]"",""""),9))"),"776239958")</f>
        <v>776239958</v>
      </c>
      <c r="B1726" s="48">
        <v>7.76239958E8</v>
      </c>
      <c r="C1726" s="10" t="s">
        <v>1865</v>
      </c>
      <c r="D1726" s="10" t="s">
        <v>50</v>
      </c>
      <c r="E1726" s="13">
        <v>46228.0</v>
      </c>
      <c r="F1726" s="10" t="s">
        <v>35</v>
      </c>
      <c r="G1726" s="10">
        <v>11.0</v>
      </c>
      <c r="I1726" s="10" t="s">
        <v>22</v>
      </c>
      <c r="J1726" s="9" t="str">
        <f t="shared" si="34"/>
        <v>No</v>
      </c>
      <c r="K1726" s="9" t="str">
        <f t="shared" si="33"/>
        <v/>
      </c>
      <c r="L1726" s="9" t="str">
        <f t="shared" si="35"/>
        <v/>
      </c>
      <c r="M1726" s="9"/>
      <c r="O1726" s="9"/>
    </row>
    <row r="1727" ht="15.75" customHeight="1">
      <c r="A1727" s="9" t="str">
        <f>IFERROR(__xludf.DUMMYFUNCTION("IF(B1727="""","""",RIGHT(REGEXREPLACE(B1727&amp;"""",""[^0-9]"",""""),9))"),"775534316")</f>
        <v>775534316</v>
      </c>
      <c r="B1727" s="48">
        <v>7.75534316E8</v>
      </c>
      <c r="C1727" s="10" t="s">
        <v>1866</v>
      </c>
      <c r="D1727" s="10" t="s">
        <v>34</v>
      </c>
      <c r="E1727" s="13">
        <v>46228.0</v>
      </c>
      <c r="F1727" s="10" t="s">
        <v>35</v>
      </c>
      <c r="G1727" s="10">
        <v>10.0</v>
      </c>
      <c r="I1727" s="10" t="s">
        <v>22</v>
      </c>
      <c r="J1727" s="9" t="str">
        <f t="shared" si="34"/>
        <v>No</v>
      </c>
      <c r="K1727" s="9" t="str">
        <f t="shared" si="33"/>
        <v/>
      </c>
      <c r="L1727" s="9" t="str">
        <f t="shared" si="35"/>
        <v/>
      </c>
      <c r="M1727" s="9"/>
      <c r="O1727" s="9"/>
    </row>
    <row r="1728" ht="15.75" customHeight="1">
      <c r="A1728" s="9" t="str">
        <f>IFERROR(__xludf.DUMMYFUNCTION("IF(B1728="""","""",RIGHT(REGEXREPLACE(B1728&amp;"""",""[^0-9]"",""""),9))"),"740320539")</f>
        <v>740320539</v>
      </c>
      <c r="B1728" s="48">
        <v>7.40320539E8</v>
      </c>
      <c r="C1728" s="10" t="s">
        <v>1867</v>
      </c>
      <c r="D1728" s="10" t="s">
        <v>69</v>
      </c>
      <c r="E1728" s="13">
        <v>46228.0</v>
      </c>
      <c r="F1728" s="10" t="s">
        <v>21</v>
      </c>
      <c r="I1728" s="10" t="s">
        <v>22</v>
      </c>
      <c r="J1728" s="9" t="str">
        <f t="shared" si="34"/>
        <v>No</v>
      </c>
      <c r="K1728" s="9" t="str">
        <f t="shared" si="33"/>
        <v/>
      </c>
      <c r="L1728" s="9" t="str">
        <f t="shared" si="35"/>
        <v/>
      </c>
      <c r="M1728" s="9"/>
      <c r="O1728" s="9"/>
    </row>
    <row r="1729" ht="15.75" customHeight="1">
      <c r="A1729" s="9" t="str">
        <f>IFERROR(__xludf.DUMMYFUNCTION("IF(B1729="""","""",RIGHT(REGEXREPLACE(B1729&amp;"""",""[^0-9]"",""""),9))"),"711879931")</f>
        <v>711879931</v>
      </c>
      <c r="B1729" s="48">
        <v>7.11879931E8</v>
      </c>
      <c r="C1729" s="10" t="s">
        <v>1868</v>
      </c>
      <c r="D1729" s="10" t="s">
        <v>120</v>
      </c>
      <c r="E1729" s="13">
        <v>46228.0</v>
      </c>
      <c r="F1729" s="10" t="s">
        <v>35</v>
      </c>
      <c r="G1729" s="10">
        <v>10.0</v>
      </c>
      <c r="I1729" s="10" t="s">
        <v>22</v>
      </c>
      <c r="J1729" s="9" t="str">
        <f t="shared" si="34"/>
        <v>No</v>
      </c>
      <c r="K1729" s="9" t="str">
        <f t="shared" si="33"/>
        <v/>
      </c>
      <c r="L1729" s="9" t="str">
        <f t="shared" si="35"/>
        <v/>
      </c>
      <c r="M1729" s="9"/>
      <c r="O1729" s="9"/>
    </row>
    <row r="1730" ht="15.75" customHeight="1">
      <c r="A1730" s="9" t="str">
        <f>IFERROR(__xludf.DUMMYFUNCTION("IF(B1730="""","""",RIGHT(REGEXREPLACE(B1730&amp;"""",""[^0-9]"",""""),9))"),"704962047")</f>
        <v>704962047</v>
      </c>
      <c r="B1730" s="10">
        <v>7.04962047E8</v>
      </c>
      <c r="C1730" s="10" t="s">
        <v>1869</v>
      </c>
      <c r="D1730" s="10" t="s">
        <v>20</v>
      </c>
      <c r="E1730" s="13">
        <v>46228.0</v>
      </c>
      <c r="F1730" s="10" t="s">
        <v>173</v>
      </c>
      <c r="G1730" s="10">
        <v>11.0</v>
      </c>
      <c r="I1730" s="10" t="s">
        <v>22</v>
      </c>
      <c r="J1730" s="9" t="str">
        <f t="shared" si="34"/>
        <v>No</v>
      </c>
      <c r="K1730" s="9" t="str">
        <f t="shared" si="33"/>
        <v/>
      </c>
      <c r="L1730" s="9" t="str">
        <f t="shared" si="35"/>
        <v/>
      </c>
      <c r="M1730" s="9"/>
      <c r="O1730" s="9"/>
    </row>
    <row r="1731" ht="15.75" customHeight="1">
      <c r="A1731" s="9" t="str">
        <f>IFERROR(__xludf.DUMMYFUNCTION("IF(B1731="""","""",RIGHT(REGEXREPLACE(B1731&amp;"""",""[^0-9]"",""""),9))"),"770822819")</f>
        <v>770822819</v>
      </c>
      <c r="B1731" s="48">
        <v>7.70822819E8</v>
      </c>
      <c r="C1731" s="10" t="s">
        <v>1870</v>
      </c>
      <c r="D1731" s="10" t="s">
        <v>50</v>
      </c>
      <c r="E1731" s="13">
        <v>46228.0</v>
      </c>
      <c r="F1731" s="10" t="s">
        <v>35</v>
      </c>
      <c r="G1731" s="10">
        <v>11.0</v>
      </c>
      <c r="I1731" s="10" t="s">
        <v>22</v>
      </c>
      <c r="J1731" s="9" t="str">
        <f t="shared" si="34"/>
        <v>No</v>
      </c>
      <c r="K1731" s="9" t="str">
        <f t="shared" si="33"/>
        <v/>
      </c>
      <c r="L1731" s="9" t="str">
        <f t="shared" si="35"/>
        <v/>
      </c>
      <c r="M1731" s="9"/>
      <c r="O1731" s="9"/>
    </row>
    <row r="1732" ht="15.75" customHeight="1">
      <c r="A1732" s="9" t="str">
        <f>IFERROR(__xludf.DUMMYFUNCTION("IF(B1732="""","""",RIGHT(REGEXREPLACE(B1732&amp;"""",""[^0-9]"",""""),9))"),"754233267")</f>
        <v>754233267</v>
      </c>
      <c r="B1732" s="10">
        <v>7.54233267E8</v>
      </c>
      <c r="C1732" s="10" t="s">
        <v>1871</v>
      </c>
      <c r="D1732" s="10" t="s">
        <v>20</v>
      </c>
      <c r="E1732" s="13">
        <v>46228.0</v>
      </c>
      <c r="F1732" s="10" t="s">
        <v>604</v>
      </c>
      <c r="I1732" s="10" t="s">
        <v>22</v>
      </c>
      <c r="J1732" s="9" t="str">
        <f t="shared" si="34"/>
        <v>No</v>
      </c>
      <c r="K1732" s="9" t="str">
        <f t="shared" si="33"/>
        <v/>
      </c>
      <c r="L1732" s="9" t="str">
        <f t="shared" si="35"/>
        <v/>
      </c>
      <c r="M1732" s="9"/>
      <c r="O1732" s="9"/>
    </row>
    <row r="1733" ht="15.75" customHeight="1">
      <c r="A1733" s="9" t="str">
        <f>IFERROR(__xludf.DUMMYFUNCTION("IF(B1733="""","""",RIGHT(REGEXREPLACE(B1733&amp;"""",""[^0-9]"",""""),9))"),"764803861")</f>
        <v>764803861</v>
      </c>
      <c r="B1733" s="48">
        <v>7.64803861E8</v>
      </c>
      <c r="C1733" s="10" t="s">
        <v>1872</v>
      </c>
      <c r="D1733" s="10" t="s">
        <v>69</v>
      </c>
      <c r="E1733" s="13">
        <v>46228.0</v>
      </c>
      <c r="F1733" s="10" t="s">
        <v>35</v>
      </c>
      <c r="G1733" s="10">
        <v>11.0</v>
      </c>
      <c r="I1733" s="10" t="s">
        <v>22</v>
      </c>
      <c r="J1733" s="9" t="str">
        <f t="shared" si="34"/>
        <v>No</v>
      </c>
      <c r="K1733" s="9" t="str">
        <f t="shared" si="33"/>
        <v/>
      </c>
      <c r="L1733" s="9" t="str">
        <f t="shared" si="35"/>
        <v/>
      </c>
      <c r="M1733" s="9"/>
      <c r="O1733" s="9"/>
    </row>
    <row r="1734" ht="15.75" customHeight="1">
      <c r="A1734" s="9" t="str">
        <f>IFERROR(__xludf.DUMMYFUNCTION("IF(B1734="""","""",RIGHT(REGEXREPLACE(B1734&amp;"""",""[^0-9]"",""""),9))"),"762395369")</f>
        <v>762395369</v>
      </c>
      <c r="B1734" s="10">
        <v>7.62395369E8</v>
      </c>
      <c r="C1734" s="10" t="s">
        <v>1873</v>
      </c>
      <c r="D1734" s="10" t="s">
        <v>20</v>
      </c>
      <c r="E1734" s="13">
        <v>46228.0</v>
      </c>
      <c r="F1734" s="10" t="s">
        <v>604</v>
      </c>
      <c r="I1734" s="10" t="s">
        <v>22</v>
      </c>
      <c r="J1734" s="9" t="str">
        <f t="shared" si="34"/>
        <v>No</v>
      </c>
      <c r="K1734" s="9" t="str">
        <f t="shared" si="33"/>
        <v/>
      </c>
      <c r="L1734" s="9" t="str">
        <f t="shared" si="35"/>
        <v/>
      </c>
      <c r="M1734" s="9"/>
      <c r="O1734" s="9"/>
    </row>
    <row r="1735" ht="15.75" customHeight="1">
      <c r="A1735" s="9" t="str">
        <f>IFERROR(__xludf.DUMMYFUNCTION("IF(B1735="""","""",RIGHT(REGEXREPLACE(B1735&amp;"""",""[^0-9]"",""""),9))"),"776742548")</f>
        <v>776742548</v>
      </c>
      <c r="B1735" s="48">
        <v>7.76742548E8</v>
      </c>
      <c r="C1735" s="10" t="s">
        <v>1874</v>
      </c>
      <c r="D1735" s="10" t="s">
        <v>50</v>
      </c>
      <c r="E1735" s="13">
        <v>46228.0</v>
      </c>
      <c r="F1735" s="10" t="s">
        <v>35</v>
      </c>
      <c r="G1735" s="10">
        <v>10.0</v>
      </c>
      <c r="I1735" s="10" t="s">
        <v>22</v>
      </c>
      <c r="J1735" s="9" t="str">
        <f t="shared" si="34"/>
        <v>No</v>
      </c>
      <c r="K1735" s="9" t="str">
        <f t="shared" si="33"/>
        <v/>
      </c>
      <c r="L1735" s="9" t="str">
        <f t="shared" si="35"/>
        <v/>
      </c>
      <c r="M1735" s="9"/>
      <c r="O1735" s="9"/>
    </row>
    <row r="1736" ht="15.75" customHeight="1">
      <c r="A1736" s="9" t="str">
        <f>IFERROR(__xludf.DUMMYFUNCTION("IF(B1736="""","""",RIGHT(REGEXREPLACE(B1736&amp;"""",""[^0-9]"",""""),9))"),"718241693")</f>
        <v>718241693</v>
      </c>
      <c r="B1736" s="10">
        <v>7.18241693E8</v>
      </c>
      <c r="C1736" s="10" t="s">
        <v>1875</v>
      </c>
      <c r="D1736" s="10" t="s">
        <v>20</v>
      </c>
      <c r="E1736" s="13">
        <v>46228.0</v>
      </c>
      <c r="F1736" s="10" t="s">
        <v>35</v>
      </c>
      <c r="G1736" s="10">
        <v>9.0</v>
      </c>
      <c r="I1736" s="10" t="s">
        <v>22</v>
      </c>
      <c r="J1736" s="9" t="str">
        <f t="shared" si="34"/>
        <v>No</v>
      </c>
      <c r="K1736" s="9" t="str">
        <f t="shared" si="33"/>
        <v/>
      </c>
      <c r="L1736" s="9" t="str">
        <f t="shared" si="35"/>
        <v/>
      </c>
      <c r="M1736" s="9"/>
      <c r="O1736" s="9"/>
    </row>
    <row r="1737" ht="15.75" customHeight="1">
      <c r="A1737" s="9" t="str">
        <f>IFERROR(__xludf.DUMMYFUNCTION("IF(B1737="""","""",RIGHT(REGEXREPLACE(B1737&amp;"""",""[^0-9]"",""""),9))"),"764410117")</f>
        <v>764410117</v>
      </c>
      <c r="B1737" s="48">
        <v>7.64410117E8</v>
      </c>
      <c r="C1737" s="10" t="s">
        <v>1876</v>
      </c>
      <c r="D1737" s="10" t="s">
        <v>34</v>
      </c>
      <c r="E1737" s="13">
        <v>46228.0</v>
      </c>
      <c r="F1737" s="10" t="s">
        <v>35</v>
      </c>
      <c r="G1737" s="10">
        <v>6.0</v>
      </c>
      <c r="I1737" s="10" t="s">
        <v>22</v>
      </c>
      <c r="J1737" s="9" t="str">
        <f t="shared" si="34"/>
        <v>No</v>
      </c>
      <c r="K1737" s="9" t="str">
        <f t="shared" si="33"/>
        <v/>
      </c>
      <c r="L1737" s="9" t="str">
        <f t="shared" si="35"/>
        <v/>
      </c>
      <c r="M1737" s="9"/>
      <c r="O1737" s="9"/>
    </row>
    <row r="1738" ht="15.75" customHeight="1">
      <c r="A1738" s="9" t="str">
        <f>IFERROR(__xludf.DUMMYFUNCTION("IF(B1738="""","""",RIGHT(REGEXREPLACE(B1738&amp;"""",""[^0-9]"",""""),9))"),"764726964")</f>
        <v>764726964</v>
      </c>
      <c r="B1738" s="48">
        <v>7.64726964E8</v>
      </c>
      <c r="C1738" s="10" t="s">
        <v>1877</v>
      </c>
      <c r="D1738" s="10" t="s">
        <v>34</v>
      </c>
      <c r="E1738" s="13">
        <v>46228.0</v>
      </c>
      <c r="F1738" s="10" t="s">
        <v>21</v>
      </c>
      <c r="I1738" s="10" t="s">
        <v>22</v>
      </c>
      <c r="J1738" s="9" t="str">
        <f t="shared" si="34"/>
        <v>No</v>
      </c>
      <c r="K1738" s="9" t="str">
        <f t="shared" si="33"/>
        <v/>
      </c>
      <c r="L1738" s="9" t="str">
        <f t="shared" si="35"/>
        <v/>
      </c>
      <c r="M1738" s="9"/>
      <c r="O1738" s="9"/>
    </row>
    <row r="1739" ht="15.75" customHeight="1">
      <c r="A1739" s="9" t="str">
        <f>IFERROR(__xludf.DUMMYFUNCTION("IF(B1739="""","""",RIGHT(REGEXREPLACE(B1739&amp;"""",""[^0-9]"",""""),9))"),"705617122")</f>
        <v>705617122</v>
      </c>
      <c r="B1739" s="48">
        <v>7.05617122E8</v>
      </c>
      <c r="C1739" s="10" t="s">
        <v>1878</v>
      </c>
      <c r="D1739" s="10" t="s">
        <v>120</v>
      </c>
      <c r="E1739" s="13">
        <v>46228.0</v>
      </c>
      <c r="F1739" s="10" t="s">
        <v>604</v>
      </c>
      <c r="I1739" s="10" t="s">
        <v>22</v>
      </c>
      <c r="J1739" s="9" t="str">
        <f t="shared" si="34"/>
        <v>No</v>
      </c>
      <c r="K1739" s="9" t="str">
        <f t="shared" si="33"/>
        <v/>
      </c>
      <c r="L1739" s="9" t="str">
        <f t="shared" si="35"/>
        <v/>
      </c>
      <c r="M1739" s="9"/>
      <c r="O1739" s="9"/>
    </row>
    <row r="1740" ht="15.75" customHeight="1">
      <c r="A1740" s="9" t="str">
        <f>IFERROR(__xludf.DUMMYFUNCTION("IF(B1740="""","""",RIGHT(REGEXREPLACE(B1740&amp;"""",""[^0-9]"",""""),9))"),"716115160")</f>
        <v>716115160</v>
      </c>
      <c r="B1740" s="10">
        <v>7.1611516E8</v>
      </c>
      <c r="C1740" s="10" t="s">
        <v>1879</v>
      </c>
      <c r="D1740" s="10" t="s">
        <v>20</v>
      </c>
      <c r="E1740" s="13">
        <v>46228.0</v>
      </c>
      <c r="F1740" s="10" t="s">
        <v>35</v>
      </c>
      <c r="G1740" s="10">
        <v>11.0</v>
      </c>
      <c r="I1740" s="10" t="s">
        <v>22</v>
      </c>
      <c r="J1740" s="9" t="str">
        <f t="shared" si="34"/>
        <v>No</v>
      </c>
      <c r="K1740" s="9" t="str">
        <f t="shared" si="33"/>
        <v/>
      </c>
      <c r="L1740" s="9" t="str">
        <f t="shared" si="35"/>
        <v/>
      </c>
      <c r="M1740" s="9"/>
      <c r="O1740" s="9"/>
    </row>
    <row r="1741" ht="15.75" customHeight="1">
      <c r="A1741" s="9" t="str">
        <f>IFERROR(__xludf.DUMMYFUNCTION("IF(B1741="""","""",RIGHT(REGEXREPLACE(B1741&amp;"""",""[^0-9]"",""""),9))"),"766708760")</f>
        <v>766708760</v>
      </c>
      <c r="B1741" s="48">
        <v>7.6670876E8</v>
      </c>
      <c r="C1741" s="10" t="s">
        <v>1880</v>
      </c>
      <c r="D1741" s="10" t="s">
        <v>50</v>
      </c>
      <c r="E1741" s="13">
        <v>46228.0</v>
      </c>
      <c r="F1741" s="10" t="s">
        <v>35</v>
      </c>
      <c r="G1741" s="10">
        <v>8.0</v>
      </c>
      <c r="I1741" s="10" t="s">
        <v>22</v>
      </c>
      <c r="J1741" s="9" t="str">
        <f t="shared" si="34"/>
        <v>No</v>
      </c>
      <c r="K1741" s="9" t="str">
        <f t="shared" si="33"/>
        <v/>
      </c>
      <c r="L1741" s="9" t="str">
        <f t="shared" si="35"/>
        <v/>
      </c>
      <c r="M1741" s="9"/>
      <c r="O1741" s="9"/>
    </row>
    <row r="1742" ht="15.75" customHeight="1">
      <c r="A1742" s="9" t="str">
        <f>IFERROR(__xludf.DUMMYFUNCTION("IF(B1742="""","""",RIGHT(REGEXREPLACE(B1742&amp;"""",""[^0-9]"",""""),9))"),"742525426")</f>
        <v>742525426</v>
      </c>
      <c r="B1742" s="48">
        <v>7.42525426E8</v>
      </c>
      <c r="C1742" s="10" t="s">
        <v>1881</v>
      </c>
      <c r="D1742" s="10" t="s">
        <v>34</v>
      </c>
      <c r="E1742" s="13">
        <v>46228.0</v>
      </c>
      <c r="F1742" s="10" t="s">
        <v>35</v>
      </c>
      <c r="G1742" s="10">
        <v>11.0</v>
      </c>
      <c r="I1742" s="10" t="s">
        <v>22</v>
      </c>
      <c r="J1742" s="9" t="str">
        <f t="shared" si="34"/>
        <v>No</v>
      </c>
      <c r="K1742" s="9" t="str">
        <f t="shared" si="33"/>
        <v/>
      </c>
      <c r="L1742" s="9" t="str">
        <f t="shared" si="35"/>
        <v/>
      </c>
      <c r="M1742" s="9"/>
      <c r="O1742" s="9"/>
    </row>
    <row r="1743" ht="15.75" customHeight="1">
      <c r="A1743" s="9" t="str">
        <f>IFERROR(__xludf.DUMMYFUNCTION("IF(B1743="""","""",RIGHT(REGEXREPLACE(B1743&amp;"""",""[^0-9]"",""""),9))"),"741339476")</f>
        <v>741339476</v>
      </c>
      <c r="B1743" s="48">
        <v>7.41339476E8</v>
      </c>
      <c r="C1743" s="10" t="s">
        <v>1882</v>
      </c>
      <c r="D1743" s="10" t="s">
        <v>69</v>
      </c>
      <c r="E1743" s="13">
        <v>46228.0</v>
      </c>
      <c r="F1743" s="10" t="s">
        <v>35</v>
      </c>
      <c r="G1743" s="10">
        <v>11.0</v>
      </c>
      <c r="I1743" s="10" t="s">
        <v>22</v>
      </c>
      <c r="J1743" s="9" t="str">
        <f t="shared" si="34"/>
        <v>No</v>
      </c>
      <c r="K1743" s="9" t="str">
        <f t="shared" si="33"/>
        <v/>
      </c>
      <c r="L1743" s="9" t="str">
        <f t="shared" si="35"/>
        <v/>
      </c>
      <c r="M1743" s="9"/>
      <c r="O1743" s="9"/>
    </row>
    <row r="1744" ht="15.75" customHeight="1">
      <c r="A1744" s="9" t="str">
        <f>IFERROR(__xludf.DUMMYFUNCTION("IF(B1744="""","""",RIGHT(REGEXREPLACE(B1744&amp;"""",""[^0-9]"",""""),9))"),"768449723")</f>
        <v>768449723</v>
      </c>
      <c r="B1744" s="48">
        <v>7.68449723E8</v>
      </c>
      <c r="C1744" s="10" t="s">
        <v>1883</v>
      </c>
      <c r="D1744" s="10" t="s">
        <v>120</v>
      </c>
      <c r="E1744" s="13">
        <v>46228.0</v>
      </c>
      <c r="F1744" s="10" t="s">
        <v>21</v>
      </c>
      <c r="I1744" s="10" t="s">
        <v>22</v>
      </c>
      <c r="J1744" s="9" t="str">
        <f t="shared" si="34"/>
        <v>No</v>
      </c>
      <c r="K1744" s="9" t="str">
        <f t="shared" si="33"/>
        <v/>
      </c>
      <c r="L1744" s="9" t="str">
        <f t="shared" si="35"/>
        <v/>
      </c>
      <c r="M1744" s="9"/>
      <c r="O1744" s="9"/>
    </row>
    <row r="1745" ht="15.75" customHeight="1">
      <c r="A1745" s="9" t="str">
        <f>IFERROR(__xludf.DUMMYFUNCTION("IF(B1745="""","""",RIGHT(REGEXREPLACE(B1745&amp;"""",""[^0-9]"",""""),9))"),"771136640")</f>
        <v>771136640</v>
      </c>
      <c r="B1745" s="48">
        <v>7.7113664E8</v>
      </c>
      <c r="C1745" s="10" t="s">
        <v>1884</v>
      </c>
      <c r="D1745" s="10" t="s">
        <v>50</v>
      </c>
      <c r="E1745" s="13">
        <v>46228.0</v>
      </c>
      <c r="F1745" s="10" t="s">
        <v>35</v>
      </c>
      <c r="G1745" s="10">
        <v>11.0</v>
      </c>
      <c r="I1745" s="10" t="s">
        <v>22</v>
      </c>
      <c r="J1745" s="9" t="str">
        <f t="shared" si="34"/>
        <v>No</v>
      </c>
      <c r="K1745" s="9" t="str">
        <f t="shared" si="33"/>
        <v/>
      </c>
      <c r="L1745" s="9" t="str">
        <f t="shared" si="35"/>
        <v/>
      </c>
      <c r="M1745" s="9"/>
      <c r="O1745" s="9"/>
    </row>
    <row r="1746" ht="15.75" customHeight="1">
      <c r="A1746" s="9" t="str">
        <f>IFERROR(__xludf.DUMMYFUNCTION("IF(B1746="""","""",RIGHT(REGEXREPLACE(B1746&amp;"""",""[^0-9]"",""""),9))"),"714733098")</f>
        <v>714733098</v>
      </c>
      <c r="B1746" s="48">
        <v>7.14733098E8</v>
      </c>
      <c r="C1746" s="10" t="s">
        <v>1885</v>
      </c>
      <c r="D1746" s="10" t="s">
        <v>34</v>
      </c>
      <c r="E1746" s="13">
        <v>46228.0</v>
      </c>
      <c r="F1746" s="10" t="s">
        <v>35</v>
      </c>
      <c r="G1746" s="10">
        <v>11.0</v>
      </c>
      <c r="I1746" s="10" t="s">
        <v>22</v>
      </c>
      <c r="J1746" s="9" t="str">
        <f t="shared" si="34"/>
        <v>No</v>
      </c>
      <c r="K1746" s="9" t="str">
        <f t="shared" si="33"/>
        <v/>
      </c>
      <c r="L1746" s="9" t="str">
        <f t="shared" si="35"/>
        <v/>
      </c>
      <c r="M1746" s="9"/>
      <c r="O1746" s="9"/>
    </row>
    <row r="1747" ht="15.75" customHeight="1">
      <c r="A1747" s="9" t="str">
        <f>IFERROR(__xludf.DUMMYFUNCTION("IF(B1747="""","""",RIGHT(REGEXREPLACE(B1747&amp;"""",""[^0-9]"",""""),9))"),"775562617")</f>
        <v>775562617</v>
      </c>
      <c r="B1747" s="10">
        <v>7.75562617E8</v>
      </c>
      <c r="C1747" s="10" t="s">
        <v>1886</v>
      </c>
      <c r="D1747" s="10" t="s">
        <v>20</v>
      </c>
      <c r="E1747" s="13">
        <v>46228.0</v>
      </c>
      <c r="F1747" s="10" t="s">
        <v>21</v>
      </c>
      <c r="G1747" s="10">
        <v>7.0</v>
      </c>
      <c r="I1747" s="10" t="s">
        <v>22</v>
      </c>
      <c r="J1747" s="9" t="str">
        <f t="shared" si="34"/>
        <v>No</v>
      </c>
      <c r="K1747" s="9" t="str">
        <f t="shared" si="33"/>
        <v/>
      </c>
      <c r="L1747" s="9" t="str">
        <f t="shared" si="35"/>
        <v/>
      </c>
      <c r="M1747" s="9"/>
      <c r="O1747" s="9"/>
    </row>
    <row r="1748" ht="15.75" customHeight="1">
      <c r="A1748" s="9" t="str">
        <f>IFERROR(__xludf.DUMMYFUNCTION("IF(B1748="""","""",RIGHT(REGEXREPLACE(B1748&amp;"""",""[^0-9]"",""""),9))"),"777848084")</f>
        <v>777848084</v>
      </c>
      <c r="B1748" s="10">
        <v>7.77848084E8</v>
      </c>
      <c r="C1748" s="10" t="s">
        <v>1887</v>
      </c>
      <c r="D1748" s="10" t="s">
        <v>20</v>
      </c>
      <c r="E1748" s="13">
        <v>46228.0</v>
      </c>
      <c r="F1748" s="10" t="s">
        <v>171</v>
      </c>
      <c r="H1748" s="10" t="s">
        <v>1888</v>
      </c>
      <c r="I1748" s="10" t="s">
        <v>22</v>
      </c>
      <c r="J1748" s="9" t="str">
        <f t="shared" si="34"/>
        <v>No</v>
      </c>
      <c r="K1748" s="9" t="str">
        <f t="shared" si="33"/>
        <v/>
      </c>
      <c r="L1748" s="9" t="str">
        <f t="shared" si="35"/>
        <v/>
      </c>
      <c r="M1748" s="9"/>
      <c r="O1748" s="9"/>
    </row>
    <row r="1749" ht="15.75" customHeight="1">
      <c r="A1749" s="9" t="str">
        <f>IFERROR(__xludf.DUMMYFUNCTION("IF(B1749="""","""",RIGHT(REGEXREPLACE(B1749&amp;"""",""[^0-9]"",""""),9))"),"760557289")</f>
        <v>760557289</v>
      </c>
      <c r="B1749" s="48">
        <v>7.60557289E8</v>
      </c>
      <c r="C1749" s="10" t="s">
        <v>1889</v>
      </c>
      <c r="D1749" s="10" t="s">
        <v>69</v>
      </c>
      <c r="E1749" s="13">
        <v>46228.0</v>
      </c>
      <c r="F1749" s="10" t="s">
        <v>21</v>
      </c>
      <c r="G1749" s="10">
        <v>11.0</v>
      </c>
      <c r="I1749" s="10" t="s">
        <v>22</v>
      </c>
      <c r="J1749" s="9" t="str">
        <f t="shared" si="34"/>
        <v>No</v>
      </c>
      <c r="K1749" s="9" t="str">
        <f t="shared" si="33"/>
        <v/>
      </c>
      <c r="L1749" s="9" t="str">
        <f t="shared" si="35"/>
        <v/>
      </c>
      <c r="M1749" s="9"/>
      <c r="O1749" s="9"/>
    </row>
    <row r="1750" ht="15.75" customHeight="1">
      <c r="A1750" s="9" t="str">
        <f>IFERROR(__xludf.DUMMYFUNCTION("IF(B1750="""","""",RIGHT(REGEXREPLACE(B1750&amp;"""",""[^0-9]"",""""),9))"),"712562009")</f>
        <v>712562009</v>
      </c>
      <c r="B1750" s="10">
        <v>7.12562009E8</v>
      </c>
      <c r="C1750" s="10" t="s">
        <v>1890</v>
      </c>
      <c r="D1750" s="10" t="s">
        <v>20</v>
      </c>
      <c r="E1750" s="13">
        <v>46228.0</v>
      </c>
      <c r="F1750" s="10" t="s">
        <v>21</v>
      </c>
      <c r="G1750" s="10">
        <v>11.0</v>
      </c>
      <c r="I1750" s="10" t="s">
        <v>22</v>
      </c>
      <c r="J1750" s="9" t="str">
        <f t="shared" si="34"/>
        <v>No</v>
      </c>
      <c r="K1750" s="9" t="str">
        <f t="shared" si="33"/>
        <v/>
      </c>
      <c r="L1750" s="9" t="str">
        <f t="shared" si="35"/>
        <v/>
      </c>
      <c r="M1750" s="9"/>
      <c r="O1750" s="9"/>
    </row>
    <row r="1751" ht="15.75" customHeight="1">
      <c r="A1751" s="9" t="str">
        <f>IFERROR(__xludf.DUMMYFUNCTION("IF(B1751="""","""",RIGHT(REGEXREPLACE(B1751&amp;"""",""[^0-9]"",""""),9))"),"706717282")</f>
        <v>706717282</v>
      </c>
      <c r="B1751" s="48">
        <v>7.06717282E8</v>
      </c>
      <c r="C1751" s="10" t="s">
        <v>1891</v>
      </c>
      <c r="D1751" s="10" t="s">
        <v>120</v>
      </c>
      <c r="E1751" s="13">
        <v>46228.0</v>
      </c>
      <c r="F1751" s="10" t="s">
        <v>35</v>
      </c>
      <c r="G1751" s="10">
        <v>11.0</v>
      </c>
      <c r="I1751" s="10" t="s">
        <v>22</v>
      </c>
      <c r="J1751" s="9" t="str">
        <f t="shared" si="34"/>
        <v>No</v>
      </c>
      <c r="K1751" s="9" t="str">
        <f t="shared" si="33"/>
        <v/>
      </c>
      <c r="L1751" s="9" t="str">
        <f t="shared" si="35"/>
        <v/>
      </c>
      <c r="M1751" s="9"/>
      <c r="O1751" s="9"/>
    </row>
    <row r="1752" ht="15.75" customHeight="1">
      <c r="A1752" s="9" t="str">
        <f>IFERROR(__xludf.DUMMYFUNCTION("IF(B1752="""","""",RIGHT(REGEXREPLACE(B1752&amp;"""",""[^0-9]"",""""),9))"),"782970787")</f>
        <v>782970787</v>
      </c>
      <c r="B1752" s="48">
        <v>7.82970787E8</v>
      </c>
      <c r="C1752" s="10" t="s">
        <v>1892</v>
      </c>
      <c r="D1752" s="10" t="s">
        <v>50</v>
      </c>
      <c r="E1752" s="13">
        <v>46228.0</v>
      </c>
      <c r="F1752" s="10" t="s">
        <v>198</v>
      </c>
      <c r="I1752" s="10" t="s">
        <v>22</v>
      </c>
      <c r="J1752" s="9" t="str">
        <f t="shared" si="34"/>
        <v>No</v>
      </c>
      <c r="K1752" s="9" t="str">
        <f t="shared" si="33"/>
        <v/>
      </c>
      <c r="L1752" s="9" t="str">
        <f t="shared" si="35"/>
        <v/>
      </c>
      <c r="M1752" s="9"/>
      <c r="O1752" s="9"/>
    </row>
    <row r="1753" ht="15.75" customHeight="1">
      <c r="A1753" s="9" t="str">
        <f>IFERROR(__xludf.DUMMYFUNCTION("IF(B1753="""","""",RIGHT(REGEXREPLACE(B1753&amp;"""",""[^0-9]"",""""),9))"),"775087278")</f>
        <v>775087278</v>
      </c>
      <c r="B1753" s="48">
        <v>7.75087278E8</v>
      </c>
      <c r="C1753" s="10" t="s">
        <v>1893</v>
      </c>
      <c r="D1753" s="10" t="s">
        <v>34</v>
      </c>
      <c r="E1753" s="13">
        <v>46228.0</v>
      </c>
      <c r="F1753" s="10" t="s">
        <v>35</v>
      </c>
      <c r="G1753" s="10">
        <v>11.0</v>
      </c>
      <c r="I1753" s="10" t="s">
        <v>22</v>
      </c>
      <c r="J1753" s="9" t="str">
        <f t="shared" si="34"/>
        <v>No</v>
      </c>
      <c r="K1753" s="9" t="str">
        <f t="shared" si="33"/>
        <v/>
      </c>
      <c r="L1753" s="9" t="str">
        <f t="shared" si="35"/>
        <v/>
      </c>
      <c r="M1753" s="9"/>
      <c r="O1753" s="9"/>
    </row>
    <row r="1754" ht="15.75" customHeight="1">
      <c r="A1754" s="9" t="str">
        <f>IFERROR(__xludf.DUMMYFUNCTION("IF(B1754="""","""",RIGHT(REGEXREPLACE(B1754&amp;"""",""[^0-9]"",""""),9))"),"779070944")</f>
        <v>779070944</v>
      </c>
      <c r="B1754" s="48">
        <v>7.79070944E8</v>
      </c>
      <c r="C1754" s="10" t="s">
        <v>1894</v>
      </c>
      <c r="D1754" s="10" t="s">
        <v>34</v>
      </c>
      <c r="E1754" s="13">
        <v>46228.0</v>
      </c>
      <c r="F1754" s="10" t="s">
        <v>35</v>
      </c>
      <c r="G1754" s="10">
        <v>11.0</v>
      </c>
      <c r="I1754" s="10" t="s">
        <v>22</v>
      </c>
      <c r="J1754" s="9" t="str">
        <f t="shared" si="34"/>
        <v>No</v>
      </c>
      <c r="K1754" s="9" t="str">
        <f t="shared" si="33"/>
        <v/>
      </c>
      <c r="L1754" s="9" t="str">
        <f t="shared" si="35"/>
        <v/>
      </c>
      <c r="M1754" s="9"/>
      <c r="O1754" s="9"/>
    </row>
    <row r="1755" ht="15.75" customHeight="1">
      <c r="A1755" s="9" t="str">
        <f>IFERROR(__xludf.DUMMYFUNCTION("IF(B1755="""","""",RIGHT(REGEXREPLACE(B1755&amp;"""",""[^0-9]"",""""),9))"),"754493498")</f>
        <v>754493498</v>
      </c>
      <c r="B1755" s="48">
        <v>7.54493498E8</v>
      </c>
      <c r="C1755" s="10" t="s">
        <v>1895</v>
      </c>
      <c r="D1755" s="10" t="s">
        <v>50</v>
      </c>
      <c r="E1755" s="13">
        <v>46228.0</v>
      </c>
      <c r="F1755" s="10" t="s">
        <v>35</v>
      </c>
      <c r="G1755" s="10">
        <v>11.0</v>
      </c>
      <c r="I1755" s="10" t="s">
        <v>22</v>
      </c>
      <c r="J1755" s="9" t="str">
        <f t="shared" si="34"/>
        <v>No</v>
      </c>
      <c r="K1755" s="9" t="str">
        <f t="shared" si="33"/>
        <v/>
      </c>
      <c r="L1755" s="9" t="str">
        <f t="shared" si="35"/>
        <v/>
      </c>
      <c r="M1755" s="9"/>
      <c r="O1755" s="9"/>
    </row>
    <row r="1756" ht="15.75" customHeight="1">
      <c r="A1756" s="9" t="str">
        <f>IFERROR(__xludf.DUMMYFUNCTION("IF(B1756="""","""",RIGHT(REGEXREPLACE(B1756&amp;"""",""[^0-9]"",""""),9))"),"768207130")</f>
        <v>768207130</v>
      </c>
      <c r="B1756" s="48">
        <v>7.6820713E8</v>
      </c>
      <c r="C1756" s="10" t="s">
        <v>1896</v>
      </c>
      <c r="D1756" s="10" t="s">
        <v>69</v>
      </c>
      <c r="E1756" s="13">
        <v>46228.0</v>
      </c>
      <c r="F1756" s="10" t="s">
        <v>35</v>
      </c>
      <c r="G1756" s="10">
        <v>11.0</v>
      </c>
      <c r="I1756" s="10" t="s">
        <v>22</v>
      </c>
      <c r="J1756" s="9" t="str">
        <f t="shared" si="34"/>
        <v>No</v>
      </c>
      <c r="K1756" s="9" t="str">
        <f t="shared" si="33"/>
        <v/>
      </c>
      <c r="L1756" s="9" t="str">
        <f t="shared" si="35"/>
        <v/>
      </c>
      <c r="M1756" s="9"/>
      <c r="O1756" s="9"/>
    </row>
    <row r="1757" ht="15.75" customHeight="1">
      <c r="A1757" s="9" t="str">
        <f>IFERROR(__xludf.DUMMYFUNCTION("IF(B1757="""","""",RIGHT(REGEXREPLACE(B1757&amp;"""",""[^0-9]"",""""),9))"),"779591992")</f>
        <v>779591992</v>
      </c>
      <c r="B1757" s="48">
        <v>7.79591992E8</v>
      </c>
      <c r="C1757" s="10" t="s">
        <v>1897</v>
      </c>
      <c r="D1757" s="10" t="s">
        <v>34</v>
      </c>
      <c r="E1757" s="13">
        <v>46228.0</v>
      </c>
      <c r="F1757" s="10" t="s">
        <v>21</v>
      </c>
      <c r="G1757" s="10">
        <v>11.0</v>
      </c>
      <c r="I1757" s="10" t="s">
        <v>22</v>
      </c>
      <c r="J1757" s="9" t="str">
        <f t="shared" si="34"/>
        <v>No</v>
      </c>
      <c r="K1757" s="9" t="str">
        <f t="shared" si="33"/>
        <v/>
      </c>
      <c r="L1757" s="9" t="str">
        <f t="shared" si="35"/>
        <v/>
      </c>
      <c r="M1757" s="9"/>
      <c r="O1757" s="9"/>
    </row>
    <row r="1758" ht="15.75" customHeight="1">
      <c r="A1758" s="9" t="str">
        <f>IFERROR(__xludf.DUMMYFUNCTION("IF(B1758="""","""",RIGHT(REGEXREPLACE(B1758&amp;"""",""[^0-9]"",""""),9))"),"741214864")</f>
        <v>741214864</v>
      </c>
      <c r="B1758" s="48">
        <v>7.41214864E8</v>
      </c>
      <c r="C1758" s="10" t="s">
        <v>1898</v>
      </c>
      <c r="D1758" s="10" t="s">
        <v>120</v>
      </c>
      <c r="E1758" s="13">
        <v>46228.0</v>
      </c>
      <c r="F1758" s="10" t="s">
        <v>21</v>
      </c>
      <c r="I1758" s="10" t="s">
        <v>22</v>
      </c>
      <c r="J1758" s="9" t="str">
        <f t="shared" si="34"/>
        <v>No</v>
      </c>
      <c r="K1758" s="9" t="str">
        <f t="shared" si="33"/>
        <v/>
      </c>
      <c r="L1758" s="9" t="str">
        <f t="shared" si="35"/>
        <v/>
      </c>
      <c r="M1758" s="9"/>
      <c r="O1758" s="9"/>
    </row>
    <row r="1759" ht="15.75" customHeight="1">
      <c r="A1759" s="9" t="str">
        <f>IFERROR(__xludf.DUMMYFUNCTION("IF(B1759="""","""",RIGHT(REGEXREPLACE(B1759&amp;"""",""[^0-9]"",""""),9))"),"761800791")</f>
        <v>761800791</v>
      </c>
      <c r="B1759" s="10">
        <v>7.61800791E8</v>
      </c>
      <c r="C1759" s="10" t="s">
        <v>1899</v>
      </c>
      <c r="D1759" s="10" t="s">
        <v>20</v>
      </c>
      <c r="E1759" s="13">
        <v>46228.0</v>
      </c>
      <c r="F1759" s="10" t="s">
        <v>171</v>
      </c>
      <c r="I1759" s="10" t="s">
        <v>22</v>
      </c>
      <c r="J1759" s="9" t="str">
        <f t="shared" si="34"/>
        <v>No</v>
      </c>
      <c r="K1759" s="9" t="str">
        <f t="shared" si="33"/>
        <v/>
      </c>
      <c r="L1759" s="9" t="str">
        <f t="shared" si="35"/>
        <v/>
      </c>
      <c r="M1759" s="9"/>
      <c r="O1759" s="9"/>
    </row>
    <row r="1760" ht="15.75" customHeight="1">
      <c r="A1760" s="9" t="str">
        <f>IFERROR(__xludf.DUMMYFUNCTION("IF(B1760="""","""",RIGHT(REGEXREPLACE(B1760&amp;"""",""[^0-9]"",""""),9))"),"778081019")</f>
        <v>778081019</v>
      </c>
      <c r="B1760" s="48">
        <v>7.78081019E8</v>
      </c>
      <c r="C1760" s="10" t="s">
        <v>1900</v>
      </c>
      <c r="D1760" s="10" t="s">
        <v>120</v>
      </c>
      <c r="E1760" s="13">
        <v>46228.0</v>
      </c>
      <c r="F1760" s="10" t="s">
        <v>35</v>
      </c>
      <c r="G1760" s="10">
        <v>11.0</v>
      </c>
      <c r="I1760" s="10" t="s">
        <v>22</v>
      </c>
      <c r="J1760" s="9" t="str">
        <f t="shared" si="34"/>
        <v>No</v>
      </c>
      <c r="K1760" s="9" t="str">
        <f t="shared" si="33"/>
        <v/>
      </c>
      <c r="L1760" s="9" t="str">
        <f t="shared" si="35"/>
        <v/>
      </c>
      <c r="M1760" s="9"/>
      <c r="O1760" s="9"/>
    </row>
    <row r="1761" ht="15.75" customHeight="1">
      <c r="A1761" s="9" t="str">
        <f>IFERROR(__xludf.DUMMYFUNCTION("IF(B1761="""","""",RIGHT(REGEXREPLACE(B1761&amp;"""",""[^0-9]"",""""),9))"),"769013727")</f>
        <v>769013727</v>
      </c>
      <c r="B1761" s="48">
        <v>7.69013727E8</v>
      </c>
      <c r="C1761" s="10" t="s">
        <v>1901</v>
      </c>
      <c r="D1761" s="10" t="s">
        <v>50</v>
      </c>
      <c r="E1761" s="13">
        <v>46228.0</v>
      </c>
      <c r="F1761" s="10" t="s">
        <v>21</v>
      </c>
      <c r="G1761" s="10">
        <v>11.0</v>
      </c>
      <c r="I1761" s="10" t="s">
        <v>22</v>
      </c>
      <c r="J1761" s="9" t="str">
        <f t="shared" si="34"/>
        <v>No</v>
      </c>
      <c r="K1761" s="9" t="str">
        <f t="shared" si="33"/>
        <v/>
      </c>
      <c r="L1761" s="9" t="str">
        <f t="shared" si="35"/>
        <v/>
      </c>
      <c r="M1761" s="9"/>
      <c r="O1761" s="9"/>
    </row>
    <row r="1762" ht="15.75" customHeight="1">
      <c r="A1762" s="9" t="str">
        <f>IFERROR(__xludf.DUMMYFUNCTION("IF(B1762="""","""",RIGHT(REGEXREPLACE(B1762&amp;"""",""[^0-9]"",""""),9))"),"742181312")</f>
        <v>742181312</v>
      </c>
      <c r="B1762" s="48">
        <v>7.42181312E8</v>
      </c>
      <c r="C1762" s="10" t="s">
        <v>1902</v>
      </c>
      <c r="D1762" s="10" t="s">
        <v>34</v>
      </c>
      <c r="E1762" s="13">
        <v>46228.0</v>
      </c>
      <c r="F1762" s="10" t="s">
        <v>198</v>
      </c>
      <c r="G1762" s="10">
        <v>11.0</v>
      </c>
      <c r="I1762" s="10" t="s">
        <v>22</v>
      </c>
      <c r="J1762" s="9" t="str">
        <f t="shared" si="34"/>
        <v>No</v>
      </c>
      <c r="K1762" s="9" t="str">
        <f t="shared" si="33"/>
        <v/>
      </c>
      <c r="L1762" s="9" t="str">
        <f t="shared" si="35"/>
        <v/>
      </c>
      <c r="M1762" s="9"/>
      <c r="O1762" s="9"/>
    </row>
    <row r="1763" ht="15.75" customHeight="1">
      <c r="A1763" s="9" t="str">
        <f>IFERROR(__xludf.DUMMYFUNCTION("IF(B1763="""","""",RIGHT(REGEXREPLACE(B1763&amp;"""",""[^0-9]"",""""),9))"),"787413246")</f>
        <v>787413246</v>
      </c>
      <c r="B1763" s="48">
        <v>7.87413246E8</v>
      </c>
      <c r="C1763" s="10" t="s">
        <v>1314</v>
      </c>
      <c r="D1763" s="10" t="s">
        <v>69</v>
      </c>
      <c r="E1763" s="13">
        <v>46228.0</v>
      </c>
      <c r="F1763" s="10" t="s">
        <v>35</v>
      </c>
      <c r="G1763" s="10">
        <v>11.0</v>
      </c>
      <c r="I1763" s="10" t="s">
        <v>22</v>
      </c>
      <c r="J1763" s="9" t="str">
        <f t="shared" si="34"/>
        <v>No</v>
      </c>
      <c r="K1763" s="9" t="str">
        <f t="shared" si="33"/>
        <v/>
      </c>
      <c r="L1763" s="9" t="str">
        <f t="shared" si="35"/>
        <v/>
      </c>
      <c r="M1763" s="9"/>
      <c r="O1763" s="9"/>
    </row>
    <row r="1764" ht="15.75" customHeight="1">
      <c r="A1764" s="9" t="str">
        <f>IFERROR(__xludf.DUMMYFUNCTION("IF(B1764="""","""",RIGHT(REGEXREPLACE(B1764&amp;"""",""[^0-9]"",""""),9))"),"769789850")</f>
        <v>769789850</v>
      </c>
      <c r="B1764" s="48">
        <v>7.6978985E8</v>
      </c>
      <c r="C1764" s="10" t="s">
        <v>1903</v>
      </c>
      <c r="D1764" s="10" t="s">
        <v>34</v>
      </c>
      <c r="E1764" s="13">
        <v>46228.0</v>
      </c>
      <c r="F1764" s="10" t="s">
        <v>35</v>
      </c>
      <c r="G1764" s="10">
        <v>11.0</v>
      </c>
      <c r="I1764" s="10" t="s">
        <v>22</v>
      </c>
      <c r="J1764" s="9" t="str">
        <f t="shared" si="34"/>
        <v>No</v>
      </c>
      <c r="K1764" s="9" t="str">
        <f t="shared" si="33"/>
        <v/>
      </c>
      <c r="L1764" s="9" t="str">
        <f t="shared" si="35"/>
        <v/>
      </c>
      <c r="M1764" s="9"/>
      <c r="O1764" s="9"/>
    </row>
    <row r="1765" ht="15.75" customHeight="1">
      <c r="A1765" s="9" t="str">
        <f>IFERROR(__xludf.DUMMYFUNCTION("IF(B1765="""","""",RIGHT(REGEXREPLACE(B1765&amp;"""",""[^0-9]"",""""),9))"),"710839251")</f>
        <v>710839251</v>
      </c>
      <c r="B1765" s="48">
        <v>7.10839251E8</v>
      </c>
      <c r="C1765" s="10" t="s">
        <v>1904</v>
      </c>
      <c r="D1765" s="10" t="s">
        <v>69</v>
      </c>
      <c r="E1765" s="13">
        <v>46228.0</v>
      </c>
      <c r="F1765" s="10" t="s">
        <v>35</v>
      </c>
      <c r="G1765" s="10">
        <v>10.0</v>
      </c>
      <c r="I1765" s="10" t="s">
        <v>22</v>
      </c>
      <c r="J1765" s="9" t="str">
        <f t="shared" si="34"/>
        <v>No</v>
      </c>
      <c r="K1765" s="9" t="str">
        <f t="shared" si="33"/>
        <v/>
      </c>
      <c r="L1765" s="9" t="str">
        <f t="shared" si="35"/>
        <v/>
      </c>
      <c r="M1765" s="9"/>
      <c r="O1765" s="9"/>
    </row>
    <row r="1766" ht="15.75" customHeight="1">
      <c r="A1766" s="9" t="str">
        <f>IFERROR(__xludf.DUMMYFUNCTION("IF(B1766="""","""",RIGHT(REGEXREPLACE(B1766&amp;"""",""[^0-9]"",""""),9))"),"783172007")</f>
        <v>783172007</v>
      </c>
      <c r="B1766" s="48">
        <v>7.83172007E8</v>
      </c>
      <c r="C1766" s="10" t="s">
        <v>1905</v>
      </c>
      <c r="D1766" s="10" t="s">
        <v>50</v>
      </c>
      <c r="E1766" s="13">
        <v>46228.0</v>
      </c>
      <c r="F1766" s="10" t="s">
        <v>604</v>
      </c>
      <c r="G1766" s="10">
        <v>11.0</v>
      </c>
      <c r="I1766" s="10" t="s">
        <v>22</v>
      </c>
      <c r="J1766" s="9" t="str">
        <f t="shared" si="34"/>
        <v>No</v>
      </c>
      <c r="K1766" s="9" t="str">
        <f t="shared" si="33"/>
        <v/>
      </c>
      <c r="L1766" s="9" t="str">
        <f t="shared" si="35"/>
        <v/>
      </c>
      <c r="M1766" s="9"/>
      <c r="O1766" s="9"/>
    </row>
    <row r="1767" ht="15.75" customHeight="1">
      <c r="A1767" s="9" t="str">
        <f>IFERROR(__xludf.DUMMYFUNCTION("IF(B1767="""","""",RIGHT(REGEXREPLACE(B1767&amp;"""",""[^0-9]"",""""),9))"),"786571922")</f>
        <v>786571922</v>
      </c>
      <c r="B1767" s="48">
        <v>7.86571922E8</v>
      </c>
      <c r="C1767" s="10" t="s">
        <v>1906</v>
      </c>
      <c r="D1767" s="10" t="s">
        <v>50</v>
      </c>
      <c r="E1767" s="13">
        <v>46228.0</v>
      </c>
      <c r="F1767" s="10" t="s">
        <v>21</v>
      </c>
      <c r="G1767" s="10">
        <v>11.0</v>
      </c>
      <c r="I1767" s="10" t="s">
        <v>22</v>
      </c>
      <c r="J1767" s="9" t="str">
        <f t="shared" si="34"/>
        <v>No</v>
      </c>
      <c r="K1767" s="9" t="str">
        <f t="shared" si="33"/>
        <v/>
      </c>
      <c r="L1767" s="9" t="str">
        <f t="shared" si="35"/>
        <v/>
      </c>
      <c r="M1767" s="9"/>
      <c r="O1767" s="9"/>
    </row>
    <row r="1768" ht="15.75" customHeight="1">
      <c r="A1768" s="9" t="str">
        <f>IFERROR(__xludf.DUMMYFUNCTION("IF(B1768="""","""",RIGHT(REGEXREPLACE(B1768&amp;"""",""[^0-9]"",""""),9))"),"742983084")</f>
        <v>742983084</v>
      </c>
      <c r="B1768" s="48">
        <v>7.42983084E8</v>
      </c>
      <c r="C1768" s="10" t="s">
        <v>1907</v>
      </c>
      <c r="D1768" s="10" t="s">
        <v>120</v>
      </c>
      <c r="E1768" s="13">
        <v>46228.0</v>
      </c>
      <c r="F1768" s="10" t="s">
        <v>21</v>
      </c>
      <c r="G1768" s="10">
        <v>11.0</v>
      </c>
      <c r="I1768" s="10" t="s">
        <v>22</v>
      </c>
      <c r="J1768" s="9" t="str">
        <f t="shared" si="34"/>
        <v>No</v>
      </c>
      <c r="K1768" s="9" t="str">
        <f t="shared" si="33"/>
        <v/>
      </c>
      <c r="L1768" s="9" t="str">
        <f t="shared" si="35"/>
        <v/>
      </c>
      <c r="M1768" s="9"/>
      <c r="O1768" s="9"/>
    </row>
    <row r="1769" ht="15.75" customHeight="1">
      <c r="A1769" s="9" t="str">
        <f>IFERROR(__xludf.DUMMYFUNCTION("IF(B1769="""","""",RIGHT(REGEXREPLACE(B1769&amp;"""",""[^0-9]"",""""),9))"),"781037909")</f>
        <v>781037909</v>
      </c>
      <c r="B1769" s="48">
        <v>7.81037909E8</v>
      </c>
      <c r="C1769" s="10" t="s">
        <v>1908</v>
      </c>
      <c r="D1769" s="10" t="s">
        <v>34</v>
      </c>
      <c r="E1769" s="13">
        <v>46228.0</v>
      </c>
      <c r="F1769" s="10" t="s">
        <v>113</v>
      </c>
      <c r="G1769" s="10">
        <v>11.0</v>
      </c>
      <c r="I1769" s="10" t="s">
        <v>22</v>
      </c>
      <c r="J1769" s="9" t="str">
        <f t="shared" si="34"/>
        <v>No</v>
      </c>
      <c r="K1769" s="9" t="str">
        <f t="shared" si="33"/>
        <v/>
      </c>
      <c r="L1769" s="9" t="str">
        <f t="shared" si="35"/>
        <v/>
      </c>
      <c r="M1769" s="9"/>
      <c r="O1769" s="9"/>
    </row>
    <row r="1770" ht="15.75" customHeight="1">
      <c r="A1770" s="9" t="str">
        <f>IFERROR(__xludf.DUMMYFUNCTION("IF(B1770="""","""",RIGHT(REGEXREPLACE(B1770&amp;"""",""[^0-9]"",""""),9))"),"767277396")</f>
        <v>767277396</v>
      </c>
      <c r="B1770" s="48">
        <v>7.67277396E8</v>
      </c>
      <c r="C1770" s="10" t="s">
        <v>1909</v>
      </c>
      <c r="D1770" s="10" t="s">
        <v>50</v>
      </c>
      <c r="E1770" s="13">
        <v>46228.0</v>
      </c>
      <c r="F1770" s="10" t="s">
        <v>171</v>
      </c>
      <c r="G1770" s="10">
        <v>7.0</v>
      </c>
      <c r="I1770" s="10" t="s">
        <v>22</v>
      </c>
      <c r="J1770" s="9" t="str">
        <f t="shared" si="34"/>
        <v>No</v>
      </c>
      <c r="K1770" s="9" t="str">
        <f t="shared" si="33"/>
        <v/>
      </c>
      <c r="L1770" s="9" t="str">
        <f t="shared" si="35"/>
        <v/>
      </c>
      <c r="M1770" s="9"/>
      <c r="O1770" s="9"/>
    </row>
    <row r="1771" ht="15.75" customHeight="1">
      <c r="A1771" s="9" t="str">
        <f>IFERROR(__xludf.DUMMYFUNCTION("IF(B1771="""","""",RIGHT(REGEXREPLACE(B1771&amp;"""",""[^0-9]"",""""),9))"),"714774125")</f>
        <v>714774125</v>
      </c>
      <c r="B1771" s="48">
        <v>7.14774125E8</v>
      </c>
      <c r="C1771" s="10" t="s">
        <v>1910</v>
      </c>
      <c r="D1771" s="10" t="s">
        <v>34</v>
      </c>
      <c r="E1771" s="13">
        <v>46228.0</v>
      </c>
      <c r="F1771" s="10" t="s">
        <v>21</v>
      </c>
      <c r="I1771" s="10" t="s">
        <v>22</v>
      </c>
      <c r="J1771" s="9" t="str">
        <f t="shared" si="34"/>
        <v>No</v>
      </c>
      <c r="K1771" s="9" t="str">
        <f t="shared" si="33"/>
        <v/>
      </c>
      <c r="L1771" s="9" t="str">
        <f t="shared" si="35"/>
        <v/>
      </c>
      <c r="M1771" s="9"/>
      <c r="O1771" s="9"/>
    </row>
    <row r="1772" ht="15.75" customHeight="1">
      <c r="A1772" s="9" t="str">
        <f>IFERROR(__xludf.DUMMYFUNCTION("IF(B1772="""","""",RIGHT(REGEXREPLACE(B1772&amp;"""",""[^0-9]"",""""),9))"),"773054675")</f>
        <v>773054675</v>
      </c>
      <c r="B1772" s="48">
        <v>7.73054675E8</v>
      </c>
      <c r="C1772" s="10" t="s">
        <v>1911</v>
      </c>
      <c r="D1772" s="10" t="s">
        <v>50</v>
      </c>
      <c r="E1772" s="13">
        <v>46228.0</v>
      </c>
      <c r="F1772" s="10" t="s">
        <v>35</v>
      </c>
      <c r="G1772" s="10">
        <v>11.0</v>
      </c>
      <c r="I1772" s="10" t="s">
        <v>22</v>
      </c>
      <c r="J1772" s="9" t="str">
        <f t="shared" si="34"/>
        <v>No</v>
      </c>
      <c r="K1772" s="9" t="str">
        <f t="shared" si="33"/>
        <v/>
      </c>
      <c r="L1772" s="9" t="str">
        <f t="shared" si="35"/>
        <v/>
      </c>
      <c r="M1772" s="9"/>
      <c r="O1772" s="9"/>
    </row>
    <row r="1773" ht="15.75" customHeight="1">
      <c r="A1773" s="9" t="str">
        <f>IFERROR(__xludf.DUMMYFUNCTION("IF(B1773="""","""",RIGHT(REGEXREPLACE(B1773&amp;"""",""[^0-9]"",""""),9))"),"783337789")</f>
        <v>783337789</v>
      </c>
      <c r="B1773" s="48">
        <v>7.83337789E8</v>
      </c>
      <c r="C1773" s="10" t="s">
        <v>1912</v>
      </c>
      <c r="D1773" s="10" t="s">
        <v>120</v>
      </c>
      <c r="E1773" s="13">
        <v>46228.0</v>
      </c>
      <c r="F1773" s="10" t="s">
        <v>35</v>
      </c>
      <c r="G1773" s="10">
        <v>11.0</v>
      </c>
      <c r="I1773" s="10" t="s">
        <v>22</v>
      </c>
      <c r="J1773" s="9" t="str">
        <f t="shared" si="34"/>
        <v>No</v>
      </c>
      <c r="K1773" s="9" t="str">
        <f t="shared" si="33"/>
        <v/>
      </c>
      <c r="L1773" s="9" t="str">
        <f t="shared" si="35"/>
        <v/>
      </c>
      <c r="M1773" s="9"/>
      <c r="O1773" s="9"/>
    </row>
    <row r="1774" ht="15.75" customHeight="1">
      <c r="A1774" s="9" t="str">
        <f>IFERROR(__xludf.DUMMYFUNCTION("IF(B1774="""","""",RIGHT(REGEXREPLACE(B1774&amp;"""",""[^0-9]"",""""),9))"),"762453425")</f>
        <v>762453425</v>
      </c>
      <c r="B1774" s="10">
        <v>7.62453425E8</v>
      </c>
      <c r="C1774" s="10" t="s">
        <v>1913</v>
      </c>
      <c r="D1774" s="10" t="s">
        <v>20</v>
      </c>
      <c r="E1774" s="13">
        <v>46228.0</v>
      </c>
      <c r="F1774" s="10" t="s">
        <v>198</v>
      </c>
      <c r="I1774" s="10" t="s">
        <v>22</v>
      </c>
      <c r="J1774" s="9" t="str">
        <f t="shared" si="34"/>
        <v>No</v>
      </c>
      <c r="K1774" s="9" t="str">
        <f t="shared" si="33"/>
        <v/>
      </c>
      <c r="L1774" s="9" t="str">
        <f t="shared" si="35"/>
        <v/>
      </c>
      <c r="M1774" s="9"/>
      <c r="O1774" s="9"/>
    </row>
    <row r="1775" ht="15.75" customHeight="1">
      <c r="A1775" s="9" t="str">
        <f>IFERROR(__xludf.DUMMYFUNCTION("IF(B1775="""","""",RIGHT(REGEXREPLACE(B1775&amp;"""",""[^0-9]"",""""),9))"),"718104634")</f>
        <v>718104634</v>
      </c>
      <c r="B1775" s="48">
        <v>7.18104634E8</v>
      </c>
      <c r="C1775" s="10" t="s">
        <v>1914</v>
      </c>
      <c r="D1775" s="10" t="s">
        <v>50</v>
      </c>
      <c r="E1775" s="13">
        <v>46228.0</v>
      </c>
      <c r="F1775" s="10" t="s">
        <v>21</v>
      </c>
      <c r="G1775" s="10">
        <v>10.0</v>
      </c>
      <c r="I1775" s="10" t="s">
        <v>22</v>
      </c>
      <c r="J1775" s="9" t="str">
        <f t="shared" si="34"/>
        <v>No</v>
      </c>
      <c r="K1775" s="9" t="str">
        <f t="shared" si="33"/>
        <v/>
      </c>
      <c r="L1775" s="9" t="str">
        <f t="shared" si="35"/>
        <v/>
      </c>
      <c r="M1775" s="9"/>
      <c r="O1775" s="9"/>
    </row>
    <row r="1776" ht="15.75" customHeight="1">
      <c r="A1776" s="9" t="str">
        <f>IFERROR(__xludf.DUMMYFUNCTION("IF(B1776="""","""",RIGHT(REGEXREPLACE(B1776&amp;"""",""[^0-9]"",""""),9))"),"763153055")</f>
        <v>763153055</v>
      </c>
      <c r="B1776" s="48">
        <v>7.63153055E8</v>
      </c>
      <c r="C1776" s="10" t="s">
        <v>1915</v>
      </c>
      <c r="D1776" s="10" t="s">
        <v>34</v>
      </c>
      <c r="E1776" s="13">
        <v>46228.0</v>
      </c>
      <c r="F1776" s="10" t="s">
        <v>35</v>
      </c>
      <c r="G1776" s="10">
        <v>11.0</v>
      </c>
      <c r="H1776" s="10" t="s">
        <v>1916</v>
      </c>
      <c r="I1776" s="10" t="s">
        <v>22</v>
      </c>
      <c r="J1776" s="9" t="str">
        <f t="shared" si="34"/>
        <v>No</v>
      </c>
      <c r="K1776" s="9" t="str">
        <f t="shared" si="33"/>
        <v/>
      </c>
      <c r="L1776" s="9" t="str">
        <f t="shared" si="35"/>
        <v/>
      </c>
      <c r="M1776" s="9"/>
      <c r="O1776" s="9"/>
    </row>
    <row r="1777" ht="15.75" customHeight="1">
      <c r="A1777" s="9" t="str">
        <f>IFERROR(__xludf.DUMMYFUNCTION("IF(B1777="""","""",RIGHT(REGEXREPLACE(B1777&amp;"""",""[^0-9]"",""""),9))"),"714288563")</f>
        <v>714288563</v>
      </c>
      <c r="B1777" s="48">
        <v>7.14288563E8</v>
      </c>
      <c r="C1777" s="10" t="s">
        <v>1917</v>
      </c>
      <c r="D1777" s="10" t="s">
        <v>69</v>
      </c>
      <c r="E1777" s="13">
        <v>46228.0</v>
      </c>
      <c r="F1777" s="10" t="s">
        <v>35</v>
      </c>
      <c r="G1777" s="10">
        <v>11.0</v>
      </c>
      <c r="I1777" s="10" t="s">
        <v>22</v>
      </c>
      <c r="J1777" s="9" t="str">
        <f t="shared" si="34"/>
        <v>No</v>
      </c>
      <c r="K1777" s="9" t="str">
        <f t="shared" si="33"/>
        <v/>
      </c>
      <c r="L1777" s="9" t="str">
        <f t="shared" si="35"/>
        <v/>
      </c>
      <c r="M1777" s="9"/>
      <c r="O1777" s="9"/>
    </row>
    <row r="1778" ht="15.75" customHeight="1">
      <c r="A1778" s="9" t="str">
        <f>IFERROR(__xludf.DUMMYFUNCTION("IF(B1778="""","""",RIGHT(REGEXREPLACE(B1778&amp;"""",""[^0-9]"",""""),9))"),"718524766")</f>
        <v>718524766</v>
      </c>
      <c r="B1778" s="10">
        <v>7.18524766E8</v>
      </c>
      <c r="C1778" s="10" t="s">
        <v>1918</v>
      </c>
      <c r="D1778" s="10" t="s">
        <v>20</v>
      </c>
      <c r="E1778" s="13">
        <v>46228.0</v>
      </c>
      <c r="F1778" s="10" t="s">
        <v>35</v>
      </c>
      <c r="G1778" s="10">
        <v>10.0</v>
      </c>
      <c r="I1778" s="10" t="s">
        <v>22</v>
      </c>
      <c r="J1778" s="9" t="str">
        <f t="shared" si="34"/>
        <v>No</v>
      </c>
      <c r="K1778" s="9" t="str">
        <f t="shared" si="33"/>
        <v/>
      </c>
      <c r="L1778" s="9" t="str">
        <f t="shared" si="35"/>
        <v/>
      </c>
      <c r="M1778" s="9"/>
      <c r="O1778" s="9"/>
    </row>
    <row r="1779" ht="15.75" customHeight="1">
      <c r="A1779" s="9" t="str">
        <f>IFERROR(__xludf.DUMMYFUNCTION("IF(B1779="""","""",RIGHT(REGEXREPLACE(B1779&amp;"""",""[^0-9]"",""""),9))"),"703226012")</f>
        <v>703226012</v>
      </c>
      <c r="B1779" s="48">
        <v>7.03226012E8</v>
      </c>
      <c r="C1779" s="10" t="s">
        <v>1919</v>
      </c>
      <c r="D1779" s="10" t="s">
        <v>34</v>
      </c>
      <c r="E1779" s="13">
        <v>46228.0</v>
      </c>
      <c r="F1779" s="10" t="s">
        <v>35</v>
      </c>
      <c r="G1779" s="10">
        <v>11.0</v>
      </c>
      <c r="I1779" s="10" t="s">
        <v>22</v>
      </c>
      <c r="J1779" s="9" t="str">
        <f t="shared" si="34"/>
        <v>No</v>
      </c>
      <c r="K1779" s="9" t="str">
        <f t="shared" si="33"/>
        <v/>
      </c>
      <c r="L1779" s="9" t="str">
        <f t="shared" si="35"/>
        <v/>
      </c>
      <c r="M1779" s="9"/>
      <c r="O1779" s="9"/>
    </row>
    <row r="1780" ht="15.75" customHeight="1">
      <c r="A1780" s="9" t="str">
        <f>IFERROR(__xludf.DUMMYFUNCTION("IF(B1780="""","""",RIGHT(REGEXREPLACE(B1780&amp;"""",""[^0-9]"",""""),9))"),"767792163")</f>
        <v>767792163</v>
      </c>
      <c r="B1780" s="48">
        <v>7.67792163E8</v>
      </c>
      <c r="C1780" s="10" t="s">
        <v>1920</v>
      </c>
      <c r="D1780" s="10" t="s">
        <v>120</v>
      </c>
      <c r="E1780" s="13">
        <v>46228.0</v>
      </c>
      <c r="F1780" s="10" t="s">
        <v>21</v>
      </c>
      <c r="I1780" s="10" t="s">
        <v>22</v>
      </c>
      <c r="J1780" s="9" t="str">
        <f t="shared" si="34"/>
        <v>No</v>
      </c>
      <c r="K1780" s="9" t="str">
        <f t="shared" si="33"/>
        <v/>
      </c>
      <c r="L1780" s="9" t="str">
        <f t="shared" si="35"/>
        <v/>
      </c>
      <c r="M1780" s="9"/>
      <c r="O1780" s="9"/>
    </row>
    <row r="1781" ht="15.75" customHeight="1">
      <c r="A1781" s="9" t="str">
        <f>IFERROR(__xludf.DUMMYFUNCTION("IF(B1781="""","""",RIGHT(REGEXREPLACE(B1781&amp;"""",""[^0-9]"",""""),9))"),"784734587")</f>
        <v>784734587</v>
      </c>
      <c r="B1781" s="48">
        <v>7.84734587E8</v>
      </c>
      <c r="C1781" s="10" t="s">
        <v>1921</v>
      </c>
      <c r="D1781" s="10" t="s">
        <v>50</v>
      </c>
      <c r="E1781" s="13">
        <v>46228.0</v>
      </c>
      <c r="F1781" s="10" t="s">
        <v>35</v>
      </c>
      <c r="G1781" s="10">
        <v>11.0</v>
      </c>
      <c r="I1781" s="10" t="s">
        <v>22</v>
      </c>
      <c r="J1781" s="9" t="str">
        <f t="shared" si="34"/>
        <v>No</v>
      </c>
      <c r="K1781" s="9" t="str">
        <f t="shared" si="33"/>
        <v/>
      </c>
      <c r="L1781" s="9" t="str">
        <f t="shared" si="35"/>
        <v/>
      </c>
      <c r="M1781" s="9"/>
      <c r="O1781" s="9"/>
    </row>
    <row r="1782" ht="15.75" customHeight="1">
      <c r="A1782" s="9" t="str">
        <f>IFERROR(__xludf.DUMMYFUNCTION("IF(B1782="""","""",RIGHT(REGEXREPLACE(B1782&amp;"""",""[^0-9]"",""""),9))"),"701678885")</f>
        <v>701678885</v>
      </c>
      <c r="B1782" s="10">
        <v>7.01678885E8</v>
      </c>
      <c r="C1782" s="10" t="s">
        <v>1922</v>
      </c>
      <c r="D1782" s="10" t="s">
        <v>20</v>
      </c>
      <c r="E1782" s="13">
        <v>46228.0</v>
      </c>
      <c r="F1782" s="10" t="s">
        <v>21</v>
      </c>
      <c r="G1782" s="10">
        <v>11.0</v>
      </c>
      <c r="I1782" s="10" t="s">
        <v>22</v>
      </c>
      <c r="J1782" s="9" t="str">
        <f t="shared" si="34"/>
        <v>No</v>
      </c>
      <c r="K1782" s="9" t="str">
        <f t="shared" si="33"/>
        <v/>
      </c>
      <c r="L1782" s="9" t="str">
        <f t="shared" si="35"/>
        <v/>
      </c>
      <c r="M1782" s="9"/>
      <c r="O1782" s="9"/>
    </row>
    <row r="1783" ht="15.75" customHeight="1">
      <c r="A1783" s="9" t="str">
        <f>IFERROR(__xludf.DUMMYFUNCTION("IF(B1783="""","""",RIGHT(REGEXREPLACE(B1783&amp;"""",""[^0-9]"",""""),9))"),"761418758")</f>
        <v>761418758</v>
      </c>
      <c r="B1783" s="48">
        <v>7.61418758E8</v>
      </c>
      <c r="C1783" s="10" t="s">
        <v>1923</v>
      </c>
      <c r="D1783" s="10" t="s">
        <v>69</v>
      </c>
      <c r="E1783" s="13">
        <v>46228.0</v>
      </c>
      <c r="F1783" s="10" t="s">
        <v>35</v>
      </c>
      <c r="G1783" s="10">
        <v>10.0</v>
      </c>
      <c r="I1783" s="10" t="s">
        <v>22</v>
      </c>
      <c r="J1783" s="9" t="str">
        <f t="shared" si="34"/>
        <v>No</v>
      </c>
      <c r="K1783" s="9" t="str">
        <f t="shared" si="33"/>
        <v/>
      </c>
      <c r="L1783" s="9" t="str">
        <f t="shared" si="35"/>
        <v/>
      </c>
      <c r="M1783" s="9"/>
      <c r="O1783" s="9"/>
    </row>
    <row r="1784" ht="15.75" customHeight="1">
      <c r="A1784" s="9" t="str">
        <f>IFERROR(__xludf.DUMMYFUNCTION("IF(B1784="""","""",RIGHT(REGEXREPLACE(B1784&amp;"""",""[^0-9]"",""""),9))"),"764254588")</f>
        <v>764254588</v>
      </c>
      <c r="B1784" s="48">
        <v>7.64254588E8</v>
      </c>
      <c r="C1784" s="10" t="s">
        <v>1924</v>
      </c>
      <c r="D1784" s="10" t="s">
        <v>120</v>
      </c>
      <c r="E1784" s="13">
        <v>46228.0</v>
      </c>
      <c r="F1784" s="10" t="s">
        <v>35</v>
      </c>
      <c r="G1784" s="10">
        <v>11.0</v>
      </c>
      <c r="I1784" s="10" t="s">
        <v>22</v>
      </c>
      <c r="J1784" s="9" t="str">
        <f t="shared" si="34"/>
        <v>No</v>
      </c>
      <c r="K1784" s="9" t="str">
        <f t="shared" si="33"/>
        <v/>
      </c>
      <c r="L1784" s="9" t="str">
        <f t="shared" si="35"/>
        <v/>
      </c>
      <c r="M1784" s="9"/>
      <c r="O1784" s="9"/>
    </row>
    <row r="1785" ht="15.75" customHeight="1">
      <c r="A1785" s="9" t="str">
        <f>IFERROR(__xludf.DUMMYFUNCTION("IF(B1785="""","""",RIGHT(REGEXREPLACE(B1785&amp;"""",""[^0-9]"",""""),9))"),"760228249")</f>
        <v>760228249</v>
      </c>
      <c r="B1785" s="48">
        <v>7.60228249E8</v>
      </c>
      <c r="C1785" s="10" t="s">
        <v>1925</v>
      </c>
      <c r="D1785" s="10" t="s">
        <v>50</v>
      </c>
      <c r="E1785" s="13">
        <v>46228.0</v>
      </c>
      <c r="F1785" s="10" t="s">
        <v>35</v>
      </c>
      <c r="G1785" s="10">
        <v>10.0</v>
      </c>
      <c r="I1785" s="10" t="s">
        <v>22</v>
      </c>
      <c r="J1785" s="9" t="str">
        <f t="shared" si="34"/>
        <v>No</v>
      </c>
      <c r="K1785" s="9" t="str">
        <f t="shared" si="33"/>
        <v/>
      </c>
      <c r="L1785" s="9" t="str">
        <f t="shared" si="35"/>
        <v/>
      </c>
      <c r="M1785" s="9"/>
      <c r="O1785" s="9"/>
    </row>
    <row r="1786" ht="15.75" customHeight="1">
      <c r="A1786" s="9" t="str">
        <f>IFERROR(__xludf.DUMMYFUNCTION("IF(B1786="""","""",RIGHT(REGEXREPLACE(B1786&amp;"""",""[^0-9]"",""""),9))"),"760503484")</f>
        <v>760503484</v>
      </c>
      <c r="B1786" s="48">
        <v>7.60503484E8</v>
      </c>
      <c r="C1786" s="10" t="s">
        <v>1926</v>
      </c>
      <c r="D1786" s="10" t="s">
        <v>34</v>
      </c>
      <c r="E1786" s="13">
        <v>46228.0</v>
      </c>
      <c r="F1786" s="10" t="s">
        <v>604</v>
      </c>
      <c r="I1786" s="10" t="s">
        <v>22</v>
      </c>
      <c r="J1786" s="9" t="str">
        <f t="shared" si="34"/>
        <v>No</v>
      </c>
      <c r="K1786" s="9" t="str">
        <f t="shared" si="33"/>
        <v/>
      </c>
      <c r="L1786" s="9" t="str">
        <f t="shared" si="35"/>
        <v/>
      </c>
      <c r="M1786" s="9"/>
      <c r="O1786" s="9"/>
    </row>
    <row r="1787" ht="15.75" customHeight="1">
      <c r="A1787" s="9" t="str">
        <f>IFERROR(__xludf.DUMMYFUNCTION("IF(B1787="""","""",RIGHT(REGEXREPLACE(B1787&amp;"""",""[^0-9]"",""""),9))"),"774234954")</f>
        <v>774234954</v>
      </c>
      <c r="B1787" s="48">
        <v>7.74234954E8</v>
      </c>
      <c r="C1787" s="10" t="s">
        <v>1927</v>
      </c>
      <c r="D1787" s="10" t="s">
        <v>120</v>
      </c>
      <c r="E1787" s="13">
        <v>46228.0</v>
      </c>
      <c r="F1787" s="10" t="s">
        <v>35</v>
      </c>
      <c r="G1787" s="10">
        <v>11.0</v>
      </c>
      <c r="I1787" s="10" t="s">
        <v>22</v>
      </c>
      <c r="J1787" s="9" t="str">
        <f t="shared" si="34"/>
        <v>No</v>
      </c>
      <c r="K1787" s="9" t="str">
        <f t="shared" si="33"/>
        <v/>
      </c>
      <c r="L1787" s="9" t="str">
        <f t="shared" si="35"/>
        <v/>
      </c>
      <c r="M1787" s="9"/>
      <c r="O1787" s="9"/>
    </row>
    <row r="1788" ht="15.75" customHeight="1">
      <c r="A1788" s="9" t="str">
        <f>IFERROR(__xludf.DUMMYFUNCTION("IF(B1788="""","""",RIGHT(REGEXREPLACE(B1788&amp;"""",""[^0-9]"",""""),9))"),"702012024")</f>
        <v>702012024</v>
      </c>
      <c r="B1788" s="10">
        <v>7.02012024E8</v>
      </c>
      <c r="C1788" s="10" t="s">
        <v>1925</v>
      </c>
      <c r="D1788" s="10" t="s">
        <v>20</v>
      </c>
      <c r="E1788" s="13">
        <v>46228.0</v>
      </c>
      <c r="F1788" s="10" t="s">
        <v>35</v>
      </c>
      <c r="G1788" s="10">
        <v>11.0</v>
      </c>
      <c r="I1788" s="10" t="s">
        <v>22</v>
      </c>
      <c r="J1788" s="9" t="str">
        <f t="shared" si="34"/>
        <v>No</v>
      </c>
      <c r="K1788" s="9" t="str">
        <f t="shared" si="33"/>
        <v/>
      </c>
      <c r="L1788" s="9" t="str">
        <f t="shared" si="35"/>
        <v/>
      </c>
      <c r="M1788" s="9"/>
      <c r="O1788" s="9"/>
    </row>
    <row r="1789" ht="15.75" customHeight="1">
      <c r="A1789" s="9" t="str">
        <f>IFERROR(__xludf.DUMMYFUNCTION("IF(B1789="""","""",RIGHT(REGEXREPLACE(B1789&amp;"""",""[^0-9]"",""""),9))"),"585420103")</f>
        <v>585420103</v>
      </c>
      <c r="B1789" s="48">
        <v>7.1585420103E10</v>
      </c>
      <c r="C1789" s="10" t="s">
        <v>859</v>
      </c>
      <c r="D1789" s="10" t="s">
        <v>69</v>
      </c>
      <c r="E1789" s="13">
        <v>46228.0</v>
      </c>
      <c r="F1789" s="10" t="s">
        <v>755</v>
      </c>
      <c r="G1789" s="10">
        <v>11.0</v>
      </c>
      <c r="I1789" s="10" t="s">
        <v>22</v>
      </c>
      <c r="J1789" s="9" t="str">
        <f t="shared" si="34"/>
        <v>No</v>
      </c>
      <c r="K1789" s="9" t="str">
        <f t="shared" si="33"/>
        <v/>
      </c>
      <c r="L1789" s="9" t="str">
        <f t="shared" si="35"/>
        <v/>
      </c>
      <c r="M1789" s="9"/>
      <c r="O1789" s="9"/>
    </row>
    <row r="1790" ht="15.75" customHeight="1">
      <c r="A1790" s="9" t="str">
        <f>IFERROR(__xludf.DUMMYFUNCTION("IF(B1790="""","""",RIGHT(REGEXREPLACE(B1790&amp;"""",""[^0-9]"",""""),9))"),"715923886")</f>
        <v>715923886</v>
      </c>
      <c r="B1790" s="48">
        <v>7.15923886E8</v>
      </c>
      <c r="C1790" s="10" t="s">
        <v>1928</v>
      </c>
      <c r="D1790" s="10" t="s">
        <v>34</v>
      </c>
      <c r="E1790" s="13">
        <v>46228.0</v>
      </c>
      <c r="F1790" s="10" t="s">
        <v>35</v>
      </c>
      <c r="G1790" s="10">
        <v>10.0</v>
      </c>
      <c r="I1790" s="10" t="s">
        <v>22</v>
      </c>
      <c r="J1790" s="9" t="str">
        <f t="shared" si="34"/>
        <v>No</v>
      </c>
      <c r="K1790" s="9" t="str">
        <f t="shared" si="33"/>
        <v/>
      </c>
      <c r="L1790" s="9" t="str">
        <f t="shared" si="35"/>
        <v/>
      </c>
      <c r="M1790" s="9"/>
      <c r="O1790" s="9"/>
    </row>
    <row r="1791" ht="15.75" customHeight="1">
      <c r="A1791" s="9" t="str">
        <f>IFERROR(__xludf.DUMMYFUNCTION("IF(B1791="""","""",RIGHT(REGEXREPLACE(B1791&amp;"""",""[^0-9]"",""""),9))"),"712103296")</f>
        <v>712103296</v>
      </c>
      <c r="B1791" s="48">
        <v>7.12103296E8</v>
      </c>
      <c r="C1791" s="10" t="s">
        <v>1929</v>
      </c>
      <c r="D1791" s="10" t="s">
        <v>50</v>
      </c>
      <c r="E1791" s="13">
        <v>46228.0</v>
      </c>
      <c r="F1791" s="10" t="s">
        <v>35</v>
      </c>
      <c r="G1791" s="10">
        <v>11.0</v>
      </c>
      <c r="I1791" s="10" t="s">
        <v>22</v>
      </c>
      <c r="J1791" s="9" t="str">
        <f t="shared" si="34"/>
        <v>No</v>
      </c>
      <c r="K1791" s="9" t="str">
        <f t="shared" si="33"/>
        <v/>
      </c>
      <c r="L1791" s="9" t="str">
        <f t="shared" si="35"/>
        <v/>
      </c>
      <c r="M1791" s="9"/>
      <c r="O1791" s="9"/>
    </row>
    <row r="1792" ht="15.75" customHeight="1">
      <c r="A1792" s="9" t="str">
        <f>IFERROR(__xludf.DUMMYFUNCTION("IF(B1792="""","""",RIGHT(REGEXREPLACE(B1792&amp;"""",""[^0-9]"",""""),9))"),"763867897")</f>
        <v>763867897</v>
      </c>
      <c r="B1792" s="48">
        <v>7.63867897E8</v>
      </c>
      <c r="C1792" s="10" t="s">
        <v>1930</v>
      </c>
      <c r="D1792" s="10" t="s">
        <v>120</v>
      </c>
      <c r="E1792" s="13">
        <v>46228.0</v>
      </c>
      <c r="F1792" s="10" t="s">
        <v>35</v>
      </c>
      <c r="G1792" s="10">
        <v>10.0</v>
      </c>
      <c r="I1792" s="10" t="s">
        <v>22</v>
      </c>
      <c r="J1792" s="9" t="str">
        <f t="shared" si="34"/>
        <v>No</v>
      </c>
      <c r="K1792" s="9" t="str">
        <f t="shared" si="33"/>
        <v/>
      </c>
      <c r="L1792" s="9" t="str">
        <f t="shared" si="35"/>
        <v/>
      </c>
      <c r="M1792" s="9"/>
      <c r="O1792" s="9"/>
    </row>
    <row r="1793" ht="15.75" customHeight="1">
      <c r="A1793" s="9" t="str">
        <f>IFERROR(__xludf.DUMMYFUNCTION("IF(B1793="""","""",RIGHT(REGEXREPLACE(B1793&amp;"""",""[^0-9]"",""""),9))"),"766590969")</f>
        <v>766590969</v>
      </c>
      <c r="B1793" s="10">
        <v>7.66590969E8</v>
      </c>
      <c r="C1793" s="10" t="s">
        <v>1928</v>
      </c>
      <c r="D1793" s="10" t="s">
        <v>20</v>
      </c>
      <c r="E1793" s="13">
        <v>46228.0</v>
      </c>
      <c r="F1793" s="10" t="s">
        <v>35</v>
      </c>
      <c r="G1793" s="10">
        <v>11.0</v>
      </c>
      <c r="I1793" s="10" t="s">
        <v>22</v>
      </c>
      <c r="J1793" s="9" t="str">
        <f t="shared" si="34"/>
        <v>No</v>
      </c>
      <c r="K1793" s="9" t="str">
        <f t="shared" si="33"/>
        <v/>
      </c>
      <c r="L1793" s="9" t="str">
        <f t="shared" si="35"/>
        <v/>
      </c>
      <c r="M1793" s="9"/>
      <c r="O1793" s="9"/>
    </row>
    <row r="1794" ht="15.75" customHeight="1">
      <c r="A1794" s="9" t="str">
        <f>IFERROR(__xludf.DUMMYFUNCTION("IF(B1794="""","""",RIGHT(REGEXREPLACE(B1794&amp;"""",""[^0-9]"",""""),9))"),"778071147")</f>
        <v>778071147</v>
      </c>
      <c r="B1794" s="48">
        <v>7.78071147E8</v>
      </c>
      <c r="C1794" s="10" t="s">
        <v>1931</v>
      </c>
      <c r="D1794" s="10" t="s">
        <v>120</v>
      </c>
      <c r="E1794" s="13">
        <v>46228.0</v>
      </c>
      <c r="F1794" s="10" t="s">
        <v>604</v>
      </c>
      <c r="I1794" s="10" t="s">
        <v>22</v>
      </c>
      <c r="J1794" s="9" t="str">
        <f t="shared" si="34"/>
        <v>No</v>
      </c>
      <c r="K1794" s="9" t="str">
        <f t="shared" si="33"/>
        <v/>
      </c>
      <c r="L1794" s="9" t="str">
        <f t="shared" si="35"/>
        <v/>
      </c>
      <c r="M1794" s="9"/>
      <c r="O1794" s="9"/>
    </row>
    <row r="1795" ht="15.75" customHeight="1">
      <c r="A1795" s="9" t="str">
        <f>IFERROR(__xludf.DUMMYFUNCTION("IF(B1795="""","""",RIGHT(REGEXREPLACE(B1795&amp;"""",""[^0-9]"",""""),9))"),"706995111")</f>
        <v>706995111</v>
      </c>
      <c r="B1795" s="48">
        <v>7.06995111E8</v>
      </c>
      <c r="C1795" s="10" t="s">
        <v>1932</v>
      </c>
      <c r="D1795" s="10" t="s">
        <v>34</v>
      </c>
      <c r="E1795" s="13">
        <v>46228.0</v>
      </c>
      <c r="F1795" s="10" t="s">
        <v>35</v>
      </c>
      <c r="G1795" s="10" t="s">
        <v>1933</v>
      </c>
      <c r="I1795" s="10" t="s">
        <v>22</v>
      </c>
      <c r="J1795" s="9" t="str">
        <f t="shared" si="34"/>
        <v>No</v>
      </c>
      <c r="K1795" s="9" t="str">
        <f t="shared" si="33"/>
        <v/>
      </c>
      <c r="L1795" s="9" t="str">
        <f t="shared" si="35"/>
        <v/>
      </c>
      <c r="M1795" s="9"/>
      <c r="O1795" s="9"/>
    </row>
    <row r="1796" ht="15.75" customHeight="1">
      <c r="A1796" s="9" t="str">
        <f>IFERROR(__xludf.DUMMYFUNCTION("IF(B1796="""","""",RIGHT(REGEXREPLACE(B1796&amp;"""",""[^0-9]"",""""),9))"),"769064817")</f>
        <v>769064817</v>
      </c>
      <c r="B1796" s="48">
        <v>7.69064817E8</v>
      </c>
      <c r="C1796" s="10" t="s">
        <v>1931</v>
      </c>
      <c r="D1796" s="10" t="s">
        <v>69</v>
      </c>
      <c r="E1796" s="13">
        <v>46228.0</v>
      </c>
      <c r="F1796" s="10" t="s">
        <v>35</v>
      </c>
      <c r="G1796" s="10">
        <v>11.0</v>
      </c>
      <c r="I1796" s="10" t="s">
        <v>22</v>
      </c>
      <c r="J1796" s="9" t="str">
        <f t="shared" si="34"/>
        <v>Yes - see Previous F-Code</v>
      </c>
      <c r="K1796" s="9" t="str">
        <f t="shared" si="33"/>
        <v>DUPLICATE - CHECK</v>
      </c>
      <c r="L1796" s="9" t="str">
        <f t="shared" si="35"/>
        <v>F71241</v>
      </c>
      <c r="M1796" s="9"/>
      <c r="O1796" s="9"/>
    </row>
    <row r="1797" ht="15.75" customHeight="1">
      <c r="A1797" s="9" t="str">
        <f>IFERROR(__xludf.DUMMYFUNCTION("IF(B1797="""","""",RIGHT(REGEXREPLACE(B1797&amp;"""",""[^0-9]"",""""),9))"),"713371006")</f>
        <v>713371006</v>
      </c>
      <c r="B1797" s="48">
        <v>7.13371006E8</v>
      </c>
      <c r="C1797" s="10" t="s">
        <v>1934</v>
      </c>
      <c r="D1797" s="10" t="s">
        <v>120</v>
      </c>
      <c r="E1797" s="13">
        <v>46228.0</v>
      </c>
      <c r="F1797" s="9"/>
      <c r="G1797" s="9"/>
      <c r="H1797" s="9"/>
      <c r="I1797" s="10" t="s">
        <v>22</v>
      </c>
      <c r="J1797" s="9" t="str">
        <f t="shared" si="34"/>
        <v>No</v>
      </c>
      <c r="K1797" s="9" t="str">
        <f t="shared" si="33"/>
        <v/>
      </c>
      <c r="L1797" s="9" t="str">
        <f t="shared" si="35"/>
        <v/>
      </c>
      <c r="M1797" s="9"/>
      <c r="N1797" s="9"/>
      <c r="O1797" s="9"/>
      <c r="P1797" s="9"/>
    </row>
    <row r="1798" ht="15.75" customHeight="1">
      <c r="A1798" s="9" t="str">
        <f>IFERROR(__xludf.DUMMYFUNCTION("IF(B1798="""","""",RIGHT(REGEXREPLACE(B1798&amp;"""",""[^0-9]"",""""),9))"),"768846589")</f>
        <v>768846589</v>
      </c>
      <c r="B1798" s="48">
        <v>7.68846589E8</v>
      </c>
      <c r="C1798" s="10" t="s">
        <v>1935</v>
      </c>
      <c r="D1798" s="10" t="s">
        <v>50</v>
      </c>
      <c r="E1798" s="13">
        <v>46228.0</v>
      </c>
      <c r="F1798" s="10" t="s">
        <v>198</v>
      </c>
      <c r="G1798" s="10">
        <v>11.0</v>
      </c>
      <c r="I1798" s="10" t="s">
        <v>22</v>
      </c>
      <c r="J1798" s="9" t="str">
        <f t="shared" si="34"/>
        <v>No</v>
      </c>
      <c r="K1798" s="9" t="str">
        <f t="shared" si="33"/>
        <v/>
      </c>
      <c r="L1798" s="9" t="str">
        <f t="shared" si="35"/>
        <v/>
      </c>
      <c r="M1798" s="9"/>
      <c r="O1798" s="9"/>
    </row>
    <row r="1799" ht="15.75" customHeight="1">
      <c r="A1799" s="9" t="str">
        <f>IFERROR(__xludf.DUMMYFUNCTION("IF(B1799="""","""",RIGHT(REGEXREPLACE(B1799&amp;"""",""[^0-9]"",""""),9))"),"706551511")</f>
        <v>706551511</v>
      </c>
      <c r="B1799" s="48">
        <v>7.06551511E8</v>
      </c>
      <c r="C1799" s="10" t="s">
        <v>1936</v>
      </c>
      <c r="D1799" s="10" t="s">
        <v>50</v>
      </c>
      <c r="E1799" s="13">
        <v>46228.0</v>
      </c>
      <c r="F1799" s="10" t="s">
        <v>35</v>
      </c>
      <c r="G1799" s="10">
        <v>11.0</v>
      </c>
      <c r="I1799" s="10" t="s">
        <v>22</v>
      </c>
      <c r="J1799" s="9" t="str">
        <f t="shared" si="34"/>
        <v>No</v>
      </c>
      <c r="K1799" s="9" t="str">
        <f t="shared" si="33"/>
        <v/>
      </c>
      <c r="L1799" s="9" t="str">
        <f t="shared" si="35"/>
        <v/>
      </c>
      <c r="M1799" s="9"/>
      <c r="O1799" s="9"/>
    </row>
    <row r="1800" ht="15.75" customHeight="1">
      <c r="A1800" s="9" t="str">
        <f>IFERROR(__xludf.DUMMYFUNCTION("IF(B1800="""","""",RIGHT(REGEXREPLACE(B1800&amp;"""",""[^0-9]"",""""),9))"),"717653380")</f>
        <v>717653380</v>
      </c>
      <c r="B1800" s="10">
        <v>7.1765338E8</v>
      </c>
      <c r="C1800" s="10" t="s">
        <v>1937</v>
      </c>
      <c r="D1800" s="10" t="s">
        <v>20</v>
      </c>
      <c r="E1800" s="13">
        <v>46228.0</v>
      </c>
      <c r="F1800" s="10" t="s">
        <v>35</v>
      </c>
      <c r="G1800" s="10">
        <v>11.0</v>
      </c>
      <c r="I1800" s="10" t="s">
        <v>22</v>
      </c>
      <c r="J1800" s="9" t="str">
        <f t="shared" si="34"/>
        <v>No</v>
      </c>
      <c r="K1800" s="9" t="str">
        <f t="shared" si="33"/>
        <v/>
      </c>
      <c r="L1800" s="9" t="str">
        <f t="shared" si="35"/>
        <v/>
      </c>
      <c r="M1800" s="9"/>
      <c r="O1800" s="9"/>
    </row>
    <row r="1801" ht="15.75" customHeight="1">
      <c r="A1801" s="9" t="str">
        <f>IFERROR(__xludf.DUMMYFUNCTION("IF(B1801="""","""",RIGHT(REGEXREPLACE(B1801&amp;"""",""[^0-9]"",""""),9))"),"775293522")</f>
        <v>775293522</v>
      </c>
      <c r="B1801" s="48">
        <v>7.75293522E8</v>
      </c>
      <c r="C1801" s="10" t="s">
        <v>1938</v>
      </c>
      <c r="D1801" s="10" t="s">
        <v>69</v>
      </c>
      <c r="E1801" s="13">
        <v>46228.0</v>
      </c>
      <c r="F1801" s="10" t="s">
        <v>21</v>
      </c>
      <c r="G1801" s="10">
        <v>11.0</v>
      </c>
      <c r="I1801" s="10" t="s">
        <v>22</v>
      </c>
      <c r="J1801" s="9" t="str">
        <f t="shared" si="34"/>
        <v>No</v>
      </c>
      <c r="K1801" s="9" t="str">
        <f t="shared" si="33"/>
        <v/>
      </c>
      <c r="L1801" s="9" t="str">
        <f t="shared" si="35"/>
        <v/>
      </c>
      <c r="M1801" s="9"/>
      <c r="O1801" s="9"/>
    </row>
    <row r="1802" ht="15.75" customHeight="1">
      <c r="A1802" s="9" t="str">
        <f>IFERROR(__xludf.DUMMYFUNCTION("IF(B1802="""","""",RIGHT(REGEXREPLACE(B1802&amp;"""",""[^0-9]"",""""),9))"),"776746061")</f>
        <v>776746061</v>
      </c>
      <c r="B1802" s="48">
        <v>7.76746061E8</v>
      </c>
      <c r="C1802" s="10" t="s">
        <v>1939</v>
      </c>
      <c r="D1802" s="10" t="s">
        <v>34</v>
      </c>
      <c r="E1802" s="13">
        <v>46228.0</v>
      </c>
      <c r="F1802" s="10" t="s">
        <v>35</v>
      </c>
      <c r="G1802" s="10">
        <v>11.0</v>
      </c>
      <c r="I1802" s="10" t="s">
        <v>22</v>
      </c>
      <c r="J1802" s="9" t="str">
        <f t="shared" si="34"/>
        <v>No</v>
      </c>
      <c r="K1802" s="9" t="str">
        <f t="shared" si="33"/>
        <v/>
      </c>
      <c r="L1802" s="9" t="str">
        <f t="shared" si="35"/>
        <v/>
      </c>
      <c r="M1802" s="9"/>
      <c r="O1802" s="9"/>
    </row>
    <row r="1803" ht="15.75" customHeight="1">
      <c r="A1803" s="9" t="str">
        <f>IFERROR(__xludf.DUMMYFUNCTION("IF(B1803="""","""",RIGHT(REGEXREPLACE(B1803&amp;"""",""[^0-9]"",""""),9))"),"767592507")</f>
        <v>767592507</v>
      </c>
      <c r="B1803" s="48">
        <v>7.67592507E8</v>
      </c>
      <c r="C1803" s="10" t="s">
        <v>1940</v>
      </c>
      <c r="D1803" s="10" t="s">
        <v>50</v>
      </c>
      <c r="E1803" s="13">
        <v>46228.0</v>
      </c>
      <c r="F1803" s="10" t="s">
        <v>35</v>
      </c>
      <c r="G1803" s="10">
        <v>10.0</v>
      </c>
      <c r="I1803" s="10" t="s">
        <v>22</v>
      </c>
      <c r="J1803" s="9" t="str">
        <f t="shared" si="34"/>
        <v>No</v>
      </c>
      <c r="K1803" s="9" t="str">
        <f t="shared" si="33"/>
        <v/>
      </c>
      <c r="L1803" s="9" t="str">
        <f t="shared" si="35"/>
        <v/>
      </c>
      <c r="M1803" s="9"/>
      <c r="O1803" s="9"/>
    </row>
    <row r="1804" ht="15.75" customHeight="1">
      <c r="A1804" s="9" t="str">
        <f>IFERROR(__xludf.DUMMYFUNCTION("IF(B1804="""","""",RIGHT(REGEXREPLACE(B1804&amp;"""",""[^0-9]"",""""),9))"),"768375938")</f>
        <v>768375938</v>
      </c>
      <c r="B1804" s="48">
        <v>7.68375938E8</v>
      </c>
      <c r="C1804" s="10" t="s">
        <v>1941</v>
      </c>
      <c r="D1804" s="10" t="s">
        <v>120</v>
      </c>
      <c r="E1804" s="13">
        <v>46228.0</v>
      </c>
      <c r="F1804" s="10" t="s">
        <v>35</v>
      </c>
      <c r="G1804" s="10">
        <v>11.0</v>
      </c>
      <c r="I1804" s="10" t="s">
        <v>22</v>
      </c>
      <c r="J1804" s="9" t="str">
        <f t="shared" si="34"/>
        <v>No</v>
      </c>
      <c r="K1804" s="9" t="str">
        <f t="shared" si="33"/>
        <v/>
      </c>
      <c r="L1804" s="9" t="str">
        <f t="shared" si="35"/>
        <v/>
      </c>
      <c r="M1804" s="9"/>
      <c r="O1804" s="9"/>
    </row>
    <row r="1805" ht="15.75" customHeight="1">
      <c r="A1805" s="9" t="str">
        <f>IFERROR(__xludf.DUMMYFUNCTION("IF(B1805="""","""",RIGHT(REGEXREPLACE(B1805&amp;"""",""[^0-9]"",""""),9))"),"764057825")</f>
        <v>764057825</v>
      </c>
      <c r="B1805" s="10">
        <v>7.64057825E8</v>
      </c>
      <c r="C1805" s="10" t="s">
        <v>1942</v>
      </c>
      <c r="D1805" s="10" t="s">
        <v>20</v>
      </c>
      <c r="E1805" s="13">
        <v>46228.0</v>
      </c>
      <c r="F1805" s="10" t="s">
        <v>21</v>
      </c>
      <c r="I1805" s="10" t="s">
        <v>22</v>
      </c>
      <c r="J1805" s="9" t="str">
        <f t="shared" si="34"/>
        <v>No</v>
      </c>
      <c r="K1805" s="9" t="str">
        <f t="shared" si="33"/>
        <v/>
      </c>
      <c r="L1805" s="9" t="str">
        <f t="shared" si="35"/>
        <v/>
      </c>
      <c r="M1805" s="9"/>
      <c r="O1805" s="9"/>
    </row>
    <row r="1806" ht="15.75" customHeight="1">
      <c r="A1806" s="9" t="str">
        <f>IFERROR(__xludf.DUMMYFUNCTION("IF(B1806="""","""",RIGHT(REGEXREPLACE(B1806&amp;"""",""[^0-9]"",""""),9))"),"761118065")</f>
        <v>761118065</v>
      </c>
      <c r="B1806" s="48">
        <v>7.61118065E8</v>
      </c>
      <c r="C1806" s="10" t="s">
        <v>1943</v>
      </c>
      <c r="D1806" s="10" t="s">
        <v>34</v>
      </c>
      <c r="E1806" s="13">
        <v>46228.0</v>
      </c>
      <c r="F1806" s="10" t="s">
        <v>35</v>
      </c>
      <c r="G1806" s="10">
        <v>11.0</v>
      </c>
      <c r="I1806" s="10" t="s">
        <v>22</v>
      </c>
      <c r="J1806" s="9" t="str">
        <f t="shared" si="34"/>
        <v>No</v>
      </c>
      <c r="K1806" s="9" t="str">
        <f t="shared" si="33"/>
        <v/>
      </c>
      <c r="L1806" s="9" t="str">
        <f t="shared" si="35"/>
        <v/>
      </c>
      <c r="M1806" s="9"/>
      <c r="O1806" s="9"/>
    </row>
    <row r="1807" ht="15.75" customHeight="1">
      <c r="A1807" s="9" t="str">
        <f>IFERROR(__xludf.DUMMYFUNCTION("IF(B1807="""","""",RIGHT(REGEXREPLACE(B1807&amp;"""",""[^0-9]"",""""),9))"),"758874371")</f>
        <v>758874371</v>
      </c>
      <c r="B1807" s="48">
        <v>7.58874371E8</v>
      </c>
      <c r="C1807" s="10" t="s">
        <v>1944</v>
      </c>
      <c r="D1807" s="10" t="s">
        <v>69</v>
      </c>
      <c r="E1807" s="13">
        <v>46228.0</v>
      </c>
      <c r="F1807" s="10" t="s">
        <v>35</v>
      </c>
      <c r="G1807" s="10">
        <v>11.0</v>
      </c>
      <c r="I1807" s="10" t="s">
        <v>22</v>
      </c>
      <c r="J1807" s="9" t="str">
        <f t="shared" si="34"/>
        <v>No</v>
      </c>
      <c r="K1807" s="9" t="str">
        <f t="shared" si="33"/>
        <v/>
      </c>
      <c r="L1807" s="9" t="str">
        <f t="shared" si="35"/>
        <v/>
      </c>
      <c r="M1807" s="9"/>
      <c r="O1807" s="9"/>
    </row>
    <row r="1808" ht="15.75" customHeight="1">
      <c r="A1808" s="9" t="str">
        <f>IFERROR(__xludf.DUMMYFUNCTION("IF(B1808="""","""",RIGHT(REGEXREPLACE(B1808&amp;"""",""[^0-9]"",""""),9))"),"774171497")</f>
        <v>774171497</v>
      </c>
      <c r="B1808" s="48">
        <v>7.74171497E8</v>
      </c>
      <c r="C1808" s="10" t="s">
        <v>1945</v>
      </c>
      <c r="D1808" s="10" t="s">
        <v>50</v>
      </c>
      <c r="E1808" s="13">
        <v>46228.0</v>
      </c>
      <c r="F1808" s="10" t="s">
        <v>604</v>
      </c>
      <c r="G1808" s="10">
        <v>11.0</v>
      </c>
      <c r="I1808" s="10" t="s">
        <v>22</v>
      </c>
      <c r="J1808" s="9" t="str">
        <f t="shared" si="34"/>
        <v>No</v>
      </c>
      <c r="K1808" s="9" t="str">
        <f t="shared" si="33"/>
        <v/>
      </c>
      <c r="L1808" s="9" t="str">
        <f t="shared" si="35"/>
        <v/>
      </c>
      <c r="M1808" s="9"/>
      <c r="O1808" s="9"/>
    </row>
    <row r="1809" ht="15.75" customHeight="1">
      <c r="A1809" s="9" t="str">
        <f>IFERROR(__xludf.DUMMYFUNCTION("IF(B1809="""","""",RIGHT(REGEXREPLACE(B1809&amp;"""",""[^0-9]"",""""),9))"),"727179821")</f>
        <v>727179821</v>
      </c>
      <c r="B1809" s="48">
        <v>7.27179821E8</v>
      </c>
      <c r="C1809" s="10" t="s">
        <v>1946</v>
      </c>
      <c r="D1809" s="10" t="s">
        <v>50</v>
      </c>
      <c r="E1809" s="13">
        <v>46228.0</v>
      </c>
      <c r="F1809" s="10" t="s">
        <v>21</v>
      </c>
      <c r="G1809" s="10">
        <v>11.0</v>
      </c>
      <c r="I1809" s="10" t="s">
        <v>22</v>
      </c>
      <c r="J1809" s="9" t="str">
        <f t="shared" si="34"/>
        <v>No</v>
      </c>
      <c r="K1809" s="9" t="str">
        <f t="shared" si="33"/>
        <v/>
      </c>
      <c r="L1809" s="9" t="str">
        <f t="shared" si="35"/>
        <v/>
      </c>
      <c r="M1809" s="9"/>
      <c r="O1809" s="9"/>
    </row>
    <row r="1810" ht="15.75" customHeight="1">
      <c r="A1810" s="9" t="str">
        <f>IFERROR(__xludf.DUMMYFUNCTION("IF(B1810="""","""",RIGHT(REGEXREPLACE(B1810&amp;"""",""[^0-9]"",""""),9))"),"703449363")</f>
        <v>703449363</v>
      </c>
      <c r="B1810" s="48">
        <v>7.03449363E8</v>
      </c>
      <c r="C1810" s="10" t="s">
        <v>1947</v>
      </c>
      <c r="D1810" s="10" t="s">
        <v>34</v>
      </c>
      <c r="E1810" s="13">
        <v>46228.0</v>
      </c>
      <c r="F1810" s="10" t="s">
        <v>35</v>
      </c>
      <c r="G1810" s="10">
        <v>11.0</v>
      </c>
      <c r="I1810" s="10" t="s">
        <v>22</v>
      </c>
      <c r="J1810" s="9" t="str">
        <f t="shared" si="34"/>
        <v>No</v>
      </c>
      <c r="K1810" s="9" t="str">
        <f t="shared" si="33"/>
        <v/>
      </c>
      <c r="L1810" s="9" t="str">
        <f t="shared" si="35"/>
        <v/>
      </c>
      <c r="M1810" s="9"/>
      <c r="O1810" s="9"/>
    </row>
    <row r="1811" ht="15.75" customHeight="1">
      <c r="A1811" s="9" t="str">
        <f>IFERROR(__xludf.DUMMYFUNCTION("IF(B1811="""","""",RIGHT(REGEXREPLACE(B1811&amp;"""",""[^0-9]"",""""),9))"),"772924040")</f>
        <v>772924040</v>
      </c>
      <c r="B1811" s="48">
        <v>7.7292404E8</v>
      </c>
      <c r="C1811" s="10" t="s">
        <v>1948</v>
      </c>
      <c r="D1811" s="10" t="s">
        <v>120</v>
      </c>
      <c r="E1811" s="13">
        <v>46228.0</v>
      </c>
      <c r="F1811" s="10" t="s">
        <v>35</v>
      </c>
      <c r="G1811" s="10">
        <v>11.0</v>
      </c>
      <c r="I1811" s="10" t="s">
        <v>22</v>
      </c>
      <c r="J1811" s="9" t="str">
        <f t="shared" si="34"/>
        <v>No</v>
      </c>
      <c r="K1811" s="9" t="str">
        <f t="shared" si="33"/>
        <v/>
      </c>
      <c r="L1811" s="9" t="str">
        <f t="shared" si="35"/>
        <v/>
      </c>
      <c r="M1811" s="9"/>
      <c r="O1811" s="9"/>
    </row>
    <row r="1812" ht="15.75" customHeight="1">
      <c r="A1812" s="9" t="str">
        <f>IFERROR(__xludf.DUMMYFUNCTION("IF(B1812="""","""",RIGHT(REGEXREPLACE(B1812&amp;"""",""[^0-9]"",""""),9))"),"751626944")</f>
        <v>751626944</v>
      </c>
      <c r="B1812" s="48">
        <v>7.51626944E8</v>
      </c>
      <c r="C1812" s="10" t="s">
        <v>1949</v>
      </c>
      <c r="D1812" s="10" t="s">
        <v>34</v>
      </c>
      <c r="E1812" s="13">
        <v>46228.0</v>
      </c>
      <c r="F1812" s="10" t="s">
        <v>21</v>
      </c>
      <c r="I1812" s="10" t="s">
        <v>22</v>
      </c>
      <c r="J1812" s="9" t="str">
        <f t="shared" si="34"/>
        <v>No</v>
      </c>
      <c r="K1812" s="9" t="str">
        <f t="shared" si="33"/>
        <v/>
      </c>
      <c r="L1812" s="9" t="str">
        <f t="shared" si="35"/>
        <v/>
      </c>
      <c r="M1812" s="9"/>
      <c r="O1812" s="9"/>
    </row>
    <row r="1813" ht="15.75" customHeight="1">
      <c r="A1813" s="9" t="str">
        <f>IFERROR(__xludf.DUMMYFUNCTION("IF(B1813="""","""",RIGHT(REGEXREPLACE(B1813&amp;"""",""[^0-9]"",""""),9))"),"766332372")</f>
        <v>766332372</v>
      </c>
      <c r="B1813" s="48">
        <v>7.66332372E8</v>
      </c>
      <c r="C1813" s="10" t="s">
        <v>1950</v>
      </c>
      <c r="D1813" s="10" t="s">
        <v>50</v>
      </c>
      <c r="E1813" s="13">
        <v>46228.0</v>
      </c>
      <c r="F1813" s="10" t="s">
        <v>21</v>
      </c>
      <c r="G1813" s="10">
        <v>11.0</v>
      </c>
      <c r="I1813" s="10" t="s">
        <v>22</v>
      </c>
      <c r="J1813" s="9" t="str">
        <f t="shared" si="34"/>
        <v>No</v>
      </c>
      <c r="K1813" s="9" t="str">
        <f t="shared" si="33"/>
        <v/>
      </c>
      <c r="L1813" s="9" t="str">
        <f t="shared" si="35"/>
        <v/>
      </c>
      <c r="M1813" s="9"/>
      <c r="O1813" s="9"/>
    </row>
    <row r="1814" ht="15.75" customHeight="1">
      <c r="A1814" s="9" t="str">
        <f>IFERROR(__xludf.DUMMYFUNCTION("IF(B1814="""","""",RIGHT(REGEXREPLACE(B1814&amp;"""",""[^0-9]"",""""),9))"),"718745144")</f>
        <v>718745144</v>
      </c>
      <c r="B1814" s="48">
        <v>7.18745144E8</v>
      </c>
      <c r="C1814" s="10" t="s">
        <v>1951</v>
      </c>
      <c r="D1814" s="10" t="s">
        <v>69</v>
      </c>
      <c r="E1814" s="13">
        <v>46228.0</v>
      </c>
      <c r="F1814" s="10" t="s">
        <v>145</v>
      </c>
      <c r="G1814" s="10">
        <v>11.0</v>
      </c>
      <c r="I1814" s="10" t="s">
        <v>22</v>
      </c>
      <c r="J1814" s="9" t="str">
        <f t="shared" si="34"/>
        <v>No</v>
      </c>
      <c r="K1814" s="9" t="str">
        <f t="shared" si="33"/>
        <v/>
      </c>
      <c r="L1814" s="9" t="str">
        <f t="shared" si="35"/>
        <v/>
      </c>
      <c r="M1814" s="9"/>
      <c r="O1814" s="9"/>
    </row>
    <row r="1815" ht="15.75" customHeight="1">
      <c r="A1815" s="9" t="str">
        <f>IFERROR(__xludf.DUMMYFUNCTION("IF(B1815="""","""",RIGHT(REGEXREPLACE(B1815&amp;"""",""[^0-9]"",""""),9))"),"")</f>
        <v/>
      </c>
      <c r="B1815" s="48"/>
      <c r="C1815" s="10" t="s">
        <v>1355</v>
      </c>
      <c r="D1815" s="10" t="s">
        <v>34</v>
      </c>
      <c r="E1815" s="13">
        <v>46228.0</v>
      </c>
      <c r="F1815" s="9"/>
      <c r="G1815" s="9"/>
      <c r="H1815" s="9"/>
      <c r="I1815" s="10" t="s">
        <v>22</v>
      </c>
      <c r="J1815" s="9" t="str">
        <f t="shared" si="34"/>
        <v>Yes - see Previous F-Code</v>
      </c>
      <c r="K1815" s="9" t="str">
        <f t="shared" si="33"/>
        <v>DUPLICATE - CHECK</v>
      </c>
      <c r="L1815" s="9" t="str">
        <f t="shared" si="35"/>
        <v/>
      </c>
      <c r="M1815" s="9"/>
      <c r="N1815" s="9"/>
      <c r="O1815" s="9"/>
      <c r="P1815" s="9"/>
    </row>
    <row r="1816" ht="15.75" customHeight="1">
      <c r="A1816" s="9" t="str">
        <f>IFERROR(__xludf.DUMMYFUNCTION("IF(B1816="""","""",RIGHT(REGEXREPLACE(B1816&amp;"""",""[^0-9]"",""""),9))"),"771790668")</f>
        <v>771790668</v>
      </c>
      <c r="B1816" s="48">
        <v>7.71790668E8</v>
      </c>
      <c r="C1816" s="10" t="s">
        <v>1952</v>
      </c>
      <c r="D1816" s="10" t="s">
        <v>50</v>
      </c>
      <c r="E1816" s="13">
        <v>46228.0</v>
      </c>
      <c r="F1816" s="10" t="s">
        <v>35</v>
      </c>
      <c r="G1816" s="10">
        <v>10.0</v>
      </c>
      <c r="I1816" s="10" t="s">
        <v>22</v>
      </c>
      <c r="J1816" s="9" t="str">
        <f t="shared" si="34"/>
        <v>No</v>
      </c>
      <c r="K1816" s="9" t="str">
        <f t="shared" si="33"/>
        <v/>
      </c>
      <c r="L1816" s="9" t="str">
        <f t="shared" si="35"/>
        <v/>
      </c>
      <c r="M1816" s="9"/>
      <c r="O1816" s="9"/>
    </row>
    <row r="1817" ht="15.75" customHeight="1">
      <c r="A1817" s="9" t="str">
        <f>IFERROR(__xludf.DUMMYFUNCTION("IF(B1817="""","""",RIGHT(REGEXREPLACE(B1817&amp;"""",""[^0-9]"",""""),9))"),"729723618")</f>
        <v>729723618</v>
      </c>
      <c r="B1817" s="48">
        <v>7.29723618E8</v>
      </c>
      <c r="C1817" s="10" t="s">
        <v>1953</v>
      </c>
      <c r="D1817" s="10" t="s">
        <v>120</v>
      </c>
      <c r="E1817" s="13">
        <v>46228.0</v>
      </c>
      <c r="F1817" s="10" t="s">
        <v>35</v>
      </c>
      <c r="G1817" s="10">
        <v>11.0</v>
      </c>
      <c r="I1817" s="10" t="s">
        <v>22</v>
      </c>
      <c r="J1817" s="9" t="str">
        <f t="shared" si="34"/>
        <v>No</v>
      </c>
      <c r="K1817" s="9" t="str">
        <f t="shared" si="33"/>
        <v/>
      </c>
      <c r="L1817" s="9" t="str">
        <f t="shared" si="35"/>
        <v/>
      </c>
      <c r="M1817" s="9"/>
      <c r="O1817" s="9"/>
    </row>
    <row r="1818" ht="15.75" customHeight="1">
      <c r="A1818" s="9" t="str">
        <f>IFERROR(__xludf.DUMMYFUNCTION("IF(B1818="""","""",RIGHT(REGEXREPLACE(B1818&amp;"""",""[^0-9]"",""""),9))"),"758053932")</f>
        <v>758053932</v>
      </c>
      <c r="B1818" s="48">
        <v>7.58053932E8</v>
      </c>
      <c r="C1818" s="10" t="s">
        <v>1954</v>
      </c>
      <c r="D1818" s="10" t="s">
        <v>34</v>
      </c>
      <c r="E1818" s="13">
        <v>46228.0</v>
      </c>
      <c r="F1818" s="10" t="s">
        <v>21</v>
      </c>
      <c r="I1818" s="10" t="s">
        <v>22</v>
      </c>
      <c r="J1818" s="9" t="str">
        <f t="shared" si="34"/>
        <v>No</v>
      </c>
      <c r="K1818" s="9" t="str">
        <f t="shared" si="33"/>
        <v/>
      </c>
      <c r="L1818" s="9" t="str">
        <f t="shared" si="35"/>
        <v/>
      </c>
      <c r="M1818" s="9"/>
      <c r="O1818" s="9"/>
    </row>
    <row r="1819" ht="15.75" customHeight="1">
      <c r="A1819" s="9" t="str">
        <f>IFERROR(__xludf.DUMMYFUNCTION("IF(B1819="""","""",RIGHT(REGEXREPLACE(B1819&amp;"""",""[^0-9]"",""""),9))"),"751256333")</f>
        <v>751256333</v>
      </c>
      <c r="B1819" s="48">
        <v>7.51256333E8</v>
      </c>
      <c r="C1819" s="10" t="s">
        <v>1955</v>
      </c>
      <c r="D1819" s="10" t="s">
        <v>69</v>
      </c>
      <c r="E1819" s="13">
        <v>46228.0</v>
      </c>
      <c r="F1819" s="10" t="s">
        <v>35</v>
      </c>
      <c r="G1819" s="10">
        <v>5.0</v>
      </c>
      <c r="I1819" s="10" t="s">
        <v>22</v>
      </c>
      <c r="J1819" s="9" t="str">
        <f t="shared" si="34"/>
        <v>No</v>
      </c>
      <c r="K1819" s="9" t="str">
        <f t="shared" si="33"/>
        <v/>
      </c>
      <c r="L1819" s="9" t="str">
        <f t="shared" si="35"/>
        <v/>
      </c>
      <c r="M1819" s="9"/>
      <c r="O1819" s="9"/>
    </row>
    <row r="1820" ht="15.75" customHeight="1">
      <c r="A1820" s="9" t="str">
        <f>IFERROR(__xludf.DUMMYFUNCTION("IF(B1820="""","""",RIGHT(REGEXREPLACE(B1820&amp;"""",""[^0-9]"",""""),9))"),"774629009")</f>
        <v>774629009</v>
      </c>
      <c r="B1820" s="48">
        <v>7.74629009E8</v>
      </c>
      <c r="C1820" s="10" t="s">
        <v>1956</v>
      </c>
      <c r="D1820" s="10" t="s">
        <v>120</v>
      </c>
      <c r="E1820" s="13">
        <v>46228.0</v>
      </c>
      <c r="F1820" s="10" t="s">
        <v>21</v>
      </c>
      <c r="G1820" s="10">
        <v>11.0</v>
      </c>
      <c r="I1820" s="10" t="s">
        <v>22</v>
      </c>
      <c r="J1820" s="9" t="str">
        <f t="shared" si="34"/>
        <v>No</v>
      </c>
      <c r="K1820" s="9" t="str">
        <f t="shared" si="33"/>
        <v/>
      </c>
      <c r="L1820" s="9" t="str">
        <f t="shared" si="35"/>
        <v/>
      </c>
      <c r="M1820" s="9"/>
      <c r="O1820" s="9"/>
    </row>
    <row r="1821" ht="15.75" customHeight="1">
      <c r="A1821" s="9" t="str">
        <f>IFERROR(__xludf.DUMMYFUNCTION("IF(B1821="""","""",RIGHT(REGEXREPLACE(B1821&amp;"""",""[^0-9]"",""""),9))"),"723197576")</f>
        <v>723197576</v>
      </c>
      <c r="B1821" s="48">
        <v>7.23197576E8</v>
      </c>
      <c r="C1821" s="10" t="s">
        <v>1957</v>
      </c>
      <c r="D1821" s="10" t="s">
        <v>120</v>
      </c>
      <c r="E1821" s="13">
        <v>46228.0</v>
      </c>
      <c r="F1821" s="10" t="s">
        <v>35</v>
      </c>
      <c r="I1821" s="10" t="s">
        <v>22</v>
      </c>
      <c r="J1821" s="9" t="str">
        <f t="shared" si="34"/>
        <v>No</v>
      </c>
      <c r="K1821" s="9" t="str">
        <f t="shared" si="33"/>
        <v/>
      </c>
      <c r="L1821" s="9" t="str">
        <f t="shared" si="35"/>
        <v/>
      </c>
      <c r="M1821" s="9"/>
      <c r="O1821" s="9"/>
    </row>
    <row r="1822" ht="15.75" customHeight="1">
      <c r="A1822" s="69"/>
      <c r="B1822" s="109"/>
      <c r="C1822" s="70"/>
      <c r="D1822" s="70"/>
      <c r="E1822" s="110"/>
      <c r="F1822" s="70"/>
      <c r="G1822" s="69"/>
      <c r="H1822" s="69"/>
      <c r="I1822" s="70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</row>
    <row r="1823" ht="15.75" customHeight="1">
      <c r="A1823" s="9" t="str">
        <f>IFERROR(__xludf.DUMMYFUNCTION("IF(B1823="""","""",RIGHT(REGEXREPLACE(B1823&amp;"""",""[^0-9]"",""""),9))"),"702079249")</f>
        <v>702079249</v>
      </c>
      <c r="B1823" s="48">
        <v>7.02079249E8</v>
      </c>
      <c r="C1823" s="10" t="s">
        <v>1958</v>
      </c>
      <c r="D1823" s="10" t="s">
        <v>50</v>
      </c>
      <c r="E1823" s="13">
        <v>46229.0</v>
      </c>
      <c r="F1823" s="10" t="s">
        <v>198</v>
      </c>
      <c r="I1823" s="10" t="s">
        <v>22</v>
      </c>
      <c r="J1823" s="9" t="str">
        <f>IF(COUNTIF($A$2:A1821,A1823)&gt;0,"Yes - see Previous F-Code","No")</f>
        <v>No</v>
      </c>
      <c r="K1823" s="9" t="str">
        <f t="shared" ref="K1823:K2464" si="36">IF(COUNTIFS($A$2:A1823,A1823,$I$2:I1823,I1823)&gt;1,"DUPLICATE - CHECK","")</f>
        <v/>
      </c>
      <c r="L1823" s="9" t="str">
        <f t="array" ref="L1823">IF(COUNTIF($A$2:A1821,A1823)&gt;0,INDEX($C$2:C1821,MATCH(A1823,$A$2:A1821,0)),"")</f>
        <v/>
      </c>
      <c r="M1823" s="9"/>
      <c r="O1823" s="9"/>
    </row>
    <row r="1824" ht="15.75" customHeight="1">
      <c r="A1824" s="9" t="str">
        <f>IFERROR(__xludf.DUMMYFUNCTION("IF(B1824="""","""",RIGHT(REGEXREPLACE(B1824&amp;"""",""[^0-9]"",""""),9))"),"767651285")</f>
        <v>767651285</v>
      </c>
      <c r="B1824" s="48">
        <v>7.67651285E8</v>
      </c>
      <c r="C1824" s="10" t="s">
        <v>1959</v>
      </c>
      <c r="D1824" s="10" t="s">
        <v>50</v>
      </c>
      <c r="E1824" s="13">
        <v>46229.0</v>
      </c>
      <c r="F1824" s="10" t="s">
        <v>35</v>
      </c>
      <c r="G1824" s="10">
        <v>10.0</v>
      </c>
      <c r="H1824" s="10" t="s">
        <v>238</v>
      </c>
      <c r="I1824" s="10" t="s">
        <v>22</v>
      </c>
      <c r="J1824" s="9" t="str">
        <f t="shared" ref="J1824:J2464" si="37">IF(COUNTIF($A$2:A1823,A1824)&gt;0,"Yes - see Previous F-Code","No")</f>
        <v>No</v>
      </c>
      <c r="K1824" s="9" t="str">
        <f t="shared" si="36"/>
        <v/>
      </c>
      <c r="L1824" s="9" t="str">
        <f t="shared" ref="L1824:L2464" si="38">IF(COUNTIF($A$2:A1823,A1824)&gt;0,INDEX($C$2:C1823,MATCH(A1824,$A$2:A1823,0)),"")</f>
        <v/>
      </c>
      <c r="M1824" s="9"/>
      <c r="O1824" s="9"/>
    </row>
    <row r="1825" ht="15.75" customHeight="1">
      <c r="A1825" s="9" t="str">
        <f>IFERROR(__xludf.DUMMYFUNCTION("IF(B1825="""","""",RIGHT(REGEXREPLACE(B1825&amp;"""",""[^0-9]"",""""),9))"),"763038455")</f>
        <v>763038455</v>
      </c>
      <c r="B1825" s="48">
        <v>7.63038455E8</v>
      </c>
      <c r="C1825" s="10" t="s">
        <v>1960</v>
      </c>
      <c r="D1825" s="10" t="s">
        <v>97</v>
      </c>
      <c r="E1825" s="13">
        <v>46229.0</v>
      </c>
      <c r="F1825" s="10" t="s">
        <v>113</v>
      </c>
      <c r="H1825" s="10" t="s">
        <v>1961</v>
      </c>
      <c r="I1825" s="10" t="s">
        <v>22</v>
      </c>
      <c r="J1825" s="9" t="str">
        <f t="shared" si="37"/>
        <v>No</v>
      </c>
      <c r="K1825" s="9" t="str">
        <f t="shared" si="36"/>
        <v/>
      </c>
      <c r="L1825" s="9" t="str">
        <f t="shared" si="38"/>
        <v/>
      </c>
      <c r="M1825" s="9"/>
      <c r="O1825" s="9"/>
    </row>
    <row r="1826" ht="15.75" customHeight="1">
      <c r="A1826" s="9" t="str">
        <f>IFERROR(__xludf.DUMMYFUNCTION("IF(B1826="""","""",RIGHT(REGEXREPLACE(B1826&amp;"""",""[^0-9]"",""""),9))"),"719642681")</f>
        <v>719642681</v>
      </c>
      <c r="B1826" s="10">
        <v>7.19642681E8</v>
      </c>
      <c r="C1826" s="10" t="s">
        <v>1962</v>
      </c>
      <c r="D1826" s="10" t="s">
        <v>20</v>
      </c>
      <c r="E1826" s="13">
        <v>46229.0</v>
      </c>
      <c r="F1826" s="10" t="s">
        <v>35</v>
      </c>
      <c r="G1826" s="10">
        <v>11.0</v>
      </c>
      <c r="I1826" s="10" t="s">
        <v>22</v>
      </c>
      <c r="J1826" s="9" t="str">
        <f t="shared" si="37"/>
        <v>No</v>
      </c>
      <c r="K1826" s="9" t="str">
        <f t="shared" si="36"/>
        <v/>
      </c>
      <c r="L1826" s="9" t="str">
        <f t="shared" si="38"/>
        <v/>
      </c>
      <c r="M1826" s="9"/>
      <c r="O1826" s="9"/>
    </row>
    <row r="1827" ht="15.75" customHeight="1">
      <c r="A1827" s="9" t="str">
        <f>IFERROR(__xludf.DUMMYFUNCTION("IF(B1827="""","""",RIGHT(REGEXREPLACE(B1827&amp;"""",""[^0-9]"",""""),9))"),"778752711")</f>
        <v>778752711</v>
      </c>
      <c r="B1827" s="10">
        <v>7.78752711E8</v>
      </c>
      <c r="C1827" s="10" t="s">
        <v>1963</v>
      </c>
      <c r="D1827" s="10" t="s">
        <v>20</v>
      </c>
      <c r="E1827" s="13">
        <v>46229.0</v>
      </c>
      <c r="F1827" s="10" t="s">
        <v>35</v>
      </c>
      <c r="G1827" s="10">
        <v>11.0</v>
      </c>
      <c r="H1827" s="10" t="s">
        <v>1291</v>
      </c>
      <c r="I1827" s="10" t="s">
        <v>22</v>
      </c>
      <c r="J1827" s="9" t="str">
        <f t="shared" si="37"/>
        <v>No</v>
      </c>
      <c r="K1827" s="9" t="str">
        <f t="shared" si="36"/>
        <v/>
      </c>
      <c r="L1827" s="9" t="str">
        <f t="shared" si="38"/>
        <v/>
      </c>
      <c r="M1827" s="9"/>
      <c r="O1827" s="9"/>
    </row>
    <row r="1828" ht="15.75" customHeight="1">
      <c r="A1828" s="9" t="str">
        <f>IFERROR(__xludf.DUMMYFUNCTION("IF(B1828="""","""",RIGHT(REGEXREPLACE(B1828&amp;"""",""[^0-9]"",""""),9))"),"771597408")</f>
        <v>771597408</v>
      </c>
      <c r="B1828" s="10">
        <v>7.71597408E8</v>
      </c>
      <c r="C1828" s="10" t="s">
        <v>1964</v>
      </c>
      <c r="D1828" s="10" t="s">
        <v>20</v>
      </c>
      <c r="E1828" s="13">
        <v>46229.0</v>
      </c>
      <c r="F1828" s="10" t="s">
        <v>35</v>
      </c>
      <c r="G1828" s="10">
        <v>7.0</v>
      </c>
      <c r="I1828" s="10" t="s">
        <v>22</v>
      </c>
      <c r="J1828" s="9" t="str">
        <f t="shared" si="37"/>
        <v>No</v>
      </c>
      <c r="K1828" s="9" t="str">
        <f t="shared" si="36"/>
        <v/>
      </c>
      <c r="L1828" s="9" t="str">
        <f t="shared" si="38"/>
        <v/>
      </c>
      <c r="M1828" s="9"/>
      <c r="O1828" s="9"/>
    </row>
    <row r="1829" ht="15.75" customHeight="1">
      <c r="A1829" s="9" t="str">
        <f>IFERROR(__xludf.DUMMYFUNCTION("IF(B1829="""","""",RIGHT(REGEXREPLACE(B1829&amp;"""",""[^0-9]"",""""),9))"),"756608944")</f>
        <v>756608944</v>
      </c>
      <c r="B1829" s="48">
        <v>7.56608944E8</v>
      </c>
      <c r="C1829" s="10" t="s">
        <v>1965</v>
      </c>
      <c r="D1829" s="10" t="s">
        <v>50</v>
      </c>
      <c r="E1829" s="13">
        <v>46229.0</v>
      </c>
      <c r="F1829" s="10" t="s">
        <v>21</v>
      </c>
      <c r="I1829" s="10" t="s">
        <v>22</v>
      </c>
      <c r="J1829" s="9" t="str">
        <f t="shared" si="37"/>
        <v>No</v>
      </c>
      <c r="K1829" s="9" t="str">
        <f t="shared" si="36"/>
        <v/>
      </c>
      <c r="L1829" s="9" t="str">
        <f t="shared" si="38"/>
        <v/>
      </c>
      <c r="M1829" s="9"/>
      <c r="O1829" s="9"/>
    </row>
    <row r="1830" ht="15.75" customHeight="1">
      <c r="A1830" s="9" t="str">
        <f>IFERROR(__xludf.DUMMYFUNCTION("IF(B1830="""","""",RIGHT(REGEXREPLACE(B1830&amp;"""",""[^0-9]"",""""),9))"),"764053190")</f>
        <v>764053190</v>
      </c>
      <c r="B1830" s="10">
        <v>7.6405319E8</v>
      </c>
      <c r="C1830" s="10" t="s">
        <v>1966</v>
      </c>
      <c r="D1830" s="10" t="s">
        <v>20</v>
      </c>
      <c r="E1830" s="13">
        <v>46229.0</v>
      </c>
      <c r="F1830" s="10" t="s">
        <v>35</v>
      </c>
      <c r="G1830" s="10">
        <v>9.0</v>
      </c>
      <c r="I1830" s="10" t="s">
        <v>22</v>
      </c>
      <c r="J1830" s="9" t="str">
        <f t="shared" si="37"/>
        <v>No</v>
      </c>
      <c r="K1830" s="9" t="str">
        <f t="shared" si="36"/>
        <v/>
      </c>
      <c r="L1830" s="9" t="str">
        <f t="shared" si="38"/>
        <v/>
      </c>
      <c r="M1830" s="9"/>
      <c r="O1830" s="9"/>
    </row>
    <row r="1831" ht="15.75" customHeight="1">
      <c r="A1831" s="9" t="str">
        <f>IFERROR(__xludf.DUMMYFUNCTION("IF(B1831="""","""",RIGHT(REGEXREPLACE(B1831&amp;"""",""[^0-9]"",""""),9))"),"771367504")</f>
        <v>771367504</v>
      </c>
      <c r="B1831" s="48">
        <v>7.71367504E8</v>
      </c>
      <c r="C1831" s="10" t="s">
        <v>1965</v>
      </c>
      <c r="D1831" s="10" t="s">
        <v>97</v>
      </c>
      <c r="E1831" s="13">
        <v>46229.0</v>
      </c>
      <c r="F1831" s="10" t="s">
        <v>35</v>
      </c>
      <c r="G1831" s="10">
        <v>11.0</v>
      </c>
      <c r="I1831" s="10" t="s">
        <v>22</v>
      </c>
      <c r="J1831" s="9" t="str">
        <f t="shared" si="37"/>
        <v>No</v>
      </c>
      <c r="K1831" s="9" t="str">
        <f t="shared" si="36"/>
        <v/>
      </c>
      <c r="L1831" s="9" t="str">
        <f t="shared" si="38"/>
        <v/>
      </c>
      <c r="M1831" s="9"/>
      <c r="O1831" s="9"/>
    </row>
    <row r="1832" ht="15.75" customHeight="1">
      <c r="A1832" s="9" t="str">
        <f>IFERROR(__xludf.DUMMYFUNCTION("IF(B1832="""","""",RIGHT(REGEXREPLACE(B1832&amp;"""",""[^0-9]"",""""),9))"),"743674082")</f>
        <v>743674082</v>
      </c>
      <c r="B1832" s="10">
        <v>7.43674082E8</v>
      </c>
      <c r="C1832" s="10" t="s">
        <v>1967</v>
      </c>
      <c r="D1832" s="10" t="s">
        <v>20</v>
      </c>
      <c r="E1832" s="13">
        <v>46229.0</v>
      </c>
      <c r="F1832" s="10" t="s">
        <v>21</v>
      </c>
      <c r="G1832" s="10">
        <v>11.0</v>
      </c>
      <c r="I1832" s="10" t="s">
        <v>22</v>
      </c>
      <c r="J1832" s="9" t="str">
        <f t="shared" si="37"/>
        <v>No</v>
      </c>
      <c r="K1832" s="9" t="str">
        <f t="shared" si="36"/>
        <v/>
      </c>
      <c r="L1832" s="9" t="str">
        <f t="shared" si="38"/>
        <v/>
      </c>
      <c r="M1832" s="9"/>
      <c r="O1832" s="9"/>
    </row>
    <row r="1833" ht="15.75" customHeight="1">
      <c r="A1833" s="9" t="str">
        <f>IFERROR(__xludf.DUMMYFUNCTION("IF(B1833="""","""",RIGHT(REGEXREPLACE(B1833&amp;"""",""[^0-9]"",""""),9))"),"763639306")</f>
        <v>763639306</v>
      </c>
      <c r="B1833" s="10">
        <v>7.63639306E8</v>
      </c>
      <c r="C1833" s="10" t="s">
        <v>1968</v>
      </c>
      <c r="D1833" s="10" t="s">
        <v>20</v>
      </c>
      <c r="E1833" s="13">
        <v>46229.0</v>
      </c>
      <c r="F1833" s="10" t="s">
        <v>198</v>
      </c>
      <c r="G1833" s="10">
        <v>11.0</v>
      </c>
      <c r="I1833" s="10" t="s">
        <v>22</v>
      </c>
      <c r="J1833" s="9" t="str">
        <f t="shared" si="37"/>
        <v>No</v>
      </c>
      <c r="K1833" s="9" t="str">
        <f t="shared" si="36"/>
        <v/>
      </c>
      <c r="L1833" s="9" t="str">
        <f t="shared" si="38"/>
        <v/>
      </c>
      <c r="M1833" s="9"/>
      <c r="O1833" s="9"/>
    </row>
    <row r="1834" ht="15.75" customHeight="1">
      <c r="A1834" s="9" t="str">
        <f>IFERROR(__xludf.DUMMYFUNCTION("IF(B1834="""","""",RIGHT(REGEXREPLACE(B1834&amp;"""",""[^0-9]"",""""),9))"),"719987755")</f>
        <v>719987755</v>
      </c>
      <c r="B1834" s="48">
        <v>7.19987755E8</v>
      </c>
      <c r="C1834" s="10" t="s">
        <v>1969</v>
      </c>
      <c r="D1834" s="10" t="s">
        <v>50</v>
      </c>
      <c r="E1834" s="13">
        <v>46229.0</v>
      </c>
      <c r="F1834" s="10" t="s">
        <v>35</v>
      </c>
      <c r="G1834" s="10" t="s">
        <v>1970</v>
      </c>
      <c r="I1834" s="10" t="s">
        <v>22</v>
      </c>
      <c r="J1834" s="9" t="str">
        <f t="shared" si="37"/>
        <v>No</v>
      </c>
      <c r="K1834" s="9" t="str">
        <f t="shared" si="36"/>
        <v/>
      </c>
      <c r="L1834" s="9" t="str">
        <f t="shared" si="38"/>
        <v/>
      </c>
      <c r="M1834" s="9"/>
      <c r="O1834" s="9"/>
    </row>
    <row r="1835" ht="15.75" customHeight="1">
      <c r="A1835" s="9" t="str">
        <f>IFERROR(__xludf.DUMMYFUNCTION("IF(B1835="""","""",RIGHT(REGEXREPLACE(B1835&amp;"""",""[^0-9]"",""""),9))"),"774550915")</f>
        <v>774550915</v>
      </c>
      <c r="B1835" s="48">
        <v>7.74550915E8</v>
      </c>
      <c r="C1835" s="10" t="s">
        <v>1971</v>
      </c>
      <c r="D1835" s="10" t="s">
        <v>69</v>
      </c>
      <c r="E1835" s="13">
        <v>46229.0</v>
      </c>
      <c r="F1835" s="10" t="s">
        <v>35</v>
      </c>
      <c r="G1835" s="10">
        <v>11.0</v>
      </c>
      <c r="I1835" s="10" t="s">
        <v>22</v>
      </c>
      <c r="J1835" s="9" t="str">
        <f t="shared" si="37"/>
        <v>No</v>
      </c>
      <c r="K1835" s="9" t="str">
        <f t="shared" si="36"/>
        <v/>
      </c>
      <c r="L1835" s="9" t="str">
        <f t="shared" si="38"/>
        <v/>
      </c>
      <c r="M1835" s="9"/>
      <c r="O1835" s="9"/>
    </row>
    <row r="1836" ht="15.75" customHeight="1">
      <c r="A1836" s="9" t="str">
        <f>IFERROR(__xludf.DUMMYFUNCTION("IF(B1836="""","""",RIGHT(REGEXREPLACE(B1836&amp;"""",""[^0-9]"",""""),9))"),"773821682")</f>
        <v>773821682</v>
      </c>
      <c r="B1836" s="48">
        <v>7.73821682E8</v>
      </c>
      <c r="C1836" s="10" t="s">
        <v>1972</v>
      </c>
      <c r="D1836" s="10" t="s">
        <v>50</v>
      </c>
      <c r="E1836" s="13">
        <v>46229.0</v>
      </c>
      <c r="F1836" s="10" t="s">
        <v>35</v>
      </c>
      <c r="H1836" s="10" t="s">
        <v>238</v>
      </c>
      <c r="I1836" s="10" t="s">
        <v>22</v>
      </c>
      <c r="J1836" s="9" t="str">
        <f t="shared" si="37"/>
        <v>No</v>
      </c>
      <c r="K1836" s="9" t="str">
        <f t="shared" si="36"/>
        <v/>
      </c>
      <c r="L1836" s="9" t="str">
        <f t="shared" si="38"/>
        <v/>
      </c>
      <c r="M1836" s="9"/>
      <c r="O1836" s="9"/>
    </row>
    <row r="1837" ht="15.75" customHeight="1">
      <c r="A1837" s="9" t="str">
        <f>IFERROR(__xludf.DUMMYFUNCTION("IF(B1837="""","""",RIGHT(REGEXREPLACE(B1837&amp;"""",""[^0-9]"",""""),9))"),"714045138")</f>
        <v>714045138</v>
      </c>
      <c r="B1837" s="10">
        <v>7.14045138E8</v>
      </c>
      <c r="C1837" s="10" t="s">
        <v>1973</v>
      </c>
      <c r="D1837" s="10" t="s">
        <v>20</v>
      </c>
      <c r="E1837" s="13">
        <v>46229.0</v>
      </c>
      <c r="F1837" s="10" t="s">
        <v>35</v>
      </c>
      <c r="G1837" s="10">
        <v>11.0</v>
      </c>
      <c r="H1837" s="10" t="s">
        <v>1233</v>
      </c>
      <c r="I1837" s="10" t="s">
        <v>22</v>
      </c>
      <c r="J1837" s="9" t="str">
        <f t="shared" si="37"/>
        <v>No</v>
      </c>
      <c r="K1837" s="9" t="str">
        <f t="shared" si="36"/>
        <v/>
      </c>
      <c r="L1837" s="9" t="str">
        <f t="shared" si="38"/>
        <v/>
      </c>
      <c r="M1837" s="9"/>
      <c r="O1837" s="9"/>
    </row>
    <row r="1838" ht="15.75" customHeight="1">
      <c r="A1838" s="9" t="str">
        <f>IFERROR(__xludf.DUMMYFUNCTION("IF(B1838="""","""",RIGHT(REGEXREPLACE(B1838&amp;"""",""[^0-9]"",""""),9))"),"776161245")</f>
        <v>776161245</v>
      </c>
      <c r="B1838" s="10">
        <v>7.76161245E8</v>
      </c>
      <c r="C1838" s="10" t="s">
        <v>1974</v>
      </c>
      <c r="D1838" s="10" t="s">
        <v>20</v>
      </c>
      <c r="E1838" s="13">
        <v>46229.0</v>
      </c>
      <c r="F1838" s="10" t="s">
        <v>35</v>
      </c>
      <c r="G1838" s="10">
        <v>10.0</v>
      </c>
      <c r="I1838" s="10" t="s">
        <v>22</v>
      </c>
      <c r="J1838" s="9" t="str">
        <f t="shared" si="37"/>
        <v>No</v>
      </c>
      <c r="K1838" s="9" t="str">
        <f t="shared" si="36"/>
        <v/>
      </c>
      <c r="L1838" s="9" t="str">
        <f t="shared" si="38"/>
        <v/>
      </c>
      <c r="M1838" s="9"/>
      <c r="O1838" s="9"/>
    </row>
    <row r="1839" ht="15.75" customHeight="1">
      <c r="A1839" s="9" t="str">
        <f>IFERROR(__xludf.DUMMYFUNCTION("IF(B1839="""","""",RIGHT(REGEXREPLACE(B1839&amp;"""",""[^0-9]"",""""),9))"),"703788919")</f>
        <v>703788919</v>
      </c>
      <c r="B1839" s="48">
        <v>7.03788919E8</v>
      </c>
      <c r="C1839" s="10" t="s">
        <v>1975</v>
      </c>
      <c r="D1839" s="10" t="s">
        <v>50</v>
      </c>
      <c r="E1839" s="13">
        <v>46229.0</v>
      </c>
      <c r="F1839" s="10" t="s">
        <v>21</v>
      </c>
      <c r="I1839" s="10" t="s">
        <v>22</v>
      </c>
      <c r="J1839" s="9" t="str">
        <f t="shared" si="37"/>
        <v>No</v>
      </c>
      <c r="K1839" s="9" t="str">
        <f t="shared" si="36"/>
        <v/>
      </c>
      <c r="L1839" s="9" t="str">
        <f t="shared" si="38"/>
        <v/>
      </c>
      <c r="M1839" s="9"/>
      <c r="O1839" s="9"/>
    </row>
    <row r="1840" ht="15.75" customHeight="1">
      <c r="A1840" s="9" t="str">
        <f>IFERROR(__xludf.DUMMYFUNCTION("IF(B1840="""","""",RIGHT(REGEXREPLACE(B1840&amp;"""",""[^0-9]"",""""),9))"),"775368427")</f>
        <v>775368427</v>
      </c>
      <c r="B1840" s="10">
        <v>7.75368427E8</v>
      </c>
      <c r="C1840" s="10" t="s">
        <v>1976</v>
      </c>
      <c r="D1840" s="10" t="s">
        <v>20</v>
      </c>
      <c r="E1840" s="13">
        <v>46229.0</v>
      </c>
      <c r="F1840" s="10" t="s">
        <v>198</v>
      </c>
      <c r="I1840" s="10" t="s">
        <v>22</v>
      </c>
      <c r="J1840" s="9" t="str">
        <f t="shared" si="37"/>
        <v>No</v>
      </c>
      <c r="K1840" s="9" t="str">
        <f t="shared" si="36"/>
        <v/>
      </c>
      <c r="L1840" s="9" t="str">
        <f t="shared" si="38"/>
        <v/>
      </c>
      <c r="M1840" s="9"/>
      <c r="O1840" s="9"/>
    </row>
    <row r="1841" ht="15.75" customHeight="1">
      <c r="A1841" s="9" t="str">
        <f>IFERROR(__xludf.DUMMYFUNCTION("IF(B1841="""","""",RIGHT(REGEXREPLACE(B1841&amp;"""",""[^0-9]"",""""),9))"),"772396706")</f>
        <v>772396706</v>
      </c>
      <c r="B1841" s="48">
        <v>7.72396706E8</v>
      </c>
      <c r="C1841" s="10" t="s">
        <v>1977</v>
      </c>
      <c r="D1841" s="10" t="s">
        <v>69</v>
      </c>
      <c r="E1841" s="13">
        <v>46229.0</v>
      </c>
      <c r="F1841" s="10" t="s">
        <v>542</v>
      </c>
      <c r="G1841" s="10">
        <v>11.0</v>
      </c>
      <c r="I1841" s="10" t="s">
        <v>22</v>
      </c>
      <c r="J1841" s="9" t="str">
        <f t="shared" si="37"/>
        <v>No</v>
      </c>
      <c r="K1841" s="9" t="str">
        <f t="shared" si="36"/>
        <v/>
      </c>
      <c r="L1841" s="9" t="str">
        <f t="shared" si="38"/>
        <v/>
      </c>
      <c r="M1841" s="9"/>
      <c r="O1841" s="9"/>
    </row>
    <row r="1842" ht="15.75" customHeight="1">
      <c r="A1842" s="9" t="str">
        <f>IFERROR(__xludf.DUMMYFUNCTION("IF(B1842="""","""",RIGHT(REGEXREPLACE(B1842&amp;"""",""[^0-9]"",""""),9))"),"777731098")</f>
        <v>777731098</v>
      </c>
      <c r="B1842" s="48">
        <v>7.77731098E8</v>
      </c>
      <c r="C1842" s="10" t="s">
        <v>1978</v>
      </c>
      <c r="D1842" s="10" t="s">
        <v>97</v>
      </c>
      <c r="E1842" s="13">
        <v>46229.0</v>
      </c>
      <c r="F1842" s="10" t="s">
        <v>35</v>
      </c>
      <c r="G1842" s="10">
        <v>11.0</v>
      </c>
      <c r="I1842" s="10" t="s">
        <v>22</v>
      </c>
      <c r="J1842" s="9" t="str">
        <f t="shared" si="37"/>
        <v>No</v>
      </c>
      <c r="K1842" s="9" t="str">
        <f t="shared" si="36"/>
        <v/>
      </c>
      <c r="L1842" s="9" t="str">
        <f t="shared" si="38"/>
        <v/>
      </c>
      <c r="M1842" s="9"/>
      <c r="O1842" s="9"/>
    </row>
    <row r="1843" ht="15.75" customHeight="1">
      <c r="A1843" s="9" t="str">
        <f>IFERROR(__xludf.DUMMYFUNCTION("IF(B1843="""","""",RIGHT(REGEXREPLACE(B1843&amp;"""",""[^0-9]"",""""),9))"),"762271288")</f>
        <v>762271288</v>
      </c>
      <c r="B1843" s="10">
        <v>7.62271288E8</v>
      </c>
      <c r="C1843" s="10" t="s">
        <v>1979</v>
      </c>
      <c r="D1843" s="10" t="s">
        <v>20</v>
      </c>
      <c r="E1843" s="13">
        <v>46229.0</v>
      </c>
      <c r="F1843" s="10" t="s">
        <v>173</v>
      </c>
      <c r="G1843" s="10">
        <v>11.0</v>
      </c>
      <c r="I1843" s="10" t="s">
        <v>22</v>
      </c>
      <c r="J1843" s="9" t="str">
        <f t="shared" si="37"/>
        <v>No</v>
      </c>
      <c r="K1843" s="9" t="str">
        <f t="shared" si="36"/>
        <v/>
      </c>
      <c r="L1843" s="9" t="str">
        <f t="shared" si="38"/>
        <v/>
      </c>
      <c r="M1843" s="9"/>
      <c r="O1843" s="9"/>
    </row>
    <row r="1844" ht="15.75" customHeight="1">
      <c r="A1844" s="9" t="str">
        <f>IFERROR(__xludf.DUMMYFUNCTION("IF(B1844="""","""",RIGHT(REGEXREPLACE(B1844&amp;"""",""[^0-9]"",""""),9))"),"778958358")</f>
        <v>778958358</v>
      </c>
      <c r="B1844" s="48">
        <v>7.78958358E8</v>
      </c>
      <c r="C1844" s="10" t="s">
        <v>1980</v>
      </c>
      <c r="D1844" s="10" t="s">
        <v>34</v>
      </c>
      <c r="E1844" s="13">
        <v>46229.0</v>
      </c>
      <c r="F1844" s="10" t="s">
        <v>35</v>
      </c>
      <c r="G1844" s="10">
        <v>10.0</v>
      </c>
      <c r="I1844" s="10" t="s">
        <v>22</v>
      </c>
      <c r="J1844" s="9" t="str">
        <f t="shared" si="37"/>
        <v>No</v>
      </c>
      <c r="K1844" s="9" t="str">
        <f t="shared" si="36"/>
        <v/>
      </c>
      <c r="L1844" s="9" t="str">
        <f t="shared" si="38"/>
        <v/>
      </c>
      <c r="M1844" s="9"/>
      <c r="O1844" s="9"/>
    </row>
    <row r="1845" ht="15.75" customHeight="1">
      <c r="A1845" s="9" t="str">
        <f>IFERROR(__xludf.DUMMYFUNCTION("IF(B1845="""","""",RIGHT(REGEXREPLACE(B1845&amp;"""",""[^0-9]"",""""),9))"),"772655197")</f>
        <v>772655197</v>
      </c>
      <c r="B1845" s="48">
        <v>7.72655197E8</v>
      </c>
      <c r="C1845" s="10" t="s">
        <v>1981</v>
      </c>
      <c r="D1845" s="10" t="s">
        <v>50</v>
      </c>
      <c r="E1845" s="13">
        <v>46229.0</v>
      </c>
      <c r="F1845" s="10" t="s">
        <v>35</v>
      </c>
      <c r="G1845" s="10">
        <v>11.0</v>
      </c>
      <c r="I1845" s="10" t="s">
        <v>22</v>
      </c>
      <c r="J1845" s="9" t="str">
        <f t="shared" si="37"/>
        <v>No</v>
      </c>
      <c r="K1845" s="9" t="str">
        <f t="shared" si="36"/>
        <v/>
      </c>
      <c r="L1845" s="9" t="str">
        <f t="shared" si="38"/>
        <v/>
      </c>
      <c r="M1845" s="9"/>
      <c r="O1845" s="9"/>
    </row>
    <row r="1846" ht="15.75" customHeight="1">
      <c r="A1846" s="9" t="str">
        <f>IFERROR(__xludf.DUMMYFUNCTION("IF(B1846="""","""",RIGHT(REGEXREPLACE(B1846&amp;"""",""[^0-9]"",""""),9))"),"777821309")</f>
        <v>777821309</v>
      </c>
      <c r="B1846" s="48">
        <v>7.77821309E8</v>
      </c>
      <c r="C1846" s="10" t="s">
        <v>1982</v>
      </c>
      <c r="D1846" s="10" t="s">
        <v>69</v>
      </c>
      <c r="E1846" s="13">
        <v>46229.0</v>
      </c>
      <c r="F1846" s="10" t="s">
        <v>21</v>
      </c>
      <c r="G1846" s="10">
        <v>11.0</v>
      </c>
      <c r="H1846" s="10" t="s">
        <v>1570</v>
      </c>
      <c r="I1846" s="10" t="s">
        <v>22</v>
      </c>
      <c r="J1846" s="9" t="str">
        <f t="shared" si="37"/>
        <v>No</v>
      </c>
      <c r="K1846" s="9" t="str">
        <f t="shared" si="36"/>
        <v/>
      </c>
      <c r="L1846" s="9" t="str">
        <f t="shared" si="38"/>
        <v/>
      </c>
      <c r="M1846" s="9"/>
      <c r="O1846" s="9"/>
    </row>
    <row r="1847" ht="15.75" customHeight="1">
      <c r="A1847" s="9" t="str">
        <f>IFERROR(__xludf.DUMMYFUNCTION("IF(B1847="""","""",RIGHT(REGEXREPLACE(B1847&amp;"""",""[^0-9]"",""""),9))"),"776919160")</f>
        <v>776919160</v>
      </c>
      <c r="B1847" s="48">
        <v>7.7691916E8</v>
      </c>
      <c r="C1847" s="10" t="s">
        <v>1983</v>
      </c>
      <c r="D1847" s="10" t="s">
        <v>50</v>
      </c>
      <c r="E1847" s="13">
        <v>46229.0</v>
      </c>
      <c r="F1847" s="10" t="s">
        <v>35</v>
      </c>
      <c r="G1847" s="10">
        <v>11.0</v>
      </c>
      <c r="I1847" s="10" t="s">
        <v>22</v>
      </c>
      <c r="J1847" s="9" t="str">
        <f t="shared" si="37"/>
        <v>No</v>
      </c>
      <c r="K1847" s="9" t="str">
        <f t="shared" si="36"/>
        <v/>
      </c>
      <c r="L1847" s="9" t="str">
        <f t="shared" si="38"/>
        <v/>
      </c>
      <c r="M1847" s="9"/>
      <c r="O1847" s="9"/>
    </row>
    <row r="1848" ht="15.75" customHeight="1">
      <c r="A1848" s="9" t="str">
        <f>IFERROR(__xludf.DUMMYFUNCTION("IF(B1848="""","""",RIGHT(REGEXREPLACE(B1848&amp;"""",""[^0-9]"",""""),9))"),"712889582")</f>
        <v>712889582</v>
      </c>
      <c r="B1848" s="48">
        <v>7.12889582E8</v>
      </c>
      <c r="C1848" s="10" t="s">
        <v>1984</v>
      </c>
      <c r="D1848" s="10" t="s">
        <v>97</v>
      </c>
      <c r="E1848" s="13">
        <v>46229.0</v>
      </c>
      <c r="F1848" s="10" t="s">
        <v>35</v>
      </c>
      <c r="G1848" s="10">
        <v>11.0</v>
      </c>
      <c r="I1848" s="10" t="s">
        <v>22</v>
      </c>
      <c r="J1848" s="9" t="str">
        <f t="shared" si="37"/>
        <v>No</v>
      </c>
      <c r="K1848" s="9" t="str">
        <f t="shared" si="36"/>
        <v/>
      </c>
      <c r="L1848" s="9" t="str">
        <f t="shared" si="38"/>
        <v/>
      </c>
      <c r="M1848" s="9"/>
      <c r="O1848" s="9"/>
    </row>
    <row r="1849" ht="15.75" customHeight="1">
      <c r="A1849" s="9" t="str">
        <f>IFERROR(__xludf.DUMMYFUNCTION("IF(B1849="""","""",RIGHT(REGEXREPLACE(B1849&amp;"""",""[^0-9]"",""""),9))"),"743239592")</f>
        <v>743239592</v>
      </c>
      <c r="B1849" s="48">
        <v>7.43239592E8</v>
      </c>
      <c r="C1849" s="10" t="s">
        <v>1985</v>
      </c>
      <c r="D1849" s="10" t="s">
        <v>34</v>
      </c>
      <c r="E1849" s="13">
        <v>46229.0</v>
      </c>
      <c r="F1849" s="10" t="s">
        <v>21</v>
      </c>
      <c r="G1849" s="10">
        <v>11.0</v>
      </c>
      <c r="I1849" s="10" t="s">
        <v>22</v>
      </c>
      <c r="J1849" s="9" t="str">
        <f t="shared" si="37"/>
        <v>No</v>
      </c>
      <c r="K1849" s="9" t="str">
        <f t="shared" si="36"/>
        <v/>
      </c>
      <c r="L1849" s="9" t="str">
        <f t="shared" si="38"/>
        <v/>
      </c>
      <c r="M1849" s="9"/>
      <c r="O1849" s="9"/>
    </row>
    <row r="1850" ht="15.75" customHeight="1">
      <c r="A1850" s="9" t="str">
        <f>IFERROR(__xludf.DUMMYFUNCTION("IF(B1850="""","""",RIGHT(REGEXREPLACE(B1850&amp;"""",""[^0-9]"",""""),9))"),"718000937")</f>
        <v>718000937</v>
      </c>
      <c r="B1850" s="48">
        <v>7.18000937E8</v>
      </c>
      <c r="C1850" s="10" t="s">
        <v>1986</v>
      </c>
      <c r="D1850" s="10" t="s">
        <v>69</v>
      </c>
      <c r="E1850" s="13">
        <v>46229.0</v>
      </c>
      <c r="F1850" s="10" t="s">
        <v>173</v>
      </c>
      <c r="G1850" s="10">
        <v>11.0</v>
      </c>
      <c r="I1850" s="10" t="s">
        <v>22</v>
      </c>
      <c r="J1850" s="9" t="str">
        <f t="shared" si="37"/>
        <v>No</v>
      </c>
      <c r="K1850" s="9" t="str">
        <f t="shared" si="36"/>
        <v/>
      </c>
      <c r="L1850" s="9" t="str">
        <f t="shared" si="38"/>
        <v/>
      </c>
      <c r="M1850" s="9"/>
      <c r="O1850" s="9"/>
    </row>
    <row r="1851" ht="15.75" customHeight="1">
      <c r="A1851" s="9" t="str">
        <f>IFERROR(__xludf.DUMMYFUNCTION("IF(B1851="""","""",RIGHT(REGEXREPLACE(B1851&amp;"""",""[^0-9]"",""""),9))"),"720841148")</f>
        <v>720841148</v>
      </c>
      <c r="B1851" s="48">
        <v>7.20841148E8</v>
      </c>
      <c r="C1851" s="10" t="s">
        <v>1987</v>
      </c>
      <c r="D1851" s="10" t="s">
        <v>34</v>
      </c>
      <c r="E1851" s="13">
        <v>46229.0</v>
      </c>
      <c r="F1851" s="10" t="s">
        <v>171</v>
      </c>
      <c r="I1851" s="10" t="s">
        <v>22</v>
      </c>
      <c r="J1851" s="9" t="str">
        <f t="shared" si="37"/>
        <v>No</v>
      </c>
      <c r="K1851" s="9" t="str">
        <f t="shared" si="36"/>
        <v/>
      </c>
      <c r="L1851" s="9" t="str">
        <f t="shared" si="38"/>
        <v/>
      </c>
      <c r="M1851" s="9"/>
      <c r="O1851" s="9"/>
    </row>
    <row r="1852" ht="15.75" customHeight="1">
      <c r="A1852" s="9" t="str">
        <f>IFERROR(__xludf.DUMMYFUNCTION("IF(B1852="""","""",RIGHT(REGEXREPLACE(B1852&amp;"""",""[^0-9]"",""""),9))"),"701014918")</f>
        <v>701014918</v>
      </c>
      <c r="B1852" s="48">
        <v>7.01014918E8</v>
      </c>
      <c r="C1852" s="10" t="s">
        <v>1988</v>
      </c>
      <c r="D1852" s="10" t="s">
        <v>97</v>
      </c>
      <c r="E1852" s="13">
        <v>46229.0</v>
      </c>
      <c r="F1852" s="10" t="s">
        <v>35</v>
      </c>
      <c r="G1852" s="10">
        <v>11.0</v>
      </c>
      <c r="I1852" s="10" t="s">
        <v>22</v>
      </c>
      <c r="J1852" s="9" t="str">
        <f t="shared" si="37"/>
        <v>No</v>
      </c>
      <c r="K1852" s="9" t="str">
        <f t="shared" si="36"/>
        <v/>
      </c>
      <c r="L1852" s="9" t="str">
        <f t="shared" si="38"/>
        <v/>
      </c>
      <c r="M1852" s="9"/>
      <c r="O1852" s="9"/>
    </row>
    <row r="1853" ht="15.75" customHeight="1">
      <c r="A1853" s="9" t="str">
        <f>IFERROR(__xludf.DUMMYFUNCTION("IF(B1853="""","""",RIGHT(REGEXREPLACE(B1853&amp;"""",""[^0-9]"",""""),9))"),"786894911")</f>
        <v>786894911</v>
      </c>
      <c r="B1853" s="48">
        <v>7.86894911E8</v>
      </c>
      <c r="C1853" s="10" t="s">
        <v>1989</v>
      </c>
      <c r="D1853" s="10" t="s">
        <v>50</v>
      </c>
      <c r="E1853" s="13">
        <v>46229.0</v>
      </c>
      <c r="F1853" s="10" t="s">
        <v>21</v>
      </c>
      <c r="G1853" s="10">
        <v>11.0</v>
      </c>
      <c r="I1853" s="10" t="s">
        <v>22</v>
      </c>
      <c r="J1853" s="9" t="str">
        <f t="shared" si="37"/>
        <v>No</v>
      </c>
      <c r="K1853" s="9" t="str">
        <f t="shared" si="36"/>
        <v/>
      </c>
      <c r="L1853" s="9" t="str">
        <f t="shared" si="38"/>
        <v/>
      </c>
      <c r="M1853" s="9"/>
      <c r="O1853" s="9"/>
    </row>
    <row r="1854" ht="15.75" customHeight="1">
      <c r="A1854" s="9" t="str">
        <f>IFERROR(__xludf.DUMMYFUNCTION("IF(B1854="""","""",RIGHT(REGEXREPLACE(B1854&amp;"""",""[^0-9]"",""""),9))"),"770585037")</f>
        <v>770585037</v>
      </c>
      <c r="B1854" s="48">
        <v>7.70585037E8</v>
      </c>
      <c r="C1854" s="10" t="s">
        <v>1990</v>
      </c>
      <c r="D1854" s="10" t="s">
        <v>34</v>
      </c>
      <c r="E1854" s="13">
        <v>46229.0</v>
      </c>
      <c r="F1854" s="10" t="s">
        <v>35</v>
      </c>
      <c r="G1854" s="10">
        <v>11.0</v>
      </c>
      <c r="I1854" s="10" t="s">
        <v>22</v>
      </c>
      <c r="J1854" s="9" t="str">
        <f t="shared" si="37"/>
        <v>No</v>
      </c>
      <c r="K1854" s="9" t="str">
        <f t="shared" si="36"/>
        <v/>
      </c>
      <c r="L1854" s="9" t="str">
        <f t="shared" si="38"/>
        <v/>
      </c>
      <c r="M1854" s="9"/>
      <c r="O1854" s="9"/>
    </row>
    <row r="1855" ht="15.75" customHeight="1">
      <c r="A1855" s="9" t="str">
        <f>IFERROR(__xludf.DUMMYFUNCTION("IF(B1855="""","""",RIGHT(REGEXREPLACE(B1855&amp;"""",""[^0-9]"",""""),9))"),"773514173")</f>
        <v>773514173</v>
      </c>
      <c r="B1855" s="48">
        <v>7.73514173E8</v>
      </c>
      <c r="C1855" s="10" t="s">
        <v>1463</v>
      </c>
      <c r="D1855" s="10" t="s">
        <v>69</v>
      </c>
      <c r="E1855" s="13">
        <v>46229.0</v>
      </c>
      <c r="F1855" s="10" t="s">
        <v>542</v>
      </c>
      <c r="G1855" s="10">
        <v>11.0</v>
      </c>
      <c r="I1855" s="10" t="s">
        <v>22</v>
      </c>
      <c r="J1855" s="9" t="str">
        <f t="shared" si="37"/>
        <v>Yes - see Previous F-Code</v>
      </c>
      <c r="K1855" s="9" t="str">
        <f t="shared" si="36"/>
        <v>DUPLICATE - CHECK</v>
      </c>
      <c r="L1855" s="9" t="str">
        <f t="shared" si="38"/>
        <v>F71261</v>
      </c>
      <c r="M1855" s="9"/>
      <c r="O1855" s="9"/>
    </row>
    <row r="1856" ht="15.75" customHeight="1">
      <c r="A1856" s="9" t="str">
        <f>IFERROR(__xludf.DUMMYFUNCTION("IF(B1856="""","""",RIGHT(REGEXREPLACE(B1856&amp;"""",""[^0-9]"",""""),9))"),"743440813")</f>
        <v>743440813</v>
      </c>
      <c r="B1856" s="48">
        <v>7.43440813E8</v>
      </c>
      <c r="C1856" s="10" t="s">
        <v>1991</v>
      </c>
      <c r="D1856" s="10" t="s">
        <v>50</v>
      </c>
      <c r="E1856" s="13">
        <v>46229.0</v>
      </c>
      <c r="F1856" s="10" t="s">
        <v>35</v>
      </c>
      <c r="G1856" s="10">
        <v>11.0</v>
      </c>
      <c r="I1856" s="10" t="s">
        <v>22</v>
      </c>
      <c r="J1856" s="9" t="str">
        <f t="shared" si="37"/>
        <v>No</v>
      </c>
      <c r="K1856" s="9" t="str">
        <f t="shared" si="36"/>
        <v/>
      </c>
      <c r="L1856" s="9" t="str">
        <f t="shared" si="38"/>
        <v/>
      </c>
      <c r="M1856" s="9"/>
      <c r="O1856" s="9"/>
    </row>
    <row r="1857" ht="15.75" customHeight="1">
      <c r="A1857" s="9" t="str">
        <f>IFERROR(__xludf.DUMMYFUNCTION("IF(B1857="""","""",RIGHT(REGEXREPLACE(B1857&amp;"""",""[^0-9]"",""""),9))"),"714607994")</f>
        <v>714607994</v>
      </c>
      <c r="B1857" s="48">
        <v>7.14607994E8</v>
      </c>
      <c r="C1857" s="10" t="s">
        <v>1992</v>
      </c>
      <c r="D1857" s="10" t="s">
        <v>34</v>
      </c>
      <c r="E1857" s="13">
        <v>46229.0</v>
      </c>
      <c r="F1857" s="10" t="s">
        <v>35</v>
      </c>
      <c r="G1857" s="10">
        <v>11.0</v>
      </c>
      <c r="I1857" s="10" t="s">
        <v>22</v>
      </c>
      <c r="J1857" s="9" t="str">
        <f t="shared" si="37"/>
        <v>No</v>
      </c>
      <c r="K1857" s="9" t="str">
        <f t="shared" si="36"/>
        <v/>
      </c>
      <c r="L1857" s="9" t="str">
        <f t="shared" si="38"/>
        <v/>
      </c>
      <c r="M1857" s="9"/>
      <c r="O1857" s="9"/>
    </row>
    <row r="1858" ht="15.75" customHeight="1">
      <c r="A1858" s="9" t="str">
        <f>IFERROR(__xludf.DUMMYFUNCTION("IF(B1858="""","""",RIGHT(REGEXREPLACE(B1858&amp;"""",""[^0-9]"",""""),9))"),"770627339")</f>
        <v>770627339</v>
      </c>
      <c r="B1858" s="48">
        <v>7.70627339E8</v>
      </c>
      <c r="C1858" s="10" t="s">
        <v>1993</v>
      </c>
      <c r="D1858" s="10" t="s">
        <v>97</v>
      </c>
      <c r="E1858" s="13">
        <v>46229.0</v>
      </c>
      <c r="F1858" s="10" t="s">
        <v>604</v>
      </c>
      <c r="G1858" s="10">
        <v>10.0</v>
      </c>
      <c r="I1858" s="10" t="s">
        <v>22</v>
      </c>
      <c r="J1858" s="9" t="str">
        <f t="shared" si="37"/>
        <v>No</v>
      </c>
      <c r="K1858" s="9" t="str">
        <f t="shared" si="36"/>
        <v/>
      </c>
      <c r="L1858" s="9" t="str">
        <f t="shared" si="38"/>
        <v/>
      </c>
      <c r="M1858" s="9"/>
      <c r="O1858" s="9"/>
    </row>
    <row r="1859" ht="15.75" customHeight="1">
      <c r="A1859" s="9" t="str">
        <f>IFERROR(__xludf.DUMMYFUNCTION("IF(B1859="""","""",RIGHT(REGEXREPLACE(B1859&amp;"""",""[^0-9]"",""""),9))"),"701630984")</f>
        <v>701630984</v>
      </c>
      <c r="B1859" s="48">
        <v>7.01630984E8</v>
      </c>
      <c r="C1859" s="10" t="s">
        <v>1994</v>
      </c>
      <c r="D1859" s="10" t="s">
        <v>69</v>
      </c>
      <c r="E1859" s="13">
        <v>46229.0</v>
      </c>
      <c r="F1859" s="10" t="s">
        <v>21</v>
      </c>
      <c r="G1859" s="10">
        <v>11.0</v>
      </c>
      <c r="I1859" s="10" t="s">
        <v>22</v>
      </c>
      <c r="J1859" s="9" t="str">
        <f t="shared" si="37"/>
        <v>No</v>
      </c>
      <c r="K1859" s="9" t="str">
        <f t="shared" si="36"/>
        <v/>
      </c>
      <c r="L1859" s="9" t="str">
        <f t="shared" si="38"/>
        <v/>
      </c>
      <c r="M1859" s="9"/>
      <c r="O1859" s="9"/>
    </row>
    <row r="1860" ht="15.75" customHeight="1">
      <c r="A1860" s="9" t="str">
        <f>IFERROR(__xludf.DUMMYFUNCTION("IF(B1860="""","""",RIGHT(REGEXREPLACE(B1860&amp;"""",""[^0-9]"",""""),9))"),"717961387")</f>
        <v>717961387</v>
      </c>
      <c r="B1860" s="48">
        <v>7.17961387E8</v>
      </c>
      <c r="C1860" s="10" t="s">
        <v>1995</v>
      </c>
      <c r="D1860" s="10" t="s">
        <v>34</v>
      </c>
      <c r="E1860" s="13">
        <v>46229.0</v>
      </c>
      <c r="F1860" s="10" t="s">
        <v>35</v>
      </c>
      <c r="G1860" s="10">
        <v>11.0</v>
      </c>
      <c r="I1860" s="10" t="s">
        <v>22</v>
      </c>
      <c r="J1860" s="9" t="str">
        <f t="shared" si="37"/>
        <v>No</v>
      </c>
      <c r="K1860" s="9" t="str">
        <f t="shared" si="36"/>
        <v/>
      </c>
      <c r="L1860" s="9" t="str">
        <f t="shared" si="38"/>
        <v/>
      </c>
      <c r="M1860" s="9"/>
      <c r="O1860" s="9"/>
    </row>
    <row r="1861" ht="15.75" customHeight="1">
      <c r="A1861" s="9" t="str">
        <f>IFERROR(__xludf.DUMMYFUNCTION("IF(B1861="""","""",RIGHT(REGEXREPLACE(B1861&amp;"""",""[^0-9]"",""""),9))"),"743432534")</f>
        <v>743432534</v>
      </c>
      <c r="B1861" s="48">
        <v>7.43432534E8</v>
      </c>
      <c r="C1861" s="10" t="s">
        <v>1996</v>
      </c>
      <c r="D1861" s="10" t="s">
        <v>50</v>
      </c>
      <c r="E1861" s="13">
        <v>46229.0</v>
      </c>
      <c r="F1861" s="10" t="s">
        <v>35</v>
      </c>
      <c r="G1861" s="10">
        <v>11.0</v>
      </c>
      <c r="I1861" s="10" t="s">
        <v>22</v>
      </c>
      <c r="J1861" s="9" t="str">
        <f t="shared" si="37"/>
        <v>No</v>
      </c>
      <c r="K1861" s="9" t="str">
        <f t="shared" si="36"/>
        <v/>
      </c>
      <c r="L1861" s="9" t="str">
        <f t="shared" si="38"/>
        <v/>
      </c>
      <c r="M1861" s="9"/>
      <c r="O1861" s="9"/>
    </row>
    <row r="1862" ht="15.75" customHeight="1">
      <c r="A1862" s="9" t="str">
        <f>IFERROR(__xludf.DUMMYFUNCTION("IF(B1862="""","""",RIGHT(REGEXREPLACE(B1862&amp;"""",""[^0-9]"",""""),9))"),"718259488")</f>
        <v>718259488</v>
      </c>
      <c r="B1862" s="48">
        <v>7.18259488E8</v>
      </c>
      <c r="C1862" s="10" t="s">
        <v>1997</v>
      </c>
      <c r="D1862" s="10" t="s">
        <v>97</v>
      </c>
      <c r="E1862" s="13">
        <v>46229.0</v>
      </c>
      <c r="F1862" s="10" t="s">
        <v>21</v>
      </c>
      <c r="I1862" s="10" t="s">
        <v>22</v>
      </c>
      <c r="J1862" s="9" t="str">
        <f t="shared" si="37"/>
        <v>No</v>
      </c>
      <c r="K1862" s="9" t="str">
        <f t="shared" si="36"/>
        <v/>
      </c>
      <c r="L1862" s="9" t="str">
        <f t="shared" si="38"/>
        <v/>
      </c>
      <c r="M1862" s="9"/>
      <c r="O1862" s="9"/>
    </row>
    <row r="1863" ht="15.75" customHeight="1">
      <c r="A1863" s="9" t="str">
        <f>IFERROR(__xludf.DUMMYFUNCTION("IF(B1863="""","""",RIGHT(REGEXREPLACE(B1863&amp;"""",""[^0-9]"",""""),9))"),"717673398")</f>
        <v>717673398</v>
      </c>
      <c r="B1863" s="48">
        <v>7.17673398E8</v>
      </c>
      <c r="C1863" s="10" t="s">
        <v>1998</v>
      </c>
      <c r="D1863" s="10" t="s">
        <v>69</v>
      </c>
      <c r="E1863" s="13">
        <v>46229.0</v>
      </c>
      <c r="F1863" s="10" t="s">
        <v>21</v>
      </c>
      <c r="G1863" s="10">
        <v>11.0</v>
      </c>
      <c r="I1863" s="10" t="s">
        <v>22</v>
      </c>
      <c r="J1863" s="9" t="str">
        <f t="shared" si="37"/>
        <v>No</v>
      </c>
      <c r="K1863" s="9" t="str">
        <f t="shared" si="36"/>
        <v/>
      </c>
      <c r="L1863" s="9" t="str">
        <f t="shared" si="38"/>
        <v/>
      </c>
      <c r="M1863" s="9"/>
      <c r="O1863" s="9"/>
    </row>
    <row r="1864" ht="15.75" customHeight="1">
      <c r="A1864" s="9" t="str">
        <f>IFERROR(__xludf.DUMMYFUNCTION("IF(B1864="""","""",RIGHT(REGEXREPLACE(B1864&amp;"""",""[^0-9]"",""""),9))"),"754064826")</f>
        <v>754064826</v>
      </c>
      <c r="B1864" s="48">
        <v>7.54064826E8</v>
      </c>
      <c r="C1864" s="10" t="s">
        <v>1999</v>
      </c>
      <c r="D1864" s="10" t="s">
        <v>97</v>
      </c>
      <c r="E1864" s="13">
        <v>46229.0</v>
      </c>
      <c r="F1864" s="10" t="s">
        <v>21</v>
      </c>
      <c r="I1864" s="10" t="s">
        <v>22</v>
      </c>
      <c r="J1864" s="9" t="str">
        <f t="shared" si="37"/>
        <v>No</v>
      </c>
      <c r="K1864" s="9" t="str">
        <f t="shared" si="36"/>
        <v/>
      </c>
      <c r="L1864" s="9" t="str">
        <f t="shared" si="38"/>
        <v/>
      </c>
      <c r="M1864" s="9"/>
      <c r="O1864" s="9"/>
    </row>
    <row r="1865" ht="15.75" customHeight="1">
      <c r="A1865" s="9" t="str">
        <f>IFERROR(__xludf.DUMMYFUNCTION("IF(B1865="""","""",RIGHT(REGEXREPLACE(B1865&amp;"""",""[^0-9]"",""""),9))"),"711105905")</f>
        <v>711105905</v>
      </c>
      <c r="B1865" s="48">
        <v>7.11105905E8</v>
      </c>
      <c r="C1865" s="10" t="s">
        <v>1999</v>
      </c>
      <c r="D1865" s="10" t="s">
        <v>34</v>
      </c>
      <c r="E1865" s="13">
        <v>46229.0</v>
      </c>
      <c r="F1865" s="10" t="s">
        <v>21</v>
      </c>
      <c r="G1865" s="10">
        <v>11.0</v>
      </c>
      <c r="I1865" s="10" t="s">
        <v>22</v>
      </c>
      <c r="J1865" s="9" t="str">
        <f t="shared" si="37"/>
        <v>No</v>
      </c>
      <c r="K1865" s="9" t="str">
        <f t="shared" si="36"/>
        <v/>
      </c>
      <c r="L1865" s="9" t="str">
        <f t="shared" si="38"/>
        <v/>
      </c>
      <c r="M1865" s="9"/>
      <c r="O1865" s="9"/>
    </row>
    <row r="1866" ht="15.75" customHeight="1">
      <c r="A1866" s="9" t="str">
        <f>IFERROR(__xludf.DUMMYFUNCTION("IF(B1866="""","""",RIGHT(REGEXREPLACE(B1866&amp;"""",""[^0-9]"",""""),9))"),"704640509")</f>
        <v>704640509</v>
      </c>
      <c r="B1866" s="48">
        <v>7.04640509E8</v>
      </c>
      <c r="C1866" s="10" t="s">
        <v>2000</v>
      </c>
      <c r="D1866" s="10" t="s">
        <v>50</v>
      </c>
      <c r="E1866" s="13">
        <v>46229.0</v>
      </c>
      <c r="F1866" s="10" t="s">
        <v>198</v>
      </c>
      <c r="G1866" s="10">
        <v>11.0</v>
      </c>
      <c r="I1866" s="10" t="s">
        <v>22</v>
      </c>
      <c r="J1866" s="9" t="str">
        <f t="shared" si="37"/>
        <v>No</v>
      </c>
      <c r="K1866" s="9" t="str">
        <f t="shared" si="36"/>
        <v/>
      </c>
      <c r="L1866" s="9" t="str">
        <f t="shared" si="38"/>
        <v/>
      </c>
      <c r="M1866" s="9"/>
      <c r="O1866" s="9"/>
    </row>
    <row r="1867" ht="15.75" customHeight="1">
      <c r="A1867" s="9" t="str">
        <f>IFERROR(__xludf.DUMMYFUNCTION("IF(B1867="""","""",RIGHT(REGEXREPLACE(B1867&amp;"""",""[^0-9]"",""""),9))"),"704640509")</f>
        <v>704640509</v>
      </c>
      <c r="B1867" s="48">
        <v>7.04640509E8</v>
      </c>
      <c r="C1867" s="10" t="s">
        <v>2000</v>
      </c>
      <c r="D1867" s="10" t="s">
        <v>69</v>
      </c>
      <c r="E1867" s="13">
        <v>46229.0</v>
      </c>
      <c r="F1867" s="10" t="s">
        <v>604</v>
      </c>
      <c r="G1867" s="10">
        <v>11.0</v>
      </c>
      <c r="I1867" s="10" t="s">
        <v>22</v>
      </c>
      <c r="J1867" s="9" t="str">
        <f t="shared" si="37"/>
        <v>Yes - see Previous F-Code</v>
      </c>
      <c r="K1867" s="9" t="str">
        <f t="shared" si="36"/>
        <v>DUPLICATE - CHECK</v>
      </c>
      <c r="L1867" s="9" t="str">
        <f t="shared" si="38"/>
        <v>F71779</v>
      </c>
      <c r="M1867" s="9"/>
      <c r="O1867" s="9"/>
    </row>
    <row r="1868" ht="15.75" customHeight="1">
      <c r="A1868" s="9" t="str">
        <f>IFERROR(__xludf.DUMMYFUNCTION("IF(B1868="""","""",RIGHT(REGEXREPLACE(B1868&amp;"""",""[^0-9]"",""""),9))"),"715526985")</f>
        <v>715526985</v>
      </c>
      <c r="B1868" s="48">
        <v>7.15526985E8</v>
      </c>
      <c r="C1868" s="10" t="s">
        <v>2001</v>
      </c>
      <c r="D1868" s="10" t="s">
        <v>50</v>
      </c>
      <c r="E1868" s="13">
        <v>46229.0</v>
      </c>
      <c r="F1868" s="10" t="s">
        <v>21</v>
      </c>
      <c r="G1868" s="10">
        <v>11.0</v>
      </c>
      <c r="I1868" s="10" t="s">
        <v>22</v>
      </c>
      <c r="J1868" s="9" t="str">
        <f t="shared" si="37"/>
        <v>No</v>
      </c>
      <c r="K1868" s="9" t="str">
        <f t="shared" si="36"/>
        <v/>
      </c>
      <c r="L1868" s="9" t="str">
        <f t="shared" si="38"/>
        <v/>
      </c>
      <c r="M1868" s="9"/>
      <c r="O1868" s="9"/>
    </row>
    <row r="1869" ht="15.75" customHeight="1">
      <c r="A1869" s="9" t="str">
        <f>IFERROR(__xludf.DUMMYFUNCTION("IF(B1869="""","""",RIGHT(REGEXREPLACE(B1869&amp;"""",""[^0-9]"",""""),9))"),"762197031")</f>
        <v>762197031</v>
      </c>
      <c r="B1869" s="48">
        <v>7.62197031E8</v>
      </c>
      <c r="C1869" s="10" t="s">
        <v>2002</v>
      </c>
      <c r="D1869" s="10" t="s">
        <v>69</v>
      </c>
      <c r="E1869" s="13">
        <v>46229.0</v>
      </c>
      <c r="F1869" s="10" t="s">
        <v>35</v>
      </c>
      <c r="G1869" s="10">
        <v>11.0</v>
      </c>
      <c r="I1869" s="10" t="s">
        <v>22</v>
      </c>
      <c r="J1869" s="9" t="str">
        <f t="shared" si="37"/>
        <v>No</v>
      </c>
      <c r="K1869" s="9" t="str">
        <f t="shared" si="36"/>
        <v/>
      </c>
      <c r="L1869" s="9" t="str">
        <f t="shared" si="38"/>
        <v/>
      </c>
      <c r="M1869" s="9"/>
      <c r="O1869" s="9"/>
    </row>
    <row r="1870" ht="15.75" customHeight="1">
      <c r="A1870" s="9" t="str">
        <f>IFERROR(__xludf.DUMMYFUNCTION("IF(B1870="""","""",RIGHT(REGEXREPLACE(B1870&amp;"""",""[^0-9]"",""""),9))"),"760848562")</f>
        <v>760848562</v>
      </c>
      <c r="B1870" s="48">
        <v>7.60848562E8</v>
      </c>
      <c r="C1870" s="10" t="s">
        <v>2003</v>
      </c>
      <c r="D1870" s="10" t="s">
        <v>34</v>
      </c>
      <c r="E1870" s="13">
        <v>46229.0</v>
      </c>
      <c r="F1870" s="10" t="s">
        <v>171</v>
      </c>
      <c r="G1870" s="10">
        <v>11.0</v>
      </c>
      <c r="I1870" s="10" t="s">
        <v>22</v>
      </c>
      <c r="J1870" s="9" t="str">
        <f t="shared" si="37"/>
        <v>No</v>
      </c>
      <c r="K1870" s="9" t="str">
        <f t="shared" si="36"/>
        <v/>
      </c>
      <c r="L1870" s="9" t="str">
        <f t="shared" si="38"/>
        <v/>
      </c>
      <c r="M1870" s="9"/>
      <c r="O1870" s="9"/>
    </row>
    <row r="1871" ht="15.75" customHeight="1">
      <c r="A1871" s="9" t="str">
        <f>IFERROR(__xludf.DUMMYFUNCTION("IF(B1871="""","""",RIGHT(REGEXREPLACE(B1871&amp;"""",""[^0-9]"",""""),9))"),"719024108")</f>
        <v>719024108</v>
      </c>
      <c r="B1871" s="10">
        <v>7.19024108E8</v>
      </c>
      <c r="C1871" s="10" t="s">
        <v>2004</v>
      </c>
      <c r="D1871" s="10" t="s">
        <v>20</v>
      </c>
      <c r="E1871" s="13">
        <v>46229.0</v>
      </c>
      <c r="F1871" s="10" t="s">
        <v>173</v>
      </c>
      <c r="G1871" s="10">
        <v>11.0</v>
      </c>
      <c r="I1871" s="10" t="s">
        <v>22</v>
      </c>
      <c r="J1871" s="9" t="str">
        <f t="shared" si="37"/>
        <v>No</v>
      </c>
      <c r="K1871" s="9" t="str">
        <f t="shared" si="36"/>
        <v/>
      </c>
      <c r="L1871" s="9" t="str">
        <f t="shared" si="38"/>
        <v/>
      </c>
      <c r="M1871" s="9"/>
      <c r="O1871" s="9"/>
    </row>
    <row r="1872" ht="15.75" customHeight="1">
      <c r="A1872" s="9" t="str">
        <f>IFERROR(__xludf.DUMMYFUNCTION("IF(B1872="""","""",RIGHT(REGEXREPLACE(B1872&amp;"""",""[^0-9]"",""""),9))"),"785975300")</f>
        <v>785975300</v>
      </c>
      <c r="B1872" s="48">
        <v>7.859753E8</v>
      </c>
      <c r="C1872" s="10" t="s">
        <v>2005</v>
      </c>
      <c r="D1872" s="10" t="s">
        <v>97</v>
      </c>
      <c r="E1872" s="13">
        <v>46229.0</v>
      </c>
      <c r="F1872" s="10" t="s">
        <v>21</v>
      </c>
      <c r="I1872" s="10" t="s">
        <v>22</v>
      </c>
      <c r="J1872" s="9" t="str">
        <f t="shared" si="37"/>
        <v>No</v>
      </c>
      <c r="K1872" s="9" t="str">
        <f t="shared" si="36"/>
        <v/>
      </c>
      <c r="L1872" s="9" t="str">
        <f t="shared" si="38"/>
        <v/>
      </c>
      <c r="M1872" s="9"/>
      <c r="O1872" s="9"/>
    </row>
    <row r="1873" ht="15.75" customHeight="1">
      <c r="A1873" s="9" t="str">
        <f>IFERROR(__xludf.DUMMYFUNCTION("IF(B1873="""","""",RIGHT(REGEXREPLACE(B1873&amp;"""",""[^0-9]"",""""),9))"),"761158230")</f>
        <v>761158230</v>
      </c>
      <c r="B1873" s="48">
        <v>7.6115823E8</v>
      </c>
      <c r="C1873" s="10" t="s">
        <v>2006</v>
      </c>
      <c r="D1873" s="10" t="s">
        <v>50</v>
      </c>
      <c r="E1873" s="13">
        <v>46229.0</v>
      </c>
      <c r="F1873" s="10" t="s">
        <v>21</v>
      </c>
      <c r="G1873" s="10">
        <v>11.0</v>
      </c>
      <c r="I1873" s="10" t="s">
        <v>22</v>
      </c>
      <c r="J1873" s="9" t="str">
        <f t="shared" si="37"/>
        <v>No</v>
      </c>
      <c r="K1873" s="9" t="str">
        <f t="shared" si="36"/>
        <v/>
      </c>
      <c r="L1873" s="9" t="str">
        <f t="shared" si="38"/>
        <v/>
      </c>
      <c r="M1873" s="9"/>
      <c r="O1873" s="9"/>
    </row>
    <row r="1874" ht="15.75" customHeight="1">
      <c r="A1874" s="9" t="str">
        <f>IFERROR(__xludf.DUMMYFUNCTION("IF(B1874="""","""",RIGHT(REGEXREPLACE(B1874&amp;"""",""[^0-9]"",""""),9))"),"754547288")</f>
        <v>754547288</v>
      </c>
      <c r="B1874" s="48">
        <v>7.54547288E8</v>
      </c>
      <c r="C1874" s="10" t="s">
        <v>2007</v>
      </c>
      <c r="D1874" s="10" t="s">
        <v>34</v>
      </c>
      <c r="E1874" s="13">
        <v>46229.0</v>
      </c>
      <c r="F1874" s="10" t="s">
        <v>21</v>
      </c>
      <c r="I1874" s="10" t="s">
        <v>22</v>
      </c>
      <c r="J1874" s="9" t="str">
        <f t="shared" si="37"/>
        <v>No</v>
      </c>
      <c r="K1874" s="9" t="str">
        <f t="shared" si="36"/>
        <v/>
      </c>
      <c r="L1874" s="9" t="str">
        <f t="shared" si="38"/>
        <v/>
      </c>
      <c r="M1874" s="9"/>
      <c r="O1874" s="9"/>
    </row>
    <row r="1875" ht="15.75" customHeight="1">
      <c r="A1875" s="9" t="str">
        <f>IFERROR(__xludf.DUMMYFUNCTION("IF(B1875="""","""",RIGHT(REGEXREPLACE(B1875&amp;"""",""[^0-9]"",""""),9))"),"761762714")</f>
        <v>761762714</v>
      </c>
      <c r="B1875" s="48">
        <v>7.61762714E8</v>
      </c>
      <c r="C1875" s="10" t="s">
        <v>2008</v>
      </c>
      <c r="D1875" s="10" t="s">
        <v>34</v>
      </c>
      <c r="E1875" s="13">
        <v>46229.0</v>
      </c>
      <c r="F1875" s="10" t="s">
        <v>35</v>
      </c>
      <c r="G1875" s="10">
        <v>11.0</v>
      </c>
      <c r="I1875" s="10" t="s">
        <v>22</v>
      </c>
      <c r="J1875" s="9" t="str">
        <f t="shared" si="37"/>
        <v>No</v>
      </c>
      <c r="K1875" s="9" t="str">
        <f t="shared" si="36"/>
        <v/>
      </c>
      <c r="L1875" s="9" t="str">
        <f t="shared" si="38"/>
        <v/>
      </c>
      <c r="M1875" s="9"/>
      <c r="O1875" s="9"/>
    </row>
    <row r="1876" ht="15.75" customHeight="1">
      <c r="A1876" s="9" t="str">
        <f>IFERROR(__xludf.DUMMYFUNCTION("IF(B1876="""","""",RIGHT(REGEXREPLACE(B1876&amp;"""",""[^0-9]"",""""),9))"),"779211082")</f>
        <v>779211082</v>
      </c>
      <c r="B1876" s="48">
        <v>7.79211082E8</v>
      </c>
      <c r="C1876" s="10" t="s">
        <v>2009</v>
      </c>
      <c r="D1876" s="10" t="s">
        <v>50</v>
      </c>
      <c r="E1876" s="13">
        <v>46229.0</v>
      </c>
      <c r="F1876" s="10" t="s">
        <v>35</v>
      </c>
      <c r="G1876" s="10">
        <v>11.0</v>
      </c>
      <c r="I1876" s="10" t="s">
        <v>22</v>
      </c>
      <c r="J1876" s="9" t="str">
        <f t="shared" si="37"/>
        <v>No</v>
      </c>
      <c r="K1876" s="9" t="str">
        <f t="shared" si="36"/>
        <v/>
      </c>
      <c r="L1876" s="9" t="str">
        <f t="shared" si="38"/>
        <v/>
      </c>
      <c r="M1876" s="9"/>
      <c r="O1876" s="9"/>
    </row>
    <row r="1877" ht="15.75" customHeight="1">
      <c r="A1877" s="9" t="str">
        <f>IFERROR(__xludf.DUMMYFUNCTION("IF(B1877="""","""",RIGHT(REGEXREPLACE(B1877&amp;"""",""[^0-9]"",""""),9))"),"754202996")</f>
        <v>754202996</v>
      </c>
      <c r="B1877" s="48">
        <v>7.54202996E8</v>
      </c>
      <c r="C1877" s="10" t="s">
        <v>2010</v>
      </c>
      <c r="D1877" s="10" t="s">
        <v>69</v>
      </c>
      <c r="E1877" s="13">
        <v>46229.0</v>
      </c>
      <c r="F1877" s="10" t="s">
        <v>35</v>
      </c>
      <c r="G1877" s="10">
        <v>11.0</v>
      </c>
      <c r="I1877" s="10" t="s">
        <v>22</v>
      </c>
      <c r="J1877" s="9" t="str">
        <f t="shared" si="37"/>
        <v>No</v>
      </c>
      <c r="K1877" s="9" t="str">
        <f t="shared" si="36"/>
        <v/>
      </c>
      <c r="L1877" s="9" t="str">
        <f t="shared" si="38"/>
        <v/>
      </c>
      <c r="M1877" s="9"/>
      <c r="O1877" s="9"/>
    </row>
    <row r="1878" ht="15.75" customHeight="1">
      <c r="A1878" s="9" t="str">
        <f>IFERROR(__xludf.DUMMYFUNCTION("IF(B1878="""","""",RIGHT(REGEXREPLACE(B1878&amp;"""",""[^0-9]"",""""),9))"),"765746901")</f>
        <v>765746901</v>
      </c>
      <c r="B1878" s="48">
        <v>7.65746901E8</v>
      </c>
      <c r="C1878" s="10" t="s">
        <v>2011</v>
      </c>
      <c r="D1878" s="10" t="s">
        <v>97</v>
      </c>
      <c r="E1878" s="13">
        <v>46229.0</v>
      </c>
      <c r="F1878" s="10" t="s">
        <v>198</v>
      </c>
      <c r="I1878" s="10" t="s">
        <v>22</v>
      </c>
      <c r="J1878" s="9" t="str">
        <f t="shared" si="37"/>
        <v>No</v>
      </c>
      <c r="K1878" s="9" t="str">
        <f t="shared" si="36"/>
        <v/>
      </c>
      <c r="L1878" s="9" t="str">
        <f t="shared" si="38"/>
        <v/>
      </c>
      <c r="M1878" s="9"/>
      <c r="O1878" s="9"/>
    </row>
    <row r="1879" ht="15.75" customHeight="1">
      <c r="A1879" s="9" t="str">
        <f>IFERROR(__xludf.DUMMYFUNCTION("IF(B1879="""","""",RIGHT(REGEXREPLACE(B1879&amp;"""",""[^0-9]"",""""),9))"),"767533788")</f>
        <v>767533788</v>
      </c>
      <c r="B1879" s="48">
        <v>7.67533788E8</v>
      </c>
      <c r="C1879" s="10" t="s">
        <v>2012</v>
      </c>
      <c r="D1879" s="10" t="s">
        <v>50</v>
      </c>
      <c r="E1879" s="13">
        <v>46229.0</v>
      </c>
      <c r="F1879" s="10" t="s">
        <v>198</v>
      </c>
      <c r="G1879" s="10">
        <v>11.0</v>
      </c>
      <c r="I1879" s="10" t="s">
        <v>22</v>
      </c>
      <c r="J1879" s="9" t="str">
        <f t="shared" si="37"/>
        <v>No</v>
      </c>
      <c r="K1879" s="9" t="str">
        <f t="shared" si="36"/>
        <v/>
      </c>
      <c r="L1879" s="9" t="str">
        <f t="shared" si="38"/>
        <v/>
      </c>
      <c r="M1879" s="9"/>
      <c r="O1879" s="9"/>
    </row>
    <row r="1880" ht="15.75" customHeight="1">
      <c r="A1880" s="9" t="str">
        <f>IFERROR(__xludf.DUMMYFUNCTION("IF(B1880="""","""",RIGHT(REGEXREPLACE(B1880&amp;"""",""[^0-9]"",""""),9))"),"779518168")</f>
        <v>779518168</v>
      </c>
      <c r="B1880" s="48">
        <v>7.79518168E8</v>
      </c>
      <c r="C1880" s="10" t="s">
        <v>2013</v>
      </c>
      <c r="D1880" s="10" t="s">
        <v>69</v>
      </c>
      <c r="E1880" s="13">
        <v>46229.0</v>
      </c>
      <c r="F1880" s="10" t="s">
        <v>35</v>
      </c>
      <c r="G1880" s="10">
        <v>11.0</v>
      </c>
      <c r="I1880" s="10" t="s">
        <v>22</v>
      </c>
      <c r="J1880" s="9" t="str">
        <f t="shared" si="37"/>
        <v>No</v>
      </c>
      <c r="K1880" s="9" t="str">
        <f t="shared" si="36"/>
        <v/>
      </c>
      <c r="L1880" s="9" t="str">
        <f t="shared" si="38"/>
        <v/>
      </c>
      <c r="M1880" s="9"/>
      <c r="O1880" s="9"/>
    </row>
    <row r="1881" ht="15.75" customHeight="1">
      <c r="A1881" s="9" t="str">
        <f>IFERROR(__xludf.DUMMYFUNCTION("IF(B1881="""","""",RIGHT(REGEXREPLACE(B1881&amp;"""",""[^0-9]"",""""),9))"),"761949972")</f>
        <v>761949972</v>
      </c>
      <c r="B1881" s="48">
        <v>7.61949972E8</v>
      </c>
      <c r="C1881" s="10" t="s">
        <v>2014</v>
      </c>
      <c r="D1881" s="10" t="s">
        <v>97</v>
      </c>
      <c r="E1881" s="13">
        <v>46229.0</v>
      </c>
      <c r="F1881" s="9"/>
      <c r="G1881" s="10">
        <v>11.0</v>
      </c>
      <c r="H1881" s="9"/>
      <c r="I1881" s="10" t="s">
        <v>22</v>
      </c>
      <c r="J1881" s="9" t="str">
        <f t="shared" si="37"/>
        <v>No</v>
      </c>
      <c r="K1881" s="9" t="str">
        <f t="shared" si="36"/>
        <v/>
      </c>
      <c r="L1881" s="9" t="str">
        <f t="shared" si="38"/>
        <v/>
      </c>
      <c r="M1881" s="9"/>
      <c r="N1881" s="9"/>
      <c r="O1881" s="9"/>
      <c r="P1881" s="9"/>
    </row>
    <row r="1882" ht="15.75" customHeight="1">
      <c r="A1882" s="9" t="str">
        <f>IFERROR(__xludf.DUMMYFUNCTION("IF(B1882="""","""",RIGHT(REGEXREPLACE(B1882&amp;"""",""[^0-9]"",""""),9))"),"766372126")</f>
        <v>766372126</v>
      </c>
      <c r="B1882" s="10">
        <v>7.66372126E8</v>
      </c>
      <c r="C1882" s="10" t="s">
        <v>2015</v>
      </c>
      <c r="D1882" s="10" t="s">
        <v>20</v>
      </c>
      <c r="E1882" s="13">
        <v>46229.0</v>
      </c>
      <c r="F1882" s="10" t="s">
        <v>35</v>
      </c>
      <c r="G1882" s="10">
        <v>11.0</v>
      </c>
      <c r="I1882" s="10" t="s">
        <v>22</v>
      </c>
      <c r="J1882" s="9" t="str">
        <f t="shared" si="37"/>
        <v>No</v>
      </c>
      <c r="K1882" s="9" t="str">
        <f t="shared" si="36"/>
        <v/>
      </c>
      <c r="L1882" s="9" t="str">
        <f t="shared" si="38"/>
        <v/>
      </c>
      <c r="M1882" s="9"/>
      <c r="O1882" s="9"/>
    </row>
    <row r="1883" ht="15.75" customHeight="1">
      <c r="A1883" s="9" t="str">
        <f>IFERROR(__xludf.DUMMYFUNCTION("IF(B1883="""","""",RIGHT(REGEXREPLACE(B1883&amp;"""",""[^0-9]"",""""),9))"),"721351779")</f>
        <v>721351779</v>
      </c>
      <c r="B1883" s="48">
        <v>7.21351779E8</v>
      </c>
      <c r="C1883" s="10" t="s">
        <v>2016</v>
      </c>
      <c r="D1883" s="10" t="s">
        <v>34</v>
      </c>
      <c r="E1883" s="13">
        <v>46229.0</v>
      </c>
      <c r="F1883" s="10" t="s">
        <v>35</v>
      </c>
      <c r="G1883" s="10">
        <v>11.0</v>
      </c>
      <c r="I1883" s="10" t="s">
        <v>22</v>
      </c>
      <c r="J1883" s="9" t="str">
        <f t="shared" si="37"/>
        <v>No</v>
      </c>
      <c r="K1883" s="9" t="str">
        <f t="shared" si="36"/>
        <v/>
      </c>
      <c r="L1883" s="9" t="str">
        <f t="shared" si="38"/>
        <v/>
      </c>
      <c r="M1883" s="9"/>
      <c r="O1883" s="9"/>
    </row>
    <row r="1884" ht="15.75" customHeight="1">
      <c r="A1884" s="9" t="str">
        <f>IFERROR(__xludf.DUMMYFUNCTION("IF(B1884="""","""",RIGHT(REGEXREPLACE(B1884&amp;"""",""[^0-9]"",""""),9))"),"715790984")</f>
        <v>715790984</v>
      </c>
      <c r="B1884" s="48">
        <v>7.15790984E8</v>
      </c>
      <c r="C1884" s="10" t="s">
        <v>2017</v>
      </c>
      <c r="D1884" s="10" t="s">
        <v>50</v>
      </c>
      <c r="E1884" s="13">
        <v>46229.0</v>
      </c>
      <c r="F1884" s="10" t="s">
        <v>35</v>
      </c>
      <c r="G1884" s="10">
        <v>11.0</v>
      </c>
      <c r="I1884" s="10" t="s">
        <v>22</v>
      </c>
      <c r="J1884" s="9" t="str">
        <f t="shared" si="37"/>
        <v>No</v>
      </c>
      <c r="K1884" s="9" t="str">
        <f t="shared" si="36"/>
        <v/>
      </c>
      <c r="L1884" s="9" t="str">
        <f t="shared" si="38"/>
        <v/>
      </c>
      <c r="M1884" s="9"/>
      <c r="O1884" s="9"/>
    </row>
    <row r="1885" ht="15.75" customHeight="1">
      <c r="A1885" s="9" t="str">
        <f>IFERROR(__xludf.DUMMYFUNCTION("IF(B1885="""","""",RIGHT(REGEXREPLACE(B1885&amp;"""",""[^0-9]"",""""),9))"),"768321690")</f>
        <v>768321690</v>
      </c>
      <c r="B1885" s="10">
        <v>7.6832169E8</v>
      </c>
      <c r="C1885" s="10" t="s">
        <v>2018</v>
      </c>
      <c r="D1885" s="10" t="s">
        <v>20</v>
      </c>
      <c r="E1885" s="13">
        <v>46229.0</v>
      </c>
      <c r="F1885" s="10" t="s">
        <v>171</v>
      </c>
      <c r="I1885" s="10" t="s">
        <v>22</v>
      </c>
      <c r="J1885" s="9" t="str">
        <f t="shared" si="37"/>
        <v>No</v>
      </c>
      <c r="K1885" s="9" t="str">
        <f t="shared" si="36"/>
        <v/>
      </c>
      <c r="L1885" s="9" t="str">
        <f t="shared" si="38"/>
        <v/>
      </c>
      <c r="M1885" s="9"/>
      <c r="O1885" s="9"/>
    </row>
    <row r="1886" ht="15.75" customHeight="1">
      <c r="A1886" s="9" t="str">
        <f>IFERROR(__xludf.DUMMYFUNCTION("IF(B1886="""","""",RIGHT(REGEXREPLACE(B1886&amp;"""",""[^0-9]"",""""),9))"),"713138355")</f>
        <v>713138355</v>
      </c>
      <c r="B1886" s="48">
        <v>7.13138355E8</v>
      </c>
      <c r="C1886" s="10" t="s">
        <v>2019</v>
      </c>
      <c r="D1886" s="10" t="s">
        <v>69</v>
      </c>
      <c r="E1886" s="13">
        <v>46229.0</v>
      </c>
      <c r="F1886" s="10" t="s">
        <v>21</v>
      </c>
      <c r="G1886" s="10">
        <v>11.0</v>
      </c>
      <c r="I1886" s="10" t="s">
        <v>22</v>
      </c>
      <c r="J1886" s="9" t="str">
        <f t="shared" si="37"/>
        <v>No</v>
      </c>
      <c r="K1886" s="9" t="str">
        <f t="shared" si="36"/>
        <v/>
      </c>
      <c r="L1886" s="9" t="str">
        <f t="shared" si="38"/>
        <v/>
      </c>
      <c r="M1886" s="9"/>
      <c r="O1886" s="9"/>
    </row>
    <row r="1887" ht="15.75" customHeight="1">
      <c r="A1887" s="9" t="str">
        <f>IFERROR(__xludf.DUMMYFUNCTION("IF(B1887="""","""",RIGHT(REGEXREPLACE(B1887&amp;"""",""[^0-9]"",""""),9))"),"766364877")</f>
        <v>766364877</v>
      </c>
      <c r="B1887" s="48">
        <v>7.66364877E8</v>
      </c>
      <c r="C1887" s="10" t="s">
        <v>2020</v>
      </c>
      <c r="D1887" s="10" t="s">
        <v>34</v>
      </c>
      <c r="E1887" s="13">
        <v>46229.0</v>
      </c>
      <c r="F1887" s="10" t="s">
        <v>35</v>
      </c>
      <c r="G1887" s="10">
        <v>11.0</v>
      </c>
      <c r="I1887" s="10" t="s">
        <v>22</v>
      </c>
      <c r="J1887" s="9" t="str">
        <f t="shared" si="37"/>
        <v>No</v>
      </c>
      <c r="K1887" s="9" t="str">
        <f t="shared" si="36"/>
        <v/>
      </c>
      <c r="L1887" s="9" t="str">
        <f t="shared" si="38"/>
        <v/>
      </c>
      <c r="M1887" s="9"/>
      <c r="O1887" s="9"/>
    </row>
    <row r="1888" ht="15.75" customHeight="1">
      <c r="A1888" s="9" t="str">
        <f>IFERROR(__xludf.DUMMYFUNCTION("IF(B1888="""","""",RIGHT(REGEXREPLACE(B1888&amp;"""",""[^0-9]"",""""),9))"),"711760981")</f>
        <v>711760981</v>
      </c>
      <c r="B1888" s="48">
        <v>7.11760981E8</v>
      </c>
      <c r="C1888" s="10" t="s">
        <v>2021</v>
      </c>
      <c r="D1888" s="10" t="s">
        <v>50</v>
      </c>
      <c r="E1888" s="13">
        <v>46229.0</v>
      </c>
      <c r="F1888" s="10" t="s">
        <v>35</v>
      </c>
      <c r="G1888" s="10">
        <v>11.0</v>
      </c>
      <c r="I1888" s="10" t="s">
        <v>22</v>
      </c>
      <c r="J1888" s="9" t="str">
        <f t="shared" si="37"/>
        <v>No</v>
      </c>
      <c r="K1888" s="9" t="str">
        <f t="shared" si="36"/>
        <v/>
      </c>
      <c r="L1888" s="9" t="str">
        <f t="shared" si="38"/>
        <v/>
      </c>
      <c r="M1888" s="9"/>
      <c r="O1888" s="9"/>
    </row>
    <row r="1889" ht="15.75" customHeight="1">
      <c r="A1889" s="9" t="str">
        <f>IFERROR(__xludf.DUMMYFUNCTION("IF(B1889="""","""",RIGHT(REGEXREPLACE(B1889&amp;"""",""[^0-9]"",""""),9))"),"772662812")</f>
        <v>772662812</v>
      </c>
      <c r="B1889" s="48">
        <v>7.72662812E8</v>
      </c>
      <c r="C1889" s="10" t="s">
        <v>190</v>
      </c>
      <c r="D1889" s="10" t="s">
        <v>97</v>
      </c>
      <c r="E1889" s="13">
        <v>46229.0</v>
      </c>
      <c r="F1889" s="10" t="s">
        <v>173</v>
      </c>
      <c r="G1889" s="10">
        <v>11.0</v>
      </c>
      <c r="I1889" s="10" t="s">
        <v>22</v>
      </c>
      <c r="J1889" s="9" t="str">
        <f t="shared" si="37"/>
        <v>Yes - see Previous F-Code</v>
      </c>
      <c r="K1889" s="9" t="str">
        <f t="shared" si="36"/>
        <v>DUPLICATE - CHECK</v>
      </c>
      <c r="L1889" s="9" t="str">
        <f t="shared" si="38"/>
        <v>F70087</v>
      </c>
      <c r="M1889" s="9"/>
      <c r="O1889" s="9"/>
    </row>
    <row r="1890" ht="15.75" customHeight="1">
      <c r="A1890" s="9" t="str">
        <f>IFERROR(__xludf.DUMMYFUNCTION("IF(B1890="""","""",RIGHT(REGEXREPLACE(B1890&amp;"""",""[^0-9]"",""""),9))"),"753722779")</f>
        <v>753722779</v>
      </c>
      <c r="B1890" s="48">
        <v>7.53722779E8</v>
      </c>
      <c r="C1890" s="10" t="s">
        <v>2022</v>
      </c>
      <c r="D1890" s="10" t="s">
        <v>69</v>
      </c>
      <c r="E1890" s="13">
        <v>46229.0</v>
      </c>
      <c r="F1890" s="10" t="s">
        <v>35</v>
      </c>
      <c r="G1890" s="10">
        <v>11.0</v>
      </c>
      <c r="I1890" s="10" t="s">
        <v>22</v>
      </c>
      <c r="J1890" s="9" t="str">
        <f t="shared" si="37"/>
        <v>No</v>
      </c>
      <c r="K1890" s="9" t="str">
        <f t="shared" si="36"/>
        <v/>
      </c>
      <c r="L1890" s="9" t="str">
        <f t="shared" si="38"/>
        <v/>
      </c>
      <c r="M1890" s="9"/>
      <c r="O1890" s="9"/>
    </row>
    <row r="1891" ht="15.75" customHeight="1">
      <c r="A1891" s="9" t="str">
        <f>IFERROR(__xludf.DUMMYFUNCTION("IF(B1891="""","""",RIGHT(REGEXREPLACE(B1891&amp;"""",""[^0-9]"",""""),9))"),"772092286")</f>
        <v>772092286</v>
      </c>
      <c r="B1891" s="48">
        <v>7.72092286E8</v>
      </c>
      <c r="C1891" s="10" t="s">
        <v>2023</v>
      </c>
      <c r="D1891" s="10" t="s">
        <v>34</v>
      </c>
      <c r="E1891" s="13">
        <v>46229.0</v>
      </c>
      <c r="F1891" s="10" t="s">
        <v>171</v>
      </c>
      <c r="I1891" s="10" t="s">
        <v>22</v>
      </c>
      <c r="J1891" s="9" t="str">
        <f t="shared" si="37"/>
        <v>No</v>
      </c>
      <c r="K1891" s="9" t="str">
        <f t="shared" si="36"/>
        <v/>
      </c>
      <c r="L1891" s="9" t="str">
        <f t="shared" si="38"/>
        <v/>
      </c>
      <c r="M1891" s="9"/>
      <c r="O1891" s="9"/>
    </row>
    <row r="1892" ht="15.75" customHeight="1">
      <c r="A1892" s="9" t="str">
        <f>IFERROR(__xludf.DUMMYFUNCTION("IF(B1892="""","""",RIGHT(REGEXREPLACE(B1892&amp;"""",""[^0-9]"",""""),9))"),"772919933")</f>
        <v>772919933</v>
      </c>
      <c r="B1892" s="48">
        <v>7.72919933E8</v>
      </c>
      <c r="C1892" s="10" t="s">
        <v>2024</v>
      </c>
      <c r="D1892" s="10" t="s">
        <v>69</v>
      </c>
      <c r="E1892" s="13">
        <v>46229.0</v>
      </c>
      <c r="F1892" s="10" t="s">
        <v>648</v>
      </c>
      <c r="I1892" s="10" t="s">
        <v>22</v>
      </c>
      <c r="J1892" s="9" t="str">
        <f t="shared" si="37"/>
        <v>No</v>
      </c>
      <c r="K1892" s="9" t="str">
        <f t="shared" si="36"/>
        <v/>
      </c>
      <c r="L1892" s="9" t="str">
        <f t="shared" si="38"/>
        <v/>
      </c>
      <c r="M1892" s="9"/>
      <c r="O1892" s="9"/>
    </row>
    <row r="1893" ht="15.75" customHeight="1">
      <c r="A1893" s="9" t="str">
        <f>IFERROR(__xludf.DUMMYFUNCTION("IF(B1893="""","""",RIGHT(REGEXREPLACE(B1893&amp;"""",""[^0-9]"",""""),9))"),"723655062")</f>
        <v>723655062</v>
      </c>
      <c r="B1893" s="48">
        <v>7.23655062E8</v>
      </c>
      <c r="C1893" s="10" t="s">
        <v>2025</v>
      </c>
      <c r="D1893" s="10" t="s">
        <v>34</v>
      </c>
      <c r="E1893" s="13">
        <v>46229.0</v>
      </c>
      <c r="F1893" s="10" t="s">
        <v>604</v>
      </c>
      <c r="I1893" s="10" t="s">
        <v>22</v>
      </c>
      <c r="J1893" s="9" t="str">
        <f t="shared" si="37"/>
        <v>No</v>
      </c>
      <c r="K1893" s="9" t="str">
        <f t="shared" si="36"/>
        <v/>
      </c>
      <c r="L1893" s="9" t="str">
        <f t="shared" si="38"/>
        <v/>
      </c>
      <c r="M1893" s="9"/>
      <c r="O1893" s="9"/>
    </row>
    <row r="1894" ht="15.75" customHeight="1">
      <c r="A1894" s="9" t="str">
        <f>IFERROR(__xludf.DUMMYFUNCTION("IF(B1894="""","""",RIGHT(REGEXREPLACE(B1894&amp;"""",""[^0-9]"",""""),9))"),"785351743")</f>
        <v>785351743</v>
      </c>
      <c r="B1894" s="48">
        <v>7.85351743E8</v>
      </c>
      <c r="C1894" s="10" t="s">
        <v>2026</v>
      </c>
      <c r="D1894" s="10" t="s">
        <v>69</v>
      </c>
      <c r="E1894" s="13">
        <v>46229.0</v>
      </c>
      <c r="F1894" s="10" t="s">
        <v>35</v>
      </c>
      <c r="G1894" s="10" t="s">
        <v>2027</v>
      </c>
      <c r="I1894" s="10" t="s">
        <v>22</v>
      </c>
      <c r="J1894" s="9" t="str">
        <f t="shared" si="37"/>
        <v>No</v>
      </c>
      <c r="K1894" s="9" t="str">
        <f t="shared" si="36"/>
        <v/>
      </c>
      <c r="L1894" s="9" t="str">
        <f t="shared" si="38"/>
        <v/>
      </c>
      <c r="M1894" s="9"/>
      <c r="O1894" s="9"/>
    </row>
    <row r="1895" ht="15.75" customHeight="1">
      <c r="A1895" s="9" t="str">
        <f>IFERROR(__xludf.DUMMYFUNCTION("IF(B1895="""","""",RIGHT(REGEXREPLACE(B1895&amp;"""",""[^0-9]"",""""),9))"),"776001159")</f>
        <v>776001159</v>
      </c>
      <c r="B1895" s="48">
        <v>7.76001159E8</v>
      </c>
      <c r="C1895" s="10" t="s">
        <v>2028</v>
      </c>
      <c r="D1895" s="10" t="s">
        <v>97</v>
      </c>
      <c r="E1895" s="13">
        <v>46229.0</v>
      </c>
      <c r="F1895" s="10" t="s">
        <v>21</v>
      </c>
      <c r="I1895" s="10" t="s">
        <v>22</v>
      </c>
      <c r="J1895" s="9" t="str">
        <f t="shared" si="37"/>
        <v>No</v>
      </c>
      <c r="K1895" s="9" t="str">
        <f t="shared" si="36"/>
        <v/>
      </c>
      <c r="L1895" s="9" t="str">
        <f t="shared" si="38"/>
        <v/>
      </c>
      <c r="M1895" s="9"/>
      <c r="O1895" s="9"/>
    </row>
    <row r="1896" ht="15.75" customHeight="1">
      <c r="A1896" s="9" t="str">
        <f>IFERROR(__xludf.DUMMYFUNCTION("IF(B1896="""","""",RIGHT(REGEXREPLACE(B1896&amp;"""",""[^0-9]"",""""),9))"),"779124093")</f>
        <v>779124093</v>
      </c>
      <c r="B1896" s="10">
        <v>7.79124093E8</v>
      </c>
      <c r="C1896" s="10" t="s">
        <v>2029</v>
      </c>
      <c r="D1896" s="10" t="s">
        <v>20</v>
      </c>
      <c r="E1896" s="13">
        <v>46229.0</v>
      </c>
      <c r="F1896" s="10" t="s">
        <v>35</v>
      </c>
      <c r="G1896" s="10">
        <v>11.0</v>
      </c>
      <c r="H1896" s="10" t="s">
        <v>1291</v>
      </c>
      <c r="I1896" s="10" t="s">
        <v>22</v>
      </c>
      <c r="J1896" s="9" t="str">
        <f t="shared" si="37"/>
        <v>No</v>
      </c>
      <c r="K1896" s="9" t="str">
        <f t="shared" si="36"/>
        <v/>
      </c>
      <c r="L1896" s="9" t="str">
        <f t="shared" si="38"/>
        <v/>
      </c>
      <c r="M1896" s="9"/>
      <c r="O1896" s="9"/>
    </row>
    <row r="1897" ht="15.75" customHeight="1">
      <c r="A1897" s="9" t="str">
        <f>IFERROR(__xludf.DUMMYFUNCTION("IF(B1897="""","""",RIGHT(REGEXREPLACE(B1897&amp;"""",""[^0-9]"",""""),9))"),"779388663")</f>
        <v>779388663</v>
      </c>
      <c r="B1897" s="48">
        <v>7.79388663E8</v>
      </c>
      <c r="C1897" s="10" t="s">
        <v>2030</v>
      </c>
      <c r="D1897" s="10" t="s">
        <v>50</v>
      </c>
      <c r="E1897" s="13">
        <v>46229.0</v>
      </c>
      <c r="F1897" s="10" t="s">
        <v>35</v>
      </c>
      <c r="G1897" s="10">
        <v>11.0</v>
      </c>
      <c r="I1897" s="10" t="s">
        <v>22</v>
      </c>
      <c r="J1897" s="9" t="str">
        <f t="shared" si="37"/>
        <v>No</v>
      </c>
      <c r="K1897" s="9" t="str">
        <f t="shared" si="36"/>
        <v/>
      </c>
      <c r="L1897" s="9" t="str">
        <f t="shared" si="38"/>
        <v/>
      </c>
      <c r="M1897" s="9"/>
      <c r="O1897" s="9"/>
    </row>
    <row r="1898" ht="15.75" customHeight="1">
      <c r="A1898" s="9" t="str">
        <f>IFERROR(__xludf.DUMMYFUNCTION("IF(B1898="""","""",RIGHT(REGEXREPLACE(B1898&amp;"""",""[^0-9]"",""""),9))"),"106333233")</f>
        <v>106333233</v>
      </c>
      <c r="B1898" s="10">
        <v>7.106333233E9</v>
      </c>
      <c r="C1898" s="10" t="s">
        <v>2031</v>
      </c>
      <c r="D1898" s="10" t="s">
        <v>20</v>
      </c>
      <c r="E1898" s="13">
        <v>46229.0</v>
      </c>
      <c r="F1898" s="10" t="s">
        <v>173</v>
      </c>
      <c r="G1898" s="10">
        <v>11.0</v>
      </c>
      <c r="I1898" s="10" t="s">
        <v>22</v>
      </c>
      <c r="J1898" s="9" t="str">
        <f t="shared" si="37"/>
        <v>No</v>
      </c>
      <c r="K1898" s="9" t="str">
        <f t="shared" si="36"/>
        <v/>
      </c>
      <c r="L1898" s="9" t="str">
        <f t="shared" si="38"/>
        <v/>
      </c>
      <c r="M1898" s="9"/>
      <c r="O1898" s="9"/>
    </row>
    <row r="1899" ht="15.75" customHeight="1">
      <c r="A1899" s="9" t="str">
        <f>IFERROR(__xludf.DUMMYFUNCTION("IF(B1899="""","""",RIGHT(REGEXREPLACE(B1899&amp;"""",""[^0-9]"",""""),9))"),"788702651")</f>
        <v>788702651</v>
      </c>
      <c r="B1899" s="48">
        <v>7.88702651E8</v>
      </c>
      <c r="C1899" s="10" t="s">
        <v>2032</v>
      </c>
      <c r="D1899" s="10" t="s">
        <v>34</v>
      </c>
      <c r="E1899" s="13">
        <v>46229.0</v>
      </c>
      <c r="F1899" s="10" t="s">
        <v>35</v>
      </c>
      <c r="G1899" s="10">
        <v>9.0</v>
      </c>
      <c r="I1899" s="10" t="s">
        <v>22</v>
      </c>
      <c r="J1899" s="9" t="str">
        <f t="shared" si="37"/>
        <v>No</v>
      </c>
      <c r="K1899" s="9" t="str">
        <f t="shared" si="36"/>
        <v/>
      </c>
      <c r="L1899" s="9" t="str">
        <f t="shared" si="38"/>
        <v/>
      </c>
      <c r="M1899" s="9"/>
      <c r="O1899" s="9"/>
    </row>
    <row r="1900" ht="15.75" customHeight="1">
      <c r="A1900" s="9" t="str">
        <f>IFERROR(__xludf.DUMMYFUNCTION("IF(B1900="""","""",RIGHT(REGEXREPLACE(B1900&amp;"""",""[^0-9]"",""""),9))"),"717055755")</f>
        <v>717055755</v>
      </c>
      <c r="B1900" s="48">
        <v>7.17055755E8</v>
      </c>
      <c r="C1900" s="10" t="s">
        <v>2033</v>
      </c>
      <c r="D1900" s="10" t="s">
        <v>34</v>
      </c>
      <c r="E1900" s="13">
        <v>46229.0</v>
      </c>
      <c r="F1900" s="10" t="s">
        <v>35</v>
      </c>
      <c r="G1900" s="10">
        <v>11.0</v>
      </c>
      <c r="I1900" s="10" t="s">
        <v>22</v>
      </c>
      <c r="J1900" s="9" t="str">
        <f t="shared" si="37"/>
        <v>No</v>
      </c>
      <c r="K1900" s="9" t="str">
        <f t="shared" si="36"/>
        <v/>
      </c>
      <c r="L1900" s="9" t="str">
        <f t="shared" si="38"/>
        <v/>
      </c>
      <c r="M1900" s="9"/>
      <c r="O1900" s="9"/>
    </row>
    <row r="1901" ht="15.75" customHeight="1">
      <c r="A1901" s="9" t="str">
        <f>IFERROR(__xludf.DUMMYFUNCTION("IF(B1901="""","""",RIGHT(REGEXREPLACE(B1901&amp;"""",""[^0-9]"",""""),9))"),"706016542")</f>
        <v>706016542</v>
      </c>
      <c r="B1901" s="48">
        <v>7.06016542E8</v>
      </c>
      <c r="C1901" s="10" t="s">
        <v>2034</v>
      </c>
      <c r="D1901" s="10" t="s">
        <v>50</v>
      </c>
      <c r="E1901" s="13">
        <v>46229.0</v>
      </c>
      <c r="F1901" s="10" t="s">
        <v>35</v>
      </c>
      <c r="G1901" s="10">
        <v>11.0</v>
      </c>
      <c r="I1901" s="10" t="s">
        <v>22</v>
      </c>
      <c r="J1901" s="9" t="str">
        <f t="shared" si="37"/>
        <v>No</v>
      </c>
      <c r="K1901" s="9" t="str">
        <f t="shared" si="36"/>
        <v/>
      </c>
      <c r="L1901" s="9" t="str">
        <f t="shared" si="38"/>
        <v/>
      </c>
      <c r="M1901" s="9"/>
      <c r="O1901" s="9"/>
    </row>
    <row r="1902" ht="15.75" customHeight="1">
      <c r="A1902" s="9" t="str">
        <f>IFERROR(__xludf.DUMMYFUNCTION("IF(B1902="""","""",RIGHT(REGEXREPLACE(B1902&amp;"""",""[^0-9]"",""""),9))"),"785436558")</f>
        <v>785436558</v>
      </c>
      <c r="B1902" s="48">
        <v>7.85436558E8</v>
      </c>
      <c r="C1902" s="10" t="s">
        <v>2035</v>
      </c>
      <c r="D1902" s="10" t="s">
        <v>69</v>
      </c>
      <c r="E1902" s="13">
        <v>46229.0</v>
      </c>
      <c r="F1902" s="10" t="s">
        <v>35</v>
      </c>
      <c r="I1902" s="10" t="s">
        <v>22</v>
      </c>
      <c r="J1902" s="9" t="str">
        <f t="shared" si="37"/>
        <v>No</v>
      </c>
      <c r="K1902" s="9" t="str">
        <f t="shared" si="36"/>
        <v/>
      </c>
      <c r="L1902" s="9" t="str">
        <f t="shared" si="38"/>
        <v/>
      </c>
      <c r="M1902" s="9"/>
      <c r="O1902" s="9"/>
    </row>
    <row r="1903" ht="15.75" customHeight="1">
      <c r="A1903" s="9" t="str">
        <f>IFERROR(__xludf.DUMMYFUNCTION("IF(B1903="""","""",RIGHT(REGEXREPLACE(B1903&amp;"""",""[^0-9]"",""""),9))"),"776034791")</f>
        <v>776034791</v>
      </c>
      <c r="B1903" s="48">
        <v>7.76034791E8</v>
      </c>
      <c r="C1903" s="10" t="s">
        <v>2036</v>
      </c>
      <c r="D1903" s="10" t="s">
        <v>97</v>
      </c>
      <c r="E1903" s="13">
        <v>46229.0</v>
      </c>
      <c r="F1903" s="10" t="s">
        <v>35</v>
      </c>
      <c r="G1903" s="10">
        <v>10.0</v>
      </c>
      <c r="H1903" s="10" t="s">
        <v>2037</v>
      </c>
      <c r="I1903" s="10" t="s">
        <v>22</v>
      </c>
      <c r="J1903" s="9" t="str">
        <f t="shared" si="37"/>
        <v>No</v>
      </c>
      <c r="K1903" s="9" t="str">
        <f t="shared" si="36"/>
        <v/>
      </c>
      <c r="L1903" s="9" t="str">
        <f t="shared" si="38"/>
        <v/>
      </c>
      <c r="M1903" s="9"/>
      <c r="O1903" s="9"/>
    </row>
    <row r="1904" ht="15.75" customHeight="1">
      <c r="A1904" s="9" t="str">
        <f>IFERROR(__xludf.DUMMYFUNCTION("IF(B1904="""","""",RIGHT(REGEXREPLACE(B1904&amp;"""",""[^0-9]"",""""),9))"),"718309476")</f>
        <v>718309476</v>
      </c>
      <c r="B1904" s="48">
        <v>7.18309476E8</v>
      </c>
      <c r="C1904" s="10" t="s">
        <v>2038</v>
      </c>
      <c r="D1904" s="10" t="s">
        <v>34</v>
      </c>
      <c r="E1904" s="13">
        <v>46229.0</v>
      </c>
      <c r="F1904" s="10" t="s">
        <v>35</v>
      </c>
      <c r="G1904" s="10">
        <v>9.0</v>
      </c>
      <c r="I1904" s="10" t="s">
        <v>22</v>
      </c>
      <c r="J1904" s="9" t="str">
        <f t="shared" si="37"/>
        <v>No</v>
      </c>
      <c r="K1904" s="9" t="str">
        <f t="shared" si="36"/>
        <v/>
      </c>
      <c r="L1904" s="9" t="str">
        <f t="shared" si="38"/>
        <v/>
      </c>
      <c r="M1904" s="9"/>
      <c r="O1904" s="9"/>
    </row>
    <row r="1905" ht="15.75" customHeight="1">
      <c r="A1905" s="9" t="str">
        <f>IFERROR(__xludf.DUMMYFUNCTION("IF(B1905="""","""",RIGHT(REGEXREPLACE(B1905&amp;"""",""[^0-9]"",""""),9))"),"773711793")</f>
        <v>773711793</v>
      </c>
      <c r="B1905" s="48">
        <v>7.73711793E8</v>
      </c>
      <c r="C1905" s="10" t="s">
        <v>2039</v>
      </c>
      <c r="D1905" s="10" t="s">
        <v>50</v>
      </c>
      <c r="E1905" s="13">
        <v>46229.0</v>
      </c>
      <c r="F1905" s="10" t="s">
        <v>21</v>
      </c>
      <c r="G1905" s="10">
        <v>11.0</v>
      </c>
      <c r="I1905" s="10" t="s">
        <v>22</v>
      </c>
      <c r="J1905" s="9" t="str">
        <f t="shared" si="37"/>
        <v>No</v>
      </c>
      <c r="K1905" s="9" t="str">
        <f t="shared" si="36"/>
        <v/>
      </c>
      <c r="L1905" s="9" t="str">
        <f t="shared" si="38"/>
        <v/>
      </c>
      <c r="M1905" s="9"/>
      <c r="O1905" s="9"/>
    </row>
    <row r="1906" ht="15.75" customHeight="1">
      <c r="A1906" s="9" t="str">
        <f>IFERROR(__xludf.DUMMYFUNCTION("IF(B1906="""","""",RIGHT(REGEXREPLACE(B1906&amp;"""",""[^0-9]"",""""),9))"),"713174041")</f>
        <v>713174041</v>
      </c>
      <c r="B1906" s="48">
        <v>7.13174041E8</v>
      </c>
      <c r="C1906" s="10" t="s">
        <v>2040</v>
      </c>
      <c r="D1906" s="10" t="s">
        <v>97</v>
      </c>
      <c r="E1906" s="13">
        <v>46229.0</v>
      </c>
      <c r="F1906" s="10" t="s">
        <v>198</v>
      </c>
      <c r="G1906" s="10">
        <v>8.0</v>
      </c>
      <c r="I1906" s="10" t="s">
        <v>22</v>
      </c>
      <c r="J1906" s="9" t="str">
        <f t="shared" si="37"/>
        <v>No</v>
      </c>
      <c r="K1906" s="9" t="str">
        <f t="shared" si="36"/>
        <v/>
      </c>
      <c r="L1906" s="9" t="str">
        <f t="shared" si="38"/>
        <v/>
      </c>
      <c r="M1906" s="9"/>
      <c r="O1906" s="9"/>
    </row>
    <row r="1907" ht="15.75" customHeight="1">
      <c r="A1907" s="9" t="str">
        <f>IFERROR(__xludf.DUMMYFUNCTION("IF(B1907="""","""",RIGHT(REGEXREPLACE(B1907&amp;"""",""[^0-9]"",""""),9))"),"761994182")</f>
        <v>761994182</v>
      </c>
      <c r="B1907" s="48">
        <v>7.61994182E8</v>
      </c>
      <c r="C1907" s="10" t="s">
        <v>2041</v>
      </c>
      <c r="D1907" s="10" t="s">
        <v>34</v>
      </c>
      <c r="E1907" s="13">
        <v>46229.0</v>
      </c>
      <c r="F1907" s="10" t="s">
        <v>35</v>
      </c>
      <c r="G1907" s="10">
        <v>11.0</v>
      </c>
      <c r="I1907" s="10" t="s">
        <v>22</v>
      </c>
      <c r="J1907" s="9" t="str">
        <f t="shared" si="37"/>
        <v>No</v>
      </c>
      <c r="K1907" s="9" t="str">
        <f t="shared" si="36"/>
        <v/>
      </c>
      <c r="L1907" s="9" t="str">
        <f t="shared" si="38"/>
        <v/>
      </c>
      <c r="M1907" s="9"/>
      <c r="O1907" s="9"/>
    </row>
    <row r="1908" ht="15.75" customHeight="1">
      <c r="A1908" s="9" t="str">
        <f>IFERROR(__xludf.DUMMYFUNCTION("IF(B1908="""","""",RIGHT(REGEXREPLACE(B1908&amp;"""",""[^0-9]"",""""),9))"),"766391180")</f>
        <v>766391180</v>
      </c>
      <c r="B1908" s="48">
        <v>7.6639118E8</v>
      </c>
      <c r="C1908" s="10" t="s">
        <v>2042</v>
      </c>
      <c r="D1908" s="10" t="s">
        <v>69</v>
      </c>
      <c r="E1908" s="13">
        <v>46229.0</v>
      </c>
      <c r="F1908" s="10" t="s">
        <v>35</v>
      </c>
      <c r="G1908" s="10">
        <v>10.0</v>
      </c>
      <c r="I1908" s="10" t="s">
        <v>22</v>
      </c>
      <c r="J1908" s="9" t="str">
        <f t="shared" si="37"/>
        <v>No</v>
      </c>
      <c r="K1908" s="9" t="str">
        <f t="shared" si="36"/>
        <v/>
      </c>
      <c r="L1908" s="9" t="str">
        <f t="shared" si="38"/>
        <v/>
      </c>
      <c r="M1908" s="9"/>
      <c r="O1908" s="9"/>
    </row>
    <row r="1909" ht="15.75" customHeight="1">
      <c r="A1909" s="9" t="str">
        <f>IFERROR(__xludf.DUMMYFUNCTION("IF(B1909="""","""",RIGHT(REGEXREPLACE(B1909&amp;"""",""[^0-9]"",""""),9))"),"714979011")</f>
        <v>714979011</v>
      </c>
      <c r="B1909" s="48">
        <v>7.14979011E8</v>
      </c>
      <c r="C1909" s="10" t="s">
        <v>2043</v>
      </c>
      <c r="D1909" s="10" t="s">
        <v>50</v>
      </c>
      <c r="E1909" s="13">
        <v>46229.0</v>
      </c>
      <c r="F1909" s="10" t="s">
        <v>35</v>
      </c>
      <c r="G1909" s="10">
        <v>11.0</v>
      </c>
      <c r="I1909" s="10" t="s">
        <v>22</v>
      </c>
      <c r="J1909" s="9" t="str">
        <f t="shared" si="37"/>
        <v>No</v>
      </c>
      <c r="K1909" s="9" t="str">
        <f t="shared" si="36"/>
        <v/>
      </c>
      <c r="L1909" s="9" t="str">
        <f t="shared" si="38"/>
        <v/>
      </c>
      <c r="M1909" s="9"/>
      <c r="O1909" s="9"/>
    </row>
    <row r="1910" ht="15.75" customHeight="1">
      <c r="A1910" s="9" t="str">
        <f>IFERROR(__xludf.DUMMYFUNCTION("IF(B1910="""","""",RIGHT(REGEXREPLACE(B1910&amp;"""",""[^0-9]"",""""),9))"),"770258931")</f>
        <v>770258931</v>
      </c>
      <c r="B1910" s="48">
        <v>7.70258931E8</v>
      </c>
      <c r="C1910" s="10" t="s">
        <v>2044</v>
      </c>
      <c r="D1910" s="10" t="s">
        <v>34</v>
      </c>
      <c r="E1910" s="13">
        <v>46229.0</v>
      </c>
      <c r="F1910" s="10" t="s">
        <v>35</v>
      </c>
      <c r="G1910" s="10">
        <v>11.0</v>
      </c>
      <c r="I1910" s="10" t="s">
        <v>22</v>
      </c>
      <c r="J1910" s="9" t="str">
        <f t="shared" si="37"/>
        <v>No</v>
      </c>
      <c r="K1910" s="9" t="str">
        <f t="shared" si="36"/>
        <v/>
      </c>
      <c r="L1910" s="9" t="str">
        <f t="shared" si="38"/>
        <v/>
      </c>
      <c r="M1910" s="9"/>
      <c r="O1910" s="9"/>
    </row>
    <row r="1911" ht="15.75" customHeight="1">
      <c r="A1911" s="9" t="str">
        <f>IFERROR(__xludf.DUMMYFUNCTION("IF(B1911="""","""",RIGHT(REGEXREPLACE(B1911&amp;"""",""[^0-9]"",""""),9))"),"768633772")</f>
        <v>768633772</v>
      </c>
      <c r="B1911" s="48">
        <v>7.68633772E8</v>
      </c>
      <c r="C1911" s="10" t="s">
        <v>2045</v>
      </c>
      <c r="D1911" s="10" t="s">
        <v>97</v>
      </c>
      <c r="E1911" s="13">
        <v>46229.0</v>
      </c>
      <c r="F1911" s="10" t="s">
        <v>35</v>
      </c>
      <c r="G1911" s="10">
        <v>11.0</v>
      </c>
      <c r="I1911" s="10" t="s">
        <v>22</v>
      </c>
      <c r="J1911" s="9" t="str">
        <f t="shared" si="37"/>
        <v>No</v>
      </c>
      <c r="K1911" s="9" t="str">
        <f t="shared" si="36"/>
        <v/>
      </c>
      <c r="L1911" s="9" t="str">
        <f t="shared" si="38"/>
        <v/>
      </c>
      <c r="M1911" s="9"/>
      <c r="O1911" s="9"/>
    </row>
    <row r="1912" ht="15.75" customHeight="1">
      <c r="A1912" s="9" t="str">
        <f>IFERROR(__xludf.DUMMYFUNCTION("IF(B1912="""","""",RIGHT(REGEXREPLACE(B1912&amp;"""",""[^0-9]"",""""),9))"),"710199082")</f>
        <v>710199082</v>
      </c>
      <c r="B1912" s="48">
        <v>7.10199082E8</v>
      </c>
      <c r="C1912" s="10" t="s">
        <v>2046</v>
      </c>
      <c r="D1912" s="10" t="s">
        <v>69</v>
      </c>
      <c r="E1912" s="13">
        <v>46229.0</v>
      </c>
      <c r="F1912" s="10" t="s">
        <v>198</v>
      </c>
      <c r="G1912" s="10">
        <v>11.0</v>
      </c>
      <c r="I1912" s="10" t="s">
        <v>22</v>
      </c>
      <c r="J1912" s="9" t="str">
        <f t="shared" si="37"/>
        <v>No</v>
      </c>
      <c r="K1912" s="9" t="str">
        <f t="shared" si="36"/>
        <v/>
      </c>
      <c r="L1912" s="9" t="str">
        <f t="shared" si="38"/>
        <v/>
      </c>
      <c r="M1912" s="9"/>
      <c r="O1912" s="9"/>
    </row>
    <row r="1913" ht="15.75" customHeight="1">
      <c r="A1913" s="9" t="str">
        <f>IFERROR(__xludf.DUMMYFUNCTION("IF(B1913="""","""",RIGHT(REGEXREPLACE(B1913&amp;"""",""[^0-9]"",""""),9))"),"775734375")</f>
        <v>775734375</v>
      </c>
      <c r="B1913" s="48">
        <v>7.75734375E8</v>
      </c>
      <c r="C1913" s="10" t="s">
        <v>2047</v>
      </c>
      <c r="D1913" s="10" t="s">
        <v>34</v>
      </c>
      <c r="E1913" s="13">
        <v>46229.0</v>
      </c>
      <c r="F1913" s="10" t="s">
        <v>35</v>
      </c>
      <c r="G1913" s="10">
        <v>11.0</v>
      </c>
      <c r="I1913" s="10" t="s">
        <v>22</v>
      </c>
      <c r="J1913" s="9" t="str">
        <f t="shared" si="37"/>
        <v>No</v>
      </c>
      <c r="K1913" s="9" t="str">
        <f t="shared" si="36"/>
        <v/>
      </c>
      <c r="L1913" s="9" t="str">
        <f t="shared" si="38"/>
        <v/>
      </c>
      <c r="M1913" s="9"/>
      <c r="O1913" s="9"/>
    </row>
    <row r="1914" ht="15.75" customHeight="1">
      <c r="A1914" s="9" t="str">
        <f>IFERROR(__xludf.DUMMYFUNCTION("IF(B1914="""","""",RIGHT(REGEXREPLACE(B1914&amp;"""",""[^0-9]"",""""),9))"),"768776092")</f>
        <v>768776092</v>
      </c>
      <c r="B1914" s="48">
        <v>7.68776092E8</v>
      </c>
      <c r="C1914" s="10" t="s">
        <v>2048</v>
      </c>
      <c r="D1914" s="10" t="s">
        <v>50</v>
      </c>
      <c r="E1914" s="13">
        <v>46229.0</v>
      </c>
      <c r="F1914" s="10" t="s">
        <v>171</v>
      </c>
      <c r="I1914" s="10" t="s">
        <v>22</v>
      </c>
      <c r="J1914" s="9" t="str">
        <f t="shared" si="37"/>
        <v>No</v>
      </c>
      <c r="K1914" s="9" t="str">
        <f t="shared" si="36"/>
        <v/>
      </c>
      <c r="L1914" s="9" t="str">
        <f t="shared" si="38"/>
        <v/>
      </c>
      <c r="M1914" s="9"/>
      <c r="O1914" s="9"/>
    </row>
    <row r="1915" ht="15.75" customHeight="1">
      <c r="A1915" s="9" t="str">
        <f>IFERROR(__xludf.DUMMYFUNCTION("IF(B1915="""","""",RIGHT(REGEXREPLACE(B1915&amp;"""",""[^0-9]"",""""),9))"),"718937389")</f>
        <v>718937389</v>
      </c>
      <c r="B1915" s="48">
        <v>7.18937389E8</v>
      </c>
      <c r="C1915" s="10" t="s">
        <v>2049</v>
      </c>
      <c r="D1915" s="10" t="s">
        <v>69</v>
      </c>
      <c r="E1915" s="13">
        <v>46229.0</v>
      </c>
      <c r="F1915" s="10" t="s">
        <v>21</v>
      </c>
      <c r="G1915" s="10">
        <v>11.0</v>
      </c>
      <c r="I1915" s="10" t="s">
        <v>22</v>
      </c>
      <c r="J1915" s="9" t="str">
        <f t="shared" si="37"/>
        <v>No</v>
      </c>
      <c r="K1915" s="9" t="str">
        <f t="shared" si="36"/>
        <v/>
      </c>
      <c r="L1915" s="9" t="str">
        <f t="shared" si="38"/>
        <v/>
      </c>
      <c r="M1915" s="9"/>
      <c r="O1915" s="9"/>
    </row>
    <row r="1916" ht="15.75" customHeight="1">
      <c r="A1916" s="9" t="str">
        <f>IFERROR(__xludf.DUMMYFUNCTION("IF(B1916="""","""",RIGHT(REGEXREPLACE(B1916&amp;"""",""[^0-9]"",""""),9))"),"787203560")</f>
        <v>787203560</v>
      </c>
      <c r="B1916" s="48">
        <v>7.8720356E8</v>
      </c>
      <c r="C1916" s="10" t="s">
        <v>2050</v>
      </c>
      <c r="D1916" s="10" t="s">
        <v>50</v>
      </c>
      <c r="E1916" s="13">
        <v>46229.0</v>
      </c>
      <c r="F1916" s="10" t="s">
        <v>604</v>
      </c>
      <c r="I1916" s="10" t="s">
        <v>22</v>
      </c>
      <c r="J1916" s="9" t="str">
        <f t="shared" si="37"/>
        <v>No</v>
      </c>
      <c r="K1916" s="9" t="str">
        <f t="shared" si="36"/>
        <v/>
      </c>
      <c r="L1916" s="9" t="str">
        <f t="shared" si="38"/>
        <v/>
      </c>
      <c r="M1916" s="9"/>
      <c r="O1916" s="9"/>
    </row>
    <row r="1917" ht="15.75" customHeight="1">
      <c r="A1917" s="9" t="str">
        <f>IFERROR(__xludf.DUMMYFUNCTION("IF(B1917="""","""",RIGHT(REGEXREPLACE(B1917&amp;"""",""[^0-9]"",""""),9))"),"707050770")</f>
        <v>707050770</v>
      </c>
      <c r="B1917" s="48">
        <v>7.0705077E8</v>
      </c>
      <c r="C1917" s="10" t="s">
        <v>2051</v>
      </c>
      <c r="D1917" s="10" t="s">
        <v>97</v>
      </c>
      <c r="E1917" s="13">
        <v>46229.0</v>
      </c>
      <c r="F1917" s="10" t="s">
        <v>145</v>
      </c>
      <c r="G1917" s="10">
        <v>11.0</v>
      </c>
      <c r="I1917" s="10" t="s">
        <v>22</v>
      </c>
      <c r="J1917" s="9" t="str">
        <f t="shared" si="37"/>
        <v>No</v>
      </c>
      <c r="K1917" s="9" t="str">
        <f t="shared" si="36"/>
        <v/>
      </c>
      <c r="L1917" s="9" t="str">
        <f t="shared" si="38"/>
        <v/>
      </c>
      <c r="M1917" s="9"/>
      <c r="O1917" s="9"/>
    </row>
    <row r="1918" ht="15.75" customHeight="1">
      <c r="A1918" s="9" t="str">
        <f>IFERROR(__xludf.DUMMYFUNCTION("IF(B1918="""","""",RIGHT(REGEXREPLACE(B1918&amp;"""",""[^0-9]"",""""),9))"),"770837057")</f>
        <v>770837057</v>
      </c>
      <c r="B1918" s="48">
        <v>7.70837057E8</v>
      </c>
      <c r="C1918" s="10" t="s">
        <v>2052</v>
      </c>
      <c r="D1918" s="10" t="s">
        <v>34</v>
      </c>
      <c r="E1918" s="13">
        <v>46229.0</v>
      </c>
      <c r="F1918" s="10" t="s">
        <v>145</v>
      </c>
      <c r="I1918" s="10" t="s">
        <v>22</v>
      </c>
      <c r="J1918" s="9" t="str">
        <f t="shared" si="37"/>
        <v>No</v>
      </c>
      <c r="K1918" s="9" t="str">
        <f t="shared" si="36"/>
        <v/>
      </c>
      <c r="L1918" s="9" t="str">
        <f t="shared" si="38"/>
        <v/>
      </c>
      <c r="M1918" s="9"/>
      <c r="O1918" s="9"/>
    </row>
    <row r="1919" ht="15.75" customHeight="1">
      <c r="A1919" s="9" t="str">
        <f>IFERROR(__xludf.DUMMYFUNCTION("IF(B1919="""","""",RIGHT(REGEXREPLACE(B1919&amp;"""",""[^0-9]"",""""),9))"),"718066875")</f>
        <v>718066875</v>
      </c>
      <c r="B1919" s="48">
        <v>7.18066875E8</v>
      </c>
      <c r="C1919" s="10" t="s">
        <v>2053</v>
      </c>
      <c r="D1919" s="10" t="s">
        <v>69</v>
      </c>
      <c r="E1919" s="13">
        <v>46229.0</v>
      </c>
      <c r="F1919" s="10" t="s">
        <v>35</v>
      </c>
      <c r="G1919" s="10">
        <v>11.0</v>
      </c>
      <c r="I1919" s="10" t="s">
        <v>22</v>
      </c>
      <c r="J1919" s="9" t="str">
        <f t="shared" si="37"/>
        <v>No</v>
      </c>
      <c r="K1919" s="9" t="str">
        <f t="shared" si="36"/>
        <v/>
      </c>
      <c r="L1919" s="9" t="str">
        <f t="shared" si="38"/>
        <v/>
      </c>
      <c r="M1919" s="9"/>
      <c r="O1919" s="9"/>
    </row>
    <row r="1920" ht="15.75" customHeight="1">
      <c r="A1920" s="9" t="str">
        <f>IFERROR(__xludf.DUMMYFUNCTION("IF(B1920="""","""",RIGHT(REGEXREPLACE(B1920&amp;"""",""[^0-9]"",""""),9))"),"776753291")</f>
        <v>776753291</v>
      </c>
      <c r="B1920" s="48">
        <v>7.76753291E8</v>
      </c>
      <c r="C1920" s="10" t="s">
        <v>2054</v>
      </c>
      <c r="D1920" s="10" t="s">
        <v>50</v>
      </c>
      <c r="E1920" s="13">
        <v>46229.0</v>
      </c>
      <c r="F1920" s="10" t="s">
        <v>35</v>
      </c>
      <c r="G1920" s="10">
        <v>11.0</v>
      </c>
      <c r="I1920" s="10" t="s">
        <v>22</v>
      </c>
      <c r="J1920" s="9" t="str">
        <f t="shared" si="37"/>
        <v>No</v>
      </c>
      <c r="K1920" s="9" t="str">
        <f t="shared" si="36"/>
        <v/>
      </c>
      <c r="L1920" s="9" t="str">
        <f t="shared" si="38"/>
        <v/>
      </c>
      <c r="M1920" s="9"/>
      <c r="O1920" s="9"/>
    </row>
    <row r="1921" ht="15.75" customHeight="1">
      <c r="A1921" s="9" t="str">
        <f>IFERROR(__xludf.DUMMYFUNCTION("IF(B1921="""","""",RIGHT(REGEXREPLACE(B1921&amp;"""",""[^0-9]"",""""),9))"),"779140979")</f>
        <v>779140979</v>
      </c>
      <c r="B1921" s="48">
        <v>7.79140979E8</v>
      </c>
      <c r="C1921" s="10" t="s">
        <v>2055</v>
      </c>
      <c r="D1921" s="10" t="s">
        <v>34</v>
      </c>
      <c r="E1921" s="13">
        <v>46229.0</v>
      </c>
      <c r="F1921" s="10" t="s">
        <v>35</v>
      </c>
      <c r="G1921" s="10">
        <v>11.0</v>
      </c>
      <c r="I1921" s="10" t="s">
        <v>22</v>
      </c>
      <c r="J1921" s="9" t="str">
        <f t="shared" si="37"/>
        <v>No</v>
      </c>
      <c r="K1921" s="9" t="str">
        <f t="shared" si="36"/>
        <v/>
      </c>
      <c r="L1921" s="9" t="str">
        <f t="shared" si="38"/>
        <v/>
      </c>
      <c r="M1921" s="9"/>
      <c r="O1921" s="9"/>
    </row>
    <row r="1922" ht="15.75" customHeight="1">
      <c r="A1922" s="9" t="str">
        <f>IFERROR(__xludf.DUMMYFUNCTION("IF(B1922="""","""",RIGHT(REGEXREPLACE(B1922&amp;"""",""[^0-9]"",""""),9))"),"702839108")</f>
        <v>702839108</v>
      </c>
      <c r="B1922" s="48">
        <v>7.02839108E8</v>
      </c>
      <c r="C1922" s="10" t="s">
        <v>2056</v>
      </c>
      <c r="D1922" s="10" t="s">
        <v>97</v>
      </c>
      <c r="E1922" s="13">
        <v>46229.0</v>
      </c>
      <c r="F1922" s="10" t="s">
        <v>198</v>
      </c>
      <c r="I1922" s="10" t="s">
        <v>22</v>
      </c>
      <c r="J1922" s="9" t="str">
        <f t="shared" si="37"/>
        <v>No</v>
      </c>
      <c r="K1922" s="9" t="str">
        <f t="shared" si="36"/>
        <v/>
      </c>
      <c r="L1922" s="9" t="str">
        <f t="shared" si="38"/>
        <v/>
      </c>
      <c r="M1922" s="9"/>
      <c r="O1922" s="9"/>
    </row>
    <row r="1923" ht="15.75" customHeight="1">
      <c r="A1923" s="9" t="str">
        <f>IFERROR(__xludf.DUMMYFUNCTION("IF(B1923="""","""",RIGHT(REGEXREPLACE(B1923&amp;"""",""[^0-9]"",""""),9))"),"707756808")</f>
        <v>707756808</v>
      </c>
      <c r="B1923" s="10">
        <v>7.07756808E8</v>
      </c>
      <c r="C1923" s="10" t="s">
        <v>2057</v>
      </c>
      <c r="D1923" s="10" t="s">
        <v>20</v>
      </c>
      <c r="E1923" s="13">
        <v>46229.0</v>
      </c>
      <c r="F1923" s="10" t="s">
        <v>198</v>
      </c>
      <c r="G1923" s="10">
        <v>11.0</v>
      </c>
      <c r="I1923" s="10" t="s">
        <v>22</v>
      </c>
      <c r="J1923" s="9" t="str">
        <f t="shared" si="37"/>
        <v>No</v>
      </c>
      <c r="K1923" s="9" t="str">
        <f t="shared" si="36"/>
        <v/>
      </c>
      <c r="L1923" s="9" t="str">
        <f t="shared" si="38"/>
        <v/>
      </c>
      <c r="M1923" s="9"/>
      <c r="O1923" s="9"/>
    </row>
    <row r="1924" ht="15.75" customHeight="1">
      <c r="A1924" s="9" t="str">
        <f>IFERROR(__xludf.DUMMYFUNCTION("IF(B1924="""","""",RIGHT(REGEXREPLACE(B1924&amp;"""",""[^0-9]"",""""),9))"),"705796844")</f>
        <v>705796844</v>
      </c>
      <c r="B1924" s="48">
        <v>7.05796844E8</v>
      </c>
      <c r="C1924" s="10" t="s">
        <v>2058</v>
      </c>
      <c r="D1924" s="10" t="s">
        <v>69</v>
      </c>
      <c r="E1924" s="13">
        <v>46229.0</v>
      </c>
      <c r="F1924" s="10" t="s">
        <v>198</v>
      </c>
      <c r="I1924" s="10" t="s">
        <v>22</v>
      </c>
      <c r="J1924" s="9" t="str">
        <f t="shared" si="37"/>
        <v>No</v>
      </c>
      <c r="K1924" s="9" t="str">
        <f t="shared" si="36"/>
        <v/>
      </c>
      <c r="L1924" s="9" t="str">
        <f t="shared" si="38"/>
        <v/>
      </c>
      <c r="M1924" s="9"/>
      <c r="O1924" s="9"/>
    </row>
    <row r="1925" ht="15.75" customHeight="1">
      <c r="A1925" s="9" t="str">
        <f>IFERROR(__xludf.DUMMYFUNCTION("IF(B1925="""","""",RIGHT(REGEXREPLACE(B1925&amp;"""",""[^0-9]"",""""),9))"),"727664478")</f>
        <v>727664478</v>
      </c>
      <c r="B1925" s="10">
        <v>7.27664478E8</v>
      </c>
      <c r="C1925" s="10" t="s">
        <v>2059</v>
      </c>
      <c r="D1925" s="10" t="s">
        <v>20</v>
      </c>
      <c r="E1925" s="13">
        <v>46229.0</v>
      </c>
      <c r="F1925" s="10" t="s">
        <v>21</v>
      </c>
      <c r="G1925" s="10">
        <v>11.0</v>
      </c>
      <c r="I1925" s="10" t="s">
        <v>22</v>
      </c>
      <c r="J1925" s="9" t="str">
        <f t="shared" si="37"/>
        <v>No</v>
      </c>
      <c r="K1925" s="9" t="str">
        <f t="shared" si="36"/>
        <v/>
      </c>
      <c r="L1925" s="9" t="str">
        <f t="shared" si="38"/>
        <v/>
      </c>
      <c r="M1925" s="9"/>
      <c r="O1925" s="9"/>
    </row>
    <row r="1926" ht="15.75" customHeight="1">
      <c r="A1926" s="9" t="str">
        <f>IFERROR(__xludf.DUMMYFUNCTION("IF(B1926="""","""",RIGHT(REGEXREPLACE(B1926&amp;"""",""[^0-9]"",""""),9))"),"707079012")</f>
        <v>707079012</v>
      </c>
      <c r="B1926" s="48">
        <v>7.07079012E8</v>
      </c>
      <c r="C1926" s="10" t="s">
        <v>2060</v>
      </c>
      <c r="D1926" s="10" t="s">
        <v>34</v>
      </c>
      <c r="E1926" s="13">
        <v>46229.0</v>
      </c>
      <c r="F1926" s="10" t="s">
        <v>21</v>
      </c>
      <c r="I1926" s="10" t="s">
        <v>22</v>
      </c>
      <c r="J1926" s="9" t="str">
        <f t="shared" si="37"/>
        <v>No</v>
      </c>
      <c r="K1926" s="9" t="str">
        <f t="shared" si="36"/>
        <v/>
      </c>
      <c r="L1926" s="9" t="str">
        <f t="shared" si="38"/>
        <v/>
      </c>
      <c r="M1926" s="9"/>
      <c r="O1926" s="9"/>
    </row>
    <row r="1927" ht="15.75" customHeight="1">
      <c r="A1927" s="9" t="str">
        <f>IFERROR(__xludf.DUMMYFUNCTION("IF(B1927="""","""",RIGHT(REGEXREPLACE(B1927&amp;"""",""[^0-9]"",""""),9))"),"713055029")</f>
        <v>713055029</v>
      </c>
      <c r="B1927" s="48">
        <v>7.13055029E8</v>
      </c>
      <c r="C1927" s="10" t="s">
        <v>2061</v>
      </c>
      <c r="D1927" s="10" t="s">
        <v>50</v>
      </c>
      <c r="E1927" s="13">
        <v>46229.0</v>
      </c>
      <c r="F1927" s="10" t="s">
        <v>21</v>
      </c>
      <c r="G1927" s="10">
        <v>11.0</v>
      </c>
      <c r="I1927" s="10" t="s">
        <v>22</v>
      </c>
      <c r="J1927" s="9" t="str">
        <f t="shared" si="37"/>
        <v>No</v>
      </c>
      <c r="K1927" s="9" t="str">
        <f t="shared" si="36"/>
        <v/>
      </c>
      <c r="L1927" s="9" t="str">
        <f t="shared" si="38"/>
        <v/>
      </c>
      <c r="M1927" s="9"/>
      <c r="O1927" s="9"/>
    </row>
    <row r="1928" ht="15.75" customHeight="1">
      <c r="A1928" s="9" t="str">
        <f>IFERROR(__xludf.DUMMYFUNCTION("IF(B1928="""","""",RIGHT(REGEXREPLACE(B1928&amp;"""",""[^0-9]"",""""),9))"),"703855110")</f>
        <v>703855110</v>
      </c>
      <c r="B1928" s="48">
        <v>7.0385511E8</v>
      </c>
      <c r="C1928" s="10" t="s">
        <v>2062</v>
      </c>
      <c r="D1928" s="10" t="s">
        <v>97</v>
      </c>
      <c r="E1928" s="13">
        <v>46229.0</v>
      </c>
      <c r="F1928" s="10" t="s">
        <v>35</v>
      </c>
      <c r="G1928" s="10">
        <v>11.0</v>
      </c>
      <c r="I1928" s="10" t="s">
        <v>22</v>
      </c>
      <c r="J1928" s="9" t="str">
        <f t="shared" si="37"/>
        <v>No</v>
      </c>
      <c r="K1928" s="9" t="str">
        <f t="shared" si="36"/>
        <v/>
      </c>
      <c r="L1928" s="9" t="str">
        <f t="shared" si="38"/>
        <v/>
      </c>
      <c r="M1928" s="9"/>
      <c r="O1928" s="9"/>
    </row>
    <row r="1929" ht="15.75" customHeight="1">
      <c r="A1929" s="9" t="str">
        <f>IFERROR(__xludf.DUMMYFUNCTION("IF(B1929="""","""",RIGHT(REGEXREPLACE(B1929&amp;"""",""[^0-9]"",""""),9))"),"761558285")</f>
        <v>761558285</v>
      </c>
      <c r="B1929" s="48">
        <v>7.61558285E8</v>
      </c>
      <c r="C1929" s="10" t="s">
        <v>2063</v>
      </c>
      <c r="D1929" s="10" t="s">
        <v>34</v>
      </c>
      <c r="E1929" s="13">
        <v>46229.0</v>
      </c>
      <c r="F1929" s="10" t="s">
        <v>35</v>
      </c>
      <c r="G1929" s="107">
        <v>11.0</v>
      </c>
      <c r="I1929" s="10" t="s">
        <v>22</v>
      </c>
      <c r="J1929" s="9" t="str">
        <f t="shared" si="37"/>
        <v>No</v>
      </c>
      <c r="K1929" s="9" t="str">
        <f t="shared" si="36"/>
        <v/>
      </c>
      <c r="L1929" s="9" t="str">
        <f t="shared" si="38"/>
        <v/>
      </c>
      <c r="M1929" s="9"/>
      <c r="O1929" s="9"/>
    </row>
    <row r="1930" ht="15.75" customHeight="1">
      <c r="A1930" s="9" t="str">
        <f>IFERROR(__xludf.DUMMYFUNCTION("IF(B1930="""","""",RIGHT(REGEXREPLACE(B1930&amp;"""",""[^0-9]"",""""),9))"),"778321352")</f>
        <v>778321352</v>
      </c>
      <c r="B1930" s="10">
        <v>7.78321352E8</v>
      </c>
      <c r="C1930" s="10" t="s">
        <v>2064</v>
      </c>
      <c r="D1930" s="10" t="s">
        <v>20</v>
      </c>
      <c r="E1930" s="13">
        <v>46229.0</v>
      </c>
      <c r="F1930" s="10" t="s">
        <v>21</v>
      </c>
      <c r="G1930" s="10">
        <v>11.0</v>
      </c>
      <c r="I1930" s="10" t="s">
        <v>22</v>
      </c>
      <c r="J1930" s="9" t="str">
        <f t="shared" si="37"/>
        <v>No</v>
      </c>
      <c r="K1930" s="9" t="str">
        <f t="shared" si="36"/>
        <v/>
      </c>
      <c r="L1930" s="9" t="str">
        <f t="shared" si="38"/>
        <v/>
      </c>
      <c r="M1930" s="9"/>
      <c r="O1930" s="9"/>
    </row>
    <row r="1931" ht="15.75" customHeight="1">
      <c r="A1931" s="9" t="str">
        <f>IFERROR(__xludf.DUMMYFUNCTION("IF(B1931="""","""",RIGHT(REGEXREPLACE(B1931&amp;"""",""[^0-9]"",""""),9))"),"740331843")</f>
        <v>740331843</v>
      </c>
      <c r="B1931" s="48">
        <v>7.40331843E8</v>
      </c>
      <c r="C1931" s="10" t="s">
        <v>2065</v>
      </c>
      <c r="D1931" s="10" t="s">
        <v>69</v>
      </c>
      <c r="E1931" s="13">
        <v>46229.0</v>
      </c>
      <c r="F1931" s="10" t="s">
        <v>35</v>
      </c>
      <c r="G1931" s="10">
        <v>10.0</v>
      </c>
      <c r="I1931" s="10" t="s">
        <v>22</v>
      </c>
      <c r="J1931" s="9" t="str">
        <f t="shared" si="37"/>
        <v>No</v>
      </c>
      <c r="K1931" s="9" t="str">
        <f t="shared" si="36"/>
        <v/>
      </c>
      <c r="L1931" s="9" t="str">
        <f t="shared" si="38"/>
        <v/>
      </c>
      <c r="M1931" s="9"/>
      <c r="O1931" s="9"/>
    </row>
    <row r="1932" ht="15.75" customHeight="1">
      <c r="A1932" s="9" t="str">
        <f>IFERROR(__xludf.DUMMYFUNCTION("IF(B1932="""","""",RIGHT(REGEXREPLACE(B1932&amp;"""",""[^0-9]"",""""),9))"),"705636540")</f>
        <v>705636540</v>
      </c>
      <c r="B1932" s="48">
        <v>7.0563654E8</v>
      </c>
      <c r="C1932" s="10" t="s">
        <v>2066</v>
      </c>
      <c r="D1932" s="10" t="s">
        <v>34</v>
      </c>
      <c r="E1932" s="13">
        <v>46229.0</v>
      </c>
      <c r="F1932" s="10" t="s">
        <v>145</v>
      </c>
      <c r="G1932" s="10">
        <v>11.0</v>
      </c>
      <c r="I1932" s="10" t="s">
        <v>22</v>
      </c>
      <c r="J1932" s="9" t="str">
        <f t="shared" si="37"/>
        <v>No</v>
      </c>
      <c r="K1932" s="9" t="str">
        <f t="shared" si="36"/>
        <v/>
      </c>
      <c r="L1932" s="9" t="str">
        <f t="shared" si="38"/>
        <v/>
      </c>
      <c r="M1932" s="9"/>
      <c r="O1932" s="9"/>
    </row>
    <row r="1933" ht="15.75" customHeight="1">
      <c r="A1933" s="9" t="str">
        <f>IFERROR(__xludf.DUMMYFUNCTION("IF(B1933="""","""",RIGHT(REGEXREPLACE(B1933&amp;"""",""[^0-9]"",""""),9))"),"784801182")</f>
        <v>784801182</v>
      </c>
      <c r="B1933" s="48">
        <v>7.84801182E8</v>
      </c>
      <c r="C1933" s="10" t="s">
        <v>2067</v>
      </c>
      <c r="D1933" s="10" t="s">
        <v>50</v>
      </c>
      <c r="E1933" s="13">
        <v>46229.0</v>
      </c>
      <c r="F1933" s="10" t="s">
        <v>648</v>
      </c>
      <c r="I1933" s="10" t="s">
        <v>22</v>
      </c>
      <c r="J1933" s="9" t="str">
        <f t="shared" si="37"/>
        <v>No</v>
      </c>
      <c r="K1933" s="9" t="str">
        <f t="shared" si="36"/>
        <v/>
      </c>
      <c r="L1933" s="9" t="str">
        <f t="shared" si="38"/>
        <v/>
      </c>
      <c r="M1933" s="9"/>
      <c r="O1933" s="9"/>
    </row>
    <row r="1934" ht="15.75" customHeight="1">
      <c r="A1934" s="9" t="str">
        <f>IFERROR(__xludf.DUMMYFUNCTION("IF(B1934="""","""",RIGHT(REGEXREPLACE(B1934&amp;"""",""[^0-9]"",""""),9))"),"713485689")</f>
        <v>713485689</v>
      </c>
      <c r="B1934" s="10">
        <v>7.13485689E8</v>
      </c>
      <c r="C1934" s="10" t="s">
        <v>2068</v>
      </c>
      <c r="D1934" s="10" t="s">
        <v>20</v>
      </c>
      <c r="E1934" s="13">
        <v>46229.0</v>
      </c>
      <c r="F1934" s="10" t="s">
        <v>113</v>
      </c>
      <c r="G1934" s="10">
        <v>11.0</v>
      </c>
      <c r="I1934" s="10" t="s">
        <v>22</v>
      </c>
      <c r="J1934" s="9" t="str">
        <f t="shared" si="37"/>
        <v>No</v>
      </c>
      <c r="K1934" s="9" t="str">
        <f t="shared" si="36"/>
        <v/>
      </c>
      <c r="L1934" s="9" t="str">
        <f t="shared" si="38"/>
        <v/>
      </c>
      <c r="M1934" s="9"/>
      <c r="O1934" s="9"/>
    </row>
    <row r="1935" ht="15.75" customHeight="1">
      <c r="A1935" s="9" t="str">
        <f>IFERROR(__xludf.DUMMYFUNCTION("IF(B1935="""","""",RIGHT(REGEXREPLACE(B1935&amp;"""",""[^0-9]"",""""),9))"),"776731723")</f>
        <v>776731723</v>
      </c>
      <c r="B1935" s="48">
        <v>7.76731723E8</v>
      </c>
      <c r="C1935" s="10" t="s">
        <v>1456</v>
      </c>
      <c r="D1935" s="10" t="s">
        <v>97</v>
      </c>
      <c r="E1935" s="13">
        <v>46229.0</v>
      </c>
      <c r="F1935" s="10" t="s">
        <v>21</v>
      </c>
      <c r="I1935" s="10" t="s">
        <v>22</v>
      </c>
      <c r="J1935" s="9" t="str">
        <f t="shared" si="37"/>
        <v>Yes - see Previous F-Code</v>
      </c>
      <c r="K1935" s="9" t="str">
        <f t="shared" si="36"/>
        <v>DUPLICATE - CHECK</v>
      </c>
      <c r="L1935" s="9" t="str">
        <f t="shared" si="38"/>
        <v>F71255</v>
      </c>
      <c r="M1935" s="9"/>
      <c r="O1935" s="9"/>
    </row>
    <row r="1936" ht="15.75" customHeight="1">
      <c r="A1936" s="9" t="str">
        <f>IFERROR(__xludf.DUMMYFUNCTION("IF(B1936="""","""",RIGHT(REGEXREPLACE(B1936&amp;"""",""[^0-9]"",""""),9))"),"764116765")</f>
        <v>764116765</v>
      </c>
      <c r="B1936" s="48">
        <v>7.64116765E8</v>
      </c>
      <c r="C1936" s="10" t="s">
        <v>2069</v>
      </c>
      <c r="D1936" s="10" t="s">
        <v>69</v>
      </c>
      <c r="E1936" s="13">
        <v>46229.0</v>
      </c>
      <c r="F1936" s="10" t="s">
        <v>21</v>
      </c>
      <c r="G1936" s="10">
        <v>11.0</v>
      </c>
      <c r="I1936" s="10" t="s">
        <v>22</v>
      </c>
      <c r="J1936" s="9" t="str">
        <f t="shared" si="37"/>
        <v>No</v>
      </c>
      <c r="K1936" s="9" t="str">
        <f t="shared" si="36"/>
        <v/>
      </c>
      <c r="L1936" s="9" t="str">
        <f t="shared" si="38"/>
        <v/>
      </c>
      <c r="M1936" s="9"/>
      <c r="O1936" s="9"/>
    </row>
    <row r="1937" ht="15.75" customHeight="1">
      <c r="A1937" s="9" t="str">
        <f>IFERROR(__xludf.DUMMYFUNCTION("IF(B1937="""","""",RIGHT(REGEXREPLACE(B1937&amp;"""",""[^0-9]"",""""),9))"),"702742670")</f>
        <v>702742670</v>
      </c>
      <c r="B1937" s="10">
        <v>7.0274267E8</v>
      </c>
      <c r="C1937" s="10" t="s">
        <v>2070</v>
      </c>
      <c r="D1937" s="10" t="s">
        <v>20</v>
      </c>
      <c r="E1937" s="13">
        <v>46229.0</v>
      </c>
      <c r="F1937" s="10" t="s">
        <v>21</v>
      </c>
      <c r="I1937" s="10" t="s">
        <v>22</v>
      </c>
      <c r="J1937" s="9" t="str">
        <f t="shared" si="37"/>
        <v>No</v>
      </c>
      <c r="K1937" s="9" t="str">
        <f t="shared" si="36"/>
        <v/>
      </c>
      <c r="L1937" s="9" t="str">
        <f t="shared" si="38"/>
        <v/>
      </c>
      <c r="M1937" s="9"/>
      <c r="O1937" s="9"/>
    </row>
    <row r="1938" ht="15.75" customHeight="1">
      <c r="A1938" s="9" t="str">
        <f>IFERROR(__xludf.DUMMYFUNCTION("IF(B1938="""","""",RIGHT(REGEXREPLACE(B1938&amp;"""",""[^0-9]"",""""),9))"),"716805115")</f>
        <v>716805115</v>
      </c>
      <c r="B1938" s="48">
        <v>7.16805115E8</v>
      </c>
      <c r="C1938" s="10" t="s">
        <v>2071</v>
      </c>
      <c r="D1938" s="10" t="s">
        <v>50</v>
      </c>
      <c r="E1938" s="13">
        <v>46229.0</v>
      </c>
      <c r="F1938" s="10" t="s">
        <v>35</v>
      </c>
      <c r="G1938" s="10">
        <v>11.0</v>
      </c>
      <c r="I1938" s="10" t="s">
        <v>22</v>
      </c>
      <c r="J1938" s="9" t="str">
        <f t="shared" si="37"/>
        <v>No</v>
      </c>
      <c r="K1938" s="9" t="str">
        <f t="shared" si="36"/>
        <v/>
      </c>
      <c r="L1938" s="9" t="str">
        <f t="shared" si="38"/>
        <v/>
      </c>
      <c r="M1938" s="9"/>
      <c r="O1938" s="9"/>
    </row>
    <row r="1939" ht="15.75" customHeight="1">
      <c r="A1939" s="9" t="str">
        <f>IFERROR(__xludf.DUMMYFUNCTION("IF(B1939="""","""",RIGHT(REGEXREPLACE(B1939&amp;"""",""[^0-9]"",""""),9))"),"778978700")</f>
        <v>778978700</v>
      </c>
      <c r="B1939" s="48">
        <v>7.789787E8</v>
      </c>
      <c r="C1939" s="10" t="s">
        <v>2072</v>
      </c>
      <c r="D1939" s="10" t="s">
        <v>69</v>
      </c>
      <c r="E1939" s="13">
        <v>46229.0</v>
      </c>
      <c r="F1939" s="10" t="s">
        <v>35</v>
      </c>
      <c r="G1939" s="10">
        <v>11.0</v>
      </c>
      <c r="I1939" s="10" t="s">
        <v>22</v>
      </c>
      <c r="J1939" s="9" t="str">
        <f t="shared" si="37"/>
        <v>No</v>
      </c>
      <c r="K1939" s="9" t="str">
        <f t="shared" si="36"/>
        <v/>
      </c>
      <c r="L1939" s="9" t="str">
        <f t="shared" si="38"/>
        <v/>
      </c>
      <c r="M1939" s="9"/>
      <c r="O1939" s="9"/>
    </row>
    <row r="1940" ht="15.75" customHeight="1">
      <c r="A1940" s="9" t="str">
        <f>IFERROR(__xludf.DUMMYFUNCTION("IF(B1940="""","""",RIGHT(REGEXREPLACE(B1940&amp;"""",""[^0-9]"",""""),9))"),"705068112")</f>
        <v>705068112</v>
      </c>
      <c r="B1940" s="48">
        <v>7.05068112E8</v>
      </c>
      <c r="C1940" s="10" t="s">
        <v>2073</v>
      </c>
      <c r="D1940" s="10" t="s">
        <v>97</v>
      </c>
      <c r="E1940" s="13">
        <v>46229.0</v>
      </c>
      <c r="F1940" s="10" t="s">
        <v>35</v>
      </c>
      <c r="G1940" s="10">
        <v>10.0</v>
      </c>
      <c r="I1940" s="10" t="s">
        <v>22</v>
      </c>
      <c r="J1940" s="9" t="str">
        <f t="shared" si="37"/>
        <v>No</v>
      </c>
      <c r="K1940" s="9" t="str">
        <f t="shared" si="36"/>
        <v/>
      </c>
      <c r="L1940" s="9" t="str">
        <f t="shared" si="38"/>
        <v/>
      </c>
      <c r="M1940" s="9"/>
      <c r="O1940" s="9"/>
    </row>
    <row r="1941" ht="15.75" customHeight="1">
      <c r="A1941" s="9" t="str">
        <f>IFERROR(__xludf.DUMMYFUNCTION("IF(B1941="""","""",RIGHT(REGEXREPLACE(B1941&amp;"""",""[^0-9]"",""""),9))"),"771480012")</f>
        <v>771480012</v>
      </c>
      <c r="B1941" s="48">
        <v>7.71480012E8</v>
      </c>
      <c r="C1941" s="10" t="s">
        <v>2074</v>
      </c>
      <c r="D1941" s="10" t="s">
        <v>50</v>
      </c>
      <c r="E1941" s="13">
        <v>46229.0</v>
      </c>
      <c r="F1941" s="10" t="s">
        <v>604</v>
      </c>
      <c r="I1941" s="10" t="s">
        <v>22</v>
      </c>
      <c r="J1941" s="9" t="str">
        <f t="shared" si="37"/>
        <v>No</v>
      </c>
      <c r="K1941" s="9" t="str">
        <f t="shared" si="36"/>
        <v/>
      </c>
      <c r="L1941" s="9" t="str">
        <f t="shared" si="38"/>
        <v/>
      </c>
      <c r="M1941" s="9"/>
      <c r="O1941" s="9"/>
    </row>
    <row r="1942" ht="15.75" customHeight="1">
      <c r="A1942" s="9" t="str">
        <f>IFERROR(__xludf.DUMMYFUNCTION("IF(B1942="""","""",RIGHT(REGEXREPLACE(B1942&amp;"""",""[^0-9]"",""""),9))"),"781782956")</f>
        <v>781782956</v>
      </c>
      <c r="B1942" s="48">
        <v>7.81782956E8</v>
      </c>
      <c r="C1942" s="10" t="s">
        <v>2075</v>
      </c>
      <c r="D1942" s="10" t="s">
        <v>69</v>
      </c>
      <c r="E1942" s="13">
        <v>46229.0</v>
      </c>
      <c r="F1942" s="10" t="s">
        <v>21</v>
      </c>
      <c r="I1942" s="10" t="s">
        <v>22</v>
      </c>
      <c r="J1942" s="9" t="str">
        <f t="shared" si="37"/>
        <v>No</v>
      </c>
      <c r="K1942" s="9" t="str">
        <f t="shared" si="36"/>
        <v/>
      </c>
      <c r="L1942" s="9" t="str">
        <f t="shared" si="38"/>
        <v/>
      </c>
      <c r="M1942" s="9"/>
      <c r="O1942" s="9"/>
    </row>
    <row r="1943" ht="15.75" customHeight="1">
      <c r="A1943" s="9" t="str">
        <f>IFERROR(__xludf.DUMMYFUNCTION("IF(B1943="""","""",RIGHT(REGEXREPLACE(B1943&amp;"""",""[^0-9]"",""""),9))"),"724994253")</f>
        <v>724994253</v>
      </c>
      <c r="B1943" s="10">
        <v>7.24994253E8</v>
      </c>
      <c r="C1943" s="10" t="s">
        <v>1347</v>
      </c>
      <c r="D1943" s="10" t="s">
        <v>20</v>
      </c>
      <c r="E1943" s="13">
        <v>46229.0</v>
      </c>
      <c r="F1943" s="10" t="s">
        <v>21</v>
      </c>
      <c r="I1943" s="10" t="s">
        <v>22</v>
      </c>
      <c r="J1943" s="9" t="str">
        <f t="shared" si="37"/>
        <v>Yes - see Previous F-Code</v>
      </c>
      <c r="K1943" s="9" t="str">
        <f t="shared" si="36"/>
        <v>DUPLICATE - CHECK</v>
      </c>
      <c r="L1943" s="9" t="str">
        <f t="shared" si="38"/>
        <v>F71151</v>
      </c>
      <c r="M1943" s="9"/>
      <c r="O1943" s="9"/>
    </row>
    <row r="1944" ht="15.75" customHeight="1">
      <c r="A1944" s="9" t="str">
        <f>IFERROR(__xludf.DUMMYFUNCTION("IF(B1944="""","""",RIGHT(REGEXREPLACE(B1944&amp;"""",""[^0-9]"",""""),9))"),"775700598")</f>
        <v>775700598</v>
      </c>
      <c r="B1944" s="48">
        <v>7.75700598E8</v>
      </c>
      <c r="C1944" s="10" t="s">
        <v>2076</v>
      </c>
      <c r="D1944" s="10" t="s">
        <v>34</v>
      </c>
      <c r="E1944" s="13">
        <v>46229.0</v>
      </c>
      <c r="F1944" s="10" t="s">
        <v>35</v>
      </c>
      <c r="G1944" s="10">
        <v>11.0</v>
      </c>
      <c r="H1944" s="10" t="s">
        <v>664</v>
      </c>
      <c r="I1944" s="10" t="s">
        <v>22</v>
      </c>
      <c r="J1944" s="9" t="str">
        <f t="shared" si="37"/>
        <v>No</v>
      </c>
      <c r="K1944" s="9" t="str">
        <f t="shared" si="36"/>
        <v/>
      </c>
      <c r="L1944" s="9" t="str">
        <f t="shared" si="38"/>
        <v/>
      </c>
      <c r="M1944" s="9"/>
      <c r="O1944" s="9"/>
    </row>
    <row r="1945" ht="15.75" customHeight="1">
      <c r="A1945" s="9" t="str">
        <f>IFERROR(__xludf.DUMMYFUNCTION("IF(B1945="""","""",RIGHT(REGEXREPLACE(B1945&amp;"""",""[^0-9]"",""""),9))"),"714805891")</f>
        <v>714805891</v>
      </c>
      <c r="B1945" s="48">
        <v>7.14805891E8</v>
      </c>
      <c r="C1945" s="10" t="s">
        <v>2077</v>
      </c>
      <c r="D1945" s="10" t="s">
        <v>50</v>
      </c>
      <c r="E1945" s="13">
        <v>46229.0</v>
      </c>
      <c r="F1945" s="10" t="s">
        <v>35</v>
      </c>
      <c r="G1945" s="10">
        <v>11.0</v>
      </c>
      <c r="I1945" s="10" t="s">
        <v>22</v>
      </c>
      <c r="J1945" s="9" t="str">
        <f t="shared" si="37"/>
        <v>No</v>
      </c>
      <c r="K1945" s="9" t="str">
        <f t="shared" si="36"/>
        <v/>
      </c>
      <c r="L1945" s="9" t="str">
        <f t="shared" si="38"/>
        <v/>
      </c>
      <c r="M1945" s="9"/>
      <c r="O1945" s="9"/>
    </row>
    <row r="1946" ht="15.75" customHeight="1">
      <c r="A1946" s="9" t="str">
        <f>IFERROR(__xludf.DUMMYFUNCTION("IF(B1946="""","""",RIGHT(REGEXREPLACE(B1946&amp;"""",""[^0-9]"",""""),9))"),"772264597")</f>
        <v>772264597</v>
      </c>
      <c r="B1946" s="48">
        <v>7.72264597E8</v>
      </c>
      <c r="C1946" s="10" t="s">
        <v>2078</v>
      </c>
      <c r="D1946" s="10" t="s">
        <v>97</v>
      </c>
      <c r="E1946" s="13">
        <v>46229.0</v>
      </c>
      <c r="F1946" s="10" t="s">
        <v>35</v>
      </c>
      <c r="G1946" s="10">
        <v>11.0</v>
      </c>
      <c r="I1946" s="10" t="s">
        <v>22</v>
      </c>
      <c r="J1946" s="9" t="str">
        <f t="shared" si="37"/>
        <v>No</v>
      </c>
      <c r="K1946" s="9" t="str">
        <f t="shared" si="36"/>
        <v/>
      </c>
      <c r="L1946" s="9" t="str">
        <f t="shared" si="38"/>
        <v/>
      </c>
      <c r="M1946" s="9"/>
      <c r="O1946" s="9"/>
    </row>
    <row r="1947" ht="15.75" customHeight="1">
      <c r="A1947" s="9" t="str">
        <f>IFERROR(__xludf.DUMMYFUNCTION("IF(B1947="""","""",RIGHT(REGEXREPLACE(B1947&amp;"""",""[^0-9]"",""""),9))"),"775428072")</f>
        <v>775428072</v>
      </c>
      <c r="B1947" s="10">
        <v>7.75428072E8</v>
      </c>
      <c r="C1947" s="10" t="s">
        <v>2079</v>
      </c>
      <c r="D1947" s="10" t="s">
        <v>20</v>
      </c>
      <c r="E1947" s="13">
        <v>46229.0</v>
      </c>
      <c r="F1947" s="10" t="s">
        <v>35</v>
      </c>
      <c r="G1947" s="10">
        <v>11.0</v>
      </c>
      <c r="I1947" s="10" t="s">
        <v>22</v>
      </c>
      <c r="J1947" s="9" t="str">
        <f t="shared" si="37"/>
        <v>No</v>
      </c>
      <c r="K1947" s="9" t="str">
        <f t="shared" si="36"/>
        <v/>
      </c>
      <c r="L1947" s="9" t="str">
        <f t="shared" si="38"/>
        <v/>
      </c>
      <c r="M1947" s="9"/>
      <c r="O1947" s="9"/>
    </row>
    <row r="1948" ht="15.75" customHeight="1">
      <c r="A1948" s="9" t="str">
        <f>IFERROR(__xludf.DUMMYFUNCTION("IF(B1948="""","""",RIGHT(REGEXREPLACE(B1948&amp;"""",""[^0-9]"",""""),9))"),"773437550")</f>
        <v>773437550</v>
      </c>
      <c r="B1948" s="10">
        <v>7.7343755E8</v>
      </c>
      <c r="C1948" s="10" t="s">
        <v>2080</v>
      </c>
      <c r="D1948" s="10" t="s">
        <v>20</v>
      </c>
      <c r="E1948" s="13">
        <v>46229.0</v>
      </c>
      <c r="F1948" s="10" t="s">
        <v>21</v>
      </c>
      <c r="I1948" s="10" t="s">
        <v>22</v>
      </c>
      <c r="J1948" s="9" t="str">
        <f t="shared" si="37"/>
        <v>No</v>
      </c>
      <c r="K1948" s="9" t="str">
        <f t="shared" si="36"/>
        <v/>
      </c>
      <c r="L1948" s="9" t="str">
        <f t="shared" si="38"/>
        <v/>
      </c>
      <c r="M1948" s="9"/>
      <c r="O1948" s="9"/>
    </row>
    <row r="1949" ht="15.75" customHeight="1">
      <c r="A1949" s="9" t="str">
        <f>IFERROR(__xludf.DUMMYFUNCTION("IF(B1949="""","""",RIGHT(REGEXREPLACE(B1949&amp;"""",""[^0-9]"",""""),9))"),"765265737")</f>
        <v>765265737</v>
      </c>
      <c r="B1949" s="48">
        <v>7.65265737E8</v>
      </c>
      <c r="C1949" s="10" t="s">
        <v>2081</v>
      </c>
      <c r="D1949" s="10" t="s">
        <v>34</v>
      </c>
      <c r="E1949" s="13">
        <v>46229.0</v>
      </c>
      <c r="F1949" s="10" t="s">
        <v>35</v>
      </c>
      <c r="G1949" s="10">
        <v>7.0</v>
      </c>
      <c r="I1949" s="10" t="s">
        <v>22</v>
      </c>
      <c r="J1949" s="9" t="str">
        <f t="shared" si="37"/>
        <v>No</v>
      </c>
      <c r="K1949" s="9" t="str">
        <f t="shared" si="36"/>
        <v/>
      </c>
      <c r="L1949" s="9" t="str">
        <f t="shared" si="38"/>
        <v/>
      </c>
      <c r="M1949" s="9"/>
      <c r="O1949" s="9"/>
    </row>
    <row r="1950" ht="15.75" customHeight="1">
      <c r="A1950" s="9" t="str">
        <f>IFERROR(__xludf.DUMMYFUNCTION("IF(B1950="""","""",RIGHT(REGEXREPLACE(B1950&amp;"""",""[^0-9]"",""""),9))"),"766185305")</f>
        <v>766185305</v>
      </c>
      <c r="B1950" s="48">
        <v>7.66185305E8</v>
      </c>
      <c r="C1950" s="10" t="s">
        <v>2082</v>
      </c>
      <c r="D1950" s="10" t="s">
        <v>69</v>
      </c>
      <c r="E1950" s="13">
        <v>46229.0</v>
      </c>
      <c r="F1950" s="10" t="s">
        <v>21</v>
      </c>
      <c r="G1950" s="10">
        <v>11.0</v>
      </c>
      <c r="I1950" s="10" t="s">
        <v>22</v>
      </c>
      <c r="J1950" s="9" t="str">
        <f t="shared" si="37"/>
        <v>No</v>
      </c>
      <c r="K1950" s="9" t="str">
        <f t="shared" si="36"/>
        <v/>
      </c>
      <c r="L1950" s="9" t="str">
        <f t="shared" si="38"/>
        <v/>
      </c>
      <c r="M1950" s="9"/>
      <c r="O1950" s="9"/>
    </row>
    <row r="1951" ht="15.75" customHeight="1">
      <c r="A1951" s="9" t="str">
        <f>IFERROR(__xludf.DUMMYFUNCTION("IF(B1951="""","""",RIGHT(REGEXREPLACE(B1951&amp;"""",""[^0-9]"",""""),9))"),"768615859")</f>
        <v>768615859</v>
      </c>
      <c r="B1951" s="48">
        <v>7.68615859E8</v>
      </c>
      <c r="C1951" s="10" t="s">
        <v>2083</v>
      </c>
      <c r="D1951" s="10" t="s">
        <v>50</v>
      </c>
      <c r="E1951" s="13">
        <v>46229.0</v>
      </c>
      <c r="F1951" s="10" t="s">
        <v>35</v>
      </c>
      <c r="G1951" s="10">
        <v>11.0</v>
      </c>
      <c r="I1951" s="10" t="s">
        <v>22</v>
      </c>
      <c r="J1951" s="9" t="str">
        <f t="shared" si="37"/>
        <v>No</v>
      </c>
      <c r="K1951" s="9" t="str">
        <f t="shared" si="36"/>
        <v/>
      </c>
      <c r="L1951" s="9" t="str">
        <f t="shared" si="38"/>
        <v/>
      </c>
      <c r="M1951" s="9"/>
      <c r="O1951" s="9"/>
    </row>
    <row r="1952" ht="15.75" customHeight="1">
      <c r="A1952" s="9" t="str">
        <f>IFERROR(__xludf.DUMMYFUNCTION("IF(B1952="""","""",RIGHT(REGEXREPLACE(B1952&amp;"""",""[^0-9]"",""""),9))"),"712794769")</f>
        <v>712794769</v>
      </c>
      <c r="B1952" s="48">
        <v>7.12794769E8</v>
      </c>
      <c r="C1952" s="10" t="s">
        <v>2084</v>
      </c>
      <c r="D1952" s="10" t="s">
        <v>34</v>
      </c>
      <c r="E1952" s="13">
        <v>46229.0</v>
      </c>
      <c r="F1952" s="10" t="s">
        <v>35</v>
      </c>
      <c r="G1952" s="10">
        <v>11.0</v>
      </c>
      <c r="I1952" s="10" t="s">
        <v>22</v>
      </c>
      <c r="J1952" s="9" t="str">
        <f t="shared" si="37"/>
        <v>No</v>
      </c>
      <c r="K1952" s="9" t="str">
        <f t="shared" si="36"/>
        <v/>
      </c>
      <c r="L1952" s="9" t="str">
        <f t="shared" si="38"/>
        <v/>
      </c>
      <c r="M1952" s="9"/>
      <c r="O1952" s="9"/>
    </row>
    <row r="1953" ht="15.75" customHeight="1">
      <c r="A1953" s="9" t="str">
        <f>IFERROR(__xludf.DUMMYFUNCTION("IF(B1953="""","""",RIGHT(REGEXREPLACE(B1953&amp;"""",""[^0-9]"",""""),9))"),"716883825")</f>
        <v>716883825</v>
      </c>
      <c r="B1953" s="10">
        <v>7.16883825E8</v>
      </c>
      <c r="C1953" s="10" t="s">
        <v>2085</v>
      </c>
      <c r="D1953" s="10" t="s">
        <v>20</v>
      </c>
      <c r="E1953" s="13">
        <v>46229.0</v>
      </c>
      <c r="F1953" s="10" t="s">
        <v>35</v>
      </c>
      <c r="G1953" s="10">
        <v>11.0</v>
      </c>
      <c r="I1953" s="10" t="s">
        <v>22</v>
      </c>
      <c r="J1953" s="9" t="str">
        <f t="shared" si="37"/>
        <v>No</v>
      </c>
      <c r="K1953" s="9" t="str">
        <f t="shared" si="36"/>
        <v/>
      </c>
      <c r="L1953" s="9" t="str">
        <f t="shared" si="38"/>
        <v/>
      </c>
      <c r="M1953" s="9"/>
      <c r="O1953" s="9"/>
    </row>
    <row r="1954" ht="15.75" customHeight="1">
      <c r="A1954" s="9" t="str">
        <f>IFERROR(__xludf.DUMMYFUNCTION("IF(B1954="""","""",RIGHT(REGEXREPLACE(B1954&amp;"""",""[^0-9]"",""""),9))"),"714785654")</f>
        <v>714785654</v>
      </c>
      <c r="B1954" s="48">
        <v>7.14785654E8</v>
      </c>
      <c r="C1954" s="10" t="s">
        <v>2086</v>
      </c>
      <c r="D1954" s="10" t="s">
        <v>69</v>
      </c>
      <c r="E1954" s="13">
        <v>46229.0</v>
      </c>
      <c r="F1954" s="10" t="s">
        <v>198</v>
      </c>
      <c r="I1954" s="10" t="s">
        <v>22</v>
      </c>
      <c r="J1954" s="9" t="str">
        <f t="shared" si="37"/>
        <v>No</v>
      </c>
      <c r="K1954" s="9" t="str">
        <f t="shared" si="36"/>
        <v/>
      </c>
      <c r="L1954" s="9" t="str">
        <f t="shared" si="38"/>
        <v/>
      </c>
      <c r="M1954" s="9"/>
      <c r="O1954" s="9"/>
    </row>
    <row r="1955" ht="15.75" customHeight="1">
      <c r="A1955" s="9" t="str">
        <f>IFERROR(__xludf.DUMMYFUNCTION("IF(B1955="""","""",RIGHT(REGEXREPLACE(B1955&amp;"""",""[^0-9]"",""""),9))"),"766759039")</f>
        <v>766759039</v>
      </c>
      <c r="B1955" s="48">
        <v>7.66759039E8</v>
      </c>
      <c r="C1955" s="10" t="s">
        <v>2087</v>
      </c>
      <c r="D1955" s="10" t="s">
        <v>50</v>
      </c>
      <c r="E1955" s="13">
        <v>46229.0</v>
      </c>
      <c r="F1955" s="10" t="s">
        <v>604</v>
      </c>
      <c r="G1955" s="10">
        <v>11.0</v>
      </c>
      <c r="I1955" s="10" t="s">
        <v>22</v>
      </c>
      <c r="J1955" s="9" t="str">
        <f t="shared" si="37"/>
        <v>No</v>
      </c>
      <c r="K1955" s="9" t="str">
        <f t="shared" si="36"/>
        <v/>
      </c>
      <c r="L1955" s="9" t="str">
        <f t="shared" si="38"/>
        <v/>
      </c>
      <c r="M1955" s="9"/>
      <c r="O1955" s="9"/>
    </row>
    <row r="1956" ht="15.75" customHeight="1">
      <c r="A1956" s="9" t="str">
        <f>IFERROR(__xludf.DUMMYFUNCTION("IF(B1956="""","""",RIGHT(REGEXREPLACE(B1956&amp;"""",""[^0-9]"",""""),9))"),"789641893")</f>
        <v>789641893</v>
      </c>
      <c r="B1956" s="10">
        <v>7.89641893E8</v>
      </c>
      <c r="C1956" s="10" t="s">
        <v>2088</v>
      </c>
      <c r="D1956" s="10" t="s">
        <v>20</v>
      </c>
      <c r="E1956" s="13">
        <v>46229.0</v>
      </c>
      <c r="F1956" s="10" t="s">
        <v>35</v>
      </c>
      <c r="G1956" s="10">
        <v>11.0</v>
      </c>
      <c r="I1956" s="10" t="s">
        <v>22</v>
      </c>
      <c r="J1956" s="9" t="str">
        <f t="shared" si="37"/>
        <v>No</v>
      </c>
      <c r="K1956" s="9" t="str">
        <f t="shared" si="36"/>
        <v/>
      </c>
      <c r="L1956" s="9" t="str">
        <f t="shared" si="38"/>
        <v/>
      </c>
      <c r="M1956" s="9"/>
      <c r="O1956" s="9"/>
    </row>
    <row r="1957" ht="15.75" customHeight="1">
      <c r="A1957" s="9" t="str">
        <f>IFERROR(__xludf.DUMMYFUNCTION("IF(B1957="""","""",RIGHT(REGEXREPLACE(B1957&amp;"""",""[^0-9]"",""""),9))"),"761480903")</f>
        <v>761480903</v>
      </c>
      <c r="B1957" s="48">
        <v>7.61480903E8</v>
      </c>
      <c r="C1957" s="10" t="s">
        <v>2089</v>
      </c>
      <c r="D1957" s="10" t="s">
        <v>97</v>
      </c>
      <c r="E1957" s="13">
        <v>46229.0</v>
      </c>
      <c r="F1957" s="10" t="s">
        <v>21</v>
      </c>
      <c r="G1957" s="10">
        <v>11.0</v>
      </c>
      <c r="I1957" s="10" t="s">
        <v>22</v>
      </c>
      <c r="J1957" s="9" t="str">
        <f t="shared" si="37"/>
        <v>No</v>
      </c>
      <c r="K1957" s="9" t="str">
        <f t="shared" si="36"/>
        <v/>
      </c>
      <c r="L1957" s="9" t="str">
        <f t="shared" si="38"/>
        <v/>
      </c>
      <c r="M1957" s="9"/>
      <c r="O1957" s="9"/>
    </row>
    <row r="1958" ht="15.75" customHeight="1">
      <c r="A1958" s="9" t="str">
        <f>IFERROR(__xludf.DUMMYFUNCTION("IF(B1958="""","""",RIGHT(REGEXREPLACE(B1958&amp;"""",""[^0-9]"",""""),9))"),"706600668")</f>
        <v>706600668</v>
      </c>
      <c r="B1958" s="48">
        <v>7.06600668E8</v>
      </c>
      <c r="C1958" s="10" t="s">
        <v>2090</v>
      </c>
      <c r="D1958" s="10" t="s">
        <v>34</v>
      </c>
      <c r="E1958" s="13">
        <v>46229.0</v>
      </c>
      <c r="F1958" s="10" t="s">
        <v>35</v>
      </c>
      <c r="G1958" s="10">
        <v>10.0</v>
      </c>
      <c r="I1958" s="10" t="s">
        <v>22</v>
      </c>
      <c r="J1958" s="9" t="str">
        <f t="shared" si="37"/>
        <v>No</v>
      </c>
      <c r="K1958" s="9" t="str">
        <f t="shared" si="36"/>
        <v/>
      </c>
      <c r="L1958" s="9" t="str">
        <f t="shared" si="38"/>
        <v/>
      </c>
      <c r="M1958" s="9"/>
      <c r="O1958" s="9"/>
    </row>
    <row r="1959" ht="15.75" customHeight="1">
      <c r="A1959" s="9" t="str">
        <f>IFERROR(__xludf.DUMMYFUNCTION("IF(B1959="""","""",RIGHT(REGEXREPLACE(B1959&amp;"""",""[^0-9]"",""""),9))"),"711241028")</f>
        <v>711241028</v>
      </c>
      <c r="B1959" s="10">
        <v>7.11241028E8</v>
      </c>
      <c r="C1959" s="10" t="s">
        <v>2091</v>
      </c>
      <c r="D1959" s="10" t="s">
        <v>20</v>
      </c>
      <c r="E1959" s="13">
        <v>46229.0</v>
      </c>
      <c r="F1959" s="10" t="s">
        <v>35</v>
      </c>
      <c r="G1959" s="10">
        <v>11.0</v>
      </c>
      <c r="I1959" s="10" t="s">
        <v>22</v>
      </c>
      <c r="J1959" s="9" t="str">
        <f t="shared" si="37"/>
        <v>No</v>
      </c>
      <c r="K1959" s="9" t="str">
        <f t="shared" si="36"/>
        <v/>
      </c>
      <c r="L1959" s="9" t="str">
        <f t="shared" si="38"/>
        <v/>
      </c>
      <c r="M1959" s="9"/>
      <c r="O1959" s="9"/>
    </row>
    <row r="1960" ht="15.75" customHeight="1">
      <c r="A1960" s="9" t="str">
        <f>IFERROR(__xludf.DUMMYFUNCTION("IF(B1960="""","""",RIGHT(REGEXREPLACE(B1960&amp;"""",""[^0-9]"",""""),9))"),"716289960")</f>
        <v>716289960</v>
      </c>
      <c r="B1960" s="48">
        <v>7.1628996E8</v>
      </c>
      <c r="C1960" s="10" t="s">
        <v>2092</v>
      </c>
      <c r="D1960" s="10" t="s">
        <v>50</v>
      </c>
      <c r="E1960" s="13">
        <v>46229.0</v>
      </c>
      <c r="F1960" s="10" t="s">
        <v>35</v>
      </c>
      <c r="G1960" s="10">
        <v>11.0</v>
      </c>
      <c r="I1960" s="10" t="s">
        <v>22</v>
      </c>
      <c r="J1960" s="9" t="str">
        <f t="shared" si="37"/>
        <v>No</v>
      </c>
      <c r="K1960" s="9" t="str">
        <f t="shared" si="36"/>
        <v/>
      </c>
      <c r="L1960" s="9" t="str">
        <f t="shared" si="38"/>
        <v/>
      </c>
      <c r="M1960" s="9"/>
      <c r="O1960" s="9"/>
    </row>
    <row r="1961" ht="15.75" customHeight="1">
      <c r="A1961" s="9" t="str">
        <f>IFERROR(__xludf.DUMMYFUNCTION("IF(B1961="""","""",RIGHT(REGEXREPLACE(B1961&amp;"""",""[^0-9]"",""""),9))"),"762385247")</f>
        <v>762385247</v>
      </c>
      <c r="B1961" s="10">
        <v>7.62385247E8</v>
      </c>
      <c r="C1961" s="10" t="s">
        <v>2093</v>
      </c>
      <c r="D1961" s="10" t="s">
        <v>20</v>
      </c>
      <c r="E1961" s="13">
        <v>46229.0</v>
      </c>
      <c r="F1961" s="10" t="s">
        <v>35</v>
      </c>
      <c r="G1961" s="10">
        <v>11.0</v>
      </c>
      <c r="I1961" s="10" t="s">
        <v>22</v>
      </c>
      <c r="J1961" s="9" t="str">
        <f t="shared" si="37"/>
        <v>No</v>
      </c>
      <c r="K1961" s="9" t="str">
        <f t="shared" si="36"/>
        <v/>
      </c>
      <c r="L1961" s="9" t="str">
        <f t="shared" si="38"/>
        <v/>
      </c>
      <c r="M1961" s="9"/>
      <c r="O1961" s="9"/>
    </row>
    <row r="1962" ht="15.75" customHeight="1">
      <c r="A1962" s="9" t="str">
        <f>IFERROR(__xludf.DUMMYFUNCTION("IF(B1962="""","""",RIGHT(REGEXREPLACE(B1962&amp;"""",""[^0-9]"",""""),9))"),"762243246")</f>
        <v>762243246</v>
      </c>
      <c r="B1962" s="48">
        <v>7.62243246E8</v>
      </c>
      <c r="C1962" s="10" t="s">
        <v>2094</v>
      </c>
      <c r="D1962" s="10" t="s">
        <v>69</v>
      </c>
      <c r="E1962" s="13">
        <v>46229.0</v>
      </c>
      <c r="F1962" s="10" t="s">
        <v>35</v>
      </c>
      <c r="G1962" s="10">
        <v>11.0</v>
      </c>
      <c r="I1962" s="10" t="s">
        <v>22</v>
      </c>
      <c r="J1962" s="9" t="str">
        <f t="shared" si="37"/>
        <v>No</v>
      </c>
      <c r="K1962" s="9" t="str">
        <f t="shared" si="36"/>
        <v/>
      </c>
      <c r="L1962" s="9" t="str">
        <f t="shared" si="38"/>
        <v/>
      </c>
      <c r="M1962" s="9"/>
      <c r="O1962" s="9"/>
    </row>
    <row r="1963" ht="15.75" customHeight="1">
      <c r="A1963" s="9" t="str">
        <f>IFERROR(__xludf.DUMMYFUNCTION("IF(B1963="""","""",RIGHT(REGEXREPLACE(B1963&amp;"""",""[^0-9]"",""""),9))"),"701688515")</f>
        <v>701688515</v>
      </c>
      <c r="B1963" s="48">
        <v>7.01688515E8</v>
      </c>
      <c r="C1963" s="10" t="s">
        <v>2095</v>
      </c>
      <c r="D1963" s="10" t="s">
        <v>34</v>
      </c>
      <c r="E1963" s="13">
        <v>46229.0</v>
      </c>
      <c r="F1963" s="10" t="s">
        <v>113</v>
      </c>
      <c r="I1963" s="10" t="s">
        <v>22</v>
      </c>
      <c r="J1963" s="9" t="str">
        <f t="shared" si="37"/>
        <v>No</v>
      </c>
      <c r="K1963" s="9" t="str">
        <f t="shared" si="36"/>
        <v/>
      </c>
      <c r="L1963" s="9" t="str">
        <f t="shared" si="38"/>
        <v/>
      </c>
      <c r="M1963" s="9"/>
      <c r="O1963" s="9"/>
    </row>
    <row r="1964" ht="15.75" customHeight="1">
      <c r="A1964" s="9" t="str">
        <f>IFERROR(__xludf.DUMMYFUNCTION("IF(B1964="""","""",RIGHT(REGEXREPLACE(B1964&amp;"""",""[^0-9]"",""""),9))"),"772058580")</f>
        <v>772058580</v>
      </c>
      <c r="B1964" s="48">
        <v>7.7205858E8</v>
      </c>
      <c r="C1964" s="10" t="s">
        <v>2096</v>
      </c>
      <c r="D1964" s="10" t="s">
        <v>97</v>
      </c>
      <c r="E1964" s="13">
        <v>46229.0</v>
      </c>
      <c r="F1964" s="10" t="s">
        <v>21</v>
      </c>
      <c r="I1964" s="10" t="s">
        <v>22</v>
      </c>
      <c r="J1964" s="9" t="str">
        <f t="shared" si="37"/>
        <v>No</v>
      </c>
      <c r="K1964" s="9" t="str">
        <f t="shared" si="36"/>
        <v/>
      </c>
      <c r="L1964" s="9" t="str">
        <f t="shared" si="38"/>
        <v/>
      </c>
      <c r="M1964" s="9"/>
      <c r="O1964" s="9"/>
    </row>
    <row r="1965" ht="15.75" customHeight="1">
      <c r="A1965" s="9" t="str">
        <f>IFERROR(__xludf.DUMMYFUNCTION("IF(B1965="""","""",RIGHT(REGEXREPLACE(B1965&amp;"""",""[^0-9]"",""""),9))"),"750276221")</f>
        <v>750276221</v>
      </c>
      <c r="B1965" s="10">
        <v>7.50276221E8</v>
      </c>
      <c r="C1965" s="10" t="s">
        <v>2097</v>
      </c>
      <c r="D1965" s="10" t="s">
        <v>20</v>
      </c>
      <c r="E1965" s="13">
        <v>46229.0</v>
      </c>
      <c r="F1965" s="10" t="s">
        <v>35</v>
      </c>
      <c r="G1965" s="10">
        <v>10.0</v>
      </c>
      <c r="I1965" s="10" t="s">
        <v>22</v>
      </c>
      <c r="J1965" s="9" t="str">
        <f t="shared" si="37"/>
        <v>No</v>
      </c>
      <c r="K1965" s="9" t="str">
        <f t="shared" si="36"/>
        <v/>
      </c>
      <c r="L1965" s="9" t="str">
        <f t="shared" si="38"/>
        <v/>
      </c>
      <c r="M1965" s="9"/>
      <c r="O1965" s="9"/>
    </row>
    <row r="1966" ht="15.75" customHeight="1">
      <c r="A1966" s="9" t="str">
        <f>IFERROR(__xludf.DUMMYFUNCTION("IF(B1966="""","""",RIGHT(REGEXREPLACE(B1966&amp;"""",""[^0-9]"",""""),9))"),"763559709")</f>
        <v>763559709</v>
      </c>
      <c r="B1966" s="10">
        <v>7.63559709E8</v>
      </c>
      <c r="C1966" s="10" t="s">
        <v>2098</v>
      </c>
      <c r="D1966" s="10" t="s">
        <v>20</v>
      </c>
      <c r="E1966" s="13">
        <v>46229.0</v>
      </c>
      <c r="F1966" s="10" t="s">
        <v>198</v>
      </c>
      <c r="I1966" s="10" t="s">
        <v>22</v>
      </c>
      <c r="J1966" s="9" t="str">
        <f t="shared" si="37"/>
        <v>No</v>
      </c>
      <c r="K1966" s="9" t="str">
        <f t="shared" si="36"/>
        <v/>
      </c>
      <c r="L1966" s="9" t="str">
        <f t="shared" si="38"/>
        <v/>
      </c>
      <c r="M1966" s="9"/>
      <c r="O1966" s="9"/>
    </row>
    <row r="1967" ht="15.75" customHeight="1">
      <c r="A1967" s="9" t="str">
        <f>IFERROR(__xludf.DUMMYFUNCTION("IF(B1967="""","""",RIGHT(REGEXREPLACE(B1967&amp;"""",""[^0-9]"",""""),9))"),"778181170")</f>
        <v>778181170</v>
      </c>
      <c r="B1967" s="48">
        <v>7.7818117E8</v>
      </c>
      <c r="C1967" s="10" t="s">
        <v>2099</v>
      </c>
      <c r="D1967" s="10" t="s">
        <v>34</v>
      </c>
      <c r="E1967" s="13">
        <v>46229.0</v>
      </c>
      <c r="F1967" s="10" t="s">
        <v>35</v>
      </c>
      <c r="G1967" s="10">
        <v>11.0</v>
      </c>
      <c r="I1967" s="10" t="s">
        <v>22</v>
      </c>
      <c r="J1967" s="9" t="str">
        <f t="shared" si="37"/>
        <v>No</v>
      </c>
      <c r="K1967" s="9" t="str">
        <f t="shared" si="36"/>
        <v/>
      </c>
      <c r="L1967" s="9" t="str">
        <f t="shared" si="38"/>
        <v/>
      </c>
      <c r="M1967" s="9"/>
      <c r="O1967" s="9"/>
    </row>
    <row r="1968" ht="15.75" customHeight="1">
      <c r="A1968" s="9" t="str">
        <f>IFERROR(__xludf.DUMMYFUNCTION("IF(B1968="""","""",RIGHT(REGEXREPLACE(B1968&amp;"""",""[^0-9]"",""""),9))"),"767240672")</f>
        <v>767240672</v>
      </c>
      <c r="B1968" s="10">
        <v>7.67240672E8</v>
      </c>
      <c r="C1968" s="10" t="s">
        <v>2098</v>
      </c>
      <c r="D1968" s="10" t="s">
        <v>20</v>
      </c>
      <c r="E1968" s="13">
        <v>46229.0</v>
      </c>
      <c r="F1968" s="10" t="s">
        <v>171</v>
      </c>
      <c r="G1968" s="10">
        <v>11.0</v>
      </c>
      <c r="I1968" s="10" t="s">
        <v>22</v>
      </c>
      <c r="J1968" s="9" t="str">
        <f t="shared" si="37"/>
        <v>No</v>
      </c>
      <c r="K1968" s="9" t="str">
        <f t="shared" si="36"/>
        <v/>
      </c>
      <c r="L1968" s="9" t="str">
        <f t="shared" si="38"/>
        <v/>
      </c>
      <c r="M1968" s="9"/>
      <c r="O1968" s="9"/>
    </row>
    <row r="1969" ht="15.75" customHeight="1">
      <c r="A1969" s="9" t="str">
        <f>IFERROR(__xludf.DUMMYFUNCTION("IF(B1969="""","""",RIGHT(REGEXREPLACE(B1969&amp;"""",""[^0-9]"",""""),9))"),"786023962")</f>
        <v>786023962</v>
      </c>
      <c r="B1969" s="10">
        <v>7.86023962E8</v>
      </c>
      <c r="C1969" s="10" t="s">
        <v>2100</v>
      </c>
      <c r="D1969" s="10" t="s">
        <v>20</v>
      </c>
      <c r="E1969" s="13">
        <v>46229.0</v>
      </c>
      <c r="F1969" s="10" t="s">
        <v>21</v>
      </c>
      <c r="G1969" s="10">
        <v>11.0</v>
      </c>
      <c r="I1969" s="10" t="s">
        <v>22</v>
      </c>
      <c r="J1969" s="9" t="str">
        <f t="shared" si="37"/>
        <v>No</v>
      </c>
      <c r="K1969" s="9" t="str">
        <f t="shared" si="36"/>
        <v/>
      </c>
      <c r="L1969" s="9" t="str">
        <f t="shared" si="38"/>
        <v/>
      </c>
      <c r="M1969" s="9"/>
      <c r="O1969" s="9"/>
    </row>
    <row r="1970" ht="15.75" customHeight="1">
      <c r="A1970" s="9" t="str">
        <f>IFERROR(__xludf.DUMMYFUNCTION("IF(B1970="""","""",RIGHT(REGEXREPLACE(B1970&amp;"""",""[^0-9]"",""""),9))"),"771151143")</f>
        <v>771151143</v>
      </c>
      <c r="B1970" s="48">
        <v>7.71151143E8</v>
      </c>
      <c r="C1970" s="10" t="s">
        <v>2101</v>
      </c>
      <c r="D1970" s="10" t="s">
        <v>69</v>
      </c>
      <c r="E1970" s="13">
        <v>46229.0</v>
      </c>
      <c r="F1970" s="10" t="s">
        <v>198</v>
      </c>
      <c r="I1970" s="10" t="s">
        <v>22</v>
      </c>
      <c r="J1970" s="9" t="str">
        <f t="shared" si="37"/>
        <v>No</v>
      </c>
      <c r="K1970" s="9" t="str">
        <f t="shared" si="36"/>
        <v/>
      </c>
      <c r="L1970" s="9" t="str">
        <f t="shared" si="38"/>
        <v/>
      </c>
      <c r="M1970" s="9"/>
      <c r="O1970" s="9"/>
    </row>
    <row r="1971" ht="15.75" customHeight="1">
      <c r="A1971" s="9" t="str">
        <f>IFERROR(__xludf.DUMMYFUNCTION("IF(B1971="""","""",RIGHT(REGEXREPLACE(B1971&amp;"""",""[^0-9]"",""""),9))"),"724524458")</f>
        <v>724524458</v>
      </c>
      <c r="B1971" s="48">
        <v>7.24524458E8</v>
      </c>
      <c r="C1971" s="10" t="s">
        <v>2102</v>
      </c>
      <c r="D1971" s="10" t="s">
        <v>50</v>
      </c>
      <c r="E1971" s="13">
        <v>46229.0</v>
      </c>
      <c r="F1971" s="10" t="s">
        <v>198</v>
      </c>
      <c r="G1971" s="10">
        <v>11.0</v>
      </c>
      <c r="I1971" s="10" t="s">
        <v>22</v>
      </c>
      <c r="J1971" s="9" t="str">
        <f t="shared" si="37"/>
        <v>No</v>
      </c>
      <c r="K1971" s="9" t="str">
        <f t="shared" si="36"/>
        <v/>
      </c>
      <c r="L1971" s="9" t="str">
        <f t="shared" si="38"/>
        <v/>
      </c>
      <c r="M1971" s="9"/>
      <c r="O1971" s="9"/>
    </row>
    <row r="1972" ht="15.75" customHeight="1">
      <c r="A1972" s="9" t="str">
        <f>IFERROR(__xludf.DUMMYFUNCTION("IF(B1972="""","""",RIGHT(REGEXREPLACE(B1972&amp;"""",""[^0-9]"",""""),9))"),"702978110")</f>
        <v>702978110</v>
      </c>
      <c r="B1972" s="10">
        <v>7.0297811E8</v>
      </c>
      <c r="C1972" s="10" t="s">
        <v>2103</v>
      </c>
      <c r="D1972" s="10" t="s">
        <v>20</v>
      </c>
      <c r="E1972" s="13">
        <v>46229.0</v>
      </c>
      <c r="F1972" s="10" t="s">
        <v>198</v>
      </c>
      <c r="G1972" s="10">
        <v>11.0</v>
      </c>
      <c r="I1972" s="10" t="s">
        <v>22</v>
      </c>
      <c r="J1972" s="9" t="str">
        <f t="shared" si="37"/>
        <v>No</v>
      </c>
      <c r="K1972" s="9" t="str">
        <f t="shared" si="36"/>
        <v/>
      </c>
      <c r="L1972" s="9" t="str">
        <f t="shared" si="38"/>
        <v/>
      </c>
      <c r="M1972" s="9"/>
      <c r="O1972" s="9"/>
    </row>
    <row r="1973" ht="15.75" customHeight="1">
      <c r="A1973" s="9" t="str">
        <f>IFERROR(__xludf.DUMMYFUNCTION("IF(B1973="""","""",RIGHT(REGEXREPLACE(B1973&amp;"""",""[^0-9]"",""""),9))"),"701844226")</f>
        <v>701844226</v>
      </c>
      <c r="B1973" s="10">
        <v>7.01844226E8</v>
      </c>
      <c r="C1973" s="10" t="s">
        <v>2104</v>
      </c>
      <c r="D1973" s="10" t="s">
        <v>20</v>
      </c>
      <c r="E1973" s="13">
        <v>46229.0</v>
      </c>
      <c r="F1973" s="10" t="s">
        <v>35</v>
      </c>
      <c r="G1973" s="10">
        <v>11.0</v>
      </c>
      <c r="I1973" s="10" t="s">
        <v>22</v>
      </c>
      <c r="J1973" s="9" t="str">
        <f t="shared" si="37"/>
        <v>No</v>
      </c>
      <c r="K1973" s="9" t="str">
        <f t="shared" si="36"/>
        <v/>
      </c>
      <c r="L1973" s="9" t="str">
        <f t="shared" si="38"/>
        <v/>
      </c>
      <c r="M1973" s="9"/>
      <c r="O1973" s="9"/>
    </row>
    <row r="1974" ht="15.75" customHeight="1">
      <c r="A1974" s="9" t="str">
        <f>IFERROR(__xludf.DUMMYFUNCTION("IF(B1974="""","""",RIGHT(REGEXREPLACE(B1974&amp;"""",""[^0-9]"",""""),9))"),"781041783")</f>
        <v>781041783</v>
      </c>
      <c r="B1974" s="48">
        <v>7.81041783E8</v>
      </c>
      <c r="C1974" s="10" t="s">
        <v>2105</v>
      </c>
      <c r="D1974" s="10" t="s">
        <v>34</v>
      </c>
      <c r="E1974" s="13">
        <v>46229.0</v>
      </c>
      <c r="F1974" s="10" t="s">
        <v>35</v>
      </c>
      <c r="G1974" s="10">
        <v>10.0</v>
      </c>
      <c r="I1974" s="10" t="s">
        <v>22</v>
      </c>
      <c r="J1974" s="9" t="str">
        <f t="shared" si="37"/>
        <v>No</v>
      </c>
      <c r="K1974" s="9" t="str">
        <f t="shared" si="36"/>
        <v/>
      </c>
      <c r="L1974" s="9" t="str">
        <f t="shared" si="38"/>
        <v/>
      </c>
      <c r="M1974" s="9"/>
      <c r="O1974" s="9"/>
    </row>
    <row r="1975" ht="15.75" customHeight="1">
      <c r="A1975" s="9" t="str">
        <f>IFERROR(__xludf.DUMMYFUNCTION("IF(B1975="""","""",RIGHT(REGEXREPLACE(B1975&amp;"""",""[^0-9]"",""""),9))"),"761278116")</f>
        <v>761278116</v>
      </c>
      <c r="B1975" s="48">
        <v>7.61278116E8</v>
      </c>
      <c r="C1975" s="10" t="s">
        <v>2106</v>
      </c>
      <c r="D1975" s="10" t="s">
        <v>97</v>
      </c>
      <c r="E1975" s="13">
        <v>46229.0</v>
      </c>
      <c r="F1975" s="10" t="s">
        <v>21</v>
      </c>
      <c r="G1975" s="10">
        <v>11.0</v>
      </c>
      <c r="I1975" s="10" t="s">
        <v>22</v>
      </c>
      <c r="J1975" s="9" t="str">
        <f t="shared" si="37"/>
        <v>No</v>
      </c>
      <c r="K1975" s="9" t="str">
        <f t="shared" si="36"/>
        <v/>
      </c>
      <c r="L1975" s="9" t="str">
        <f t="shared" si="38"/>
        <v/>
      </c>
      <c r="M1975" s="9"/>
      <c r="O1975" s="9"/>
    </row>
    <row r="1976" ht="15.75" customHeight="1">
      <c r="A1976" s="9" t="str">
        <f>IFERROR(__xludf.DUMMYFUNCTION("IF(B1976="""","""",RIGHT(REGEXREPLACE(B1976&amp;"""",""[^0-9]"",""""),9))"),"754508784")</f>
        <v>754508784</v>
      </c>
      <c r="B1976" s="10">
        <v>7.54508784E8</v>
      </c>
      <c r="C1976" s="10" t="s">
        <v>2104</v>
      </c>
      <c r="D1976" s="10" t="s">
        <v>20</v>
      </c>
      <c r="E1976" s="13">
        <v>46229.0</v>
      </c>
      <c r="F1976" s="10" t="s">
        <v>21</v>
      </c>
      <c r="I1976" s="10" t="s">
        <v>22</v>
      </c>
      <c r="J1976" s="9" t="str">
        <f t="shared" si="37"/>
        <v>No</v>
      </c>
      <c r="K1976" s="9" t="str">
        <f t="shared" si="36"/>
        <v/>
      </c>
      <c r="L1976" s="9" t="str">
        <f t="shared" si="38"/>
        <v/>
      </c>
      <c r="M1976" s="9"/>
      <c r="O1976" s="9"/>
    </row>
    <row r="1977" ht="15.75" customHeight="1">
      <c r="A1977" s="9" t="str">
        <f>IFERROR(__xludf.DUMMYFUNCTION("IF(B1977="""","""",RIGHT(REGEXREPLACE(B1977&amp;"""",""[^0-9]"",""""),9))"),"756421973")</f>
        <v>756421973</v>
      </c>
      <c r="B1977" s="48">
        <v>7.56421973E8</v>
      </c>
      <c r="C1977" s="10" t="s">
        <v>2107</v>
      </c>
      <c r="D1977" s="10" t="s">
        <v>69</v>
      </c>
      <c r="E1977" s="13">
        <v>46229.0</v>
      </c>
      <c r="F1977" s="10" t="s">
        <v>21</v>
      </c>
      <c r="G1977" s="10">
        <v>11.0</v>
      </c>
      <c r="I1977" s="10" t="s">
        <v>22</v>
      </c>
      <c r="J1977" s="9" t="str">
        <f t="shared" si="37"/>
        <v>No</v>
      </c>
      <c r="K1977" s="9" t="str">
        <f t="shared" si="36"/>
        <v/>
      </c>
      <c r="L1977" s="9" t="str">
        <f t="shared" si="38"/>
        <v/>
      </c>
      <c r="M1977" s="9"/>
      <c r="O1977" s="9"/>
    </row>
    <row r="1978" ht="15.75" customHeight="1">
      <c r="A1978" s="9" t="str">
        <f>IFERROR(__xludf.DUMMYFUNCTION("IF(B1978="""","""",RIGHT(REGEXREPLACE(B1978&amp;"""",""[^0-9]"",""""),9))"),"771104303")</f>
        <v>771104303</v>
      </c>
      <c r="B1978" s="48">
        <v>7.71104303E8</v>
      </c>
      <c r="C1978" s="10" t="s">
        <v>2108</v>
      </c>
      <c r="D1978" s="10" t="s">
        <v>50</v>
      </c>
      <c r="E1978" s="13">
        <v>46229.0</v>
      </c>
      <c r="F1978" s="10" t="s">
        <v>35</v>
      </c>
      <c r="G1978" s="10">
        <v>11.0</v>
      </c>
      <c r="I1978" s="10" t="s">
        <v>22</v>
      </c>
      <c r="J1978" s="9" t="str">
        <f t="shared" si="37"/>
        <v>No</v>
      </c>
      <c r="K1978" s="9" t="str">
        <f t="shared" si="36"/>
        <v/>
      </c>
      <c r="L1978" s="9" t="str">
        <f t="shared" si="38"/>
        <v/>
      </c>
      <c r="M1978" s="9"/>
      <c r="O1978" s="9"/>
    </row>
    <row r="1979" ht="15.75" customHeight="1">
      <c r="A1979" s="9" t="str">
        <f>IFERROR(__xludf.DUMMYFUNCTION("IF(B1979="""","""",RIGHT(REGEXREPLACE(B1979&amp;"""",""[^0-9]"",""""),9))"),"771992916")</f>
        <v>771992916</v>
      </c>
      <c r="B1979" s="10">
        <v>7.71992916E8</v>
      </c>
      <c r="C1979" s="10" t="s">
        <v>2109</v>
      </c>
      <c r="D1979" s="10" t="s">
        <v>20</v>
      </c>
      <c r="E1979" s="13">
        <v>46229.0</v>
      </c>
      <c r="F1979" s="10" t="s">
        <v>21</v>
      </c>
      <c r="I1979" s="10" t="s">
        <v>22</v>
      </c>
      <c r="J1979" s="9" t="str">
        <f t="shared" si="37"/>
        <v>No</v>
      </c>
      <c r="K1979" s="9" t="str">
        <f t="shared" si="36"/>
        <v/>
      </c>
      <c r="L1979" s="9" t="str">
        <f t="shared" si="38"/>
        <v/>
      </c>
      <c r="M1979" s="9"/>
      <c r="O1979" s="9"/>
    </row>
    <row r="1980" ht="15.75" customHeight="1">
      <c r="A1980" s="9" t="str">
        <f>IFERROR(__xludf.DUMMYFUNCTION("IF(B1980="""","""",RIGHT(REGEXREPLACE(B1980&amp;"""",""[^0-9]"",""""),9))"),"776168412")</f>
        <v>776168412</v>
      </c>
      <c r="B1980" s="48">
        <v>7.76168412E8</v>
      </c>
      <c r="C1980" s="10" t="s">
        <v>2110</v>
      </c>
      <c r="D1980" s="10" t="s">
        <v>34</v>
      </c>
      <c r="E1980" s="13">
        <v>46229.0</v>
      </c>
      <c r="F1980" s="10" t="s">
        <v>21</v>
      </c>
      <c r="G1980" s="10">
        <v>11.0</v>
      </c>
      <c r="I1980" s="10" t="s">
        <v>22</v>
      </c>
      <c r="J1980" s="9" t="str">
        <f t="shared" si="37"/>
        <v>No</v>
      </c>
      <c r="K1980" s="9" t="str">
        <f t="shared" si="36"/>
        <v/>
      </c>
      <c r="L1980" s="9" t="str">
        <f t="shared" si="38"/>
        <v/>
      </c>
      <c r="M1980" s="9"/>
      <c r="O1980" s="9"/>
    </row>
    <row r="1981" ht="15.75" customHeight="1">
      <c r="A1981" s="9" t="str">
        <f>IFERROR(__xludf.DUMMYFUNCTION("IF(B1981="""","""",RIGHT(REGEXREPLACE(B1981&amp;"""",""[^0-9]"",""""),9))"),"754516221")</f>
        <v>754516221</v>
      </c>
      <c r="B1981" s="48">
        <v>7.54516221E8</v>
      </c>
      <c r="C1981" s="10" t="s">
        <v>2111</v>
      </c>
      <c r="D1981" s="10" t="s">
        <v>69</v>
      </c>
      <c r="E1981" s="13">
        <v>46229.0</v>
      </c>
      <c r="F1981" s="10" t="s">
        <v>35</v>
      </c>
      <c r="G1981" s="10">
        <v>10.0</v>
      </c>
      <c r="I1981" s="10" t="s">
        <v>22</v>
      </c>
      <c r="J1981" s="9" t="str">
        <f t="shared" si="37"/>
        <v>No</v>
      </c>
      <c r="K1981" s="9" t="str">
        <f t="shared" si="36"/>
        <v/>
      </c>
      <c r="L1981" s="9" t="str">
        <f t="shared" si="38"/>
        <v/>
      </c>
      <c r="M1981" s="9"/>
      <c r="O1981" s="9"/>
    </row>
    <row r="1982" ht="15.75" customHeight="1">
      <c r="A1982" s="9" t="str">
        <f>IFERROR(__xludf.DUMMYFUNCTION("IF(B1982="""","""",RIGHT(REGEXREPLACE(B1982&amp;"""",""[^0-9]"",""""),9))"),"706499000")</f>
        <v>706499000</v>
      </c>
      <c r="B1982" s="48">
        <v>7.06499E8</v>
      </c>
      <c r="C1982" s="10" t="s">
        <v>2112</v>
      </c>
      <c r="D1982" s="10" t="s">
        <v>50</v>
      </c>
      <c r="E1982" s="13">
        <v>46229.0</v>
      </c>
      <c r="F1982" s="10" t="s">
        <v>35</v>
      </c>
      <c r="G1982" s="10">
        <v>11.0</v>
      </c>
      <c r="H1982" s="10" t="s">
        <v>238</v>
      </c>
      <c r="I1982" s="10" t="s">
        <v>22</v>
      </c>
      <c r="J1982" s="9" t="str">
        <f t="shared" si="37"/>
        <v>No</v>
      </c>
      <c r="K1982" s="9" t="str">
        <f t="shared" si="36"/>
        <v/>
      </c>
      <c r="L1982" s="9" t="str">
        <f t="shared" si="38"/>
        <v/>
      </c>
      <c r="M1982" s="9"/>
      <c r="O1982" s="9"/>
    </row>
    <row r="1983" ht="15.75" customHeight="1">
      <c r="A1983" s="9" t="str">
        <f>IFERROR(__xludf.DUMMYFUNCTION("IF(B1983="""","""",RIGHT(REGEXREPLACE(B1983&amp;"""",""[^0-9]"",""""),9))"),"774238420")</f>
        <v>774238420</v>
      </c>
      <c r="B1983" s="48">
        <v>7.7423842E8</v>
      </c>
      <c r="C1983" s="10" t="s">
        <v>2113</v>
      </c>
      <c r="D1983" s="10" t="s">
        <v>34</v>
      </c>
      <c r="E1983" s="13">
        <v>46229.0</v>
      </c>
      <c r="F1983" s="10" t="s">
        <v>35</v>
      </c>
      <c r="G1983" s="10">
        <v>10.0</v>
      </c>
      <c r="I1983" s="10" t="s">
        <v>22</v>
      </c>
      <c r="J1983" s="9" t="str">
        <f t="shared" si="37"/>
        <v>No</v>
      </c>
      <c r="K1983" s="9" t="str">
        <f t="shared" si="36"/>
        <v/>
      </c>
      <c r="L1983" s="9" t="str">
        <f t="shared" si="38"/>
        <v/>
      </c>
      <c r="M1983" s="9"/>
      <c r="O1983" s="9"/>
    </row>
    <row r="1984" ht="15.75" customHeight="1">
      <c r="A1984" s="9" t="str">
        <f>IFERROR(__xludf.DUMMYFUNCTION("IF(B1984="""","""",RIGHT(REGEXREPLACE(B1984&amp;"""",""[^0-9]"",""""),9))"),"701393599")</f>
        <v>701393599</v>
      </c>
      <c r="B1984" s="48">
        <v>7.01393599E8</v>
      </c>
      <c r="C1984" s="10" t="s">
        <v>2114</v>
      </c>
      <c r="D1984" s="10" t="s">
        <v>97</v>
      </c>
      <c r="E1984" s="13">
        <v>46229.0</v>
      </c>
      <c r="F1984" s="10" t="s">
        <v>35</v>
      </c>
      <c r="G1984" s="10">
        <v>9.0</v>
      </c>
      <c r="I1984" s="10" t="s">
        <v>22</v>
      </c>
      <c r="J1984" s="9" t="str">
        <f t="shared" si="37"/>
        <v>No</v>
      </c>
      <c r="K1984" s="9" t="str">
        <f t="shared" si="36"/>
        <v/>
      </c>
      <c r="L1984" s="9" t="str">
        <f t="shared" si="38"/>
        <v/>
      </c>
      <c r="M1984" s="9"/>
      <c r="O1984" s="9"/>
    </row>
    <row r="1985" ht="15.75" customHeight="1">
      <c r="A1985" s="9" t="str">
        <f>IFERROR(__xludf.DUMMYFUNCTION("IF(B1985="""","""",RIGHT(REGEXREPLACE(B1985&amp;"""",""[^0-9]"",""""),9))"),"764031063")</f>
        <v>764031063</v>
      </c>
      <c r="B1985" s="48">
        <v>7.64031063E8</v>
      </c>
      <c r="C1985" s="10" t="s">
        <v>2115</v>
      </c>
      <c r="D1985" s="10" t="s">
        <v>34</v>
      </c>
      <c r="E1985" s="13">
        <v>46229.0</v>
      </c>
      <c r="F1985" s="10" t="s">
        <v>35</v>
      </c>
      <c r="G1985" s="10">
        <v>11.0</v>
      </c>
      <c r="I1985" s="10" t="s">
        <v>22</v>
      </c>
      <c r="J1985" s="9" t="str">
        <f t="shared" si="37"/>
        <v>No</v>
      </c>
      <c r="K1985" s="9" t="str">
        <f t="shared" si="36"/>
        <v/>
      </c>
      <c r="L1985" s="9" t="str">
        <f t="shared" si="38"/>
        <v/>
      </c>
      <c r="M1985" s="9"/>
      <c r="O1985" s="9"/>
    </row>
    <row r="1986" ht="15.75" customHeight="1">
      <c r="A1986" s="9" t="str">
        <f>IFERROR(__xludf.DUMMYFUNCTION("IF(B1986="""","""",RIGHT(REGEXREPLACE(B1986&amp;"""",""[^0-9]"",""""),9))"),"770134283")</f>
        <v>770134283</v>
      </c>
      <c r="B1986" s="48">
        <v>7.70134283E8</v>
      </c>
      <c r="C1986" s="10" t="s">
        <v>2116</v>
      </c>
      <c r="D1986" s="10" t="s">
        <v>50</v>
      </c>
      <c r="E1986" s="13">
        <v>46229.0</v>
      </c>
      <c r="F1986" s="10" t="s">
        <v>35</v>
      </c>
      <c r="G1986" s="10">
        <v>11.0</v>
      </c>
      <c r="I1986" s="10" t="s">
        <v>22</v>
      </c>
      <c r="J1986" s="9" t="str">
        <f t="shared" si="37"/>
        <v>No</v>
      </c>
      <c r="K1986" s="9" t="str">
        <f t="shared" si="36"/>
        <v/>
      </c>
      <c r="L1986" s="9" t="str">
        <f t="shared" si="38"/>
        <v/>
      </c>
      <c r="M1986" s="9"/>
      <c r="O1986" s="9"/>
    </row>
    <row r="1987" ht="15.75" customHeight="1">
      <c r="A1987" s="9" t="str">
        <f>IFERROR(__xludf.DUMMYFUNCTION("IF(B1987="""","""",RIGHT(REGEXREPLACE(B1987&amp;"""",""[^0-9]"",""""),9))"),"765791795")</f>
        <v>765791795</v>
      </c>
      <c r="B1987" s="48">
        <v>7.65791795E8</v>
      </c>
      <c r="C1987" s="10" t="s">
        <v>2117</v>
      </c>
      <c r="D1987" s="10" t="s">
        <v>69</v>
      </c>
      <c r="E1987" s="13">
        <v>46229.0</v>
      </c>
      <c r="F1987" s="10" t="s">
        <v>21</v>
      </c>
      <c r="G1987" s="10">
        <v>11.0</v>
      </c>
      <c r="I1987" s="10" t="s">
        <v>22</v>
      </c>
      <c r="J1987" s="9" t="str">
        <f t="shared" si="37"/>
        <v>No</v>
      </c>
      <c r="K1987" s="9" t="str">
        <f t="shared" si="36"/>
        <v/>
      </c>
      <c r="L1987" s="9" t="str">
        <f t="shared" si="38"/>
        <v/>
      </c>
      <c r="M1987" s="9"/>
      <c r="O1987" s="9"/>
    </row>
    <row r="1988" ht="15.75" customHeight="1">
      <c r="A1988" s="9" t="str">
        <f>IFERROR(__xludf.DUMMYFUNCTION("IF(B1988="""","""",RIGHT(REGEXREPLACE(B1988&amp;"""",""[^0-9]"",""""),9))"),"705891406")</f>
        <v>705891406</v>
      </c>
      <c r="B1988" s="48">
        <v>7.05891406E8</v>
      </c>
      <c r="C1988" s="10" t="s">
        <v>2118</v>
      </c>
      <c r="D1988" s="10" t="s">
        <v>34</v>
      </c>
      <c r="E1988" s="13">
        <v>46229.0</v>
      </c>
      <c r="F1988" s="10" t="s">
        <v>35</v>
      </c>
      <c r="G1988" s="10">
        <v>11.0</v>
      </c>
      <c r="I1988" s="10" t="s">
        <v>22</v>
      </c>
      <c r="J1988" s="9" t="str">
        <f t="shared" si="37"/>
        <v>No</v>
      </c>
      <c r="K1988" s="9" t="str">
        <f t="shared" si="36"/>
        <v/>
      </c>
      <c r="L1988" s="9" t="str">
        <f t="shared" si="38"/>
        <v/>
      </c>
      <c r="M1988" s="9"/>
      <c r="O1988" s="9"/>
    </row>
    <row r="1989" ht="15.75" customHeight="1">
      <c r="A1989" s="9" t="str">
        <f>IFERROR(__xludf.DUMMYFUNCTION("IF(B1989="""","""",RIGHT(REGEXREPLACE(B1989&amp;"""",""[^0-9]"",""""),9))"),"712023823")</f>
        <v>712023823</v>
      </c>
      <c r="B1989" s="48">
        <v>7.12023823E8</v>
      </c>
      <c r="C1989" s="10" t="s">
        <v>2119</v>
      </c>
      <c r="D1989" s="10" t="s">
        <v>50</v>
      </c>
      <c r="E1989" s="13">
        <v>46229.0</v>
      </c>
      <c r="F1989" s="10" t="s">
        <v>21</v>
      </c>
      <c r="G1989" s="10">
        <v>11.0</v>
      </c>
      <c r="I1989" s="10" t="s">
        <v>22</v>
      </c>
      <c r="J1989" s="9" t="str">
        <f t="shared" si="37"/>
        <v>No</v>
      </c>
      <c r="K1989" s="9" t="str">
        <f t="shared" si="36"/>
        <v/>
      </c>
      <c r="L1989" s="9" t="str">
        <f t="shared" si="38"/>
        <v/>
      </c>
      <c r="M1989" s="9"/>
      <c r="O1989" s="9"/>
    </row>
    <row r="1990" ht="15.75" customHeight="1">
      <c r="A1990" s="9" t="str">
        <f>IFERROR(__xludf.DUMMYFUNCTION("IF(B1990="""","""",RIGHT(REGEXREPLACE(B1990&amp;"""",""[^0-9]"",""""),9))"),"703717670")</f>
        <v>703717670</v>
      </c>
      <c r="B1990" s="48">
        <v>7.0371767E8</v>
      </c>
      <c r="C1990" s="10" t="s">
        <v>2120</v>
      </c>
      <c r="D1990" s="10" t="s">
        <v>97</v>
      </c>
      <c r="E1990" s="13">
        <v>46229.0</v>
      </c>
      <c r="F1990" s="10" t="s">
        <v>21</v>
      </c>
      <c r="I1990" s="10" t="s">
        <v>22</v>
      </c>
      <c r="J1990" s="9" t="str">
        <f t="shared" si="37"/>
        <v>No</v>
      </c>
      <c r="K1990" s="9" t="str">
        <f t="shared" si="36"/>
        <v/>
      </c>
      <c r="L1990" s="9" t="str">
        <f t="shared" si="38"/>
        <v/>
      </c>
      <c r="M1990" s="9"/>
      <c r="O1990" s="9"/>
    </row>
    <row r="1991" ht="15.75" customHeight="1">
      <c r="A1991" s="9" t="str">
        <f>IFERROR(__xludf.DUMMYFUNCTION("IF(B1991="""","""",RIGHT(REGEXREPLACE(B1991&amp;"""",""[^0-9]"",""""),9))"),"771623832")</f>
        <v>771623832</v>
      </c>
      <c r="B1991" s="10">
        <v>7.71623832E8</v>
      </c>
      <c r="C1991" s="10" t="s">
        <v>2121</v>
      </c>
      <c r="D1991" s="10" t="s">
        <v>20</v>
      </c>
      <c r="E1991" s="13">
        <v>46229.0</v>
      </c>
      <c r="F1991" s="10" t="s">
        <v>21</v>
      </c>
      <c r="I1991" s="10" t="s">
        <v>22</v>
      </c>
      <c r="J1991" s="9" t="str">
        <f t="shared" si="37"/>
        <v>No</v>
      </c>
      <c r="K1991" s="9" t="str">
        <f t="shared" si="36"/>
        <v/>
      </c>
      <c r="L1991" s="9" t="str">
        <f t="shared" si="38"/>
        <v/>
      </c>
      <c r="M1991" s="9"/>
      <c r="O1991" s="9"/>
    </row>
    <row r="1992" ht="15.75" customHeight="1">
      <c r="A1992" s="9" t="str">
        <f>IFERROR(__xludf.DUMMYFUNCTION("IF(B1992="""","""",RIGHT(REGEXREPLACE(B1992&amp;"""",""[^0-9]"",""""),9))"),"717896243")</f>
        <v>717896243</v>
      </c>
      <c r="B1992" s="48">
        <v>7.17896243E8</v>
      </c>
      <c r="C1992" s="10" t="s">
        <v>2122</v>
      </c>
      <c r="D1992" s="10" t="s">
        <v>34</v>
      </c>
      <c r="E1992" s="13">
        <v>46229.0</v>
      </c>
      <c r="F1992" s="10" t="s">
        <v>171</v>
      </c>
      <c r="I1992" s="10" t="s">
        <v>22</v>
      </c>
      <c r="J1992" s="9" t="str">
        <f t="shared" si="37"/>
        <v>No</v>
      </c>
      <c r="K1992" s="9" t="str">
        <f t="shared" si="36"/>
        <v/>
      </c>
      <c r="L1992" s="9" t="str">
        <f t="shared" si="38"/>
        <v/>
      </c>
      <c r="M1992" s="9"/>
      <c r="O1992" s="9"/>
    </row>
    <row r="1993" ht="15.75" customHeight="1">
      <c r="A1993" s="9" t="str">
        <f>IFERROR(__xludf.DUMMYFUNCTION("IF(B1993="""","""",RIGHT(REGEXREPLACE(B1993&amp;"""",""[^0-9]"",""""),9))"),"718909920")</f>
        <v>718909920</v>
      </c>
      <c r="B1993" s="10">
        <v>7.1890992E8</v>
      </c>
      <c r="C1993" s="10" t="s">
        <v>2123</v>
      </c>
      <c r="D1993" s="10" t="s">
        <v>20</v>
      </c>
      <c r="E1993" s="13">
        <v>46229.0</v>
      </c>
      <c r="F1993" s="10" t="s">
        <v>198</v>
      </c>
      <c r="G1993" s="10">
        <v>11.0</v>
      </c>
      <c r="I1993" s="10" t="s">
        <v>22</v>
      </c>
      <c r="J1993" s="9" t="str">
        <f t="shared" si="37"/>
        <v>No</v>
      </c>
      <c r="K1993" s="9" t="str">
        <f t="shared" si="36"/>
        <v/>
      </c>
      <c r="L1993" s="9" t="str">
        <f t="shared" si="38"/>
        <v/>
      </c>
      <c r="M1993" s="9"/>
      <c r="O1993" s="9"/>
    </row>
    <row r="1994" ht="15.75" customHeight="1">
      <c r="A1994" s="9" t="str">
        <f>IFERROR(__xludf.DUMMYFUNCTION("IF(B1994="""","""",RIGHT(REGEXREPLACE(B1994&amp;"""",""[^0-9]"",""""),9))"),"760281680")</f>
        <v>760281680</v>
      </c>
      <c r="B1994" s="48">
        <v>7.6028168E8</v>
      </c>
      <c r="C1994" s="10" t="s">
        <v>1488</v>
      </c>
      <c r="D1994" s="10" t="s">
        <v>69</v>
      </c>
      <c r="E1994" s="13">
        <v>46229.0</v>
      </c>
      <c r="F1994" s="10" t="s">
        <v>35</v>
      </c>
      <c r="G1994" s="10">
        <v>11.0</v>
      </c>
      <c r="I1994" s="10" t="s">
        <v>22</v>
      </c>
      <c r="J1994" s="9" t="str">
        <f t="shared" si="37"/>
        <v>No</v>
      </c>
      <c r="K1994" s="9" t="str">
        <f t="shared" si="36"/>
        <v/>
      </c>
      <c r="L1994" s="9" t="str">
        <f t="shared" si="38"/>
        <v/>
      </c>
      <c r="M1994" s="9"/>
      <c r="O1994" s="9"/>
    </row>
    <row r="1995" ht="15.75" customHeight="1">
      <c r="A1995" s="9" t="str">
        <f>IFERROR(__xludf.DUMMYFUNCTION("IF(B1995="""","""",RIGHT(REGEXREPLACE(B1995&amp;"""",""[^0-9]"",""""),9))"),"712619994")</f>
        <v>712619994</v>
      </c>
      <c r="B1995" s="10">
        <v>7.12619994E8</v>
      </c>
      <c r="C1995" s="10" t="s">
        <v>2124</v>
      </c>
      <c r="D1995" s="10" t="s">
        <v>20</v>
      </c>
      <c r="E1995" s="13">
        <v>46229.0</v>
      </c>
      <c r="F1995" s="10" t="s">
        <v>21</v>
      </c>
      <c r="G1995" s="10">
        <v>11.0</v>
      </c>
      <c r="I1995" s="10" t="s">
        <v>22</v>
      </c>
      <c r="J1995" s="9" t="str">
        <f t="shared" si="37"/>
        <v>No</v>
      </c>
      <c r="K1995" s="9" t="str">
        <f t="shared" si="36"/>
        <v/>
      </c>
      <c r="L1995" s="9" t="str">
        <f t="shared" si="38"/>
        <v/>
      </c>
      <c r="M1995" s="9"/>
      <c r="O1995" s="9"/>
    </row>
    <row r="1996" ht="15.75" customHeight="1">
      <c r="A1996" s="9" t="str">
        <f>IFERROR(__xludf.DUMMYFUNCTION("IF(B1996="""","""",RIGHT(REGEXREPLACE(B1996&amp;"""",""[^0-9]"",""""),9))"),"762618391")</f>
        <v>762618391</v>
      </c>
      <c r="B1996" s="48">
        <v>7.62618391E8</v>
      </c>
      <c r="C1996" s="10" t="s">
        <v>2125</v>
      </c>
      <c r="D1996" s="10" t="s">
        <v>34</v>
      </c>
      <c r="E1996" s="13">
        <v>46229.0</v>
      </c>
      <c r="F1996" s="10" t="s">
        <v>35</v>
      </c>
      <c r="G1996" s="10">
        <v>11.0</v>
      </c>
      <c r="I1996" s="10" t="s">
        <v>22</v>
      </c>
      <c r="J1996" s="9" t="str">
        <f t="shared" si="37"/>
        <v>No</v>
      </c>
      <c r="K1996" s="9" t="str">
        <f t="shared" si="36"/>
        <v/>
      </c>
      <c r="L1996" s="9" t="str">
        <f t="shared" si="38"/>
        <v/>
      </c>
      <c r="M1996" s="9"/>
      <c r="O1996" s="9"/>
    </row>
    <row r="1997" ht="15.75" customHeight="1">
      <c r="A1997" s="9" t="str">
        <f>IFERROR(__xludf.DUMMYFUNCTION("IF(B1997="""","""",RIGHT(REGEXREPLACE(B1997&amp;"""",""[^0-9]"",""""),9))"),"714476832")</f>
        <v>714476832</v>
      </c>
      <c r="B1997" s="48">
        <v>7.14476832E8</v>
      </c>
      <c r="C1997" s="10" t="s">
        <v>2126</v>
      </c>
      <c r="D1997" s="10" t="s">
        <v>97</v>
      </c>
      <c r="E1997" s="13">
        <v>46229.0</v>
      </c>
      <c r="F1997" s="10" t="s">
        <v>648</v>
      </c>
      <c r="I1997" s="10" t="s">
        <v>22</v>
      </c>
      <c r="J1997" s="9" t="str">
        <f t="shared" si="37"/>
        <v>No</v>
      </c>
      <c r="K1997" s="9" t="str">
        <f t="shared" si="36"/>
        <v/>
      </c>
      <c r="L1997" s="9" t="str">
        <f t="shared" si="38"/>
        <v/>
      </c>
      <c r="M1997" s="9"/>
      <c r="O1997" s="9"/>
    </row>
    <row r="1998" ht="15.75" customHeight="1">
      <c r="A1998" s="9" t="str">
        <f>IFERROR(__xludf.DUMMYFUNCTION("IF(B1998="""","""",RIGHT(REGEXREPLACE(B1998&amp;"""",""[^0-9]"",""""),9))"),"771931524")</f>
        <v>771931524</v>
      </c>
      <c r="B1998" s="48">
        <v>7.71931524E8</v>
      </c>
      <c r="C1998" s="10" t="s">
        <v>2127</v>
      </c>
      <c r="D1998" s="10" t="s">
        <v>50</v>
      </c>
      <c r="E1998" s="13">
        <v>46229.0</v>
      </c>
      <c r="F1998" s="10" t="s">
        <v>35</v>
      </c>
      <c r="G1998" s="10">
        <v>8.0</v>
      </c>
      <c r="I1998" s="10" t="s">
        <v>22</v>
      </c>
      <c r="J1998" s="9" t="str">
        <f t="shared" si="37"/>
        <v>No</v>
      </c>
      <c r="K1998" s="9" t="str">
        <f t="shared" si="36"/>
        <v/>
      </c>
      <c r="L1998" s="9" t="str">
        <f t="shared" si="38"/>
        <v/>
      </c>
      <c r="M1998" s="9"/>
      <c r="O1998" s="9"/>
    </row>
    <row r="1999" ht="15.75" customHeight="1">
      <c r="A1999" s="9" t="str">
        <f>IFERROR(__xludf.DUMMYFUNCTION("IF(B1999="""","""",RIGHT(REGEXREPLACE(B1999&amp;"""",""[^0-9]"",""""),9))"),"760382455")</f>
        <v>760382455</v>
      </c>
      <c r="B1999" s="48">
        <v>7.60382455E8</v>
      </c>
      <c r="C1999" s="10" t="s">
        <v>2125</v>
      </c>
      <c r="D1999" s="10" t="s">
        <v>34</v>
      </c>
      <c r="E1999" s="13">
        <v>46229.0</v>
      </c>
      <c r="F1999" s="10" t="s">
        <v>21</v>
      </c>
      <c r="G1999" s="10">
        <v>11.0</v>
      </c>
      <c r="I1999" s="10" t="s">
        <v>22</v>
      </c>
      <c r="J1999" s="9" t="str">
        <f t="shared" si="37"/>
        <v>No</v>
      </c>
      <c r="K1999" s="9" t="str">
        <f t="shared" si="36"/>
        <v/>
      </c>
      <c r="L1999" s="9" t="str">
        <f t="shared" si="38"/>
        <v/>
      </c>
      <c r="M1999" s="9"/>
      <c r="O1999" s="9"/>
    </row>
    <row r="2000" ht="15.75" customHeight="1">
      <c r="A2000" s="9" t="str">
        <f>IFERROR(__xludf.DUMMYFUNCTION("IF(B2000="""","""",RIGHT(REGEXREPLACE(B2000&amp;"""",""[^0-9]"",""""),9))"),"768759125")</f>
        <v>768759125</v>
      </c>
      <c r="B2000" s="48">
        <v>7.68759125E8</v>
      </c>
      <c r="C2000" s="10" t="s">
        <v>2128</v>
      </c>
      <c r="D2000" s="10" t="s">
        <v>97</v>
      </c>
      <c r="E2000" s="13">
        <v>46229.0</v>
      </c>
      <c r="F2000" s="10" t="s">
        <v>198</v>
      </c>
      <c r="I2000" s="10" t="s">
        <v>22</v>
      </c>
      <c r="J2000" s="9" t="str">
        <f t="shared" si="37"/>
        <v>No</v>
      </c>
      <c r="K2000" s="9" t="str">
        <f t="shared" si="36"/>
        <v/>
      </c>
      <c r="L2000" s="9" t="str">
        <f t="shared" si="38"/>
        <v/>
      </c>
      <c r="M2000" s="9"/>
      <c r="O2000" s="9"/>
    </row>
    <row r="2001" ht="15.75" customHeight="1">
      <c r="A2001" s="9" t="str">
        <f>IFERROR(__xludf.DUMMYFUNCTION("IF(B2001="""","""",RIGHT(REGEXREPLACE(B2001&amp;"""",""[^0-9]"",""""),9))"),"742970898")</f>
        <v>742970898</v>
      </c>
      <c r="B2001" s="48">
        <v>7.42970898E8</v>
      </c>
      <c r="C2001" s="10" t="s">
        <v>2129</v>
      </c>
      <c r="D2001" s="10" t="s">
        <v>50</v>
      </c>
      <c r="E2001" s="13">
        <v>46229.0</v>
      </c>
      <c r="F2001" s="10" t="s">
        <v>35</v>
      </c>
      <c r="G2001" s="10">
        <v>11.0</v>
      </c>
      <c r="H2001" s="10" t="s">
        <v>238</v>
      </c>
      <c r="I2001" s="10" t="s">
        <v>22</v>
      </c>
      <c r="J2001" s="9" t="str">
        <f t="shared" si="37"/>
        <v>No</v>
      </c>
      <c r="K2001" s="9" t="str">
        <f t="shared" si="36"/>
        <v/>
      </c>
      <c r="L2001" s="9" t="str">
        <f t="shared" si="38"/>
        <v/>
      </c>
      <c r="M2001" s="9"/>
      <c r="O2001" s="9"/>
    </row>
    <row r="2002" ht="15.75" customHeight="1">
      <c r="A2002" s="9" t="str">
        <f>IFERROR(__xludf.DUMMYFUNCTION("IF(B2002="""","""",RIGHT(REGEXREPLACE(B2002&amp;"""",""[^0-9]"",""""),9))"),"771757605")</f>
        <v>771757605</v>
      </c>
      <c r="B2002" s="48">
        <v>7.71757605E8</v>
      </c>
      <c r="C2002" s="10" t="s">
        <v>2130</v>
      </c>
      <c r="D2002" s="10" t="s">
        <v>97</v>
      </c>
      <c r="E2002" s="13">
        <v>46229.0</v>
      </c>
      <c r="F2002" s="10" t="s">
        <v>21</v>
      </c>
      <c r="G2002" s="10">
        <v>11.0</v>
      </c>
      <c r="I2002" s="10" t="s">
        <v>22</v>
      </c>
      <c r="J2002" s="9" t="str">
        <f t="shared" si="37"/>
        <v>No</v>
      </c>
      <c r="K2002" s="9" t="str">
        <f t="shared" si="36"/>
        <v/>
      </c>
      <c r="L2002" s="9" t="str">
        <f t="shared" si="38"/>
        <v/>
      </c>
      <c r="M2002" s="9"/>
      <c r="O2002" s="9"/>
    </row>
    <row r="2003" ht="15.75" customHeight="1">
      <c r="A2003" s="9" t="str">
        <f>IFERROR(__xludf.DUMMYFUNCTION("IF(B2003="""","""",RIGHT(REGEXREPLACE(B2003&amp;"""",""[^0-9]"",""""),9))"),"776887716")</f>
        <v>776887716</v>
      </c>
      <c r="B2003" s="48">
        <v>7.76887716E8</v>
      </c>
      <c r="C2003" s="10" t="s">
        <v>2131</v>
      </c>
      <c r="D2003" s="10" t="s">
        <v>34</v>
      </c>
      <c r="E2003" s="13">
        <v>46229.0</v>
      </c>
      <c r="F2003" s="10" t="s">
        <v>35</v>
      </c>
      <c r="G2003" s="10">
        <v>11.0</v>
      </c>
      <c r="I2003" s="10" t="s">
        <v>22</v>
      </c>
      <c r="J2003" s="9" t="str">
        <f t="shared" si="37"/>
        <v>No</v>
      </c>
      <c r="K2003" s="9" t="str">
        <f t="shared" si="36"/>
        <v/>
      </c>
      <c r="L2003" s="9" t="str">
        <f t="shared" si="38"/>
        <v/>
      </c>
      <c r="M2003" s="9"/>
      <c r="O2003" s="9"/>
    </row>
    <row r="2004" ht="15.75" customHeight="1">
      <c r="A2004" s="9" t="str">
        <f>IFERROR(__xludf.DUMMYFUNCTION("IF(B2004="""","""",RIGHT(REGEXREPLACE(B2004&amp;"""",""[^0-9]"",""""),9))"),"778323667")</f>
        <v>778323667</v>
      </c>
      <c r="B2004" s="10">
        <v>7.78323667E8</v>
      </c>
      <c r="C2004" s="10" t="s">
        <v>564</v>
      </c>
      <c r="D2004" s="10" t="s">
        <v>20</v>
      </c>
      <c r="E2004" s="13">
        <v>46229.0</v>
      </c>
      <c r="F2004" s="10" t="s">
        <v>35</v>
      </c>
      <c r="G2004" s="10">
        <v>11.0</v>
      </c>
      <c r="I2004" s="10" t="s">
        <v>22</v>
      </c>
      <c r="J2004" s="9" t="str">
        <f t="shared" si="37"/>
        <v>No</v>
      </c>
      <c r="K2004" s="9" t="str">
        <f t="shared" si="36"/>
        <v/>
      </c>
      <c r="L2004" s="9" t="str">
        <f t="shared" si="38"/>
        <v/>
      </c>
      <c r="M2004" s="9"/>
      <c r="O2004" s="9"/>
    </row>
    <row r="2005" ht="15.75" customHeight="1">
      <c r="A2005" s="9" t="str">
        <f>IFERROR(__xludf.DUMMYFUNCTION("IF(B2005="""","""",RIGHT(REGEXREPLACE(B2005&amp;"""",""[^0-9]"",""""),9))"),"718047342")</f>
        <v>718047342</v>
      </c>
      <c r="B2005" s="10">
        <v>7.18047342E8</v>
      </c>
      <c r="C2005" s="10" t="s">
        <v>2132</v>
      </c>
      <c r="D2005" s="10" t="s">
        <v>20</v>
      </c>
      <c r="E2005" s="13">
        <v>46229.0</v>
      </c>
      <c r="F2005" s="10" t="s">
        <v>21</v>
      </c>
      <c r="I2005" s="10" t="s">
        <v>22</v>
      </c>
      <c r="J2005" s="9" t="str">
        <f t="shared" si="37"/>
        <v>No</v>
      </c>
      <c r="K2005" s="9" t="str">
        <f t="shared" si="36"/>
        <v/>
      </c>
      <c r="L2005" s="9" t="str">
        <f t="shared" si="38"/>
        <v/>
      </c>
      <c r="M2005" s="9"/>
      <c r="O2005" s="9"/>
    </row>
    <row r="2006" ht="15.75" customHeight="1">
      <c r="A2006" s="9" t="str">
        <f>IFERROR(__xludf.DUMMYFUNCTION("IF(B2006="""","""",RIGHT(REGEXREPLACE(B2006&amp;"""",""[^0-9]"",""""),9))"),"717093536")</f>
        <v>717093536</v>
      </c>
      <c r="B2006" s="48">
        <v>7.17093536E8</v>
      </c>
      <c r="C2006" s="10" t="s">
        <v>2133</v>
      </c>
      <c r="D2006" s="10" t="s">
        <v>50</v>
      </c>
      <c r="E2006" s="13">
        <v>46229.0</v>
      </c>
      <c r="F2006" s="10" t="s">
        <v>35</v>
      </c>
      <c r="G2006" s="10">
        <v>11.0</v>
      </c>
      <c r="I2006" s="10" t="s">
        <v>22</v>
      </c>
      <c r="J2006" s="9" t="str">
        <f t="shared" si="37"/>
        <v>No</v>
      </c>
      <c r="K2006" s="9" t="str">
        <f t="shared" si="36"/>
        <v/>
      </c>
      <c r="L2006" s="9" t="str">
        <f t="shared" si="38"/>
        <v/>
      </c>
      <c r="M2006" s="9"/>
      <c r="O2006" s="9"/>
    </row>
    <row r="2007" ht="15.75" customHeight="1">
      <c r="A2007" s="9" t="str">
        <f>IFERROR(__xludf.DUMMYFUNCTION("IF(B2007="""","""",RIGHT(REGEXREPLACE(B2007&amp;"""",""[^0-9]"",""""),9))"),"760326679")</f>
        <v>760326679</v>
      </c>
      <c r="B2007" s="10">
        <v>7.60326679E8</v>
      </c>
      <c r="C2007" s="10" t="s">
        <v>2134</v>
      </c>
      <c r="D2007" s="10" t="s">
        <v>20</v>
      </c>
      <c r="E2007" s="13">
        <v>46229.0</v>
      </c>
      <c r="F2007" s="10" t="s">
        <v>35</v>
      </c>
      <c r="G2007" s="10">
        <v>11.0</v>
      </c>
      <c r="I2007" s="10" t="s">
        <v>22</v>
      </c>
      <c r="J2007" s="9" t="str">
        <f t="shared" si="37"/>
        <v>No</v>
      </c>
      <c r="K2007" s="9" t="str">
        <f t="shared" si="36"/>
        <v/>
      </c>
      <c r="L2007" s="9" t="str">
        <f t="shared" si="38"/>
        <v/>
      </c>
      <c r="M2007" s="9"/>
      <c r="O2007" s="9"/>
    </row>
    <row r="2008" ht="15.75" customHeight="1">
      <c r="A2008" s="9" t="str">
        <f>IFERROR(__xludf.DUMMYFUNCTION("IF(B2008="""","""",RIGHT(REGEXREPLACE(B2008&amp;"""",""[^0-9]"",""""),9))"),"706422021")</f>
        <v>706422021</v>
      </c>
      <c r="B2008" s="48">
        <v>7.06422021E8</v>
      </c>
      <c r="C2008" s="10" t="s">
        <v>2135</v>
      </c>
      <c r="D2008" s="10" t="s">
        <v>97</v>
      </c>
      <c r="E2008" s="13">
        <v>46229.0</v>
      </c>
      <c r="F2008" s="10" t="s">
        <v>35</v>
      </c>
      <c r="G2008" s="10">
        <v>11.0</v>
      </c>
      <c r="I2008" s="10" t="s">
        <v>22</v>
      </c>
      <c r="J2008" s="9" t="str">
        <f t="shared" si="37"/>
        <v>No</v>
      </c>
      <c r="K2008" s="9" t="str">
        <f t="shared" si="36"/>
        <v/>
      </c>
      <c r="L2008" s="9" t="str">
        <f t="shared" si="38"/>
        <v/>
      </c>
      <c r="M2008" s="9"/>
      <c r="O2008" s="9"/>
    </row>
    <row r="2009" ht="15.75" customHeight="1">
      <c r="A2009" s="9" t="str">
        <f>IFERROR(__xludf.DUMMYFUNCTION("IF(B2009="""","""",RIGHT(REGEXREPLACE(B2009&amp;"""",""[^0-9]"",""""),9))"),"760205189")</f>
        <v>760205189</v>
      </c>
      <c r="B2009" s="48">
        <v>7.60205189E8</v>
      </c>
      <c r="C2009" s="10" t="s">
        <v>2136</v>
      </c>
      <c r="D2009" s="10" t="s">
        <v>69</v>
      </c>
      <c r="E2009" s="13">
        <v>46229.0</v>
      </c>
      <c r="F2009" s="10" t="s">
        <v>21</v>
      </c>
      <c r="G2009" s="10">
        <v>11.0</v>
      </c>
      <c r="I2009" s="10" t="s">
        <v>22</v>
      </c>
      <c r="J2009" s="9" t="str">
        <f t="shared" si="37"/>
        <v>No</v>
      </c>
      <c r="K2009" s="9" t="str">
        <f t="shared" si="36"/>
        <v/>
      </c>
      <c r="L2009" s="9" t="str">
        <f t="shared" si="38"/>
        <v/>
      </c>
      <c r="M2009" s="9"/>
      <c r="O2009" s="9"/>
    </row>
    <row r="2010" ht="15.75" customHeight="1">
      <c r="A2010" s="9" t="str">
        <f>IFERROR(__xludf.DUMMYFUNCTION("IF(B2010="""","""",RIGHT(REGEXREPLACE(B2010&amp;"""",""[^0-9]"",""""),9))"),"760409319")</f>
        <v>760409319</v>
      </c>
      <c r="B2010" s="48">
        <v>7.60409319E8</v>
      </c>
      <c r="C2010" s="10" t="s">
        <v>2137</v>
      </c>
      <c r="D2010" s="10" t="s">
        <v>50</v>
      </c>
      <c r="E2010" s="13">
        <v>46229.0</v>
      </c>
      <c r="F2010" s="10" t="s">
        <v>21</v>
      </c>
      <c r="I2010" s="10" t="s">
        <v>22</v>
      </c>
      <c r="J2010" s="9" t="str">
        <f t="shared" si="37"/>
        <v>No</v>
      </c>
      <c r="K2010" s="9" t="str">
        <f t="shared" si="36"/>
        <v/>
      </c>
      <c r="L2010" s="9" t="str">
        <f t="shared" si="38"/>
        <v/>
      </c>
      <c r="M2010" s="9"/>
      <c r="O2010" s="9"/>
    </row>
    <row r="2011" ht="15.75" customHeight="1">
      <c r="A2011" s="9" t="str">
        <f>IFERROR(__xludf.DUMMYFUNCTION("IF(B2011="""","""",RIGHT(REGEXREPLACE(B2011&amp;"""",""[^0-9]"",""""),9))"),"707042945")</f>
        <v>707042945</v>
      </c>
      <c r="B2011" s="48">
        <v>7.07042945E8</v>
      </c>
      <c r="C2011" s="10" t="s">
        <v>2138</v>
      </c>
      <c r="D2011" s="10" t="s">
        <v>69</v>
      </c>
      <c r="E2011" s="13">
        <v>46229.0</v>
      </c>
      <c r="F2011" s="10" t="s">
        <v>542</v>
      </c>
      <c r="G2011" s="10">
        <v>10.0</v>
      </c>
      <c r="I2011" s="10" t="s">
        <v>22</v>
      </c>
      <c r="J2011" s="9" t="str">
        <f t="shared" si="37"/>
        <v>No</v>
      </c>
      <c r="K2011" s="9" t="str">
        <f t="shared" si="36"/>
        <v/>
      </c>
      <c r="L2011" s="9" t="str">
        <f t="shared" si="38"/>
        <v/>
      </c>
      <c r="M2011" s="9"/>
      <c r="O2011" s="9"/>
    </row>
    <row r="2012" ht="15.75" customHeight="1">
      <c r="A2012" s="9" t="str">
        <f>IFERROR(__xludf.DUMMYFUNCTION("IF(B2012="""","""",RIGHT(REGEXREPLACE(B2012&amp;"""",""[^0-9]"",""""),9))"),"753332445")</f>
        <v>753332445</v>
      </c>
      <c r="B2012" s="48">
        <v>7.53332445E8</v>
      </c>
      <c r="C2012" s="10" t="s">
        <v>2139</v>
      </c>
      <c r="D2012" s="10" t="s">
        <v>34</v>
      </c>
      <c r="E2012" s="13">
        <v>46229.0</v>
      </c>
      <c r="F2012" s="10" t="s">
        <v>113</v>
      </c>
      <c r="I2012" s="10" t="s">
        <v>22</v>
      </c>
      <c r="J2012" s="9" t="str">
        <f t="shared" si="37"/>
        <v>No</v>
      </c>
      <c r="K2012" s="9" t="str">
        <f t="shared" si="36"/>
        <v/>
      </c>
      <c r="L2012" s="9" t="str">
        <f t="shared" si="38"/>
        <v/>
      </c>
      <c r="M2012" s="9"/>
      <c r="O2012" s="9"/>
    </row>
    <row r="2013" ht="15.75" customHeight="1">
      <c r="A2013" s="9" t="str">
        <f>IFERROR(__xludf.DUMMYFUNCTION("IF(B2013="""","""",RIGHT(REGEXREPLACE(B2013&amp;"""",""[^0-9]"",""""),9))"),"705560146")</f>
        <v>705560146</v>
      </c>
      <c r="B2013" s="48">
        <v>7.05560146E8</v>
      </c>
      <c r="C2013" s="10" t="s">
        <v>2140</v>
      </c>
      <c r="D2013" s="10" t="s">
        <v>97</v>
      </c>
      <c r="E2013" s="13">
        <v>46229.0</v>
      </c>
      <c r="F2013" s="10" t="s">
        <v>21</v>
      </c>
      <c r="I2013" s="10" t="s">
        <v>22</v>
      </c>
      <c r="J2013" s="9" t="str">
        <f t="shared" si="37"/>
        <v>No</v>
      </c>
      <c r="K2013" s="9" t="str">
        <f t="shared" si="36"/>
        <v/>
      </c>
      <c r="L2013" s="9" t="str">
        <f t="shared" si="38"/>
        <v/>
      </c>
      <c r="M2013" s="9"/>
      <c r="O2013" s="9"/>
    </row>
    <row r="2014" ht="15.75" customHeight="1">
      <c r="A2014" s="9" t="str">
        <f>IFERROR(__xludf.DUMMYFUNCTION("IF(B2014="""","""",RIGHT(REGEXREPLACE(B2014&amp;"""",""[^0-9]"",""""),9))"),"770488406")</f>
        <v>770488406</v>
      </c>
      <c r="B2014" s="48">
        <v>7.70488406E8</v>
      </c>
      <c r="C2014" s="10" t="s">
        <v>2141</v>
      </c>
      <c r="D2014" s="10" t="s">
        <v>50</v>
      </c>
      <c r="E2014" s="13">
        <v>46229.0</v>
      </c>
      <c r="F2014" s="10" t="s">
        <v>35</v>
      </c>
      <c r="H2014" s="10" t="s">
        <v>238</v>
      </c>
      <c r="I2014" s="10" t="s">
        <v>22</v>
      </c>
      <c r="J2014" s="9" t="str">
        <f t="shared" si="37"/>
        <v>No</v>
      </c>
      <c r="K2014" s="9" t="str">
        <f t="shared" si="36"/>
        <v/>
      </c>
      <c r="L2014" s="9" t="str">
        <f t="shared" si="38"/>
        <v/>
      </c>
      <c r="M2014" s="9"/>
      <c r="O2014" s="9"/>
    </row>
    <row r="2015" ht="15.75" customHeight="1">
      <c r="A2015" s="9" t="str">
        <f>IFERROR(__xludf.DUMMYFUNCTION("IF(B2015="""","""",RIGHT(REGEXREPLACE(B2015&amp;"""",""[^0-9]"",""""),9))"),"744516221")</f>
        <v>744516221</v>
      </c>
      <c r="B2015" s="10">
        <v>7.44516221E8</v>
      </c>
      <c r="C2015" s="10" t="s">
        <v>2142</v>
      </c>
      <c r="D2015" s="10" t="s">
        <v>20</v>
      </c>
      <c r="E2015" s="13">
        <v>46229.0</v>
      </c>
      <c r="F2015" s="10" t="s">
        <v>35</v>
      </c>
      <c r="G2015" s="10">
        <v>8.0</v>
      </c>
      <c r="I2015" s="10" t="s">
        <v>22</v>
      </c>
      <c r="J2015" s="9" t="str">
        <f t="shared" si="37"/>
        <v>No</v>
      </c>
      <c r="K2015" s="9" t="str">
        <f t="shared" si="36"/>
        <v/>
      </c>
      <c r="L2015" s="9" t="str">
        <f t="shared" si="38"/>
        <v/>
      </c>
      <c r="M2015" s="9"/>
      <c r="O2015" s="9"/>
    </row>
    <row r="2016" ht="15.75" customHeight="1">
      <c r="A2016" s="9" t="str">
        <f>IFERROR(__xludf.DUMMYFUNCTION("IF(B2016="""","""",RIGHT(REGEXREPLACE(B2016&amp;"""",""[^0-9]"",""""),9))"),"763998750")</f>
        <v>763998750</v>
      </c>
      <c r="B2016" s="48">
        <v>7.6399875E8</v>
      </c>
      <c r="C2016" s="10" t="s">
        <v>2142</v>
      </c>
      <c r="D2016" s="10" t="s">
        <v>69</v>
      </c>
      <c r="E2016" s="13">
        <v>46229.0</v>
      </c>
      <c r="F2016" s="10" t="s">
        <v>35</v>
      </c>
      <c r="G2016" s="10">
        <v>11.0</v>
      </c>
      <c r="I2016" s="10" t="s">
        <v>22</v>
      </c>
      <c r="J2016" s="9" t="str">
        <f t="shared" si="37"/>
        <v>No</v>
      </c>
      <c r="K2016" s="9" t="str">
        <f t="shared" si="36"/>
        <v/>
      </c>
      <c r="L2016" s="9" t="str">
        <f t="shared" si="38"/>
        <v/>
      </c>
      <c r="M2016" s="9"/>
      <c r="O2016" s="9"/>
    </row>
    <row r="2017" ht="15.75" customHeight="1">
      <c r="A2017" s="9" t="str">
        <f>IFERROR(__xludf.DUMMYFUNCTION("IF(B2017="""","""",RIGHT(REGEXREPLACE(B2017&amp;"""",""[^0-9]"",""""),9))"),"718300755")</f>
        <v>718300755</v>
      </c>
      <c r="B2017" s="10">
        <v>7.18300755E8</v>
      </c>
      <c r="C2017" s="10" t="s">
        <v>2143</v>
      </c>
      <c r="D2017" s="10" t="s">
        <v>20</v>
      </c>
      <c r="E2017" s="13">
        <v>46229.0</v>
      </c>
      <c r="F2017" s="10" t="s">
        <v>21</v>
      </c>
      <c r="G2017" s="10">
        <v>11.0</v>
      </c>
      <c r="I2017" s="10" t="s">
        <v>22</v>
      </c>
      <c r="J2017" s="9" t="str">
        <f t="shared" si="37"/>
        <v>No</v>
      </c>
      <c r="K2017" s="9" t="str">
        <f t="shared" si="36"/>
        <v/>
      </c>
      <c r="L2017" s="9" t="str">
        <f t="shared" si="38"/>
        <v/>
      </c>
      <c r="M2017" s="9"/>
      <c r="O2017" s="9"/>
    </row>
    <row r="2018" ht="15.75" customHeight="1">
      <c r="A2018" s="9" t="str">
        <f>IFERROR(__xludf.DUMMYFUNCTION("IF(B2018="""","""",RIGHT(REGEXREPLACE(B2018&amp;"""",""[^0-9]"",""""),9))"),"764485925")</f>
        <v>764485925</v>
      </c>
      <c r="B2018" s="10">
        <v>7.64485925E8</v>
      </c>
      <c r="C2018" s="10" t="s">
        <v>2144</v>
      </c>
      <c r="D2018" s="10" t="s">
        <v>20</v>
      </c>
      <c r="E2018" s="13">
        <v>46229.0</v>
      </c>
      <c r="F2018" s="10" t="s">
        <v>35</v>
      </c>
      <c r="G2018" s="10">
        <v>11.0</v>
      </c>
      <c r="H2018" s="10" t="s">
        <v>1369</v>
      </c>
      <c r="I2018" s="10" t="s">
        <v>22</v>
      </c>
      <c r="J2018" s="9" t="str">
        <f t="shared" si="37"/>
        <v>No</v>
      </c>
      <c r="K2018" s="9" t="str">
        <f t="shared" si="36"/>
        <v/>
      </c>
      <c r="L2018" s="9" t="str">
        <f t="shared" si="38"/>
        <v/>
      </c>
      <c r="M2018" s="9"/>
      <c r="O2018" s="9"/>
    </row>
    <row r="2019" ht="15.75" customHeight="1">
      <c r="A2019" s="9" t="str">
        <f>IFERROR(__xludf.DUMMYFUNCTION("IF(B2019="""","""",RIGHT(REGEXREPLACE(B2019&amp;"""",""[^0-9]"",""""),9))"),"772169092")</f>
        <v>772169092</v>
      </c>
      <c r="B2019" s="48">
        <v>7.72169092E8</v>
      </c>
      <c r="C2019" s="10" t="s">
        <v>2145</v>
      </c>
      <c r="D2019" s="10" t="s">
        <v>34</v>
      </c>
      <c r="E2019" s="13">
        <v>46229.0</v>
      </c>
      <c r="F2019" s="10" t="s">
        <v>198</v>
      </c>
      <c r="G2019" s="10">
        <v>11.0</v>
      </c>
      <c r="I2019" s="10" t="s">
        <v>22</v>
      </c>
      <c r="J2019" s="9" t="str">
        <f t="shared" si="37"/>
        <v>No</v>
      </c>
      <c r="K2019" s="9" t="str">
        <f t="shared" si="36"/>
        <v/>
      </c>
      <c r="L2019" s="9" t="str">
        <f t="shared" si="38"/>
        <v/>
      </c>
      <c r="M2019" s="9"/>
      <c r="O2019" s="9"/>
    </row>
    <row r="2020" ht="15.75" customHeight="1">
      <c r="A2020" s="9" t="str">
        <f>IFERROR(__xludf.DUMMYFUNCTION("IF(B2020="""","""",RIGHT(REGEXREPLACE(B2020&amp;"""",""[^0-9]"",""""),9))"),"773516156")</f>
        <v>773516156</v>
      </c>
      <c r="B2020" s="48">
        <v>7.73516156E8</v>
      </c>
      <c r="C2020" s="10" t="s">
        <v>2146</v>
      </c>
      <c r="D2020" s="10" t="s">
        <v>50</v>
      </c>
      <c r="E2020" s="13">
        <v>46229.0</v>
      </c>
      <c r="F2020" s="10" t="s">
        <v>35</v>
      </c>
      <c r="G2020" s="10">
        <v>11.0</v>
      </c>
      <c r="I2020" s="10" t="s">
        <v>22</v>
      </c>
      <c r="J2020" s="9" t="str">
        <f t="shared" si="37"/>
        <v>No</v>
      </c>
      <c r="K2020" s="9" t="str">
        <f t="shared" si="36"/>
        <v/>
      </c>
      <c r="L2020" s="9" t="str">
        <f t="shared" si="38"/>
        <v/>
      </c>
      <c r="M2020" s="9"/>
      <c r="O2020" s="9"/>
    </row>
    <row r="2021" ht="15.75" customHeight="1">
      <c r="A2021" s="9" t="str">
        <f>IFERROR(__xludf.DUMMYFUNCTION("IF(B2021="""","""",RIGHT(REGEXREPLACE(B2021&amp;"""",""[^0-9]"",""""),9))"),"753803080")</f>
        <v>753803080</v>
      </c>
      <c r="B2021" s="10">
        <v>7.5380308E8</v>
      </c>
      <c r="C2021" s="10" t="s">
        <v>2147</v>
      </c>
      <c r="D2021" s="10" t="s">
        <v>20</v>
      </c>
      <c r="E2021" s="13">
        <v>46229.0</v>
      </c>
      <c r="F2021" s="10" t="s">
        <v>35</v>
      </c>
      <c r="G2021" s="10">
        <v>11.0</v>
      </c>
      <c r="H2021" s="10" t="s">
        <v>2148</v>
      </c>
      <c r="I2021" s="10" t="s">
        <v>22</v>
      </c>
      <c r="J2021" s="9" t="str">
        <f t="shared" si="37"/>
        <v>No</v>
      </c>
      <c r="K2021" s="9" t="str">
        <f t="shared" si="36"/>
        <v/>
      </c>
      <c r="L2021" s="9" t="str">
        <f t="shared" si="38"/>
        <v/>
      </c>
      <c r="M2021" s="9"/>
      <c r="O2021" s="9"/>
    </row>
    <row r="2022" ht="15.75" customHeight="1">
      <c r="A2022" s="9" t="str">
        <f>IFERROR(__xludf.DUMMYFUNCTION("IF(B2022="""","""",RIGHT(REGEXREPLACE(B2022&amp;"""",""[^0-9]"",""""),9))"),"718047342")</f>
        <v>718047342</v>
      </c>
      <c r="B2022" s="48">
        <v>7.18047342E8</v>
      </c>
      <c r="C2022" s="10" t="s">
        <v>2149</v>
      </c>
      <c r="D2022" s="10" t="s">
        <v>97</v>
      </c>
      <c r="E2022" s="13">
        <v>46229.0</v>
      </c>
      <c r="F2022" s="10" t="s">
        <v>35</v>
      </c>
      <c r="G2022" s="10">
        <v>11.0</v>
      </c>
      <c r="I2022" s="10" t="s">
        <v>22</v>
      </c>
      <c r="J2022" s="9" t="str">
        <f t="shared" si="37"/>
        <v>Yes - see Previous F-Code</v>
      </c>
      <c r="K2022" s="9" t="str">
        <f t="shared" si="36"/>
        <v>DUPLICATE - CHECK</v>
      </c>
      <c r="L2022" s="9" t="str">
        <f t="shared" si="38"/>
        <v>F71910</v>
      </c>
      <c r="M2022" s="9"/>
      <c r="O2022" s="9"/>
    </row>
    <row r="2023" ht="15.75" customHeight="1">
      <c r="A2023" s="9" t="str">
        <f>IFERROR(__xludf.DUMMYFUNCTION("IF(B2023="""","""",RIGHT(REGEXREPLACE(B2023&amp;"""",""[^0-9]"",""""),9))"),"771509761")</f>
        <v>771509761</v>
      </c>
      <c r="B2023" s="10">
        <v>7.71509761E8</v>
      </c>
      <c r="C2023" s="10" t="s">
        <v>1471</v>
      </c>
      <c r="D2023" s="10" t="s">
        <v>20</v>
      </c>
      <c r="E2023" s="13">
        <v>46229.0</v>
      </c>
      <c r="F2023" s="10" t="s">
        <v>35</v>
      </c>
      <c r="G2023" s="10">
        <v>11.0</v>
      </c>
      <c r="I2023" s="10" t="s">
        <v>22</v>
      </c>
      <c r="J2023" s="9" t="str">
        <f t="shared" si="37"/>
        <v>No</v>
      </c>
      <c r="K2023" s="9" t="str">
        <f t="shared" si="36"/>
        <v/>
      </c>
      <c r="L2023" s="9" t="str">
        <f t="shared" si="38"/>
        <v/>
      </c>
      <c r="M2023" s="9"/>
      <c r="O2023" s="9"/>
    </row>
    <row r="2024" ht="15.75" customHeight="1">
      <c r="A2024" s="9" t="str">
        <f>IFERROR(__xludf.DUMMYFUNCTION("IF(B2024="""","""",RIGHT(REGEXREPLACE(B2024&amp;"""",""[^0-9]"",""""),9))"),"713555443")</f>
        <v>713555443</v>
      </c>
      <c r="B2024" s="48">
        <v>7.13555443E8</v>
      </c>
      <c r="C2024" s="10" t="s">
        <v>2150</v>
      </c>
      <c r="D2024" s="10" t="s">
        <v>50</v>
      </c>
      <c r="E2024" s="13">
        <v>46229.0</v>
      </c>
      <c r="F2024" s="10" t="s">
        <v>35</v>
      </c>
      <c r="G2024" s="10">
        <v>11.0</v>
      </c>
      <c r="I2024" s="10" t="s">
        <v>22</v>
      </c>
      <c r="J2024" s="9" t="str">
        <f t="shared" si="37"/>
        <v>No</v>
      </c>
      <c r="K2024" s="9" t="str">
        <f t="shared" si="36"/>
        <v/>
      </c>
      <c r="L2024" s="9" t="str">
        <f t="shared" si="38"/>
        <v/>
      </c>
      <c r="M2024" s="9"/>
      <c r="O2024" s="9"/>
    </row>
    <row r="2025" ht="15.75" customHeight="1">
      <c r="A2025" s="9" t="str">
        <f>IFERROR(__xludf.DUMMYFUNCTION("IF(B2025="""","""",RIGHT(REGEXREPLACE(B2025&amp;"""",""[^0-9]"",""""),9))"),"779217731")</f>
        <v>779217731</v>
      </c>
      <c r="B2025" s="48">
        <v>7.79217731E8</v>
      </c>
      <c r="C2025" s="10" t="s">
        <v>2151</v>
      </c>
      <c r="D2025" s="10" t="s">
        <v>69</v>
      </c>
      <c r="E2025" s="13">
        <v>46229.0</v>
      </c>
      <c r="F2025" s="10" t="s">
        <v>35</v>
      </c>
      <c r="G2025" s="10">
        <v>11.0</v>
      </c>
      <c r="I2025" s="10" t="s">
        <v>22</v>
      </c>
      <c r="J2025" s="9" t="str">
        <f t="shared" si="37"/>
        <v>No</v>
      </c>
      <c r="K2025" s="9" t="str">
        <f t="shared" si="36"/>
        <v/>
      </c>
      <c r="L2025" s="9" t="str">
        <f t="shared" si="38"/>
        <v/>
      </c>
      <c r="M2025" s="9"/>
      <c r="O2025" s="9"/>
    </row>
    <row r="2026" ht="15.75" customHeight="1">
      <c r="A2026" s="9" t="str">
        <f>IFERROR(__xludf.DUMMYFUNCTION("IF(B2026="""","""",RIGHT(REGEXREPLACE(B2026&amp;"""",""[^0-9]"",""""),9))"),"704996245")</f>
        <v>704996245</v>
      </c>
      <c r="B2026" s="48">
        <v>7.04996245E8</v>
      </c>
      <c r="C2026" s="10" t="s">
        <v>2151</v>
      </c>
      <c r="D2026" s="10" t="s">
        <v>34</v>
      </c>
      <c r="E2026" s="13">
        <v>46229.0</v>
      </c>
      <c r="F2026" s="10" t="s">
        <v>35</v>
      </c>
      <c r="G2026" s="10">
        <v>11.0</v>
      </c>
      <c r="I2026" s="10" t="s">
        <v>22</v>
      </c>
      <c r="J2026" s="9" t="str">
        <f t="shared" si="37"/>
        <v>No</v>
      </c>
      <c r="K2026" s="9" t="str">
        <f t="shared" si="36"/>
        <v/>
      </c>
      <c r="L2026" s="9" t="str">
        <f t="shared" si="38"/>
        <v/>
      </c>
      <c r="M2026" s="9"/>
      <c r="O2026" s="9"/>
    </row>
    <row r="2027" ht="15.75" customHeight="1">
      <c r="A2027" s="9" t="str">
        <f>IFERROR(__xludf.DUMMYFUNCTION("IF(B2027="""","""",RIGHT(REGEXREPLACE(B2027&amp;"""",""[^0-9]"",""""),9))"),"760875532")</f>
        <v>760875532</v>
      </c>
      <c r="B2027" s="48">
        <v>7.60875532E8</v>
      </c>
      <c r="C2027" s="10" t="s">
        <v>2152</v>
      </c>
      <c r="D2027" s="10" t="s">
        <v>34</v>
      </c>
      <c r="E2027" s="13">
        <v>46229.0</v>
      </c>
      <c r="F2027" s="10" t="s">
        <v>35</v>
      </c>
      <c r="G2027" s="10">
        <v>11.0</v>
      </c>
      <c r="I2027" s="10" t="s">
        <v>22</v>
      </c>
      <c r="J2027" s="9" t="str">
        <f t="shared" si="37"/>
        <v>No</v>
      </c>
      <c r="K2027" s="9" t="str">
        <f t="shared" si="36"/>
        <v/>
      </c>
      <c r="L2027" s="9" t="str">
        <f t="shared" si="38"/>
        <v/>
      </c>
      <c r="M2027" s="9"/>
      <c r="O2027" s="9"/>
    </row>
    <row r="2028" ht="15.75" customHeight="1">
      <c r="A2028" s="9" t="str">
        <f>IFERROR(__xludf.DUMMYFUNCTION("IF(B2028="""","""",RIGHT(REGEXREPLACE(B2028&amp;"""",""[^0-9]"",""""),9))"),"776792448")</f>
        <v>776792448</v>
      </c>
      <c r="B2028" s="48">
        <v>7.76792448E8</v>
      </c>
      <c r="C2028" s="10" t="s">
        <v>2153</v>
      </c>
      <c r="D2028" s="10" t="s">
        <v>50</v>
      </c>
      <c r="E2028" s="13">
        <v>46229.0</v>
      </c>
      <c r="F2028" s="10" t="s">
        <v>21</v>
      </c>
      <c r="I2028" s="10" t="s">
        <v>22</v>
      </c>
      <c r="J2028" s="9" t="str">
        <f t="shared" si="37"/>
        <v>No</v>
      </c>
      <c r="K2028" s="9" t="str">
        <f t="shared" si="36"/>
        <v/>
      </c>
      <c r="L2028" s="9" t="str">
        <f t="shared" si="38"/>
        <v/>
      </c>
      <c r="M2028" s="9"/>
      <c r="O2028" s="9"/>
    </row>
    <row r="2029" ht="15.75" customHeight="1">
      <c r="A2029" s="9" t="str">
        <f>IFERROR(__xludf.DUMMYFUNCTION("IF(B2029="""","""",RIGHT(REGEXREPLACE(B2029&amp;"""",""[^0-9]"",""""),9))"),"773394757")</f>
        <v>773394757</v>
      </c>
      <c r="B2029" s="10">
        <v>7.73394757E8</v>
      </c>
      <c r="C2029" s="10" t="s">
        <v>2154</v>
      </c>
      <c r="D2029" s="10" t="s">
        <v>20</v>
      </c>
      <c r="E2029" s="13">
        <v>46229.0</v>
      </c>
      <c r="F2029" s="10" t="s">
        <v>113</v>
      </c>
      <c r="I2029" s="10" t="s">
        <v>22</v>
      </c>
      <c r="J2029" s="9" t="str">
        <f t="shared" si="37"/>
        <v>No</v>
      </c>
      <c r="K2029" s="9" t="str">
        <f t="shared" si="36"/>
        <v/>
      </c>
      <c r="L2029" s="9" t="str">
        <f t="shared" si="38"/>
        <v/>
      </c>
      <c r="M2029" s="9"/>
      <c r="O2029" s="9"/>
    </row>
    <row r="2030" ht="15.75" customHeight="1">
      <c r="A2030" s="9" t="str">
        <f>IFERROR(__xludf.DUMMYFUNCTION("IF(B2030="""","""",RIGHT(REGEXREPLACE(B2030&amp;"""",""[^0-9]"",""""),9))"),"771911974")</f>
        <v>771911974</v>
      </c>
      <c r="B2030" s="48">
        <v>7.71911974E8</v>
      </c>
      <c r="C2030" s="10" t="s">
        <v>2155</v>
      </c>
      <c r="D2030" s="10" t="s">
        <v>69</v>
      </c>
      <c r="E2030" s="13">
        <v>46229.0</v>
      </c>
      <c r="F2030" s="10" t="s">
        <v>35</v>
      </c>
      <c r="G2030" s="10">
        <v>10.0</v>
      </c>
      <c r="H2030" s="10" t="s">
        <v>1570</v>
      </c>
      <c r="I2030" s="10" t="s">
        <v>22</v>
      </c>
      <c r="J2030" s="9" t="str">
        <f t="shared" si="37"/>
        <v>No</v>
      </c>
      <c r="K2030" s="9" t="str">
        <f t="shared" si="36"/>
        <v/>
      </c>
      <c r="L2030" s="9" t="str">
        <f t="shared" si="38"/>
        <v/>
      </c>
      <c r="M2030" s="9"/>
      <c r="O2030" s="9"/>
    </row>
    <row r="2031" ht="15.75" customHeight="1">
      <c r="A2031" s="9" t="str">
        <f>IFERROR(__xludf.DUMMYFUNCTION("IF(B2031="""","""",RIGHT(REGEXREPLACE(B2031&amp;"""",""[^0-9]"",""""),9))"),"766640336")</f>
        <v>766640336</v>
      </c>
      <c r="B2031" s="48">
        <v>7.66640336E8</v>
      </c>
      <c r="C2031" s="10" t="s">
        <v>2156</v>
      </c>
      <c r="D2031" s="10" t="s">
        <v>50</v>
      </c>
      <c r="E2031" s="13">
        <v>46229.0</v>
      </c>
      <c r="F2031" s="10" t="s">
        <v>648</v>
      </c>
      <c r="I2031" s="10" t="s">
        <v>22</v>
      </c>
      <c r="J2031" s="9" t="str">
        <f t="shared" si="37"/>
        <v>No</v>
      </c>
      <c r="K2031" s="9" t="str">
        <f t="shared" si="36"/>
        <v/>
      </c>
      <c r="L2031" s="9" t="str">
        <f t="shared" si="38"/>
        <v/>
      </c>
      <c r="M2031" s="9"/>
      <c r="O2031" s="9"/>
    </row>
    <row r="2032" ht="15.75" customHeight="1">
      <c r="A2032" s="9" t="str">
        <f>IFERROR(__xludf.DUMMYFUNCTION("IF(B2032="""","""",RIGHT(REGEXREPLACE(B2032&amp;"""",""[^0-9]"",""""),9))"),"743318321")</f>
        <v>743318321</v>
      </c>
      <c r="B2032" s="10">
        <v>7.43318321E8</v>
      </c>
      <c r="C2032" s="10" t="s">
        <v>2157</v>
      </c>
      <c r="D2032" s="10" t="s">
        <v>20</v>
      </c>
      <c r="E2032" s="13">
        <v>46229.0</v>
      </c>
      <c r="F2032" s="10" t="s">
        <v>35</v>
      </c>
      <c r="G2032" s="10">
        <v>11.0</v>
      </c>
      <c r="H2032" s="10" t="s">
        <v>2158</v>
      </c>
      <c r="I2032" s="10" t="s">
        <v>22</v>
      </c>
      <c r="J2032" s="9" t="str">
        <f t="shared" si="37"/>
        <v>No</v>
      </c>
      <c r="K2032" s="9" t="str">
        <f t="shared" si="36"/>
        <v/>
      </c>
      <c r="L2032" s="9" t="str">
        <f t="shared" si="38"/>
        <v/>
      </c>
      <c r="M2032" s="9"/>
      <c r="O2032" s="9"/>
    </row>
    <row r="2033" ht="15.75" customHeight="1">
      <c r="A2033" s="9" t="str">
        <f>IFERROR(__xludf.DUMMYFUNCTION("IF(B2033="""","""",RIGHT(REGEXREPLACE(B2033&amp;"""",""[^0-9]"",""""),9))"),"740981302")</f>
        <v>740981302</v>
      </c>
      <c r="B2033" s="10">
        <v>7.40981302E8</v>
      </c>
      <c r="C2033" s="10" t="s">
        <v>2159</v>
      </c>
      <c r="D2033" s="10" t="s">
        <v>20</v>
      </c>
      <c r="E2033" s="13">
        <v>46229.0</v>
      </c>
      <c r="F2033" s="10" t="s">
        <v>198</v>
      </c>
      <c r="I2033" s="10" t="s">
        <v>22</v>
      </c>
      <c r="J2033" s="9" t="str">
        <f t="shared" si="37"/>
        <v>No</v>
      </c>
      <c r="K2033" s="9" t="str">
        <f t="shared" si="36"/>
        <v/>
      </c>
      <c r="L2033" s="9" t="str">
        <f t="shared" si="38"/>
        <v/>
      </c>
      <c r="M2033" s="9"/>
      <c r="O2033" s="9"/>
    </row>
    <row r="2034" ht="15.75" customHeight="1">
      <c r="A2034" s="9" t="str">
        <f>IFERROR(__xludf.DUMMYFUNCTION("IF(B2034="""","""",RIGHT(REGEXREPLACE(B2034&amp;"""",""[^0-9]"",""""),9))"),"712658449")</f>
        <v>712658449</v>
      </c>
      <c r="B2034" s="48">
        <v>7.12658449E8</v>
      </c>
      <c r="C2034" s="10" t="s">
        <v>2159</v>
      </c>
      <c r="D2034" s="10" t="s">
        <v>34</v>
      </c>
      <c r="E2034" s="13">
        <v>46229.0</v>
      </c>
      <c r="F2034" s="10" t="s">
        <v>35</v>
      </c>
      <c r="G2034" s="10">
        <v>11.0</v>
      </c>
      <c r="I2034" s="10" t="s">
        <v>22</v>
      </c>
      <c r="J2034" s="9" t="str">
        <f t="shared" si="37"/>
        <v>No</v>
      </c>
      <c r="K2034" s="9" t="str">
        <f t="shared" si="36"/>
        <v/>
      </c>
      <c r="L2034" s="9" t="str">
        <f t="shared" si="38"/>
        <v/>
      </c>
      <c r="M2034" s="9"/>
      <c r="O2034" s="9"/>
    </row>
    <row r="2035" ht="15.75" customHeight="1">
      <c r="A2035" s="9" t="str">
        <f>IFERROR(__xludf.DUMMYFUNCTION("IF(B2035="""","""",RIGHT(REGEXREPLACE(B2035&amp;"""",""[^0-9]"",""""),9))"),"761188265")</f>
        <v>761188265</v>
      </c>
      <c r="B2035" s="10">
        <v>7.61188265E8</v>
      </c>
      <c r="C2035" s="10" t="s">
        <v>2160</v>
      </c>
      <c r="D2035" s="10" t="s">
        <v>20</v>
      </c>
      <c r="E2035" s="13">
        <v>46229.0</v>
      </c>
      <c r="F2035" s="10" t="s">
        <v>35</v>
      </c>
      <c r="G2035" s="10">
        <v>11.0</v>
      </c>
      <c r="I2035" s="10" t="s">
        <v>22</v>
      </c>
      <c r="J2035" s="9" t="str">
        <f t="shared" si="37"/>
        <v>No</v>
      </c>
      <c r="K2035" s="9" t="str">
        <f t="shared" si="36"/>
        <v/>
      </c>
      <c r="L2035" s="9" t="str">
        <f t="shared" si="38"/>
        <v/>
      </c>
      <c r="M2035" s="9"/>
      <c r="O2035" s="9"/>
    </row>
    <row r="2036" ht="15.75" customHeight="1">
      <c r="A2036" s="9" t="str">
        <f>IFERROR(__xludf.DUMMYFUNCTION("IF(B2036="""","""",RIGHT(REGEXREPLACE(B2036&amp;"""",""[^0-9]"",""""),9))"),"712173890")</f>
        <v>712173890</v>
      </c>
      <c r="B2036" s="10">
        <v>7.1217389E8</v>
      </c>
      <c r="C2036" s="10" t="s">
        <v>2161</v>
      </c>
      <c r="D2036" s="10" t="s">
        <v>20</v>
      </c>
      <c r="E2036" s="13">
        <v>46229.0</v>
      </c>
      <c r="F2036" s="10" t="s">
        <v>21</v>
      </c>
      <c r="I2036" s="10" t="s">
        <v>22</v>
      </c>
      <c r="J2036" s="9" t="str">
        <f t="shared" si="37"/>
        <v>No</v>
      </c>
      <c r="K2036" s="9" t="str">
        <f t="shared" si="36"/>
        <v/>
      </c>
      <c r="L2036" s="9" t="str">
        <f t="shared" si="38"/>
        <v/>
      </c>
      <c r="M2036" s="9"/>
      <c r="O2036" s="9"/>
    </row>
    <row r="2037" ht="15.75" customHeight="1">
      <c r="A2037" s="9" t="str">
        <f>IFERROR(__xludf.DUMMYFUNCTION("IF(B2037="""","""",RIGHT(REGEXREPLACE(B2037&amp;"""",""[^0-9]"",""""),9))"),"779265930")</f>
        <v>779265930</v>
      </c>
      <c r="B2037" s="48">
        <v>7.7926593E8</v>
      </c>
      <c r="C2037" s="10" t="s">
        <v>2162</v>
      </c>
      <c r="D2037" s="10" t="s">
        <v>50</v>
      </c>
      <c r="E2037" s="13">
        <v>46229.0</v>
      </c>
      <c r="F2037" s="10" t="s">
        <v>35</v>
      </c>
      <c r="G2037" s="10">
        <v>11.0</v>
      </c>
      <c r="I2037" s="10" t="s">
        <v>22</v>
      </c>
      <c r="J2037" s="9" t="str">
        <f t="shared" si="37"/>
        <v>No</v>
      </c>
      <c r="K2037" s="9" t="str">
        <f t="shared" si="36"/>
        <v/>
      </c>
      <c r="L2037" s="9" t="str">
        <f t="shared" si="38"/>
        <v/>
      </c>
      <c r="M2037" s="9"/>
      <c r="O2037" s="9"/>
    </row>
    <row r="2038" ht="15.75" customHeight="1">
      <c r="A2038" s="9" t="str">
        <f>IFERROR(__xludf.DUMMYFUNCTION("IF(B2038="""","""",RIGHT(REGEXREPLACE(B2038&amp;"""",""[^0-9]"",""""),9))"),"764323810")</f>
        <v>764323810</v>
      </c>
      <c r="B2038" s="10">
        <v>7.6432381E8</v>
      </c>
      <c r="C2038" s="10" t="s">
        <v>2163</v>
      </c>
      <c r="D2038" s="10" t="s">
        <v>20</v>
      </c>
      <c r="E2038" s="13">
        <v>46229.0</v>
      </c>
      <c r="F2038" s="10" t="s">
        <v>648</v>
      </c>
      <c r="I2038" s="10" t="s">
        <v>22</v>
      </c>
      <c r="J2038" s="9" t="str">
        <f t="shared" si="37"/>
        <v>No</v>
      </c>
      <c r="K2038" s="9" t="str">
        <f t="shared" si="36"/>
        <v/>
      </c>
      <c r="L2038" s="9" t="str">
        <f t="shared" si="38"/>
        <v/>
      </c>
      <c r="M2038" s="9"/>
      <c r="O2038" s="9"/>
    </row>
    <row r="2039" ht="15.75" customHeight="1">
      <c r="A2039" s="9" t="str">
        <f>IFERROR(__xludf.DUMMYFUNCTION("IF(B2039="""","""",RIGHT(REGEXREPLACE(B2039&amp;"""",""[^0-9]"",""""),9))"),"775465201")</f>
        <v>775465201</v>
      </c>
      <c r="B2039" s="10">
        <v>7.75465201E8</v>
      </c>
      <c r="C2039" s="10" t="s">
        <v>2164</v>
      </c>
      <c r="D2039" s="10" t="s">
        <v>20</v>
      </c>
      <c r="E2039" s="13">
        <v>46229.0</v>
      </c>
      <c r="F2039" s="10" t="s">
        <v>21</v>
      </c>
      <c r="I2039" s="10" t="s">
        <v>22</v>
      </c>
      <c r="J2039" s="9" t="str">
        <f t="shared" si="37"/>
        <v>No</v>
      </c>
      <c r="K2039" s="9" t="str">
        <f t="shared" si="36"/>
        <v/>
      </c>
      <c r="L2039" s="9" t="str">
        <f t="shared" si="38"/>
        <v/>
      </c>
      <c r="M2039" s="9"/>
      <c r="O2039" s="9"/>
    </row>
    <row r="2040" ht="15.75" customHeight="1">
      <c r="A2040" s="9" t="str">
        <f>IFERROR(__xludf.DUMMYFUNCTION("IF(B2040="""","""",RIGHT(REGEXREPLACE(B2040&amp;"""",""[^0-9]"",""""),9))"),"711570108")</f>
        <v>711570108</v>
      </c>
      <c r="B2040" s="48">
        <v>7.11570108E8</v>
      </c>
      <c r="C2040" s="10" t="s">
        <v>2165</v>
      </c>
      <c r="D2040" s="10" t="s">
        <v>97</v>
      </c>
      <c r="E2040" s="13">
        <v>46229.0</v>
      </c>
      <c r="F2040" s="10" t="s">
        <v>21</v>
      </c>
      <c r="I2040" s="10" t="s">
        <v>22</v>
      </c>
      <c r="J2040" s="9" t="str">
        <f t="shared" si="37"/>
        <v>No</v>
      </c>
      <c r="K2040" s="9" t="str">
        <f t="shared" si="36"/>
        <v/>
      </c>
      <c r="L2040" s="9" t="str">
        <f t="shared" si="38"/>
        <v/>
      </c>
      <c r="M2040" s="9"/>
      <c r="O2040" s="9"/>
    </row>
    <row r="2041" ht="15.75" customHeight="1">
      <c r="A2041" s="9" t="str">
        <f>IFERROR(__xludf.DUMMYFUNCTION("IF(B2041="""","""",RIGHT(REGEXREPLACE(B2041&amp;"""",""[^0-9]"",""""),9))"),"729173559")</f>
        <v>729173559</v>
      </c>
      <c r="B2041" s="48">
        <v>7.29173559E8</v>
      </c>
      <c r="C2041" s="10" t="s">
        <v>2166</v>
      </c>
      <c r="D2041" s="10" t="s">
        <v>69</v>
      </c>
      <c r="E2041" s="13">
        <v>46229.0</v>
      </c>
      <c r="F2041" s="10" t="s">
        <v>35</v>
      </c>
      <c r="G2041" s="10">
        <v>11.0</v>
      </c>
      <c r="I2041" s="10" t="s">
        <v>22</v>
      </c>
      <c r="J2041" s="9" t="str">
        <f t="shared" si="37"/>
        <v>No</v>
      </c>
      <c r="K2041" s="9" t="str">
        <f t="shared" si="36"/>
        <v/>
      </c>
      <c r="L2041" s="9" t="str">
        <f t="shared" si="38"/>
        <v/>
      </c>
      <c r="M2041" s="9"/>
      <c r="O2041" s="9"/>
    </row>
    <row r="2042" ht="15.75" customHeight="1">
      <c r="A2042" s="9" t="str">
        <f>IFERROR(__xludf.DUMMYFUNCTION("IF(B2042="""","""",RIGHT(REGEXREPLACE(B2042&amp;"""",""[^0-9]"",""""),9))"),"713018637")</f>
        <v>713018637</v>
      </c>
      <c r="B2042" s="48">
        <v>7.13018637E8</v>
      </c>
      <c r="C2042" s="10" t="s">
        <v>2167</v>
      </c>
      <c r="D2042" s="10" t="s">
        <v>34</v>
      </c>
      <c r="E2042" s="13">
        <v>46229.0</v>
      </c>
      <c r="F2042" s="10" t="s">
        <v>35</v>
      </c>
      <c r="G2042" s="10">
        <v>11.0</v>
      </c>
      <c r="I2042" s="10" t="s">
        <v>22</v>
      </c>
      <c r="J2042" s="9" t="str">
        <f t="shared" si="37"/>
        <v>No</v>
      </c>
      <c r="K2042" s="9" t="str">
        <f t="shared" si="36"/>
        <v/>
      </c>
      <c r="L2042" s="9" t="str">
        <f t="shared" si="38"/>
        <v/>
      </c>
      <c r="M2042" s="9"/>
      <c r="O2042" s="9"/>
    </row>
    <row r="2043" ht="15.75" customHeight="1">
      <c r="A2043" s="9" t="str">
        <f>IFERROR(__xludf.DUMMYFUNCTION("IF(B2043="""","""",RIGHT(REGEXREPLACE(B2043&amp;"""",""[^0-9]"",""""),9))"),"771299497")</f>
        <v>771299497</v>
      </c>
      <c r="B2043" s="48">
        <v>7.71299497E8</v>
      </c>
      <c r="C2043" s="10" t="s">
        <v>2168</v>
      </c>
      <c r="D2043" s="10" t="s">
        <v>50</v>
      </c>
      <c r="E2043" s="13">
        <v>46229.0</v>
      </c>
      <c r="F2043" s="10" t="s">
        <v>35</v>
      </c>
      <c r="G2043" s="10">
        <v>11.0</v>
      </c>
      <c r="I2043" s="10" t="s">
        <v>22</v>
      </c>
      <c r="J2043" s="9" t="str">
        <f t="shared" si="37"/>
        <v>No</v>
      </c>
      <c r="K2043" s="9" t="str">
        <f t="shared" si="36"/>
        <v/>
      </c>
      <c r="L2043" s="9" t="str">
        <f t="shared" si="38"/>
        <v/>
      </c>
      <c r="M2043" s="9"/>
      <c r="O2043" s="9"/>
    </row>
    <row r="2044" ht="15.75" customHeight="1">
      <c r="A2044" s="9" t="str">
        <f>IFERROR(__xludf.DUMMYFUNCTION("IF(B2044="""","""",RIGHT(REGEXREPLACE(B2044&amp;"""",""[^0-9]"",""""),9))"),"776378452")</f>
        <v>776378452</v>
      </c>
      <c r="B2044" s="10">
        <v>7.76378452E8</v>
      </c>
      <c r="C2044" s="10" t="s">
        <v>2169</v>
      </c>
      <c r="D2044" s="10" t="s">
        <v>20</v>
      </c>
      <c r="E2044" s="13">
        <v>46229.0</v>
      </c>
      <c r="F2044" s="10" t="s">
        <v>35</v>
      </c>
      <c r="G2044" s="10">
        <v>7.0</v>
      </c>
      <c r="H2044" s="10" t="s">
        <v>2170</v>
      </c>
      <c r="I2044" s="10" t="s">
        <v>22</v>
      </c>
      <c r="J2044" s="9" t="str">
        <f t="shared" si="37"/>
        <v>No</v>
      </c>
      <c r="K2044" s="9" t="str">
        <f t="shared" si="36"/>
        <v/>
      </c>
      <c r="L2044" s="9" t="str">
        <f t="shared" si="38"/>
        <v/>
      </c>
      <c r="M2044" s="9"/>
      <c r="O2044" s="9"/>
    </row>
    <row r="2045" ht="15.75" customHeight="1">
      <c r="A2045" s="9" t="str">
        <f>IFERROR(__xludf.DUMMYFUNCTION("IF(B2045="""","""",RIGHT(REGEXREPLACE(B2045&amp;"""",""[^0-9]"",""""),9))"),"714014666")</f>
        <v>714014666</v>
      </c>
      <c r="B2045" s="48">
        <v>7.14014666E8</v>
      </c>
      <c r="C2045" s="10" t="s">
        <v>2171</v>
      </c>
      <c r="D2045" s="10" t="s">
        <v>97</v>
      </c>
      <c r="E2045" s="13">
        <v>46229.0</v>
      </c>
      <c r="F2045" s="10" t="s">
        <v>35</v>
      </c>
      <c r="G2045" s="10">
        <v>10.0</v>
      </c>
      <c r="I2045" s="10" t="s">
        <v>22</v>
      </c>
      <c r="J2045" s="9" t="str">
        <f t="shared" si="37"/>
        <v>No</v>
      </c>
      <c r="K2045" s="9" t="str">
        <f t="shared" si="36"/>
        <v/>
      </c>
      <c r="L2045" s="9" t="str">
        <f t="shared" si="38"/>
        <v/>
      </c>
      <c r="M2045" s="9"/>
      <c r="O2045" s="9"/>
    </row>
    <row r="2046" ht="15.75" customHeight="1">
      <c r="A2046" s="9" t="str">
        <f>IFERROR(__xludf.DUMMYFUNCTION("IF(B2046="""","""",RIGHT(REGEXREPLACE(B2046&amp;"""",""[^0-9]"",""""),9))"),"705814864")</f>
        <v>705814864</v>
      </c>
      <c r="B2046" s="48">
        <v>7.05814864E8</v>
      </c>
      <c r="C2046" s="10" t="s">
        <v>2172</v>
      </c>
      <c r="D2046" s="10" t="s">
        <v>50</v>
      </c>
      <c r="E2046" s="13">
        <v>46229.0</v>
      </c>
      <c r="F2046" s="10" t="s">
        <v>21</v>
      </c>
      <c r="I2046" s="10" t="s">
        <v>22</v>
      </c>
      <c r="J2046" s="9" t="str">
        <f t="shared" si="37"/>
        <v>No</v>
      </c>
      <c r="K2046" s="9" t="str">
        <f t="shared" si="36"/>
        <v/>
      </c>
      <c r="L2046" s="9" t="str">
        <f t="shared" si="38"/>
        <v/>
      </c>
      <c r="M2046" s="9"/>
      <c r="O2046" s="9"/>
    </row>
    <row r="2047" ht="15.75" customHeight="1">
      <c r="A2047" s="9" t="str">
        <f>IFERROR(__xludf.DUMMYFUNCTION("IF(B2047="""","""",RIGHT(REGEXREPLACE(B2047&amp;"""",""[^0-9]"",""""),9))"),"761020327")</f>
        <v>761020327</v>
      </c>
      <c r="B2047" s="48">
        <v>7.61020327E8</v>
      </c>
      <c r="C2047" s="10" t="s">
        <v>2172</v>
      </c>
      <c r="D2047" s="10" t="s">
        <v>34</v>
      </c>
      <c r="E2047" s="13">
        <v>46229.0</v>
      </c>
      <c r="F2047" s="10" t="s">
        <v>35</v>
      </c>
      <c r="G2047" s="10">
        <v>11.0</v>
      </c>
      <c r="I2047" s="10" t="s">
        <v>22</v>
      </c>
      <c r="J2047" s="9" t="str">
        <f t="shared" si="37"/>
        <v>No</v>
      </c>
      <c r="K2047" s="9" t="str">
        <f t="shared" si="36"/>
        <v/>
      </c>
      <c r="L2047" s="9" t="str">
        <f t="shared" si="38"/>
        <v/>
      </c>
      <c r="M2047" s="9"/>
      <c r="O2047" s="9"/>
    </row>
    <row r="2048" ht="15.75" customHeight="1">
      <c r="A2048" s="9" t="str">
        <f>IFERROR(__xludf.DUMMYFUNCTION("IF(B2048="""","""",RIGHT(REGEXREPLACE(B2048&amp;"""",""[^0-9]"",""""),9))"),"703727377")</f>
        <v>703727377</v>
      </c>
      <c r="B2048" s="48">
        <v>7.03727377E8</v>
      </c>
      <c r="C2048" s="10" t="s">
        <v>2173</v>
      </c>
      <c r="D2048" s="10" t="s">
        <v>69</v>
      </c>
      <c r="E2048" s="13">
        <v>46229.0</v>
      </c>
      <c r="F2048" s="10" t="s">
        <v>198</v>
      </c>
      <c r="I2048" s="10" t="s">
        <v>22</v>
      </c>
      <c r="J2048" s="9" t="str">
        <f t="shared" si="37"/>
        <v>No</v>
      </c>
      <c r="K2048" s="9" t="str">
        <f t="shared" si="36"/>
        <v/>
      </c>
      <c r="L2048" s="9" t="str">
        <f t="shared" si="38"/>
        <v/>
      </c>
      <c r="M2048" s="9"/>
      <c r="O2048" s="9"/>
    </row>
    <row r="2049" ht="15.75" customHeight="1">
      <c r="A2049" s="9" t="str">
        <f>IFERROR(__xludf.DUMMYFUNCTION("IF(B2049="""","""",RIGHT(REGEXREPLACE(B2049&amp;"""",""[^0-9]"",""""),9))"),"762412690")</f>
        <v>762412690</v>
      </c>
      <c r="B2049" s="48">
        <v>7.6241269E8</v>
      </c>
      <c r="C2049" s="10" t="s">
        <v>2174</v>
      </c>
      <c r="D2049" s="10" t="s">
        <v>50</v>
      </c>
      <c r="E2049" s="13">
        <v>46229.0</v>
      </c>
      <c r="F2049" s="10" t="s">
        <v>198</v>
      </c>
      <c r="I2049" s="10" t="s">
        <v>22</v>
      </c>
      <c r="J2049" s="9" t="str">
        <f t="shared" si="37"/>
        <v>No</v>
      </c>
      <c r="K2049" s="9" t="str">
        <f t="shared" si="36"/>
        <v/>
      </c>
      <c r="L2049" s="9" t="str">
        <f t="shared" si="38"/>
        <v/>
      </c>
      <c r="M2049" s="9"/>
      <c r="O2049" s="9"/>
    </row>
    <row r="2050" ht="15.75" customHeight="1">
      <c r="A2050" s="9" t="str">
        <f>IFERROR(__xludf.DUMMYFUNCTION("IF(B2050="""","""",RIGHT(REGEXREPLACE(B2050&amp;"""",""[^0-9]"",""""),9))"),"763782629")</f>
        <v>763782629</v>
      </c>
      <c r="B2050" s="48">
        <v>7.63782629E8</v>
      </c>
      <c r="C2050" s="10" t="s">
        <v>2175</v>
      </c>
      <c r="D2050" s="10" t="s">
        <v>97</v>
      </c>
      <c r="E2050" s="13">
        <v>46229.0</v>
      </c>
      <c r="F2050" s="10" t="s">
        <v>35</v>
      </c>
      <c r="G2050" s="10">
        <v>11.0</v>
      </c>
      <c r="I2050" s="10" t="s">
        <v>22</v>
      </c>
      <c r="J2050" s="9" t="str">
        <f t="shared" si="37"/>
        <v>No</v>
      </c>
      <c r="K2050" s="9" t="str">
        <f t="shared" si="36"/>
        <v/>
      </c>
      <c r="L2050" s="9" t="str">
        <f t="shared" si="38"/>
        <v/>
      </c>
      <c r="M2050" s="9"/>
      <c r="O2050" s="9"/>
    </row>
    <row r="2051" ht="15.75" customHeight="1">
      <c r="A2051" s="9" t="str">
        <f>IFERROR(__xludf.DUMMYFUNCTION("IF(B2051="""","""",RIGHT(REGEXREPLACE(B2051&amp;"""",""[^0-9]"",""""),9))"),"774506485")</f>
        <v>774506485</v>
      </c>
      <c r="B2051" s="10">
        <v>7.74506485E8</v>
      </c>
      <c r="C2051" s="10" t="s">
        <v>2176</v>
      </c>
      <c r="D2051" s="10" t="s">
        <v>20</v>
      </c>
      <c r="E2051" s="13">
        <v>46229.0</v>
      </c>
      <c r="F2051" s="10" t="s">
        <v>35</v>
      </c>
      <c r="G2051" s="10">
        <v>11.0</v>
      </c>
      <c r="I2051" s="10" t="s">
        <v>22</v>
      </c>
      <c r="J2051" s="9" t="str">
        <f t="shared" si="37"/>
        <v>No</v>
      </c>
      <c r="K2051" s="9" t="str">
        <f t="shared" si="36"/>
        <v/>
      </c>
      <c r="L2051" s="9" t="str">
        <f t="shared" si="38"/>
        <v/>
      </c>
      <c r="M2051" s="9"/>
      <c r="O2051" s="9"/>
    </row>
    <row r="2052" ht="15.75" customHeight="1">
      <c r="A2052" s="9" t="str">
        <f>IFERROR(__xludf.DUMMYFUNCTION("IF(B2052="""","""",RIGHT(REGEXREPLACE(B2052&amp;"""",""[^0-9]"",""""),9))"),"777114290")</f>
        <v>777114290</v>
      </c>
      <c r="B2052" s="48">
        <v>7.7711429E8</v>
      </c>
      <c r="C2052" s="10" t="s">
        <v>2177</v>
      </c>
      <c r="D2052" s="10" t="s">
        <v>50</v>
      </c>
      <c r="E2052" s="13">
        <v>46229.0</v>
      </c>
      <c r="F2052" s="10" t="s">
        <v>21</v>
      </c>
      <c r="I2052" s="10" t="s">
        <v>22</v>
      </c>
      <c r="J2052" s="9" t="str">
        <f t="shared" si="37"/>
        <v>No</v>
      </c>
      <c r="K2052" s="9" t="str">
        <f t="shared" si="36"/>
        <v/>
      </c>
      <c r="L2052" s="9" t="str">
        <f t="shared" si="38"/>
        <v/>
      </c>
      <c r="M2052" s="9"/>
      <c r="O2052" s="9"/>
    </row>
    <row r="2053" ht="15.75" customHeight="1">
      <c r="A2053" s="9" t="str">
        <f>IFERROR(__xludf.DUMMYFUNCTION("IF(B2053="""","""",RIGHT(REGEXREPLACE(B2053&amp;"""",""[^0-9]"",""""),9))"),"702554079")</f>
        <v>702554079</v>
      </c>
      <c r="B2053" s="48">
        <v>7.02554079E8</v>
      </c>
      <c r="C2053" s="10" t="s">
        <v>2178</v>
      </c>
      <c r="D2053" s="10" t="s">
        <v>34</v>
      </c>
      <c r="E2053" s="13">
        <v>46229.0</v>
      </c>
      <c r="F2053" s="10" t="s">
        <v>198</v>
      </c>
      <c r="I2053" s="10" t="s">
        <v>22</v>
      </c>
      <c r="J2053" s="9" t="str">
        <f t="shared" si="37"/>
        <v>No</v>
      </c>
      <c r="K2053" s="9" t="str">
        <f t="shared" si="36"/>
        <v/>
      </c>
      <c r="L2053" s="9" t="str">
        <f t="shared" si="38"/>
        <v/>
      </c>
      <c r="M2053" s="9"/>
      <c r="O2053" s="9"/>
    </row>
    <row r="2054" ht="15.75" customHeight="1">
      <c r="A2054" s="9" t="str">
        <f>IFERROR(__xludf.DUMMYFUNCTION("IF(B2054="""","""",RIGHT(REGEXREPLACE(B2054&amp;"""",""[^0-9]"",""""),9))"),"760722602")</f>
        <v>760722602</v>
      </c>
      <c r="B2054" s="48">
        <v>7.60722602E8</v>
      </c>
      <c r="C2054" s="10" t="s">
        <v>2179</v>
      </c>
      <c r="D2054" s="10" t="s">
        <v>69</v>
      </c>
      <c r="E2054" s="13">
        <v>46229.0</v>
      </c>
      <c r="F2054" s="10" t="s">
        <v>35</v>
      </c>
      <c r="G2054" s="10">
        <v>11.0</v>
      </c>
      <c r="I2054" s="10" t="s">
        <v>22</v>
      </c>
      <c r="J2054" s="9" t="str">
        <f t="shared" si="37"/>
        <v>No</v>
      </c>
      <c r="K2054" s="9" t="str">
        <f t="shared" si="36"/>
        <v/>
      </c>
      <c r="L2054" s="9" t="str">
        <f t="shared" si="38"/>
        <v/>
      </c>
      <c r="M2054" s="9"/>
      <c r="O2054" s="9"/>
    </row>
    <row r="2055" ht="15.75" customHeight="1">
      <c r="A2055" s="9" t="str">
        <f>IFERROR(__xludf.DUMMYFUNCTION("IF(B2055="""","""",RIGHT(REGEXREPLACE(B2055&amp;"""",""[^0-9]"",""""),9))"),"767828229")</f>
        <v>767828229</v>
      </c>
      <c r="B2055" s="48">
        <v>7.67828229E8</v>
      </c>
      <c r="C2055" s="10" t="s">
        <v>2180</v>
      </c>
      <c r="D2055" s="10" t="s">
        <v>50</v>
      </c>
      <c r="E2055" s="13">
        <v>46229.0</v>
      </c>
      <c r="F2055" s="10" t="s">
        <v>35</v>
      </c>
      <c r="G2055" s="10">
        <v>11.0</v>
      </c>
      <c r="I2055" s="10" t="s">
        <v>22</v>
      </c>
      <c r="J2055" s="9" t="str">
        <f t="shared" si="37"/>
        <v>No</v>
      </c>
      <c r="K2055" s="9" t="str">
        <f t="shared" si="36"/>
        <v/>
      </c>
      <c r="L2055" s="9" t="str">
        <f t="shared" si="38"/>
        <v/>
      </c>
      <c r="M2055" s="9"/>
      <c r="O2055" s="9"/>
    </row>
    <row r="2056" ht="15.75" customHeight="1">
      <c r="A2056" s="9" t="str">
        <f>IFERROR(__xludf.DUMMYFUNCTION("IF(B2056="""","""",RIGHT(REGEXREPLACE(B2056&amp;"""",""[^0-9]"",""""),9))"),"715540471")</f>
        <v>715540471</v>
      </c>
      <c r="B2056" s="48">
        <v>7.15540471E8</v>
      </c>
      <c r="C2056" s="10" t="s">
        <v>2181</v>
      </c>
      <c r="D2056" s="10" t="s">
        <v>34</v>
      </c>
      <c r="E2056" s="13">
        <v>46229.0</v>
      </c>
      <c r="F2056" s="10" t="s">
        <v>604</v>
      </c>
      <c r="I2056" s="10" t="s">
        <v>22</v>
      </c>
      <c r="J2056" s="9" t="str">
        <f t="shared" si="37"/>
        <v>No</v>
      </c>
      <c r="K2056" s="9" t="str">
        <f t="shared" si="36"/>
        <v/>
      </c>
      <c r="L2056" s="9" t="str">
        <f t="shared" si="38"/>
        <v/>
      </c>
      <c r="M2056" s="9"/>
      <c r="O2056" s="9"/>
    </row>
    <row r="2057" ht="15.75" customHeight="1">
      <c r="A2057" s="9" t="str">
        <f>IFERROR(__xludf.DUMMYFUNCTION("IF(B2057="""","""",RIGHT(REGEXREPLACE(B2057&amp;"""",""[^0-9]"",""""),9))"),"785226652")</f>
        <v>785226652</v>
      </c>
      <c r="B2057" s="48">
        <v>7.85226652E8</v>
      </c>
      <c r="C2057" s="10" t="s">
        <v>2182</v>
      </c>
      <c r="D2057" s="10" t="s">
        <v>34</v>
      </c>
      <c r="E2057" s="13">
        <v>46229.0</v>
      </c>
      <c r="F2057" s="10" t="s">
        <v>35</v>
      </c>
      <c r="G2057" s="10">
        <v>11.0</v>
      </c>
      <c r="I2057" s="10" t="s">
        <v>22</v>
      </c>
      <c r="J2057" s="9" t="str">
        <f t="shared" si="37"/>
        <v>No</v>
      </c>
      <c r="K2057" s="9" t="str">
        <f t="shared" si="36"/>
        <v/>
      </c>
      <c r="L2057" s="9" t="str">
        <f t="shared" si="38"/>
        <v/>
      </c>
      <c r="M2057" s="9"/>
      <c r="O2057" s="9"/>
    </row>
    <row r="2058" ht="15.75" customHeight="1">
      <c r="A2058" s="9" t="str">
        <f>IFERROR(__xludf.DUMMYFUNCTION("IF(B2058="""","""",RIGHT(REGEXREPLACE(B2058&amp;"""",""[^0-9]"",""""),9))"),"763977069")</f>
        <v>763977069</v>
      </c>
      <c r="B2058" s="48">
        <v>7.63977069E8</v>
      </c>
      <c r="C2058" s="10" t="s">
        <v>2183</v>
      </c>
      <c r="D2058" s="10" t="s">
        <v>97</v>
      </c>
      <c r="E2058" s="13">
        <v>46229.0</v>
      </c>
      <c r="F2058" s="10" t="s">
        <v>35</v>
      </c>
      <c r="G2058" s="10">
        <v>11.0</v>
      </c>
      <c r="I2058" s="10" t="s">
        <v>22</v>
      </c>
      <c r="J2058" s="9" t="str">
        <f t="shared" si="37"/>
        <v>No</v>
      </c>
      <c r="K2058" s="9" t="str">
        <f t="shared" si="36"/>
        <v/>
      </c>
      <c r="L2058" s="9" t="str">
        <f t="shared" si="38"/>
        <v/>
      </c>
      <c r="M2058" s="9"/>
      <c r="O2058" s="9"/>
    </row>
    <row r="2059" ht="15.75" customHeight="1">
      <c r="A2059" s="9" t="str">
        <f>IFERROR(__xludf.DUMMYFUNCTION("IF(B2059="""","""",RIGHT(REGEXREPLACE(B2059&amp;"""",""[^0-9]"",""""),9))"),"704555787")</f>
        <v>704555787</v>
      </c>
      <c r="B2059" s="10">
        <v>7.04555787E8</v>
      </c>
      <c r="C2059" s="10" t="s">
        <v>2184</v>
      </c>
      <c r="D2059" s="10" t="s">
        <v>20</v>
      </c>
      <c r="E2059" s="13">
        <v>46229.0</v>
      </c>
      <c r="F2059" s="10" t="s">
        <v>198</v>
      </c>
      <c r="I2059" s="10" t="s">
        <v>22</v>
      </c>
      <c r="J2059" s="9" t="str">
        <f t="shared" si="37"/>
        <v>No</v>
      </c>
      <c r="K2059" s="9" t="str">
        <f t="shared" si="36"/>
        <v/>
      </c>
      <c r="L2059" s="9" t="str">
        <f t="shared" si="38"/>
        <v/>
      </c>
      <c r="M2059" s="9"/>
      <c r="O2059" s="9"/>
    </row>
    <row r="2060" ht="15.75" customHeight="1">
      <c r="A2060" s="9" t="str">
        <f>IFERROR(__xludf.DUMMYFUNCTION("IF(B2060="""","""",RIGHT(REGEXREPLACE(B2060&amp;"""",""[^0-9]"",""""),9))"),"727930804")</f>
        <v>727930804</v>
      </c>
      <c r="B2060" s="48">
        <v>7.27930804E8</v>
      </c>
      <c r="C2060" s="10" t="s">
        <v>2185</v>
      </c>
      <c r="D2060" s="10" t="s">
        <v>50</v>
      </c>
      <c r="E2060" s="13">
        <v>46229.0</v>
      </c>
      <c r="F2060" s="10" t="s">
        <v>35</v>
      </c>
      <c r="G2060" s="10">
        <v>11.0</v>
      </c>
      <c r="I2060" s="10" t="s">
        <v>22</v>
      </c>
      <c r="J2060" s="9" t="str">
        <f t="shared" si="37"/>
        <v>No</v>
      </c>
      <c r="K2060" s="9" t="str">
        <f t="shared" si="36"/>
        <v/>
      </c>
      <c r="L2060" s="9" t="str">
        <f t="shared" si="38"/>
        <v/>
      </c>
      <c r="M2060" s="9"/>
      <c r="O2060" s="9"/>
    </row>
    <row r="2061" ht="15.75" customHeight="1">
      <c r="A2061" s="9" t="str">
        <f>IFERROR(__xludf.DUMMYFUNCTION("IF(B2061="""","""",RIGHT(REGEXREPLACE(B2061&amp;"""",""[^0-9]"",""""),9))"),"703290990")</f>
        <v>703290990</v>
      </c>
      <c r="B2061" s="10">
        <v>7.0329099E8</v>
      </c>
      <c r="C2061" s="10" t="s">
        <v>2186</v>
      </c>
      <c r="D2061" s="10" t="s">
        <v>20</v>
      </c>
      <c r="E2061" s="13">
        <v>46229.0</v>
      </c>
      <c r="F2061" s="10" t="s">
        <v>171</v>
      </c>
      <c r="I2061" s="10" t="s">
        <v>22</v>
      </c>
      <c r="J2061" s="9" t="str">
        <f t="shared" si="37"/>
        <v>No</v>
      </c>
      <c r="K2061" s="9" t="str">
        <f t="shared" si="36"/>
        <v/>
      </c>
      <c r="L2061" s="9" t="str">
        <f t="shared" si="38"/>
        <v/>
      </c>
      <c r="M2061" s="9"/>
      <c r="O2061" s="9"/>
    </row>
    <row r="2062" ht="15.75" customHeight="1">
      <c r="A2062" s="9" t="str">
        <f>IFERROR(__xludf.DUMMYFUNCTION("IF(B2062="""","""",RIGHT(REGEXREPLACE(B2062&amp;"""",""[^0-9]"",""""),9))"),"769033060")</f>
        <v>769033060</v>
      </c>
      <c r="B2062" s="10">
        <v>7.6903306E8</v>
      </c>
      <c r="C2062" s="10" t="s">
        <v>2187</v>
      </c>
      <c r="D2062" s="10" t="s">
        <v>20</v>
      </c>
      <c r="E2062" s="13">
        <v>46229.0</v>
      </c>
      <c r="F2062" s="10" t="s">
        <v>35</v>
      </c>
      <c r="G2062" s="10">
        <v>11.0</v>
      </c>
      <c r="I2062" s="10" t="s">
        <v>22</v>
      </c>
      <c r="J2062" s="9" t="str">
        <f t="shared" si="37"/>
        <v>No</v>
      </c>
      <c r="K2062" s="9" t="str">
        <f t="shared" si="36"/>
        <v/>
      </c>
      <c r="L2062" s="9" t="str">
        <f t="shared" si="38"/>
        <v/>
      </c>
      <c r="M2062" s="9"/>
      <c r="O2062" s="9"/>
    </row>
    <row r="2063" ht="15.75" customHeight="1">
      <c r="A2063" s="9" t="str">
        <f>IFERROR(__xludf.DUMMYFUNCTION("IF(B2063="""","""",RIGHT(REGEXREPLACE(B2063&amp;"""",""[^0-9]"",""""),9))"),"789491869")</f>
        <v>789491869</v>
      </c>
      <c r="B2063" s="48">
        <v>7.89491869E8</v>
      </c>
      <c r="C2063" s="10" t="s">
        <v>2188</v>
      </c>
      <c r="D2063" s="10" t="s">
        <v>69</v>
      </c>
      <c r="E2063" s="13">
        <v>46229.0</v>
      </c>
      <c r="F2063" s="10" t="s">
        <v>542</v>
      </c>
      <c r="G2063" s="10">
        <v>11.0</v>
      </c>
      <c r="I2063" s="10" t="s">
        <v>22</v>
      </c>
      <c r="J2063" s="9" t="str">
        <f t="shared" si="37"/>
        <v>No</v>
      </c>
      <c r="K2063" s="9" t="str">
        <f t="shared" si="36"/>
        <v/>
      </c>
      <c r="L2063" s="9" t="str">
        <f t="shared" si="38"/>
        <v/>
      </c>
      <c r="M2063" s="9"/>
      <c r="O2063" s="9"/>
    </row>
    <row r="2064" ht="15.75" customHeight="1">
      <c r="A2064" s="9" t="str">
        <f>IFERROR(__xludf.DUMMYFUNCTION("IF(B2064="""","""",RIGHT(REGEXREPLACE(B2064&amp;"""",""[^0-9]"",""""),9))"),"714294980")</f>
        <v>714294980</v>
      </c>
      <c r="B2064" s="48">
        <v>7.1429498E8</v>
      </c>
      <c r="C2064" s="10" t="s">
        <v>2189</v>
      </c>
      <c r="D2064" s="10" t="s">
        <v>50</v>
      </c>
      <c r="E2064" s="13">
        <v>46229.0</v>
      </c>
      <c r="F2064" s="10" t="s">
        <v>35</v>
      </c>
      <c r="G2064" s="10">
        <v>11.0</v>
      </c>
      <c r="I2064" s="10" t="s">
        <v>22</v>
      </c>
      <c r="J2064" s="9" t="str">
        <f t="shared" si="37"/>
        <v>No</v>
      </c>
      <c r="K2064" s="9" t="str">
        <f t="shared" si="36"/>
        <v/>
      </c>
      <c r="L2064" s="9" t="str">
        <f t="shared" si="38"/>
        <v/>
      </c>
      <c r="M2064" s="9"/>
      <c r="O2064" s="9"/>
    </row>
    <row r="2065" ht="15.75" customHeight="1">
      <c r="A2065" s="9" t="str">
        <f>IFERROR(__xludf.DUMMYFUNCTION("IF(B2065="""","""",RIGHT(REGEXREPLACE(B2065&amp;"""",""[^0-9]"",""""),9))"),"703196690")</f>
        <v>703196690</v>
      </c>
      <c r="B2065" s="10">
        <v>7.0319669E8</v>
      </c>
      <c r="C2065" s="10" t="s">
        <v>2190</v>
      </c>
      <c r="D2065" s="10" t="s">
        <v>20</v>
      </c>
      <c r="E2065" s="13">
        <v>46229.0</v>
      </c>
      <c r="F2065" s="10" t="s">
        <v>35</v>
      </c>
      <c r="G2065" s="10">
        <v>11.0</v>
      </c>
      <c r="I2065" s="10" t="s">
        <v>22</v>
      </c>
      <c r="J2065" s="9" t="str">
        <f t="shared" si="37"/>
        <v>No</v>
      </c>
      <c r="K2065" s="9" t="str">
        <f t="shared" si="36"/>
        <v/>
      </c>
      <c r="L2065" s="9" t="str">
        <f t="shared" si="38"/>
        <v/>
      </c>
      <c r="M2065" s="9"/>
      <c r="O2065" s="9"/>
    </row>
    <row r="2066" ht="15.75" customHeight="1">
      <c r="A2066" s="9" t="str">
        <f>IFERROR(__xludf.DUMMYFUNCTION("IF(B2066="""","""",RIGHT(REGEXREPLACE(B2066&amp;"""",""[^0-9]"",""""),9))"),"766627870")</f>
        <v>766627870</v>
      </c>
      <c r="B2066" s="48">
        <v>7.6662787E8</v>
      </c>
      <c r="C2066" s="10" t="s">
        <v>2190</v>
      </c>
      <c r="D2066" s="10" t="s">
        <v>20</v>
      </c>
      <c r="E2066" s="13">
        <v>46229.0</v>
      </c>
      <c r="F2066" s="10" t="s">
        <v>21</v>
      </c>
      <c r="G2066" s="10">
        <v>11.0</v>
      </c>
      <c r="I2066" s="10" t="s">
        <v>22</v>
      </c>
      <c r="J2066" s="9" t="str">
        <f t="shared" si="37"/>
        <v>No</v>
      </c>
      <c r="K2066" s="9" t="str">
        <f t="shared" si="36"/>
        <v/>
      </c>
      <c r="L2066" s="9" t="str">
        <f t="shared" si="38"/>
        <v/>
      </c>
      <c r="M2066" s="9"/>
      <c r="O2066" s="9"/>
    </row>
    <row r="2067" ht="15.75" customHeight="1">
      <c r="A2067" s="9" t="str">
        <f>IFERROR(__xludf.DUMMYFUNCTION("IF(B2067="""","""",RIGHT(REGEXREPLACE(B2067&amp;"""",""[^0-9]"",""""),9))"),"768843739")</f>
        <v>768843739</v>
      </c>
      <c r="B2067" s="48">
        <v>7.68843739E8</v>
      </c>
      <c r="C2067" s="10" t="s">
        <v>2191</v>
      </c>
      <c r="D2067" s="10" t="s">
        <v>34</v>
      </c>
      <c r="E2067" s="13">
        <v>46229.0</v>
      </c>
      <c r="F2067" s="10" t="s">
        <v>198</v>
      </c>
      <c r="I2067" s="10" t="s">
        <v>22</v>
      </c>
      <c r="J2067" s="9" t="str">
        <f t="shared" si="37"/>
        <v>No</v>
      </c>
      <c r="K2067" s="9" t="str">
        <f t="shared" si="36"/>
        <v/>
      </c>
      <c r="L2067" s="9" t="str">
        <f t="shared" si="38"/>
        <v/>
      </c>
      <c r="M2067" s="9"/>
      <c r="O2067" s="9"/>
    </row>
    <row r="2068" ht="15.75" customHeight="1">
      <c r="A2068" s="9" t="str">
        <f>IFERROR(__xludf.DUMMYFUNCTION("IF(B2068="""","""",RIGHT(REGEXREPLACE(B2068&amp;"""",""[^0-9]"",""""),9))"),"750368685")</f>
        <v>750368685</v>
      </c>
      <c r="B2068" s="48">
        <v>7.50368685E8</v>
      </c>
      <c r="C2068" s="10" t="s">
        <v>2192</v>
      </c>
      <c r="D2068" s="10" t="s">
        <v>50</v>
      </c>
      <c r="E2068" s="13">
        <v>46229.0</v>
      </c>
      <c r="F2068" s="10" t="s">
        <v>21</v>
      </c>
      <c r="G2068" s="10">
        <v>11.0</v>
      </c>
      <c r="I2068" s="10" t="s">
        <v>22</v>
      </c>
      <c r="J2068" s="9" t="str">
        <f t="shared" si="37"/>
        <v>No</v>
      </c>
      <c r="K2068" s="9" t="str">
        <f t="shared" si="36"/>
        <v/>
      </c>
      <c r="L2068" s="9" t="str">
        <f t="shared" si="38"/>
        <v/>
      </c>
      <c r="M2068" s="9"/>
      <c r="O2068" s="9"/>
    </row>
    <row r="2069" ht="15.75" customHeight="1">
      <c r="A2069" s="9" t="str">
        <f>IFERROR(__xludf.DUMMYFUNCTION("IF(B2069="""","""",RIGHT(REGEXREPLACE(B2069&amp;"""",""[^0-9]"",""""),9))"),"705020805")</f>
        <v>705020805</v>
      </c>
      <c r="B2069" s="10">
        <v>7.05020805E8</v>
      </c>
      <c r="C2069" s="10" t="s">
        <v>236</v>
      </c>
      <c r="D2069" s="10" t="s">
        <v>20</v>
      </c>
      <c r="E2069" s="13">
        <v>46229.0</v>
      </c>
      <c r="F2069" s="10" t="s">
        <v>21</v>
      </c>
      <c r="I2069" s="10" t="s">
        <v>22</v>
      </c>
      <c r="J2069" s="9" t="str">
        <f t="shared" si="37"/>
        <v>No</v>
      </c>
      <c r="K2069" s="9" t="str">
        <f t="shared" si="36"/>
        <v/>
      </c>
      <c r="L2069" s="9" t="str">
        <f t="shared" si="38"/>
        <v/>
      </c>
      <c r="M2069" s="9"/>
      <c r="O2069" s="9"/>
    </row>
    <row r="2070" ht="15.75" customHeight="1">
      <c r="A2070" s="9" t="str">
        <f>IFERROR(__xludf.DUMMYFUNCTION("IF(B2070="""","""",RIGHT(REGEXREPLACE(B2070&amp;"""",""[^0-9]"",""""),9))"),"783758298")</f>
        <v>783758298</v>
      </c>
      <c r="B2070" s="48">
        <v>7.83758298E8</v>
      </c>
      <c r="C2070" s="10" t="s">
        <v>2193</v>
      </c>
      <c r="D2070" s="10" t="s">
        <v>69</v>
      </c>
      <c r="E2070" s="13">
        <v>46229.0</v>
      </c>
      <c r="F2070" s="10" t="s">
        <v>35</v>
      </c>
      <c r="G2070" s="10">
        <v>10.0</v>
      </c>
      <c r="I2070" s="10" t="s">
        <v>22</v>
      </c>
      <c r="J2070" s="9" t="str">
        <f t="shared" si="37"/>
        <v>No</v>
      </c>
      <c r="K2070" s="9" t="str">
        <f t="shared" si="36"/>
        <v/>
      </c>
      <c r="L2070" s="9" t="str">
        <f t="shared" si="38"/>
        <v/>
      </c>
      <c r="M2070" s="9"/>
      <c r="O2070" s="9"/>
    </row>
    <row r="2071" ht="15.75" customHeight="1">
      <c r="A2071" s="9" t="str">
        <f>IFERROR(__xludf.DUMMYFUNCTION("IF(B2071="""","""",RIGHT(REGEXREPLACE(B2071&amp;"""",""[^0-9]"",""""),9))"),"716050703")</f>
        <v>716050703</v>
      </c>
      <c r="B2071" s="48">
        <v>7.16050703E8</v>
      </c>
      <c r="C2071" s="10" t="s">
        <v>2194</v>
      </c>
      <c r="D2071" s="10" t="s">
        <v>34</v>
      </c>
      <c r="E2071" s="13">
        <v>46229.0</v>
      </c>
      <c r="F2071" s="10" t="s">
        <v>35</v>
      </c>
      <c r="G2071" s="10">
        <v>10.0</v>
      </c>
      <c r="I2071" s="10" t="s">
        <v>22</v>
      </c>
      <c r="J2071" s="9" t="str">
        <f t="shared" si="37"/>
        <v>No</v>
      </c>
      <c r="K2071" s="9" t="str">
        <f t="shared" si="36"/>
        <v/>
      </c>
      <c r="L2071" s="9" t="str">
        <f t="shared" si="38"/>
        <v/>
      </c>
      <c r="M2071" s="9"/>
      <c r="O2071" s="9"/>
    </row>
    <row r="2072" ht="15.75" customHeight="1">
      <c r="A2072" s="9" t="str">
        <f>IFERROR(__xludf.DUMMYFUNCTION("IF(B2072="""","""",RIGHT(REGEXREPLACE(B2072&amp;"""",""[^0-9]"",""""),9))"),"781110742")</f>
        <v>781110742</v>
      </c>
      <c r="B2072" s="10">
        <v>7.81110742E8</v>
      </c>
      <c r="C2072" s="10" t="s">
        <v>2195</v>
      </c>
      <c r="D2072" s="10" t="s">
        <v>20</v>
      </c>
      <c r="E2072" s="13">
        <v>46229.0</v>
      </c>
      <c r="F2072" s="10" t="s">
        <v>113</v>
      </c>
      <c r="G2072" s="10">
        <v>11.0</v>
      </c>
      <c r="I2072" s="10" t="s">
        <v>22</v>
      </c>
      <c r="J2072" s="9" t="str">
        <f t="shared" si="37"/>
        <v>No</v>
      </c>
      <c r="K2072" s="9" t="str">
        <f t="shared" si="36"/>
        <v/>
      </c>
      <c r="L2072" s="9" t="str">
        <f t="shared" si="38"/>
        <v/>
      </c>
      <c r="M2072" s="9"/>
      <c r="O2072" s="9"/>
    </row>
    <row r="2073" ht="15.75" customHeight="1">
      <c r="A2073" s="9" t="str">
        <f>IFERROR(__xludf.DUMMYFUNCTION("IF(B2073="""","""",RIGHT(REGEXREPLACE(B2073&amp;"""",""[^0-9]"",""""),9))"),"743600468")</f>
        <v>743600468</v>
      </c>
      <c r="B2073" s="48">
        <v>7.43600468E8</v>
      </c>
      <c r="C2073" s="10" t="s">
        <v>2196</v>
      </c>
      <c r="D2073" s="10" t="s">
        <v>50</v>
      </c>
      <c r="E2073" s="13">
        <v>46229.0</v>
      </c>
      <c r="F2073" s="10" t="s">
        <v>113</v>
      </c>
      <c r="G2073" s="10">
        <v>8.0</v>
      </c>
      <c r="I2073" s="10" t="s">
        <v>22</v>
      </c>
      <c r="J2073" s="9" t="str">
        <f t="shared" si="37"/>
        <v>No</v>
      </c>
      <c r="K2073" s="9" t="str">
        <f t="shared" si="36"/>
        <v/>
      </c>
      <c r="L2073" s="9" t="str">
        <f t="shared" si="38"/>
        <v/>
      </c>
      <c r="M2073" s="9"/>
      <c r="O2073" s="9"/>
    </row>
    <row r="2074" ht="15.75" customHeight="1">
      <c r="A2074" s="9" t="str">
        <f>IFERROR(__xludf.DUMMYFUNCTION("IF(B2074="""","""",RIGHT(REGEXREPLACE(B2074&amp;"""",""[^0-9]"",""""),9))"),"762229782")</f>
        <v>762229782</v>
      </c>
      <c r="B2074" s="48">
        <v>7.62229782E8</v>
      </c>
      <c r="C2074" s="10" t="s">
        <v>2197</v>
      </c>
      <c r="D2074" s="10" t="s">
        <v>97</v>
      </c>
      <c r="E2074" s="13">
        <v>46229.0</v>
      </c>
      <c r="F2074" s="10" t="s">
        <v>35</v>
      </c>
      <c r="G2074" s="10">
        <v>10.0</v>
      </c>
      <c r="I2074" s="10" t="s">
        <v>22</v>
      </c>
      <c r="J2074" s="9" t="str">
        <f t="shared" si="37"/>
        <v>No</v>
      </c>
      <c r="K2074" s="9" t="str">
        <f t="shared" si="36"/>
        <v/>
      </c>
      <c r="L2074" s="9" t="str">
        <f t="shared" si="38"/>
        <v/>
      </c>
      <c r="M2074" s="9"/>
      <c r="O2074" s="9"/>
    </row>
    <row r="2075" ht="15.75" customHeight="1">
      <c r="A2075" s="9" t="str">
        <f>IFERROR(__xludf.DUMMYFUNCTION("IF(B2075="""","""",RIGHT(REGEXREPLACE(B2075&amp;"""",""[^0-9]"",""""),9))"),"775050091")</f>
        <v>775050091</v>
      </c>
      <c r="B2075" s="10">
        <v>7.75050091E8</v>
      </c>
      <c r="C2075" s="10" t="s">
        <v>2198</v>
      </c>
      <c r="D2075" s="10" t="s">
        <v>20</v>
      </c>
      <c r="E2075" s="13">
        <v>46229.0</v>
      </c>
      <c r="F2075" s="10" t="s">
        <v>35</v>
      </c>
      <c r="G2075" s="10">
        <v>11.0</v>
      </c>
      <c r="I2075" s="10" t="s">
        <v>22</v>
      </c>
      <c r="J2075" s="9" t="str">
        <f t="shared" si="37"/>
        <v>No</v>
      </c>
      <c r="K2075" s="9" t="str">
        <f t="shared" si="36"/>
        <v/>
      </c>
      <c r="L2075" s="9" t="str">
        <f t="shared" si="38"/>
        <v/>
      </c>
      <c r="M2075" s="9"/>
      <c r="O2075" s="9"/>
    </row>
    <row r="2076" ht="15.75" customHeight="1">
      <c r="A2076" s="9" t="str">
        <f>IFERROR(__xludf.DUMMYFUNCTION("IF(B2076="""","""",RIGHT(REGEXREPLACE(B2076&amp;"""",""[^0-9]"",""""),9))"),"787159525")</f>
        <v>787159525</v>
      </c>
      <c r="B2076" s="48">
        <v>7.87159525E8</v>
      </c>
      <c r="C2076" s="10" t="s">
        <v>2199</v>
      </c>
      <c r="D2076" s="10" t="s">
        <v>50</v>
      </c>
      <c r="E2076" s="13">
        <v>46229.0</v>
      </c>
      <c r="F2076" s="10" t="s">
        <v>604</v>
      </c>
      <c r="I2076" s="10" t="s">
        <v>22</v>
      </c>
      <c r="J2076" s="9" t="str">
        <f t="shared" si="37"/>
        <v>No</v>
      </c>
      <c r="K2076" s="9" t="str">
        <f t="shared" si="36"/>
        <v/>
      </c>
      <c r="L2076" s="9" t="str">
        <f t="shared" si="38"/>
        <v/>
      </c>
      <c r="M2076" s="9"/>
      <c r="O2076" s="9"/>
    </row>
    <row r="2077" ht="15.75" customHeight="1">
      <c r="A2077" s="9" t="str">
        <f>IFERROR(__xludf.DUMMYFUNCTION("IF(B2077="""","""",RIGHT(REGEXREPLACE(B2077&amp;"""",""[^0-9]"",""""),9))"),"703122121")</f>
        <v>703122121</v>
      </c>
      <c r="B2077" s="48">
        <v>7.03122121E8</v>
      </c>
      <c r="C2077" s="10" t="s">
        <v>2200</v>
      </c>
      <c r="D2077" s="10" t="s">
        <v>69</v>
      </c>
      <c r="E2077" s="13">
        <v>46229.0</v>
      </c>
      <c r="F2077" s="10" t="s">
        <v>604</v>
      </c>
      <c r="G2077" s="10">
        <v>11.0</v>
      </c>
      <c r="I2077" s="10" t="s">
        <v>22</v>
      </c>
      <c r="J2077" s="9" t="str">
        <f t="shared" si="37"/>
        <v>No</v>
      </c>
      <c r="K2077" s="9" t="str">
        <f t="shared" si="36"/>
        <v/>
      </c>
      <c r="L2077" s="9" t="str">
        <f t="shared" si="38"/>
        <v/>
      </c>
      <c r="M2077" s="9"/>
      <c r="O2077" s="9"/>
    </row>
    <row r="2078" ht="15.75" customHeight="1">
      <c r="A2078" s="9" t="str">
        <f>IFERROR(__xludf.DUMMYFUNCTION("IF(B2078="""","""",RIGHT(REGEXREPLACE(B2078&amp;"""",""[^0-9]"",""""),9))"),"714690136")</f>
        <v>714690136</v>
      </c>
      <c r="B2078" s="48">
        <v>7.14690136E8</v>
      </c>
      <c r="C2078" s="10" t="s">
        <v>2201</v>
      </c>
      <c r="D2078" s="10" t="s">
        <v>34</v>
      </c>
      <c r="E2078" s="13">
        <v>46229.0</v>
      </c>
      <c r="F2078" s="10" t="s">
        <v>21</v>
      </c>
      <c r="I2078" s="10" t="s">
        <v>22</v>
      </c>
      <c r="J2078" s="9" t="str">
        <f t="shared" si="37"/>
        <v>No</v>
      </c>
      <c r="K2078" s="9" t="str">
        <f t="shared" si="36"/>
        <v/>
      </c>
      <c r="L2078" s="9" t="str">
        <f t="shared" si="38"/>
        <v/>
      </c>
      <c r="M2078" s="9"/>
      <c r="O2078" s="9"/>
    </row>
    <row r="2079" ht="15.75" customHeight="1">
      <c r="A2079" s="9" t="str">
        <f>IFERROR(__xludf.DUMMYFUNCTION("IF(B2079="""","""",RIGHT(REGEXREPLACE(B2079&amp;"""",""[^0-9]"",""""),9))"),"764873492")</f>
        <v>764873492</v>
      </c>
      <c r="B2079" s="48">
        <v>7.64873492E8</v>
      </c>
      <c r="C2079" s="10" t="s">
        <v>2202</v>
      </c>
      <c r="D2079" s="10" t="s">
        <v>97</v>
      </c>
      <c r="E2079" s="13">
        <v>46229.0</v>
      </c>
      <c r="F2079" s="10" t="s">
        <v>198</v>
      </c>
      <c r="I2079" s="10" t="s">
        <v>22</v>
      </c>
      <c r="J2079" s="9" t="str">
        <f t="shared" si="37"/>
        <v>No</v>
      </c>
      <c r="K2079" s="9" t="str">
        <f t="shared" si="36"/>
        <v/>
      </c>
      <c r="L2079" s="9" t="str">
        <f t="shared" si="38"/>
        <v/>
      </c>
      <c r="M2079" s="9"/>
      <c r="O2079" s="9"/>
    </row>
    <row r="2080" ht="15.75" customHeight="1">
      <c r="A2080" s="9" t="str">
        <f>IFERROR(__xludf.DUMMYFUNCTION("IF(B2080="""","""",RIGHT(REGEXREPLACE(B2080&amp;"""",""[^0-9]"",""""),9))"),"754827141")</f>
        <v>754827141</v>
      </c>
      <c r="B2080" s="48">
        <v>7.54827141E8</v>
      </c>
      <c r="C2080" s="10" t="s">
        <v>2203</v>
      </c>
      <c r="D2080" s="10" t="s">
        <v>34</v>
      </c>
      <c r="E2080" s="13">
        <v>46229.0</v>
      </c>
      <c r="F2080" s="10" t="s">
        <v>113</v>
      </c>
      <c r="I2080" s="10" t="s">
        <v>22</v>
      </c>
      <c r="J2080" s="9" t="str">
        <f t="shared" si="37"/>
        <v>No</v>
      </c>
      <c r="K2080" s="9" t="str">
        <f t="shared" si="36"/>
        <v/>
      </c>
      <c r="L2080" s="9" t="str">
        <f t="shared" si="38"/>
        <v/>
      </c>
      <c r="M2080" s="9"/>
      <c r="O2080" s="9"/>
    </row>
    <row r="2081" ht="15.75" customHeight="1">
      <c r="A2081" s="9" t="str">
        <f>IFERROR(__xludf.DUMMYFUNCTION("IF(B2081="""","""",RIGHT(REGEXREPLACE(B2081&amp;"""",""[^0-9]"",""""),9))"),"772852192")</f>
        <v>772852192</v>
      </c>
      <c r="B2081" s="48">
        <v>7.72852192E8</v>
      </c>
      <c r="C2081" s="10" t="s">
        <v>2204</v>
      </c>
      <c r="D2081" s="10" t="s">
        <v>69</v>
      </c>
      <c r="E2081" s="13">
        <v>46229.0</v>
      </c>
      <c r="F2081" s="10" t="s">
        <v>35</v>
      </c>
      <c r="G2081" s="10">
        <v>11.0</v>
      </c>
      <c r="I2081" s="10" t="s">
        <v>22</v>
      </c>
      <c r="J2081" s="9" t="str">
        <f t="shared" si="37"/>
        <v>No</v>
      </c>
      <c r="K2081" s="9" t="str">
        <f t="shared" si="36"/>
        <v/>
      </c>
      <c r="L2081" s="9" t="str">
        <f t="shared" si="38"/>
        <v/>
      </c>
      <c r="M2081" s="9"/>
      <c r="O2081" s="9"/>
    </row>
    <row r="2082" ht="15.75" customHeight="1">
      <c r="A2082" s="9" t="str">
        <f>IFERROR(__xludf.DUMMYFUNCTION("IF(B2082="""","""",RIGHT(REGEXREPLACE(B2082&amp;"""",""[^0-9]"",""""),9))"),"774032641")</f>
        <v>774032641</v>
      </c>
      <c r="B2082" s="48">
        <v>7.74032641E8</v>
      </c>
      <c r="C2082" s="10" t="s">
        <v>2205</v>
      </c>
      <c r="D2082" s="10" t="s">
        <v>97</v>
      </c>
      <c r="E2082" s="13">
        <v>46229.0</v>
      </c>
      <c r="F2082" s="10" t="s">
        <v>21</v>
      </c>
      <c r="I2082" s="10" t="s">
        <v>22</v>
      </c>
      <c r="J2082" s="9" t="str">
        <f t="shared" si="37"/>
        <v>No</v>
      </c>
      <c r="K2082" s="9" t="str">
        <f t="shared" si="36"/>
        <v/>
      </c>
      <c r="L2082" s="9" t="str">
        <f t="shared" si="38"/>
        <v/>
      </c>
      <c r="M2082" s="9"/>
      <c r="O2082" s="9"/>
    </row>
    <row r="2083" ht="15.75" customHeight="1">
      <c r="A2083" s="9" t="str">
        <f>IFERROR(__xludf.DUMMYFUNCTION("IF(B2083="""","""",RIGHT(REGEXREPLACE(B2083&amp;"""",""[^0-9]"",""""),9))"),"768437588")</f>
        <v>768437588</v>
      </c>
      <c r="B2083" s="48">
        <v>7.68437588E8</v>
      </c>
      <c r="C2083" s="10" t="s">
        <v>2206</v>
      </c>
      <c r="D2083" s="10" t="s">
        <v>34</v>
      </c>
      <c r="E2083" s="13">
        <v>46229.0</v>
      </c>
      <c r="F2083" s="10" t="s">
        <v>35</v>
      </c>
      <c r="G2083" s="10">
        <v>11.0</v>
      </c>
      <c r="I2083" s="10" t="s">
        <v>22</v>
      </c>
      <c r="J2083" s="9" t="str">
        <f t="shared" si="37"/>
        <v>No</v>
      </c>
      <c r="K2083" s="9" t="str">
        <f t="shared" si="36"/>
        <v/>
      </c>
      <c r="L2083" s="9" t="str">
        <f t="shared" si="38"/>
        <v/>
      </c>
      <c r="M2083" s="9"/>
      <c r="O2083" s="9"/>
    </row>
    <row r="2084" ht="15.75" customHeight="1">
      <c r="A2084" s="9" t="str">
        <f>IFERROR(__xludf.DUMMYFUNCTION("IF(B2084="""","""",RIGHT(REGEXREPLACE(B2084&amp;"""",""[^0-9]"",""""),9))"),"723621763")</f>
        <v>723621763</v>
      </c>
      <c r="B2084" s="48">
        <v>7.23621763E8</v>
      </c>
      <c r="C2084" s="10" t="s">
        <v>2207</v>
      </c>
      <c r="D2084" s="10" t="s">
        <v>34</v>
      </c>
      <c r="E2084" s="13">
        <v>46229.0</v>
      </c>
      <c r="F2084" s="10" t="s">
        <v>21</v>
      </c>
      <c r="I2084" s="10" t="s">
        <v>22</v>
      </c>
      <c r="J2084" s="9" t="str">
        <f t="shared" si="37"/>
        <v>No</v>
      </c>
      <c r="K2084" s="9" t="str">
        <f t="shared" si="36"/>
        <v/>
      </c>
      <c r="L2084" s="9" t="str">
        <f t="shared" si="38"/>
        <v/>
      </c>
      <c r="M2084" s="9"/>
      <c r="O2084" s="9"/>
    </row>
    <row r="2085" ht="15.75" customHeight="1">
      <c r="A2085" s="9" t="str">
        <f>IFERROR(__xludf.DUMMYFUNCTION("IF(B2085="""","""",RIGHT(REGEXREPLACE(B2085&amp;"""",""[^0-9]"",""""),9))"),"789353552")</f>
        <v>789353552</v>
      </c>
      <c r="B2085" s="48">
        <v>7.89353552E8</v>
      </c>
      <c r="C2085" s="10" t="s">
        <v>2208</v>
      </c>
      <c r="D2085" s="10" t="s">
        <v>34</v>
      </c>
      <c r="E2085" s="13">
        <v>46229.0</v>
      </c>
      <c r="F2085" s="10" t="s">
        <v>21</v>
      </c>
      <c r="I2085" s="10" t="s">
        <v>22</v>
      </c>
      <c r="J2085" s="9" t="str">
        <f t="shared" si="37"/>
        <v>No</v>
      </c>
      <c r="K2085" s="9" t="str">
        <f t="shared" si="36"/>
        <v/>
      </c>
      <c r="L2085" s="9" t="str">
        <f t="shared" si="38"/>
        <v/>
      </c>
      <c r="M2085" s="9"/>
      <c r="O2085" s="9"/>
    </row>
    <row r="2086" ht="15.75" customHeight="1">
      <c r="A2086" s="9" t="str">
        <f>IFERROR(__xludf.DUMMYFUNCTION("IF(B2086="""","""",RIGHT(REGEXREPLACE(B2086&amp;"""",""[^0-9]"",""""),9))"),"779484436")</f>
        <v>779484436</v>
      </c>
      <c r="B2086" s="48">
        <v>7.79484436E8</v>
      </c>
      <c r="C2086" s="10" t="s">
        <v>2209</v>
      </c>
      <c r="D2086" s="10" t="s">
        <v>34</v>
      </c>
      <c r="E2086" s="13">
        <v>46229.0</v>
      </c>
      <c r="F2086" s="10" t="s">
        <v>35</v>
      </c>
      <c r="G2086" s="10">
        <v>11.0</v>
      </c>
      <c r="I2086" s="10" t="s">
        <v>22</v>
      </c>
      <c r="J2086" s="9" t="str">
        <f t="shared" si="37"/>
        <v>No</v>
      </c>
      <c r="K2086" s="9" t="str">
        <f t="shared" si="36"/>
        <v/>
      </c>
      <c r="L2086" s="9" t="str">
        <f t="shared" si="38"/>
        <v/>
      </c>
      <c r="M2086" s="9"/>
      <c r="O2086" s="9"/>
    </row>
    <row r="2087" ht="15.75" customHeight="1">
      <c r="A2087" s="9" t="str">
        <f>IFERROR(__xludf.DUMMYFUNCTION("IF(B2087="""","""",RIGHT(REGEXREPLACE(B2087&amp;"""",""[^0-9]"",""""),9))"),"757799370")</f>
        <v>757799370</v>
      </c>
      <c r="B2087" s="48">
        <v>7.5779937E8</v>
      </c>
      <c r="C2087" s="10" t="s">
        <v>2210</v>
      </c>
      <c r="D2087" s="10" t="s">
        <v>34</v>
      </c>
      <c r="E2087" s="13">
        <v>46229.0</v>
      </c>
      <c r="F2087" s="10" t="s">
        <v>113</v>
      </c>
      <c r="I2087" s="10" t="s">
        <v>22</v>
      </c>
      <c r="J2087" s="9" t="str">
        <f t="shared" si="37"/>
        <v>No</v>
      </c>
      <c r="K2087" s="9" t="str">
        <f t="shared" si="36"/>
        <v/>
      </c>
      <c r="L2087" s="9" t="str">
        <f t="shared" si="38"/>
        <v/>
      </c>
      <c r="M2087" s="9"/>
      <c r="O2087" s="9"/>
    </row>
    <row r="2088" ht="15.75" customHeight="1">
      <c r="A2088" s="9" t="str">
        <f>IFERROR(__xludf.DUMMYFUNCTION("IF(B2088="""","""",RIGHT(REGEXREPLACE(B2088&amp;"""",""[^0-9]"",""""),9))"),"777389511")</f>
        <v>777389511</v>
      </c>
      <c r="B2088" s="48">
        <v>7.77389511E8</v>
      </c>
      <c r="C2088" s="10" t="s">
        <v>2211</v>
      </c>
      <c r="D2088" s="10" t="s">
        <v>34</v>
      </c>
      <c r="E2088" s="13">
        <v>46229.0</v>
      </c>
      <c r="F2088" s="10" t="s">
        <v>145</v>
      </c>
      <c r="I2088" s="10" t="s">
        <v>22</v>
      </c>
      <c r="J2088" s="9" t="str">
        <f t="shared" si="37"/>
        <v>No</v>
      </c>
      <c r="K2088" s="9" t="str">
        <f t="shared" si="36"/>
        <v/>
      </c>
      <c r="L2088" s="9" t="str">
        <f t="shared" si="38"/>
        <v/>
      </c>
      <c r="M2088" s="9"/>
      <c r="O2088" s="9"/>
    </row>
    <row r="2089" ht="15.75" customHeight="1">
      <c r="A2089" s="9" t="str">
        <f>IFERROR(__xludf.DUMMYFUNCTION("IF(B2089="""","""",RIGHT(REGEXREPLACE(B2089&amp;"""",""[^0-9]"",""""),9))"),"770754081")</f>
        <v>770754081</v>
      </c>
      <c r="B2089" s="10">
        <v>7.70754081E8</v>
      </c>
      <c r="C2089" s="10" t="s">
        <v>958</v>
      </c>
      <c r="D2089" s="10" t="s">
        <v>20</v>
      </c>
      <c r="E2089" s="13">
        <v>46229.0</v>
      </c>
      <c r="F2089" s="10" t="s">
        <v>604</v>
      </c>
      <c r="I2089" s="10" t="s">
        <v>22</v>
      </c>
      <c r="J2089" s="9" t="str">
        <f t="shared" si="37"/>
        <v>No</v>
      </c>
      <c r="K2089" s="9" t="str">
        <f t="shared" si="36"/>
        <v/>
      </c>
      <c r="L2089" s="9" t="str">
        <f t="shared" si="38"/>
        <v/>
      </c>
      <c r="M2089" s="9"/>
      <c r="O2089" s="9"/>
    </row>
    <row r="2090" ht="15.75" customHeight="1">
      <c r="A2090" s="9" t="str">
        <f>IFERROR(__xludf.DUMMYFUNCTION("IF(B2090="""","""",RIGHT(REGEXREPLACE(B2090&amp;"""",""[^0-9]"",""""),9))"),"703642100")</f>
        <v>703642100</v>
      </c>
      <c r="B2090" s="48">
        <v>7.036421E8</v>
      </c>
      <c r="C2090" s="10" t="s">
        <v>923</v>
      </c>
      <c r="D2090" s="10" t="s">
        <v>34</v>
      </c>
      <c r="E2090" s="13">
        <v>46229.0</v>
      </c>
      <c r="F2090" s="10" t="s">
        <v>21</v>
      </c>
      <c r="I2090" s="10" t="s">
        <v>22</v>
      </c>
      <c r="J2090" s="9" t="str">
        <f t="shared" si="37"/>
        <v>Yes - see Previous F-Code</v>
      </c>
      <c r="K2090" s="9" t="str">
        <f t="shared" si="36"/>
        <v>DUPLICATE - CHECK</v>
      </c>
      <c r="L2090" s="9" t="str">
        <f t="shared" si="38"/>
        <v>F70749</v>
      </c>
      <c r="M2090" s="9"/>
      <c r="O2090" s="9"/>
    </row>
    <row r="2091" ht="15.75" customHeight="1">
      <c r="A2091" s="9" t="str">
        <f>IFERROR(__xludf.DUMMYFUNCTION("IF(B2091="""","""",RIGHT(REGEXREPLACE(B2091&amp;"""",""[^0-9]"",""""),9))"),"712593998")</f>
        <v>712593998</v>
      </c>
      <c r="B2091" s="10">
        <v>7.12593998E8</v>
      </c>
      <c r="C2091" s="10" t="s">
        <v>2212</v>
      </c>
      <c r="D2091" s="10" t="s">
        <v>20</v>
      </c>
      <c r="E2091" s="13">
        <v>46229.0</v>
      </c>
      <c r="F2091" s="10" t="s">
        <v>21</v>
      </c>
      <c r="I2091" s="10" t="s">
        <v>22</v>
      </c>
      <c r="J2091" s="9" t="str">
        <f t="shared" si="37"/>
        <v>No</v>
      </c>
      <c r="K2091" s="9" t="str">
        <f t="shared" si="36"/>
        <v/>
      </c>
      <c r="L2091" s="9" t="str">
        <f t="shared" si="38"/>
        <v/>
      </c>
      <c r="M2091" s="9"/>
      <c r="O2091" s="9"/>
    </row>
    <row r="2092" ht="15.75" customHeight="1">
      <c r="A2092" s="9" t="str">
        <f>IFERROR(__xludf.DUMMYFUNCTION("IF(B2092="""","""",RIGHT(REGEXREPLACE(B2092&amp;"""",""[^0-9]"",""""),9))"),"761833737")</f>
        <v>761833737</v>
      </c>
      <c r="B2092" s="48">
        <v>7.61833737E8</v>
      </c>
      <c r="C2092" s="10" t="s">
        <v>2213</v>
      </c>
      <c r="D2092" s="10" t="s">
        <v>69</v>
      </c>
      <c r="E2092" s="13">
        <v>46229.0</v>
      </c>
      <c r="F2092" s="10" t="s">
        <v>21</v>
      </c>
      <c r="I2092" s="10" t="s">
        <v>22</v>
      </c>
      <c r="J2092" s="9" t="str">
        <f t="shared" si="37"/>
        <v>No</v>
      </c>
      <c r="K2092" s="9" t="str">
        <f t="shared" si="36"/>
        <v/>
      </c>
      <c r="L2092" s="9" t="str">
        <f t="shared" si="38"/>
        <v/>
      </c>
      <c r="M2092" s="9"/>
      <c r="O2092" s="9"/>
    </row>
    <row r="2093" ht="15.75" customHeight="1">
      <c r="A2093" s="9" t="str">
        <f>IFERROR(__xludf.DUMMYFUNCTION("IF(B2093="""","""",RIGHT(REGEXREPLACE(B2093&amp;"""",""[^0-9]"",""""),9))"),"768307985")</f>
        <v>768307985</v>
      </c>
      <c r="B2093" s="48">
        <v>7.68307985E8</v>
      </c>
      <c r="C2093" s="10" t="s">
        <v>2214</v>
      </c>
      <c r="D2093" s="10" t="s">
        <v>50</v>
      </c>
      <c r="E2093" s="13">
        <v>46229.0</v>
      </c>
      <c r="F2093" s="10" t="s">
        <v>21</v>
      </c>
      <c r="I2093" s="10" t="s">
        <v>22</v>
      </c>
      <c r="J2093" s="9" t="str">
        <f t="shared" si="37"/>
        <v>No</v>
      </c>
      <c r="K2093" s="9" t="str">
        <f t="shared" si="36"/>
        <v/>
      </c>
      <c r="L2093" s="9" t="str">
        <f t="shared" si="38"/>
        <v/>
      </c>
      <c r="M2093" s="9"/>
      <c r="O2093" s="9"/>
    </row>
    <row r="2094" ht="15.75" customHeight="1">
      <c r="A2094" s="9" t="str">
        <f>IFERROR(__xludf.DUMMYFUNCTION("IF(B2094="""","""",RIGHT(REGEXREPLACE(B2094&amp;"""",""[^0-9]"",""""),9))"),"771135498")</f>
        <v>771135498</v>
      </c>
      <c r="B2094" s="48">
        <v>7.71135498E8</v>
      </c>
      <c r="C2094" s="10" t="s">
        <v>2215</v>
      </c>
      <c r="D2094" s="10" t="s">
        <v>97</v>
      </c>
      <c r="E2094" s="13">
        <v>46229.0</v>
      </c>
      <c r="F2094" s="10" t="s">
        <v>35</v>
      </c>
      <c r="H2094" s="10" t="s">
        <v>2216</v>
      </c>
      <c r="I2094" s="10" t="s">
        <v>22</v>
      </c>
      <c r="J2094" s="9" t="str">
        <f t="shared" si="37"/>
        <v>No</v>
      </c>
      <c r="K2094" s="9" t="str">
        <f t="shared" si="36"/>
        <v/>
      </c>
      <c r="L2094" s="9" t="str">
        <f t="shared" si="38"/>
        <v/>
      </c>
      <c r="M2094" s="9"/>
      <c r="O2094" s="9"/>
    </row>
    <row r="2095" ht="15.75" customHeight="1">
      <c r="A2095" s="9" t="str">
        <f>IFERROR(__xludf.DUMMYFUNCTION("IF(B2095="""","""",RIGHT(REGEXREPLACE(B2095&amp;"""",""[^0-9]"",""""),9))"),"719470594")</f>
        <v>719470594</v>
      </c>
      <c r="B2095" s="48">
        <v>7.19470594E8</v>
      </c>
      <c r="C2095" s="10" t="s">
        <v>2217</v>
      </c>
      <c r="D2095" s="10" t="s">
        <v>50</v>
      </c>
      <c r="E2095" s="13">
        <v>46229.0</v>
      </c>
      <c r="F2095" s="10" t="s">
        <v>21</v>
      </c>
      <c r="G2095" s="10">
        <v>11.0</v>
      </c>
      <c r="I2095" s="10" t="s">
        <v>22</v>
      </c>
      <c r="J2095" s="9" t="str">
        <f t="shared" si="37"/>
        <v>No</v>
      </c>
      <c r="K2095" s="9" t="str">
        <f t="shared" si="36"/>
        <v/>
      </c>
      <c r="L2095" s="9" t="str">
        <f t="shared" si="38"/>
        <v/>
      </c>
      <c r="M2095" s="9"/>
      <c r="O2095" s="9"/>
    </row>
    <row r="2096" ht="15.75" customHeight="1">
      <c r="A2096" s="9" t="str">
        <f>IFERROR(__xludf.DUMMYFUNCTION("IF(B2096="""","""",RIGHT(REGEXREPLACE(B2096&amp;"""",""[^0-9]"",""""),9))"),"740186840")</f>
        <v>740186840</v>
      </c>
      <c r="B2096" s="48">
        <v>7.4018684E8</v>
      </c>
      <c r="C2096" s="10" t="s">
        <v>2218</v>
      </c>
      <c r="D2096" s="10" t="s">
        <v>69</v>
      </c>
      <c r="E2096" s="13">
        <v>46229.0</v>
      </c>
      <c r="F2096" s="10" t="s">
        <v>21</v>
      </c>
      <c r="G2096" s="10">
        <v>11.0</v>
      </c>
      <c r="I2096" s="10" t="s">
        <v>22</v>
      </c>
      <c r="J2096" s="9" t="str">
        <f t="shared" si="37"/>
        <v>No</v>
      </c>
      <c r="K2096" s="9" t="str">
        <f t="shared" si="36"/>
        <v/>
      </c>
      <c r="L2096" s="9" t="str">
        <f t="shared" si="38"/>
        <v/>
      </c>
      <c r="M2096" s="9"/>
      <c r="O2096" s="9"/>
    </row>
    <row r="2097" ht="15.75" customHeight="1">
      <c r="A2097" s="9" t="str">
        <f>IFERROR(__xludf.DUMMYFUNCTION("IF(B2097="""","""",RIGHT(REGEXREPLACE(B2097&amp;"""",""[^0-9]"",""""),9))"),"704933341")</f>
        <v>704933341</v>
      </c>
      <c r="B2097" s="48">
        <v>7.04933341E8</v>
      </c>
      <c r="C2097" s="10" t="s">
        <v>765</v>
      </c>
      <c r="D2097" s="10" t="s">
        <v>97</v>
      </c>
      <c r="E2097" s="13">
        <v>46229.0</v>
      </c>
      <c r="F2097" s="10" t="s">
        <v>21</v>
      </c>
      <c r="I2097" s="10" t="s">
        <v>22</v>
      </c>
      <c r="J2097" s="9" t="str">
        <f t="shared" si="37"/>
        <v>No</v>
      </c>
      <c r="K2097" s="9" t="str">
        <f t="shared" si="36"/>
        <v/>
      </c>
      <c r="L2097" s="9" t="str">
        <f t="shared" si="38"/>
        <v/>
      </c>
      <c r="M2097" s="9"/>
      <c r="O2097" s="9"/>
    </row>
    <row r="2098" ht="15.75" customHeight="1">
      <c r="A2098" s="9" t="str">
        <f>IFERROR(__xludf.DUMMYFUNCTION("IF(B2098="""","""",RIGHT(REGEXREPLACE(B2098&amp;"""",""[^0-9]"",""""),9))"),"758388832")</f>
        <v>758388832</v>
      </c>
      <c r="B2098" s="48">
        <v>7.58388832E8</v>
      </c>
      <c r="C2098" s="10" t="s">
        <v>2219</v>
      </c>
      <c r="D2098" s="10" t="s">
        <v>50</v>
      </c>
      <c r="E2098" s="13">
        <v>46229.0</v>
      </c>
      <c r="F2098" s="10" t="s">
        <v>35</v>
      </c>
      <c r="G2098" s="10">
        <v>10.0</v>
      </c>
      <c r="I2098" s="10" t="s">
        <v>22</v>
      </c>
      <c r="J2098" s="9" t="str">
        <f t="shared" si="37"/>
        <v>No</v>
      </c>
      <c r="K2098" s="9" t="str">
        <f t="shared" si="36"/>
        <v/>
      </c>
      <c r="L2098" s="9" t="str">
        <f t="shared" si="38"/>
        <v/>
      </c>
      <c r="M2098" s="9"/>
      <c r="O2098" s="9"/>
    </row>
    <row r="2099" ht="15.75" customHeight="1">
      <c r="A2099" s="9" t="str">
        <f>IFERROR(__xludf.DUMMYFUNCTION("IF(B2099="""","""",RIGHT(REGEXREPLACE(B2099&amp;"""",""[^0-9]"",""""),9))"),"771223713")</f>
        <v>771223713</v>
      </c>
      <c r="B2099" s="47">
        <v>7.71223713E8</v>
      </c>
      <c r="C2099" s="10" t="s">
        <v>2220</v>
      </c>
      <c r="D2099" s="10" t="s">
        <v>69</v>
      </c>
      <c r="E2099" s="13">
        <v>46229.0</v>
      </c>
      <c r="F2099" s="10" t="s">
        <v>35</v>
      </c>
      <c r="G2099" s="10">
        <v>11.0</v>
      </c>
      <c r="I2099" s="10" t="s">
        <v>22</v>
      </c>
      <c r="J2099" s="9" t="str">
        <f t="shared" si="37"/>
        <v>No</v>
      </c>
      <c r="K2099" s="9" t="str">
        <f t="shared" si="36"/>
        <v/>
      </c>
      <c r="L2099" s="9" t="str">
        <f t="shared" si="38"/>
        <v/>
      </c>
      <c r="M2099" s="9"/>
      <c r="O2099" s="9"/>
    </row>
    <row r="2100" ht="15.75" customHeight="1">
      <c r="A2100" s="9" t="str">
        <f>IFERROR(__xludf.DUMMYFUNCTION("IF(B2100="""","""",RIGHT(REGEXREPLACE(B2100&amp;"""",""[^0-9]"",""""),9))"),"728095496")</f>
        <v>728095496</v>
      </c>
      <c r="B2100" s="48">
        <v>7.28095496E8</v>
      </c>
      <c r="C2100" s="10" t="s">
        <v>2221</v>
      </c>
      <c r="D2100" s="10" t="s">
        <v>34</v>
      </c>
      <c r="E2100" s="13">
        <v>46229.0</v>
      </c>
      <c r="F2100" s="10" t="s">
        <v>35</v>
      </c>
      <c r="G2100" s="10">
        <v>11.0</v>
      </c>
      <c r="I2100" s="10" t="s">
        <v>22</v>
      </c>
      <c r="J2100" s="9" t="str">
        <f t="shared" si="37"/>
        <v>No</v>
      </c>
      <c r="K2100" s="9" t="str">
        <f t="shared" si="36"/>
        <v/>
      </c>
      <c r="L2100" s="9" t="str">
        <f t="shared" si="38"/>
        <v/>
      </c>
      <c r="M2100" s="9"/>
      <c r="O2100" s="9"/>
    </row>
    <row r="2101" ht="15.75" customHeight="1">
      <c r="A2101" s="9" t="str">
        <f>IFERROR(__xludf.DUMMYFUNCTION("IF(B2101="""","""",RIGHT(REGEXREPLACE(B2101&amp;"""",""[^0-9]"",""""),9))"),"776489625")</f>
        <v>776489625</v>
      </c>
      <c r="B2101" s="48">
        <v>7.76489625E8</v>
      </c>
      <c r="C2101" s="10" t="s">
        <v>2222</v>
      </c>
      <c r="D2101" s="10" t="s">
        <v>50</v>
      </c>
      <c r="E2101" s="13">
        <v>46229.0</v>
      </c>
      <c r="F2101" s="10" t="s">
        <v>21</v>
      </c>
      <c r="G2101" s="10">
        <v>11.0</v>
      </c>
      <c r="I2101" s="10" t="s">
        <v>22</v>
      </c>
      <c r="J2101" s="9" t="str">
        <f t="shared" si="37"/>
        <v>No</v>
      </c>
      <c r="K2101" s="9" t="str">
        <f t="shared" si="36"/>
        <v/>
      </c>
      <c r="L2101" s="9" t="str">
        <f t="shared" si="38"/>
        <v/>
      </c>
      <c r="M2101" s="9"/>
      <c r="O2101" s="9"/>
    </row>
    <row r="2102" ht="15.75" customHeight="1">
      <c r="A2102" s="9" t="str">
        <f>IFERROR(__xludf.DUMMYFUNCTION("IF(B2102="""","""",RIGHT(REGEXREPLACE(B2102&amp;"""",""[^0-9]"",""""),9))"),"772181101")</f>
        <v>772181101</v>
      </c>
      <c r="B2102" s="48">
        <v>7.72181101E8</v>
      </c>
      <c r="C2102" s="10" t="s">
        <v>2223</v>
      </c>
      <c r="D2102" s="10" t="s">
        <v>97</v>
      </c>
      <c r="E2102" s="13">
        <v>46229.0</v>
      </c>
      <c r="F2102" s="10" t="s">
        <v>21</v>
      </c>
      <c r="I2102" s="10" t="s">
        <v>22</v>
      </c>
      <c r="J2102" s="9" t="str">
        <f t="shared" si="37"/>
        <v>No</v>
      </c>
      <c r="K2102" s="9" t="str">
        <f t="shared" si="36"/>
        <v/>
      </c>
      <c r="L2102" s="9" t="str">
        <f t="shared" si="38"/>
        <v/>
      </c>
      <c r="M2102" s="9"/>
      <c r="O2102" s="9"/>
    </row>
    <row r="2103" ht="15.75" customHeight="1">
      <c r="A2103" s="9" t="str">
        <f>IFERROR(__xludf.DUMMYFUNCTION("IF(B2103="""","""",RIGHT(REGEXREPLACE(B2103&amp;"""",""[^0-9]"",""""),9))"),"774308841")</f>
        <v>774308841</v>
      </c>
      <c r="B2103" s="48">
        <v>7.74308841E8</v>
      </c>
      <c r="C2103" s="10" t="s">
        <v>2224</v>
      </c>
      <c r="D2103" s="10" t="s">
        <v>50</v>
      </c>
      <c r="E2103" s="13">
        <v>46229.0</v>
      </c>
      <c r="F2103" s="10" t="s">
        <v>35</v>
      </c>
      <c r="G2103" s="10">
        <v>11.0</v>
      </c>
      <c r="I2103" s="10" t="s">
        <v>22</v>
      </c>
      <c r="J2103" s="9" t="str">
        <f t="shared" si="37"/>
        <v>No</v>
      </c>
      <c r="K2103" s="9" t="str">
        <f t="shared" si="36"/>
        <v/>
      </c>
      <c r="L2103" s="9" t="str">
        <f t="shared" si="38"/>
        <v/>
      </c>
      <c r="M2103" s="9"/>
      <c r="O2103" s="9"/>
    </row>
    <row r="2104" ht="15.75" customHeight="1">
      <c r="A2104" s="9" t="str">
        <f>IFERROR(__xludf.DUMMYFUNCTION("IF(B2104="""","""",RIGHT(REGEXREPLACE(B2104&amp;"""",""[^0-9]"",""""),9))"),"775015440")</f>
        <v>775015440</v>
      </c>
      <c r="B2104" s="48">
        <v>7.7501544E8</v>
      </c>
      <c r="C2104" s="10" t="s">
        <v>2225</v>
      </c>
      <c r="D2104" s="10" t="s">
        <v>69</v>
      </c>
      <c r="E2104" s="13">
        <v>46229.0</v>
      </c>
      <c r="F2104" s="10" t="s">
        <v>35</v>
      </c>
      <c r="G2104" s="10">
        <v>11.0</v>
      </c>
      <c r="I2104" s="10" t="s">
        <v>22</v>
      </c>
      <c r="J2104" s="9" t="str">
        <f t="shared" si="37"/>
        <v>No</v>
      </c>
      <c r="K2104" s="9" t="str">
        <f t="shared" si="36"/>
        <v/>
      </c>
      <c r="L2104" s="9" t="str">
        <f t="shared" si="38"/>
        <v/>
      </c>
      <c r="M2104" s="9"/>
      <c r="O2104" s="9"/>
    </row>
    <row r="2105" ht="15.75" customHeight="1">
      <c r="A2105" s="9" t="str">
        <f>IFERROR(__xludf.DUMMYFUNCTION("IF(B2105="""","""",RIGHT(REGEXREPLACE(B2105&amp;"""",""[^0-9]"",""""),9))"),"772927391")</f>
        <v>772927391</v>
      </c>
      <c r="B2105" s="48">
        <v>7.72927391E8</v>
      </c>
      <c r="C2105" s="10" t="s">
        <v>2226</v>
      </c>
      <c r="D2105" s="10" t="s">
        <v>50</v>
      </c>
      <c r="E2105" s="13">
        <v>46229.0</v>
      </c>
      <c r="F2105" s="10" t="s">
        <v>35</v>
      </c>
      <c r="G2105" s="10">
        <v>11.0</v>
      </c>
      <c r="I2105" s="10" t="s">
        <v>22</v>
      </c>
      <c r="J2105" s="9" t="str">
        <f t="shared" si="37"/>
        <v>No</v>
      </c>
      <c r="K2105" s="9" t="str">
        <f t="shared" si="36"/>
        <v/>
      </c>
      <c r="L2105" s="9" t="str">
        <f t="shared" si="38"/>
        <v/>
      </c>
      <c r="M2105" s="9"/>
      <c r="O2105" s="9"/>
    </row>
    <row r="2106" ht="15.75" customHeight="1">
      <c r="A2106" s="9" t="str">
        <f>IFERROR(__xludf.DUMMYFUNCTION("IF(B2106="""","""",RIGHT(REGEXREPLACE(B2106&amp;"""",""[^0-9]"",""""),9))"),"760744528")</f>
        <v>760744528</v>
      </c>
      <c r="B2106" s="48">
        <v>7.60744528E8</v>
      </c>
      <c r="C2106" s="10" t="s">
        <v>2227</v>
      </c>
      <c r="D2106" s="10" t="s">
        <v>34</v>
      </c>
      <c r="E2106" s="13">
        <v>46229.0</v>
      </c>
      <c r="F2106" s="10" t="s">
        <v>35</v>
      </c>
      <c r="G2106" s="10">
        <v>11.0</v>
      </c>
      <c r="I2106" s="10" t="s">
        <v>22</v>
      </c>
      <c r="J2106" s="9" t="str">
        <f t="shared" si="37"/>
        <v>No</v>
      </c>
      <c r="K2106" s="9" t="str">
        <f t="shared" si="36"/>
        <v/>
      </c>
      <c r="L2106" s="9" t="str">
        <f t="shared" si="38"/>
        <v/>
      </c>
      <c r="M2106" s="9"/>
      <c r="O2106" s="9"/>
    </row>
    <row r="2107" ht="15.75" customHeight="1">
      <c r="A2107" s="9" t="str">
        <f>IFERROR(__xludf.DUMMYFUNCTION("IF(B2107="""","""",RIGHT(REGEXREPLACE(B2107&amp;"""",""[^0-9]"",""""),9))"),"778571116")</f>
        <v>778571116</v>
      </c>
      <c r="B2107" s="48">
        <v>7.78571116E8</v>
      </c>
      <c r="C2107" s="10" t="s">
        <v>2228</v>
      </c>
      <c r="D2107" s="10" t="s">
        <v>97</v>
      </c>
      <c r="E2107" s="13">
        <v>46229.0</v>
      </c>
      <c r="F2107" s="10" t="s">
        <v>35</v>
      </c>
      <c r="G2107" s="10">
        <v>11.0</v>
      </c>
      <c r="I2107" s="10" t="s">
        <v>22</v>
      </c>
      <c r="J2107" s="9" t="str">
        <f t="shared" si="37"/>
        <v>No</v>
      </c>
      <c r="K2107" s="9" t="str">
        <f t="shared" si="36"/>
        <v/>
      </c>
      <c r="L2107" s="9" t="str">
        <f t="shared" si="38"/>
        <v/>
      </c>
      <c r="M2107" s="9"/>
      <c r="O2107" s="9"/>
    </row>
    <row r="2108" ht="15.75" customHeight="1">
      <c r="A2108" s="9" t="str">
        <f>IFERROR(__xludf.DUMMYFUNCTION("IF(B2108="""","""",RIGHT(REGEXREPLACE(B2108&amp;"""",""[^0-9]"",""""),9))"),"743013701")</f>
        <v>743013701</v>
      </c>
      <c r="B2108" s="48">
        <v>7.43013701E8</v>
      </c>
      <c r="C2108" s="10" t="s">
        <v>2229</v>
      </c>
      <c r="D2108" s="10" t="s">
        <v>50</v>
      </c>
      <c r="E2108" s="13">
        <v>46229.0</v>
      </c>
      <c r="F2108" s="10" t="s">
        <v>35</v>
      </c>
      <c r="G2108" s="10">
        <v>10.0</v>
      </c>
      <c r="I2108" s="10" t="s">
        <v>22</v>
      </c>
      <c r="J2108" s="9" t="str">
        <f t="shared" si="37"/>
        <v>No</v>
      </c>
      <c r="K2108" s="9" t="str">
        <f t="shared" si="36"/>
        <v/>
      </c>
      <c r="L2108" s="9" t="str">
        <f t="shared" si="38"/>
        <v/>
      </c>
      <c r="M2108" s="9"/>
      <c r="O2108" s="9"/>
    </row>
    <row r="2109" ht="15.75" customHeight="1">
      <c r="A2109" s="9" t="str">
        <f>IFERROR(__xludf.DUMMYFUNCTION("IF(B2109="""","""",RIGHT(REGEXREPLACE(B2109&amp;"""",""[^0-9]"",""""),9))"),"775068642")</f>
        <v>775068642</v>
      </c>
      <c r="B2109" s="48">
        <v>7.75068642E8</v>
      </c>
      <c r="C2109" s="10" t="s">
        <v>2230</v>
      </c>
      <c r="D2109" s="10" t="s">
        <v>69</v>
      </c>
      <c r="E2109" s="13">
        <v>46229.0</v>
      </c>
      <c r="F2109" s="10" t="s">
        <v>604</v>
      </c>
      <c r="G2109" s="10">
        <v>11.0</v>
      </c>
      <c r="I2109" s="10" t="s">
        <v>22</v>
      </c>
      <c r="J2109" s="9" t="str">
        <f t="shared" si="37"/>
        <v>No</v>
      </c>
      <c r="K2109" s="9" t="str">
        <f t="shared" si="36"/>
        <v/>
      </c>
      <c r="L2109" s="9" t="str">
        <f t="shared" si="38"/>
        <v/>
      </c>
      <c r="M2109" s="9"/>
      <c r="O2109" s="9"/>
    </row>
    <row r="2110" ht="15.75" customHeight="1">
      <c r="A2110" s="9" t="str">
        <f>IFERROR(__xludf.DUMMYFUNCTION("IF(B2110="""","""",RIGHT(REGEXREPLACE(B2110&amp;"""",""[^0-9]"",""""),9))"),"776160553")</f>
        <v>776160553</v>
      </c>
      <c r="B2110" s="48">
        <v>7.76160553E8</v>
      </c>
      <c r="C2110" s="10" t="s">
        <v>2231</v>
      </c>
      <c r="D2110" s="10" t="s">
        <v>97</v>
      </c>
      <c r="E2110" s="13">
        <v>46229.0</v>
      </c>
      <c r="F2110" s="10" t="s">
        <v>35</v>
      </c>
      <c r="G2110" s="10">
        <v>11.0</v>
      </c>
      <c r="H2110" s="10" t="s">
        <v>2216</v>
      </c>
      <c r="I2110" s="10" t="s">
        <v>22</v>
      </c>
      <c r="J2110" s="9" t="str">
        <f t="shared" si="37"/>
        <v>No</v>
      </c>
      <c r="K2110" s="9" t="str">
        <f t="shared" si="36"/>
        <v/>
      </c>
      <c r="L2110" s="9" t="str">
        <f t="shared" si="38"/>
        <v/>
      </c>
      <c r="M2110" s="9"/>
      <c r="O2110" s="9"/>
    </row>
    <row r="2111" ht="15.75" customHeight="1">
      <c r="A2111" s="9" t="str">
        <f>IFERROR(__xludf.DUMMYFUNCTION("IF(B2111="""","""",RIGHT(REGEXREPLACE(B2111&amp;"""",""[^0-9]"",""""),9))"),"763900008")</f>
        <v>763900008</v>
      </c>
      <c r="B2111" s="48">
        <v>7.63900008E8</v>
      </c>
      <c r="C2111" s="10" t="s">
        <v>2232</v>
      </c>
      <c r="D2111" s="10" t="s">
        <v>50</v>
      </c>
      <c r="E2111" s="13">
        <v>46229.0</v>
      </c>
      <c r="F2111" s="10" t="s">
        <v>21</v>
      </c>
      <c r="G2111" s="10">
        <v>11.0</v>
      </c>
      <c r="I2111" s="10" t="s">
        <v>22</v>
      </c>
      <c r="J2111" s="9" t="str">
        <f t="shared" si="37"/>
        <v>No</v>
      </c>
      <c r="K2111" s="9" t="str">
        <f t="shared" si="36"/>
        <v/>
      </c>
      <c r="L2111" s="9" t="str">
        <f t="shared" si="38"/>
        <v/>
      </c>
      <c r="M2111" s="9"/>
      <c r="O2111" s="9"/>
    </row>
    <row r="2112" ht="15.75" customHeight="1">
      <c r="A2112" s="9" t="str">
        <f>IFERROR(__xludf.DUMMYFUNCTION("IF(B2112="""","""",RIGHT(REGEXREPLACE(B2112&amp;"""",""[^0-9]"",""""),9))"),"777731256")</f>
        <v>777731256</v>
      </c>
      <c r="B2112" s="48">
        <v>7.77731256E8</v>
      </c>
      <c r="C2112" s="10" t="s">
        <v>2233</v>
      </c>
      <c r="D2112" s="10" t="s">
        <v>97</v>
      </c>
      <c r="E2112" s="13">
        <v>46229.0</v>
      </c>
      <c r="F2112" s="10" t="s">
        <v>21</v>
      </c>
      <c r="G2112" s="10">
        <v>11.0</v>
      </c>
      <c r="I2112" s="10" t="s">
        <v>22</v>
      </c>
      <c r="J2112" s="9" t="str">
        <f t="shared" si="37"/>
        <v>No</v>
      </c>
      <c r="K2112" s="9" t="str">
        <f t="shared" si="36"/>
        <v/>
      </c>
      <c r="L2112" s="9" t="str">
        <f t="shared" si="38"/>
        <v/>
      </c>
      <c r="M2112" s="9"/>
      <c r="O2112" s="9"/>
    </row>
    <row r="2113" ht="15.75" customHeight="1">
      <c r="A2113" s="9" t="str">
        <f>IFERROR(__xludf.DUMMYFUNCTION("IF(B2113="""","""",RIGHT(REGEXREPLACE(B2113&amp;"""",""[^0-9]"",""""),9))"),"741306525")</f>
        <v>741306525</v>
      </c>
      <c r="B2113" s="48">
        <v>7.41306525E8</v>
      </c>
      <c r="C2113" s="10" t="s">
        <v>2234</v>
      </c>
      <c r="D2113" s="10" t="s">
        <v>50</v>
      </c>
      <c r="E2113" s="13">
        <v>46229.0</v>
      </c>
      <c r="F2113" s="10" t="s">
        <v>21</v>
      </c>
      <c r="G2113" s="10">
        <v>11.0</v>
      </c>
      <c r="I2113" s="10" t="s">
        <v>22</v>
      </c>
      <c r="J2113" s="9" t="str">
        <f t="shared" si="37"/>
        <v>No</v>
      </c>
      <c r="K2113" s="9" t="str">
        <f t="shared" si="36"/>
        <v/>
      </c>
      <c r="L2113" s="9" t="str">
        <f t="shared" si="38"/>
        <v/>
      </c>
      <c r="M2113" s="9"/>
      <c r="O2113" s="9"/>
    </row>
    <row r="2114" ht="15.75" customHeight="1">
      <c r="A2114" s="9" t="str">
        <f>IFERROR(__xludf.DUMMYFUNCTION("IF(B2114="""","""",RIGHT(REGEXREPLACE(B2114&amp;"""",""[^0-9]"",""""),9))"),"742567439")</f>
        <v>742567439</v>
      </c>
      <c r="B2114" s="48">
        <v>7.42567439E8</v>
      </c>
      <c r="C2114" s="10" t="s">
        <v>2235</v>
      </c>
      <c r="D2114" s="10" t="s">
        <v>69</v>
      </c>
      <c r="E2114" s="13">
        <v>46229.0</v>
      </c>
      <c r="F2114" s="10" t="s">
        <v>35</v>
      </c>
      <c r="G2114" s="10">
        <v>10.0</v>
      </c>
      <c r="I2114" s="10" t="s">
        <v>22</v>
      </c>
      <c r="J2114" s="9" t="str">
        <f t="shared" si="37"/>
        <v>No</v>
      </c>
      <c r="K2114" s="9" t="str">
        <f t="shared" si="36"/>
        <v/>
      </c>
      <c r="L2114" s="9" t="str">
        <f t="shared" si="38"/>
        <v/>
      </c>
      <c r="M2114" s="9"/>
      <c r="O2114" s="9"/>
    </row>
    <row r="2115" ht="15.75" customHeight="1">
      <c r="A2115" s="9" t="str">
        <f>IFERROR(__xludf.DUMMYFUNCTION("IF(B2115="""","""",RIGHT(REGEXREPLACE(B2115&amp;"""",""[^0-9]"",""""),9))"),"724395007")</f>
        <v>724395007</v>
      </c>
      <c r="B2115" s="48">
        <v>7.24395007E8</v>
      </c>
      <c r="C2115" s="10" t="s">
        <v>2236</v>
      </c>
      <c r="D2115" s="10" t="s">
        <v>97</v>
      </c>
      <c r="E2115" s="13">
        <v>46229.0</v>
      </c>
      <c r="F2115" s="10" t="s">
        <v>35</v>
      </c>
      <c r="G2115" s="10">
        <v>11.0</v>
      </c>
      <c r="I2115" s="10" t="s">
        <v>22</v>
      </c>
      <c r="J2115" s="9" t="str">
        <f t="shared" si="37"/>
        <v>No</v>
      </c>
      <c r="K2115" s="9" t="str">
        <f t="shared" si="36"/>
        <v/>
      </c>
      <c r="L2115" s="9" t="str">
        <f t="shared" si="38"/>
        <v/>
      </c>
      <c r="M2115" s="9"/>
      <c r="O2115" s="9"/>
    </row>
    <row r="2116" ht="15.75" customHeight="1">
      <c r="A2116" s="9" t="str">
        <f>IFERROR(__xludf.DUMMYFUNCTION("IF(B2116="""","""",RIGHT(REGEXREPLACE(B2116&amp;"""",""[^0-9]"",""""),9))"),"718406427")</f>
        <v>718406427</v>
      </c>
      <c r="B2116" s="48">
        <v>7.18406427E8</v>
      </c>
      <c r="C2116" s="10" t="s">
        <v>2237</v>
      </c>
      <c r="D2116" s="10" t="s">
        <v>50</v>
      </c>
      <c r="E2116" s="13">
        <v>46229.0</v>
      </c>
      <c r="F2116" s="10" t="s">
        <v>171</v>
      </c>
      <c r="I2116" s="10" t="s">
        <v>22</v>
      </c>
      <c r="J2116" s="9" t="str">
        <f t="shared" si="37"/>
        <v>No</v>
      </c>
      <c r="K2116" s="9" t="str">
        <f t="shared" si="36"/>
        <v/>
      </c>
      <c r="L2116" s="9" t="str">
        <f t="shared" si="38"/>
        <v/>
      </c>
      <c r="M2116" s="9"/>
      <c r="O2116" s="9"/>
    </row>
    <row r="2117" ht="15.75" customHeight="1">
      <c r="A2117" s="9" t="str">
        <f>IFERROR(__xludf.DUMMYFUNCTION("IF(B2117="""","""",RIGHT(REGEXREPLACE(B2117&amp;"""",""[^0-9]"",""""),9))"),"761764354")</f>
        <v>761764354</v>
      </c>
      <c r="B2117" s="48">
        <v>7.61764354E8</v>
      </c>
      <c r="C2117" s="10" t="s">
        <v>2238</v>
      </c>
      <c r="D2117" s="10" t="s">
        <v>69</v>
      </c>
      <c r="E2117" s="13">
        <v>46229.0</v>
      </c>
      <c r="F2117" s="10" t="s">
        <v>35</v>
      </c>
      <c r="G2117" s="10">
        <v>11.0</v>
      </c>
      <c r="I2117" s="10" t="s">
        <v>22</v>
      </c>
      <c r="J2117" s="9" t="str">
        <f t="shared" si="37"/>
        <v>No</v>
      </c>
      <c r="K2117" s="9" t="str">
        <f t="shared" si="36"/>
        <v/>
      </c>
      <c r="L2117" s="9" t="str">
        <f t="shared" si="38"/>
        <v/>
      </c>
      <c r="M2117" s="9"/>
      <c r="O2117" s="9"/>
    </row>
    <row r="2118" ht="15.75" customHeight="1">
      <c r="A2118" s="9" t="str">
        <f>IFERROR(__xludf.DUMMYFUNCTION("IF(B2118="""","""",RIGHT(REGEXREPLACE(B2118&amp;"""",""[^0-9]"",""""),9))"),"768104094")</f>
        <v>768104094</v>
      </c>
      <c r="B2118" s="48">
        <v>7.68104094E8</v>
      </c>
      <c r="C2118" s="10" t="s">
        <v>2239</v>
      </c>
      <c r="D2118" s="10" t="s">
        <v>97</v>
      </c>
      <c r="E2118" s="13">
        <v>46229.0</v>
      </c>
      <c r="F2118" s="10" t="s">
        <v>35</v>
      </c>
      <c r="G2118" s="10">
        <v>11.0</v>
      </c>
      <c r="I2118" s="10" t="s">
        <v>22</v>
      </c>
      <c r="J2118" s="9" t="str">
        <f t="shared" si="37"/>
        <v>No</v>
      </c>
      <c r="K2118" s="9" t="str">
        <f t="shared" si="36"/>
        <v/>
      </c>
      <c r="L2118" s="9" t="str">
        <f t="shared" si="38"/>
        <v/>
      </c>
      <c r="M2118" s="9"/>
      <c r="O2118" s="9"/>
    </row>
    <row r="2119" ht="15.75" customHeight="1">
      <c r="A2119" s="9" t="str">
        <f>IFERROR(__xludf.DUMMYFUNCTION("IF(B2119="""","""",RIGHT(REGEXREPLACE(B2119&amp;"""",""[^0-9]"",""""),9))"),"775996647")</f>
        <v>775996647</v>
      </c>
      <c r="B2119" s="48">
        <v>7.75996647E8</v>
      </c>
      <c r="C2119" s="10" t="s">
        <v>2240</v>
      </c>
      <c r="D2119" s="10" t="s">
        <v>50</v>
      </c>
      <c r="E2119" s="13">
        <v>46229.0</v>
      </c>
      <c r="F2119" s="10" t="s">
        <v>35</v>
      </c>
      <c r="G2119" s="10">
        <v>11.0</v>
      </c>
      <c r="I2119" s="10" t="s">
        <v>22</v>
      </c>
      <c r="J2119" s="9" t="str">
        <f t="shared" si="37"/>
        <v>No</v>
      </c>
      <c r="K2119" s="9" t="str">
        <f t="shared" si="36"/>
        <v/>
      </c>
      <c r="L2119" s="9" t="str">
        <f t="shared" si="38"/>
        <v/>
      </c>
      <c r="M2119" s="9"/>
      <c r="O2119" s="9"/>
    </row>
    <row r="2120" ht="15.75" customHeight="1">
      <c r="A2120" s="9" t="str">
        <f>IFERROR(__xludf.DUMMYFUNCTION("IF(B2120="""","""",RIGHT(REGEXREPLACE(B2120&amp;"""",""[^0-9]"",""""),9))"),"720675314")</f>
        <v>720675314</v>
      </c>
      <c r="B2120" s="48">
        <v>7.20675314E8</v>
      </c>
      <c r="C2120" s="10" t="s">
        <v>1556</v>
      </c>
      <c r="D2120" s="10" t="s">
        <v>69</v>
      </c>
      <c r="E2120" s="13">
        <v>46229.0</v>
      </c>
      <c r="F2120" s="10" t="s">
        <v>21</v>
      </c>
      <c r="I2120" s="10" t="s">
        <v>22</v>
      </c>
      <c r="J2120" s="9" t="str">
        <f t="shared" si="37"/>
        <v>No</v>
      </c>
      <c r="K2120" s="9" t="str">
        <f t="shared" si="36"/>
        <v/>
      </c>
      <c r="L2120" s="9" t="str">
        <f t="shared" si="38"/>
        <v/>
      </c>
      <c r="M2120" s="9"/>
      <c r="O2120" s="9"/>
    </row>
    <row r="2121" ht="15.75" customHeight="1">
      <c r="A2121" s="9" t="str">
        <f>IFERROR(__xludf.DUMMYFUNCTION("IF(B2121="""","""",RIGHT(REGEXREPLACE(B2121&amp;"""",""[^0-9]"",""""),9))"),"769068428")</f>
        <v>769068428</v>
      </c>
      <c r="B2121" s="48">
        <v>7.69068428E8</v>
      </c>
      <c r="C2121" s="10" t="s">
        <v>2241</v>
      </c>
      <c r="D2121" s="10" t="s">
        <v>97</v>
      </c>
      <c r="E2121" s="13">
        <v>46229.0</v>
      </c>
      <c r="F2121" s="10" t="s">
        <v>21</v>
      </c>
      <c r="G2121" s="10">
        <v>10.0</v>
      </c>
      <c r="I2121" s="10" t="s">
        <v>22</v>
      </c>
      <c r="J2121" s="9" t="str">
        <f t="shared" si="37"/>
        <v>No</v>
      </c>
      <c r="K2121" s="9" t="str">
        <f t="shared" si="36"/>
        <v/>
      </c>
      <c r="L2121" s="9" t="str">
        <f t="shared" si="38"/>
        <v/>
      </c>
      <c r="M2121" s="9"/>
      <c r="O2121" s="9"/>
    </row>
    <row r="2122" ht="15.75" customHeight="1">
      <c r="A2122" s="9" t="str">
        <f>IFERROR(__xludf.DUMMYFUNCTION("IF(B2122="""","""",RIGHT(REGEXREPLACE(B2122&amp;"""",""[^0-9]"",""""),9))"),"777831955")</f>
        <v>777831955</v>
      </c>
      <c r="B2122" s="48">
        <v>7.77831955E8</v>
      </c>
      <c r="C2122" s="10" t="s">
        <v>2242</v>
      </c>
      <c r="D2122" s="10" t="s">
        <v>50</v>
      </c>
      <c r="E2122" s="13">
        <v>46229.0</v>
      </c>
      <c r="F2122" s="10" t="s">
        <v>35</v>
      </c>
      <c r="G2122" s="10">
        <v>11.0</v>
      </c>
      <c r="I2122" s="10" t="s">
        <v>22</v>
      </c>
      <c r="J2122" s="9" t="str">
        <f t="shared" si="37"/>
        <v>No</v>
      </c>
      <c r="K2122" s="9" t="str">
        <f t="shared" si="36"/>
        <v/>
      </c>
      <c r="L2122" s="9" t="str">
        <f t="shared" si="38"/>
        <v/>
      </c>
      <c r="M2122" s="9"/>
      <c r="O2122" s="9"/>
    </row>
    <row r="2123" ht="15.75" customHeight="1">
      <c r="A2123" s="9" t="str">
        <f>IFERROR(__xludf.DUMMYFUNCTION("IF(B2123="""","""",RIGHT(REGEXREPLACE(B2123&amp;"""",""[^0-9]"",""""),9))"),"718074170")</f>
        <v>718074170</v>
      </c>
      <c r="B2123" s="48">
        <v>7.1807417E8</v>
      </c>
      <c r="C2123" s="10" t="s">
        <v>2243</v>
      </c>
      <c r="D2123" s="10" t="s">
        <v>97</v>
      </c>
      <c r="E2123" s="13">
        <v>46229.0</v>
      </c>
      <c r="F2123" s="10" t="s">
        <v>35</v>
      </c>
      <c r="G2123" s="10">
        <v>11.0</v>
      </c>
      <c r="I2123" s="10" t="s">
        <v>22</v>
      </c>
      <c r="J2123" s="9" t="str">
        <f t="shared" si="37"/>
        <v>No</v>
      </c>
      <c r="K2123" s="9" t="str">
        <f t="shared" si="36"/>
        <v/>
      </c>
      <c r="L2123" s="9" t="str">
        <f t="shared" si="38"/>
        <v/>
      </c>
      <c r="M2123" s="9"/>
      <c r="O2123" s="9"/>
    </row>
    <row r="2124" ht="15.75" customHeight="1">
      <c r="A2124" s="9" t="str">
        <f>IFERROR(__xludf.DUMMYFUNCTION("IF(B2124="""","""",RIGHT(REGEXREPLACE(B2124&amp;"""",""[^0-9]"",""""),9))"),"767744463")</f>
        <v>767744463</v>
      </c>
      <c r="B2124" s="48">
        <v>7.67744463E8</v>
      </c>
      <c r="C2124" s="10" t="s">
        <v>2244</v>
      </c>
      <c r="D2124" s="10" t="s">
        <v>50</v>
      </c>
      <c r="E2124" s="13">
        <v>46229.0</v>
      </c>
      <c r="F2124" s="10" t="s">
        <v>35</v>
      </c>
      <c r="G2124" s="10">
        <v>11.0</v>
      </c>
      <c r="I2124" s="10" t="s">
        <v>22</v>
      </c>
      <c r="J2124" s="9" t="str">
        <f t="shared" si="37"/>
        <v>No</v>
      </c>
      <c r="K2124" s="9" t="str">
        <f t="shared" si="36"/>
        <v/>
      </c>
      <c r="L2124" s="9" t="str">
        <f t="shared" si="38"/>
        <v/>
      </c>
      <c r="M2124" s="9"/>
      <c r="O2124" s="9"/>
    </row>
    <row r="2125" ht="15.75" customHeight="1">
      <c r="A2125" s="9" t="str">
        <f>IFERROR(__xludf.DUMMYFUNCTION("IF(B2125="""","""",RIGHT(REGEXREPLACE(B2125&amp;"""",""[^0-9]"",""""),9))"),"772796280")</f>
        <v>772796280</v>
      </c>
      <c r="B2125" s="48">
        <v>7.7279628E8</v>
      </c>
      <c r="C2125" s="10" t="s">
        <v>2245</v>
      </c>
      <c r="D2125" s="10" t="s">
        <v>69</v>
      </c>
      <c r="E2125" s="13">
        <v>46229.0</v>
      </c>
      <c r="F2125" s="10" t="s">
        <v>21</v>
      </c>
      <c r="G2125" s="10">
        <v>11.0</v>
      </c>
      <c r="I2125" s="10" t="s">
        <v>22</v>
      </c>
      <c r="J2125" s="9" t="str">
        <f t="shared" si="37"/>
        <v>No</v>
      </c>
      <c r="K2125" s="9" t="str">
        <f t="shared" si="36"/>
        <v/>
      </c>
      <c r="L2125" s="9" t="str">
        <f t="shared" si="38"/>
        <v/>
      </c>
      <c r="M2125" s="9"/>
      <c r="O2125" s="9"/>
    </row>
    <row r="2126" ht="15.75" customHeight="1">
      <c r="A2126" s="9" t="str">
        <f>IFERROR(__xludf.DUMMYFUNCTION("IF(B2126="""","""",RIGHT(REGEXREPLACE(B2126&amp;"""",""[^0-9]"",""""),9))"),"774704815")</f>
        <v>774704815</v>
      </c>
      <c r="B2126" s="48">
        <v>7.74704815E8</v>
      </c>
      <c r="C2126" s="10" t="s">
        <v>2246</v>
      </c>
      <c r="D2126" s="10" t="s">
        <v>50</v>
      </c>
      <c r="E2126" s="13">
        <v>46229.0</v>
      </c>
      <c r="F2126" s="10" t="s">
        <v>35</v>
      </c>
      <c r="G2126" s="10">
        <v>11.0</v>
      </c>
      <c r="I2126" s="10" t="s">
        <v>22</v>
      </c>
      <c r="J2126" s="9" t="str">
        <f t="shared" si="37"/>
        <v>No</v>
      </c>
      <c r="K2126" s="9" t="str">
        <f t="shared" si="36"/>
        <v/>
      </c>
      <c r="L2126" s="9" t="str">
        <f t="shared" si="38"/>
        <v/>
      </c>
      <c r="M2126" s="9"/>
      <c r="O2126" s="9"/>
    </row>
    <row r="2127" ht="15.75" customHeight="1">
      <c r="A2127" s="9" t="str">
        <f>IFERROR(__xludf.DUMMYFUNCTION("IF(B2127="""","""",RIGHT(REGEXREPLACE(B2127&amp;"""",""[^0-9]"",""""),9))"),"714223423")</f>
        <v>714223423</v>
      </c>
      <c r="B2127" s="48">
        <v>7.14223423E8</v>
      </c>
      <c r="C2127" s="10" t="s">
        <v>2247</v>
      </c>
      <c r="D2127" s="10" t="s">
        <v>97</v>
      </c>
      <c r="E2127" s="13">
        <v>46229.0</v>
      </c>
      <c r="F2127" s="10" t="s">
        <v>35</v>
      </c>
      <c r="G2127" s="10" t="s">
        <v>2248</v>
      </c>
      <c r="I2127" s="10" t="s">
        <v>22</v>
      </c>
      <c r="J2127" s="9" t="str">
        <f t="shared" si="37"/>
        <v>No</v>
      </c>
      <c r="K2127" s="9" t="str">
        <f t="shared" si="36"/>
        <v/>
      </c>
      <c r="L2127" s="9" t="str">
        <f t="shared" si="38"/>
        <v/>
      </c>
      <c r="M2127" s="9"/>
      <c r="O2127" s="9"/>
    </row>
    <row r="2128" ht="15.75" customHeight="1">
      <c r="A2128" s="9" t="str">
        <f>IFERROR(__xludf.DUMMYFUNCTION("IF(B2128="""","""",RIGHT(REGEXREPLACE(B2128&amp;"""",""[^0-9]"",""""),9))"),"788282351")</f>
        <v>788282351</v>
      </c>
      <c r="B2128" s="48">
        <v>7.88282351E8</v>
      </c>
      <c r="C2128" s="10" t="s">
        <v>2249</v>
      </c>
      <c r="D2128" s="10" t="s">
        <v>50</v>
      </c>
      <c r="E2128" s="13">
        <v>46229.0</v>
      </c>
      <c r="F2128" s="10" t="s">
        <v>35</v>
      </c>
      <c r="G2128" s="10">
        <v>10.0</v>
      </c>
      <c r="H2128" s="10" t="s">
        <v>238</v>
      </c>
      <c r="I2128" s="10" t="s">
        <v>22</v>
      </c>
      <c r="J2128" s="9" t="str">
        <f t="shared" si="37"/>
        <v>No</v>
      </c>
      <c r="K2128" s="9" t="str">
        <f t="shared" si="36"/>
        <v/>
      </c>
      <c r="L2128" s="9" t="str">
        <f t="shared" si="38"/>
        <v/>
      </c>
      <c r="M2128" s="9"/>
      <c r="O2128" s="9"/>
    </row>
    <row r="2129" ht="15.75" customHeight="1">
      <c r="A2129" s="9" t="str">
        <f>IFERROR(__xludf.DUMMYFUNCTION("IF(B2129="""","""",RIGHT(REGEXREPLACE(B2129&amp;"""",""[^0-9]"",""""),9))"),"764063937")</f>
        <v>764063937</v>
      </c>
      <c r="B2129" s="48">
        <v>7.64063937E8</v>
      </c>
      <c r="C2129" s="10" t="s">
        <v>2250</v>
      </c>
      <c r="D2129" s="10" t="s">
        <v>69</v>
      </c>
      <c r="E2129" s="13">
        <v>46229.0</v>
      </c>
      <c r="F2129" s="10" t="s">
        <v>21</v>
      </c>
      <c r="G2129" s="10">
        <v>11.0</v>
      </c>
      <c r="I2129" s="10" t="s">
        <v>22</v>
      </c>
      <c r="J2129" s="9" t="str">
        <f t="shared" si="37"/>
        <v>No</v>
      </c>
      <c r="K2129" s="9" t="str">
        <f t="shared" si="36"/>
        <v/>
      </c>
      <c r="L2129" s="9" t="str">
        <f t="shared" si="38"/>
        <v/>
      </c>
      <c r="M2129" s="9"/>
      <c r="O2129" s="9"/>
    </row>
    <row r="2130" ht="15.75" customHeight="1">
      <c r="A2130" s="9" t="str">
        <f>IFERROR(__xludf.DUMMYFUNCTION("IF(B2130="""","""",RIGHT(REGEXREPLACE(B2130&amp;"""",""[^0-9]"",""""),9))"),"740938891")</f>
        <v>740938891</v>
      </c>
      <c r="B2130" s="48">
        <v>7.40938891E8</v>
      </c>
      <c r="C2130" s="10" t="s">
        <v>2251</v>
      </c>
      <c r="D2130" s="10" t="s">
        <v>50</v>
      </c>
      <c r="E2130" s="13">
        <v>46229.0</v>
      </c>
      <c r="F2130" s="10" t="s">
        <v>21</v>
      </c>
      <c r="I2130" s="10" t="s">
        <v>22</v>
      </c>
      <c r="J2130" s="9" t="str">
        <f t="shared" si="37"/>
        <v>No</v>
      </c>
      <c r="K2130" s="9" t="str">
        <f t="shared" si="36"/>
        <v/>
      </c>
      <c r="L2130" s="9" t="str">
        <f t="shared" si="38"/>
        <v/>
      </c>
      <c r="M2130" s="9"/>
      <c r="O2130" s="9"/>
    </row>
    <row r="2131" ht="15.75" customHeight="1">
      <c r="A2131" s="9" t="str">
        <f>IFERROR(__xludf.DUMMYFUNCTION("IF(B2131="""","""",RIGHT(REGEXREPLACE(B2131&amp;"""",""[^0-9]"",""""),9))"),"778163461")</f>
        <v>778163461</v>
      </c>
      <c r="B2131" s="48">
        <v>7.78163461E8</v>
      </c>
      <c r="C2131" s="10" t="s">
        <v>2252</v>
      </c>
      <c r="D2131" s="10" t="s">
        <v>50</v>
      </c>
      <c r="E2131" s="13">
        <v>46229.0</v>
      </c>
      <c r="F2131" s="10" t="s">
        <v>198</v>
      </c>
      <c r="G2131" s="10">
        <v>11.0</v>
      </c>
      <c r="I2131" s="10" t="s">
        <v>22</v>
      </c>
      <c r="J2131" s="9" t="str">
        <f t="shared" si="37"/>
        <v>No</v>
      </c>
      <c r="K2131" s="9" t="str">
        <f t="shared" si="36"/>
        <v/>
      </c>
      <c r="L2131" s="9" t="str">
        <f t="shared" si="38"/>
        <v/>
      </c>
      <c r="M2131" s="9"/>
      <c r="O2131" s="9"/>
    </row>
    <row r="2132" ht="15.75" customHeight="1">
      <c r="A2132" s="9" t="str">
        <f>IFERROR(__xludf.DUMMYFUNCTION("IF(B2132="""","""",RIGHT(REGEXREPLACE(B2132&amp;"""",""[^0-9]"",""""),9))"),"707477430")</f>
        <v>707477430</v>
      </c>
      <c r="B2132" s="48">
        <v>7.0747743E8</v>
      </c>
      <c r="C2132" s="10" t="s">
        <v>2253</v>
      </c>
      <c r="D2132" s="10" t="s">
        <v>97</v>
      </c>
      <c r="E2132" s="13">
        <v>46229.0</v>
      </c>
      <c r="F2132" s="10" t="s">
        <v>21</v>
      </c>
      <c r="G2132" s="10">
        <v>11.0</v>
      </c>
      <c r="I2132" s="10" t="s">
        <v>22</v>
      </c>
      <c r="J2132" s="9" t="str">
        <f t="shared" si="37"/>
        <v>No</v>
      </c>
      <c r="K2132" s="9" t="str">
        <f t="shared" si="36"/>
        <v/>
      </c>
      <c r="L2132" s="9" t="str">
        <f t="shared" si="38"/>
        <v/>
      </c>
      <c r="M2132" s="9"/>
      <c r="O2132" s="9"/>
    </row>
    <row r="2133" ht="15.75" customHeight="1">
      <c r="A2133" s="9" t="str">
        <f>IFERROR(__xludf.DUMMYFUNCTION("IF(B2133="""","""",RIGHT(REGEXREPLACE(B2133&amp;"""",""[^0-9]"",""""),9))"),"766179966")</f>
        <v>766179966</v>
      </c>
      <c r="B2133" s="48">
        <v>7.66179966E8</v>
      </c>
      <c r="C2133" s="10" t="s">
        <v>2254</v>
      </c>
      <c r="D2133" s="10" t="s">
        <v>69</v>
      </c>
      <c r="E2133" s="13">
        <v>46229.0</v>
      </c>
      <c r="F2133" s="10" t="s">
        <v>21</v>
      </c>
      <c r="G2133" s="10">
        <v>11.0</v>
      </c>
      <c r="I2133" s="10" t="s">
        <v>22</v>
      </c>
      <c r="J2133" s="9" t="str">
        <f t="shared" si="37"/>
        <v>No</v>
      </c>
      <c r="K2133" s="9" t="str">
        <f t="shared" si="36"/>
        <v/>
      </c>
      <c r="L2133" s="9" t="str">
        <f t="shared" si="38"/>
        <v/>
      </c>
      <c r="M2133" s="9"/>
      <c r="O2133" s="9"/>
    </row>
    <row r="2134" ht="15.75" customHeight="1">
      <c r="A2134" s="9" t="str">
        <f>IFERROR(__xludf.DUMMYFUNCTION("IF(B2134="""","""",RIGHT(REGEXREPLACE(B2134&amp;"""",""[^0-9]"",""""),9))"),"772063338")</f>
        <v>772063338</v>
      </c>
      <c r="B2134" s="48">
        <v>7.72063338E8</v>
      </c>
      <c r="C2134" s="10" t="s">
        <v>2255</v>
      </c>
      <c r="D2134" s="10" t="s">
        <v>50</v>
      </c>
      <c r="E2134" s="13">
        <v>46229.0</v>
      </c>
      <c r="F2134" s="10" t="s">
        <v>35</v>
      </c>
      <c r="G2134" s="10">
        <v>11.0</v>
      </c>
      <c r="I2134" s="10" t="s">
        <v>22</v>
      </c>
      <c r="J2134" s="9" t="str">
        <f t="shared" si="37"/>
        <v>No</v>
      </c>
      <c r="K2134" s="9" t="str">
        <f t="shared" si="36"/>
        <v/>
      </c>
      <c r="L2134" s="9" t="str">
        <f t="shared" si="38"/>
        <v/>
      </c>
      <c r="M2134" s="9"/>
      <c r="O2134" s="9"/>
    </row>
    <row r="2135" ht="15.75" customHeight="1">
      <c r="A2135" s="9" t="str">
        <f>IFERROR(__xludf.DUMMYFUNCTION("IF(B2135="""","""",RIGHT(REGEXREPLACE(B2135&amp;"""",""[^0-9]"",""""),9))"),"786657610")</f>
        <v>786657610</v>
      </c>
      <c r="B2135" s="48">
        <v>7.8665761E8</v>
      </c>
      <c r="C2135" s="10" t="s">
        <v>2256</v>
      </c>
      <c r="D2135" s="10" t="s">
        <v>97</v>
      </c>
      <c r="E2135" s="13">
        <v>46229.0</v>
      </c>
      <c r="F2135" s="10" t="s">
        <v>21</v>
      </c>
      <c r="I2135" s="10" t="s">
        <v>22</v>
      </c>
      <c r="J2135" s="9" t="str">
        <f t="shared" si="37"/>
        <v>No</v>
      </c>
      <c r="K2135" s="9" t="str">
        <f t="shared" si="36"/>
        <v/>
      </c>
      <c r="L2135" s="9" t="str">
        <f t="shared" si="38"/>
        <v/>
      </c>
      <c r="M2135" s="9"/>
      <c r="O2135" s="9"/>
    </row>
    <row r="2136" ht="15.75" customHeight="1">
      <c r="A2136" s="9" t="str">
        <f>IFERROR(__xludf.DUMMYFUNCTION("IF(B2136="""","""",RIGHT(REGEXREPLACE(B2136&amp;"""",""[^0-9]"",""""),9))"),"761660291")</f>
        <v>761660291</v>
      </c>
      <c r="B2136" s="48">
        <v>7.61660291E8</v>
      </c>
      <c r="C2136" s="10" t="s">
        <v>2257</v>
      </c>
      <c r="D2136" s="10" t="s">
        <v>50</v>
      </c>
      <c r="E2136" s="13">
        <v>46229.0</v>
      </c>
      <c r="F2136" s="10" t="s">
        <v>35</v>
      </c>
      <c r="G2136" s="10">
        <v>11.0</v>
      </c>
      <c r="I2136" s="10" t="s">
        <v>22</v>
      </c>
      <c r="J2136" s="9" t="str">
        <f t="shared" si="37"/>
        <v>No</v>
      </c>
      <c r="K2136" s="9" t="str">
        <f t="shared" si="36"/>
        <v/>
      </c>
      <c r="L2136" s="9" t="str">
        <f t="shared" si="38"/>
        <v/>
      </c>
      <c r="M2136" s="9"/>
      <c r="O2136" s="9"/>
    </row>
    <row r="2137" ht="15.75" customHeight="1">
      <c r="A2137" s="9" t="str">
        <f>IFERROR(__xludf.DUMMYFUNCTION("IF(B2137="""","""",RIGHT(REGEXREPLACE(B2137&amp;"""",""[^0-9]"",""""),9))"),"786905899")</f>
        <v>786905899</v>
      </c>
      <c r="B2137" s="48">
        <v>7.86905899E8</v>
      </c>
      <c r="C2137" s="10" t="s">
        <v>2258</v>
      </c>
      <c r="D2137" s="10" t="s">
        <v>69</v>
      </c>
      <c r="E2137" s="13">
        <v>46229.0</v>
      </c>
      <c r="F2137" s="10" t="s">
        <v>21</v>
      </c>
      <c r="G2137" s="10">
        <v>11.0</v>
      </c>
      <c r="I2137" s="10" t="s">
        <v>22</v>
      </c>
      <c r="J2137" s="9" t="str">
        <f t="shared" si="37"/>
        <v>No</v>
      </c>
      <c r="K2137" s="9" t="str">
        <f t="shared" si="36"/>
        <v/>
      </c>
      <c r="L2137" s="9" t="str">
        <f t="shared" si="38"/>
        <v/>
      </c>
      <c r="M2137" s="9"/>
      <c r="O2137" s="9"/>
    </row>
    <row r="2138" ht="15.75" customHeight="1">
      <c r="A2138" s="9" t="str">
        <f>IFERROR(__xludf.DUMMYFUNCTION("IF(B2138="""","""",RIGHT(REGEXREPLACE(B2138&amp;"""",""[^0-9]"",""""),9))"),"779146223")</f>
        <v>779146223</v>
      </c>
      <c r="B2138" s="48">
        <v>7.79146223E8</v>
      </c>
      <c r="C2138" s="10" t="s">
        <v>2259</v>
      </c>
      <c r="D2138" s="10" t="s">
        <v>97</v>
      </c>
      <c r="E2138" s="13">
        <v>46229.0</v>
      </c>
      <c r="F2138" s="10" t="s">
        <v>198</v>
      </c>
      <c r="I2138" s="10" t="s">
        <v>22</v>
      </c>
      <c r="J2138" s="9" t="str">
        <f t="shared" si="37"/>
        <v>No</v>
      </c>
      <c r="K2138" s="9" t="str">
        <f t="shared" si="36"/>
        <v/>
      </c>
      <c r="L2138" s="9" t="str">
        <f t="shared" si="38"/>
        <v/>
      </c>
      <c r="M2138" s="9"/>
      <c r="O2138" s="9"/>
    </row>
    <row r="2139" ht="15.75" customHeight="1">
      <c r="A2139" s="9" t="str">
        <f>IFERROR(__xludf.DUMMYFUNCTION("IF(B2139="""","""",RIGHT(REGEXREPLACE(B2139&amp;"""",""[^0-9]"",""""),9))"),"761107620")</f>
        <v>761107620</v>
      </c>
      <c r="B2139" s="48">
        <v>7.6110762E8</v>
      </c>
      <c r="C2139" s="10" t="s">
        <v>2260</v>
      </c>
      <c r="D2139" s="10" t="s">
        <v>50</v>
      </c>
      <c r="E2139" s="13">
        <v>46229.0</v>
      </c>
      <c r="F2139" s="10" t="s">
        <v>21</v>
      </c>
      <c r="G2139" s="10">
        <v>11.0</v>
      </c>
      <c r="I2139" s="10" t="s">
        <v>22</v>
      </c>
      <c r="J2139" s="9" t="str">
        <f t="shared" si="37"/>
        <v>No</v>
      </c>
      <c r="K2139" s="9" t="str">
        <f t="shared" si="36"/>
        <v/>
      </c>
      <c r="L2139" s="9" t="str">
        <f t="shared" si="38"/>
        <v/>
      </c>
      <c r="M2139" s="9"/>
      <c r="O2139" s="9"/>
    </row>
    <row r="2140" ht="15.75" customHeight="1">
      <c r="A2140" s="9" t="str">
        <f>IFERROR(__xludf.DUMMYFUNCTION("IF(B2140="""","""",RIGHT(REGEXREPLACE(B2140&amp;"""",""[^0-9]"",""""),9))"),"703833913")</f>
        <v>703833913</v>
      </c>
      <c r="B2140" s="48">
        <v>7.03833913E8</v>
      </c>
      <c r="C2140" s="10" t="s">
        <v>2261</v>
      </c>
      <c r="D2140" s="10" t="s">
        <v>97</v>
      </c>
      <c r="E2140" s="13">
        <v>46229.0</v>
      </c>
      <c r="F2140" s="10" t="s">
        <v>35</v>
      </c>
      <c r="G2140" s="10">
        <v>11.0</v>
      </c>
      <c r="I2140" s="10" t="s">
        <v>22</v>
      </c>
      <c r="J2140" s="9" t="str">
        <f t="shared" si="37"/>
        <v>No</v>
      </c>
      <c r="K2140" s="9" t="str">
        <f t="shared" si="36"/>
        <v/>
      </c>
      <c r="L2140" s="9" t="str">
        <f t="shared" si="38"/>
        <v/>
      </c>
      <c r="M2140" s="9"/>
      <c r="O2140" s="9"/>
    </row>
    <row r="2141" ht="15.75" customHeight="1">
      <c r="A2141" s="9" t="str">
        <f>IFERROR(__xludf.DUMMYFUNCTION("IF(B2141="""","""",RIGHT(REGEXREPLACE(B2141&amp;"""",""[^0-9]"",""""),9))"),"769258338")</f>
        <v>769258338</v>
      </c>
      <c r="B2141" s="10">
        <v>7.69258338E8</v>
      </c>
      <c r="C2141" s="10" t="s">
        <v>2262</v>
      </c>
      <c r="D2141" s="10" t="s">
        <v>20</v>
      </c>
      <c r="E2141" s="13">
        <v>46229.0</v>
      </c>
      <c r="F2141" s="10" t="s">
        <v>35</v>
      </c>
      <c r="G2141" s="10">
        <v>11.0</v>
      </c>
      <c r="I2141" s="10" t="s">
        <v>22</v>
      </c>
      <c r="J2141" s="9" t="str">
        <f t="shared" si="37"/>
        <v>No</v>
      </c>
      <c r="K2141" s="9" t="str">
        <f t="shared" si="36"/>
        <v/>
      </c>
      <c r="L2141" s="9" t="str">
        <f t="shared" si="38"/>
        <v/>
      </c>
      <c r="M2141" s="9"/>
      <c r="O2141" s="9"/>
    </row>
    <row r="2142" ht="15.75" customHeight="1">
      <c r="A2142" s="9" t="str">
        <f>IFERROR(__xludf.DUMMYFUNCTION("IF(B2142="""","""",RIGHT(REGEXREPLACE(B2142&amp;"""",""[^0-9]"",""""),9))"),"769178273")</f>
        <v>769178273</v>
      </c>
      <c r="B2142" s="10">
        <v>7.69178273E8</v>
      </c>
      <c r="C2142" s="10" t="s">
        <v>2263</v>
      </c>
      <c r="D2142" s="10" t="s">
        <v>20</v>
      </c>
      <c r="E2142" s="13">
        <v>46229.0</v>
      </c>
      <c r="F2142" s="10" t="s">
        <v>21</v>
      </c>
      <c r="I2142" s="10" t="s">
        <v>22</v>
      </c>
      <c r="J2142" s="9" t="str">
        <f t="shared" si="37"/>
        <v>No</v>
      </c>
      <c r="K2142" s="9" t="str">
        <f t="shared" si="36"/>
        <v/>
      </c>
      <c r="L2142" s="9" t="str">
        <f t="shared" si="38"/>
        <v/>
      </c>
      <c r="M2142" s="9"/>
      <c r="O2142" s="9"/>
    </row>
    <row r="2143" ht="15.75" customHeight="1">
      <c r="A2143" s="9" t="str">
        <f>IFERROR(__xludf.DUMMYFUNCTION("IF(B2143="""","""",RIGHT(REGEXREPLACE(B2143&amp;"""",""[^0-9]"",""""),9))"),"778274082")</f>
        <v>778274082</v>
      </c>
      <c r="B2143" s="48">
        <v>7.78274082E8</v>
      </c>
      <c r="C2143" s="10" t="s">
        <v>2264</v>
      </c>
      <c r="D2143" s="10" t="s">
        <v>69</v>
      </c>
      <c r="E2143" s="13">
        <v>46229.0</v>
      </c>
      <c r="F2143" s="10" t="s">
        <v>21</v>
      </c>
      <c r="I2143" s="10" t="s">
        <v>22</v>
      </c>
      <c r="J2143" s="9" t="str">
        <f t="shared" si="37"/>
        <v>No</v>
      </c>
      <c r="K2143" s="9" t="str">
        <f t="shared" si="36"/>
        <v/>
      </c>
      <c r="L2143" s="9" t="str">
        <f t="shared" si="38"/>
        <v/>
      </c>
      <c r="M2143" s="9"/>
      <c r="O2143" s="9"/>
    </row>
    <row r="2144" ht="15.75" customHeight="1">
      <c r="A2144" s="9" t="str">
        <f>IFERROR(__xludf.DUMMYFUNCTION("IF(B2144="""","""",RIGHT(REGEXREPLACE(B2144&amp;"""",""[^0-9]"",""""),9))"),"779982445")</f>
        <v>779982445</v>
      </c>
      <c r="B2144" s="10">
        <v>7.79982445E8</v>
      </c>
      <c r="C2144" s="10" t="s">
        <v>2265</v>
      </c>
      <c r="D2144" s="10" t="s">
        <v>20</v>
      </c>
      <c r="E2144" s="13">
        <v>46229.0</v>
      </c>
      <c r="F2144" s="10" t="s">
        <v>35</v>
      </c>
      <c r="I2144" s="10" t="s">
        <v>22</v>
      </c>
      <c r="J2144" s="9" t="str">
        <f t="shared" si="37"/>
        <v>No</v>
      </c>
      <c r="K2144" s="9" t="str">
        <f t="shared" si="36"/>
        <v/>
      </c>
      <c r="L2144" s="9" t="str">
        <f t="shared" si="38"/>
        <v/>
      </c>
      <c r="M2144" s="9"/>
      <c r="O2144" s="9"/>
    </row>
    <row r="2145" ht="15.75" customHeight="1">
      <c r="A2145" s="9" t="str">
        <f>IFERROR(__xludf.DUMMYFUNCTION("IF(B2145="""","""",RIGHT(REGEXREPLACE(B2145&amp;"""",""[^0-9]"",""""),9))"),"766743411")</f>
        <v>766743411</v>
      </c>
      <c r="B2145" s="48">
        <v>7.66743411E8</v>
      </c>
      <c r="C2145" s="10" t="s">
        <v>2266</v>
      </c>
      <c r="D2145" s="10" t="s">
        <v>34</v>
      </c>
      <c r="E2145" s="13">
        <v>46229.0</v>
      </c>
      <c r="F2145" s="10" t="s">
        <v>35</v>
      </c>
      <c r="G2145" s="10">
        <v>11.0</v>
      </c>
      <c r="I2145" s="10" t="s">
        <v>22</v>
      </c>
      <c r="J2145" s="9" t="str">
        <f t="shared" si="37"/>
        <v>No</v>
      </c>
      <c r="K2145" s="9" t="str">
        <f t="shared" si="36"/>
        <v/>
      </c>
      <c r="L2145" s="9" t="str">
        <f t="shared" si="38"/>
        <v/>
      </c>
      <c r="M2145" s="9"/>
      <c r="O2145" s="9"/>
    </row>
    <row r="2146" ht="15.75" customHeight="1">
      <c r="A2146" s="9" t="str">
        <f>IFERROR(__xludf.DUMMYFUNCTION("IF(B2146="""","""",RIGHT(REGEXREPLACE(B2146&amp;"""",""[^0-9]"",""""),9))"),"741354704")</f>
        <v>741354704</v>
      </c>
      <c r="B2146" s="10">
        <v>7.41354704E8</v>
      </c>
      <c r="C2146" s="10" t="s">
        <v>2267</v>
      </c>
      <c r="D2146" s="10" t="s">
        <v>20</v>
      </c>
      <c r="E2146" s="13">
        <v>46229.0</v>
      </c>
      <c r="F2146" s="10" t="s">
        <v>35</v>
      </c>
      <c r="G2146" s="10">
        <v>11.0</v>
      </c>
      <c r="I2146" s="10" t="s">
        <v>22</v>
      </c>
      <c r="J2146" s="9" t="str">
        <f t="shared" si="37"/>
        <v>No</v>
      </c>
      <c r="K2146" s="9" t="str">
        <f t="shared" si="36"/>
        <v/>
      </c>
      <c r="L2146" s="9" t="str">
        <f t="shared" si="38"/>
        <v/>
      </c>
      <c r="M2146" s="9"/>
      <c r="O2146" s="9"/>
    </row>
    <row r="2147" ht="15.75" customHeight="1">
      <c r="A2147" s="9" t="str">
        <f>IFERROR(__xludf.DUMMYFUNCTION("IF(B2147="""","""",RIGHT(REGEXREPLACE(B2147&amp;"""",""[^0-9]"",""""),9))"),"716554541")</f>
        <v>716554541</v>
      </c>
      <c r="B2147" s="10">
        <v>7.16554541E8</v>
      </c>
      <c r="C2147" s="10" t="s">
        <v>2268</v>
      </c>
      <c r="D2147" s="10" t="s">
        <v>20</v>
      </c>
      <c r="E2147" s="13">
        <v>46229.0</v>
      </c>
      <c r="F2147" s="10" t="s">
        <v>35</v>
      </c>
      <c r="G2147" s="10">
        <v>11.0</v>
      </c>
      <c r="I2147" s="10" t="s">
        <v>22</v>
      </c>
      <c r="J2147" s="9" t="str">
        <f t="shared" si="37"/>
        <v>No</v>
      </c>
      <c r="K2147" s="9" t="str">
        <f t="shared" si="36"/>
        <v/>
      </c>
      <c r="L2147" s="9" t="str">
        <f t="shared" si="38"/>
        <v/>
      </c>
      <c r="M2147" s="9"/>
      <c r="O2147" s="9"/>
    </row>
    <row r="2148" ht="15.75" customHeight="1">
      <c r="A2148" s="9" t="str">
        <f>IFERROR(__xludf.DUMMYFUNCTION("IF(B2148="""","""",RIGHT(REGEXREPLACE(B2148&amp;"""",""[^0-9]"",""""),9))"),"766847130")</f>
        <v>766847130</v>
      </c>
      <c r="B2148" s="48">
        <v>7.6684713E8</v>
      </c>
      <c r="C2148" s="10" t="s">
        <v>2269</v>
      </c>
      <c r="D2148" s="10" t="s">
        <v>50</v>
      </c>
      <c r="E2148" s="13">
        <v>46229.0</v>
      </c>
      <c r="F2148" s="10" t="s">
        <v>35</v>
      </c>
      <c r="G2148" s="10">
        <v>11.0</v>
      </c>
      <c r="I2148" s="10" t="s">
        <v>22</v>
      </c>
      <c r="J2148" s="9" t="str">
        <f t="shared" si="37"/>
        <v>No</v>
      </c>
      <c r="K2148" s="9" t="str">
        <f t="shared" si="36"/>
        <v/>
      </c>
      <c r="L2148" s="9" t="str">
        <f t="shared" si="38"/>
        <v/>
      </c>
      <c r="M2148" s="9"/>
      <c r="O2148" s="9"/>
    </row>
    <row r="2149" ht="15.75" customHeight="1">
      <c r="A2149" s="9" t="str">
        <f>IFERROR(__xludf.DUMMYFUNCTION("IF(B2149="""","""",RIGHT(REGEXREPLACE(B2149&amp;"""",""[^0-9]"",""""),9))"),"719055581")</f>
        <v>719055581</v>
      </c>
      <c r="B2149" s="48">
        <v>7.19055581E8</v>
      </c>
      <c r="C2149" s="10" t="s">
        <v>2270</v>
      </c>
      <c r="D2149" s="10" t="s">
        <v>69</v>
      </c>
      <c r="E2149" s="13">
        <v>46229.0</v>
      </c>
      <c r="F2149" s="10" t="s">
        <v>21</v>
      </c>
      <c r="G2149" s="10">
        <v>11.0</v>
      </c>
      <c r="I2149" s="10" t="s">
        <v>22</v>
      </c>
      <c r="J2149" s="9" t="str">
        <f t="shared" si="37"/>
        <v>No</v>
      </c>
      <c r="K2149" s="9" t="str">
        <f t="shared" si="36"/>
        <v/>
      </c>
      <c r="L2149" s="9" t="str">
        <f t="shared" si="38"/>
        <v/>
      </c>
      <c r="M2149" s="9"/>
      <c r="O2149" s="9"/>
    </row>
    <row r="2150" ht="15.75" customHeight="1">
      <c r="A2150" s="9" t="str">
        <f>IFERROR(__xludf.DUMMYFUNCTION("IF(B2150="""","""",RIGHT(REGEXREPLACE(B2150&amp;"""",""[^0-9]"",""""),9))"),"771899593")</f>
        <v>771899593</v>
      </c>
      <c r="B2150" s="48">
        <v>7.71899593E8</v>
      </c>
      <c r="C2150" s="10" t="s">
        <v>2271</v>
      </c>
      <c r="D2150" s="10" t="s">
        <v>34</v>
      </c>
      <c r="E2150" s="13">
        <v>46229.0</v>
      </c>
      <c r="F2150" s="10" t="s">
        <v>35</v>
      </c>
      <c r="G2150" s="10">
        <v>11.0</v>
      </c>
      <c r="I2150" s="10" t="s">
        <v>22</v>
      </c>
      <c r="J2150" s="9" t="str">
        <f t="shared" si="37"/>
        <v>No</v>
      </c>
      <c r="K2150" s="9" t="str">
        <f t="shared" si="36"/>
        <v/>
      </c>
      <c r="L2150" s="9" t="str">
        <f t="shared" si="38"/>
        <v/>
      </c>
      <c r="M2150" s="9"/>
      <c r="O2150" s="9"/>
    </row>
    <row r="2151" ht="15.75" customHeight="1">
      <c r="A2151" s="9" t="str">
        <f>IFERROR(__xludf.DUMMYFUNCTION("IF(B2151="""","""",RIGHT(REGEXREPLACE(B2151&amp;"""",""[^0-9]"",""""),9))"),"760476008")</f>
        <v>760476008</v>
      </c>
      <c r="B2151" s="48">
        <v>7.60476008E8</v>
      </c>
      <c r="C2151" s="10" t="s">
        <v>2272</v>
      </c>
      <c r="D2151" s="10" t="s">
        <v>97</v>
      </c>
      <c r="E2151" s="13">
        <v>46229.0</v>
      </c>
      <c r="F2151" s="10" t="s">
        <v>35</v>
      </c>
      <c r="G2151" s="10">
        <v>11.0</v>
      </c>
      <c r="I2151" s="10" t="s">
        <v>22</v>
      </c>
      <c r="J2151" s="9" t="str">
        <f t="shared" si="37"/>
        <v>No</v>
      </c>
      <c r="K2151" s="9" t="str">
        <f t="shared" si="36"/>
        <v/>
      </c>
      <c r="L2151" s="9" t="str">
        <f t="shared" si="38"/>
        <v/>
      </c>
      <c r="M2151" s="9"/>
      <c r="O2151" s="9"/>
    </row>
    <row r="2152" ht="15.75" customHeight="1">
      <c r="A2152" s="9" t="str">
        <f>IFERROR(__xludf.DUMMYFUNCTION("IF(B2152="""","""",RIGHT(REGEXREPLACE(B2152&amp;"""",""[^0-9]"",""""),9))"),"779628553")</f>
        <v>779628553</v>
      </c>
      <c r="B2152" s="10">
        <v>7.79628553E8</v>
      </c>
      <c r="C2152" s="10" t="s">
        <v>2273</v>
      </c>
      <c r="D2152" s="10" t="s">
        <v>20</v>
      </c>
      <c r="E2152" s="13">
        <v>46229.0</v>
      </c>
      <c r="F2152" s="10" t="s">
        <v>21</v>
      </c>
      <c r="G2152" s="10">
        <v>11.0</v>
      </c>
      <c r="I2152" s="10" t="s">
        <v>22</v>
      </c>
      <c r="J2152" s="9" t="str">
        <f t="shared" si="37"/>
        <v>No</v>
      </c>
      <c r="K2152" s="9" t="str">
        <f t="shared" si="36"/>
        <v/>
      </c>
      <c r="L2152" s="9" t="str">
        <f t="shared" si="38"/>
        <v/>
      </c>
      <c r="M2152" s="9"/>
      <c r="O2152" s="9"/>
    </row>
    <row r="2153" ht="15.75" customHeight="1">
      <c r="A2153" s="9" t="str">
        <f>IFERROR(__xludf.DUMMYFUNCTION("IF(B2153="""","""",RIGHT(REGEXREPLACE(B2153&amp;"""",""[^0-9]"",""""),9))"),"768551325")</f>
        <v>768551325</v>
      </c>
      <c r="B2153" s="48">
        <v>7.68551325E8</v>
      </c>
      <c r="C2153" s="10" t="s">
        <v>2274</v>
      </c>
      <c r="D2153" s="10" t="s">
        <v>34</v>
      </c>
      <c r="E2153" s="13">
        <v>46229.0</v>
      </c>
      <c r="F2153" s="10" t="s">
        <v>21</v>
      </c>
      <c r="I2153" s="10" t="s">
        <v>22</v>
      </c>
      <c r="J2153" s="9" t="str">
        <f t="shared" si="37"/>
        <v>No</v>
      </c>
      <c r="K2153" s="9" t="str">
        <f t="shared" si="36"/>
        <v/>
      </c>
      <c r="L2153" s="9" t="str">
        <f t="shared" si="38"/>
        <v/>
      </c>
      <c r="M2153" s="9"/>
      <c r="O2153" s="9"/>
    </row>
    <row r="2154" ht="15.75" customHeight="1">
      <c r="A2154" s="9" t="str">
        <f>IFERROR(__xludf.DUMMYFUNCTION("IF(B2154="""","""",RIGHT(REGEXREPLACE(B2154&amp;"""",""[^0-9]"",""""),9))"),"772255616")</f>
        <v>772255616</v>
      </c>
      <c r="B2154" s="48">
        <v>7.72255616E8</v>
      </c>
      <c r="C2154" s="10" t="s">
        <v>2275</v>
      </c>
      <c r="D2154" s="10" t="s">
        <v>50</v>
      </c>
      <c r="E2154" s="13">
        <v>46229.0</v>
      </c>
      <c r="F2154" s="10" t="s">
        <v>35</v>
      </c>
      <c r="G2154" s="10">
        <v>11.0</v>
      </c>
      <c r="H2154" s="10" t="s">
        <v>238</v>
      </c>
      <c r="I2154" s="10" t="s">
        <v>22</v>
      </c>
      <c r="J2154" s="9" t="str">
        <f t="shared" si="37"/>
        <v>No</v>
      </c>
      <c r="K2154" s="9" t="str">
        <f t="shared" si="36"/>
        <v/>
      </c>
      <c r="L2154" s="9" t="str">
        <f t="shared" si="38"/>
        <v/>
      </c>
      <c r="M2154" s="9"/>
      <c r="O2154" s="9"/>
    </row>
    <row r="2155" ht="15.75" customHeight="1">
      <c r="A2155" s="9" t="str">
        <f>IFERROR(__xludf.DUMMYFUNCTION("IF(B2155="""","""",RIGHT(REGEXREPLACE(B2155&amp;"""",""[^0-9]"",""""),9))"),"715661802")</f>
        <v>715661802</v>
      </c>
      <c r="B2155" s="48">
        <v>7.15661802E8</v>
      </c>
      <c r="C2155" s="10" t="s">
        <v>2276</v>
      </c>
      <c r="D2155" s="10" t="s">
        <v>34</v>
      </c>
      <c r="E2155" s="13">
        <v>46229.0</v>
      </c>
      <c r="F2155" s="10" t="s">
        <v>35</v>
      </c>
      <c r="G2155" s="10">
        <v>11.0</v>
      </c>
      <c r="I2155" s="10" t="s">
        <v>22</v>
      </c>
      <c r="J2155" s="9" t="str">
        <f t="shared" si="37"/>
        <v>No</v>
      </c>
      <c r="K2155" s="9" t="str">
        <f t="shared" si="36"/>
        <v/>
      </c>
      <c r="L2155" s="9" t="str">
        <f t="shared" si="38"/>
        <v/>
      </c>
      <c r="M2155" s="9"/>
      <c r="O2155" s="9"/>
    </row>
    <row r="2156" ht="15.75" customHeight="1">
      <c r="A2156" s="9" t="str">
        <f>IFERROR(__xludf.DUMMYFUNCTION("IF(B2156="""","""",RIGHT(REGEXREPLACE(B2156&amp;"""",""[^0-9]"",""""),9))"),"752027900")</f>
        <v>752027900</v>
      </c>
      <c r="B2156" s="48">
        <v>7.520279E8</v>
      </c>
      <c r="C2156" s="10" t="s">
        <v>2277</v>
      </c>
      <c r="D2156" s="10" t="s">
        <v>69</v>
      </c>
      <c r="E2156" s="13">
        <v>46229.0</v>
      </c>
      <c r="F2156" s="10" t="s">
        <v>35</v>
      </c>
      <c r="G2156" s="10">
        <v>10.0</v>
      </c>
      <c r="I2156" s="10" t="s">
        <v>22</v>
      </c>
      <c r="J2156" s="9" t="str">
        <f t="shared" si="37"/>
        <v>No</v>
      </c>
      <c r="K2156" s="9" t="str">
        <f t="shared" si="36"/>
        <v/>
      </c>
      <c r="L2156" s="9" t="str">
        <f t="shared" si="38"/>
        <v/>
      </c>
      <c r="M2156" s="9"/>
      <c r="O2156" s="9"/>
    </row>
    <row r="2157" ht="15.75" customHeight="1">
      <c r="A2157" s="9" t="str">
        <f>IFERROR(__xludf.DUMMYFUNCTION("IF(B2157="""","""",RIGHT(REGEXREPLACE(B2157&amp;"""",""[^0-9]"",""""),9))"),"774529445")</f>
        <v>774529445</v>
      </c>
      <c r="B2157" s="10">
        <v>7.74529445E8</v>
      </c>
      <c r="C2157" s="10" t="s">
        <v>2278</v>
      </c>
      <c r="D2157" s="10" t="s">
        <v>20</v>
      </c>
      <c r="E2157" s="13">
        <v>46229.0</v>
      </c>
      <c r="F2157" s="10" t="s">
        <v>35</v>
      </c>
      <c r="G2157" s="10">
        <v>11.0</v>
      </c>
      <c r="I2157" s="10" t="s">
        <v>22</v>
      </c>
      <c r="J2157" s="9" t="str">
        <f t="shared" si="37"/>
        <v>No</v>
      </c>
      <c r="K2157" s="9" t="str">
        <f t="shared" si="36"/>
        <v/>
      </c>
      <c r="L2157" s="9" t="str">
        <f t="shared" si="38"/>
        <v/>
      </c>
      <c r="M2157" s="9"/>
      <c r="O2157" s="9"/>
    </row>
    <row r="2158" ht="15.75" customHeight="1">
      <c r="A2158" s="9" t="str">
        <f>IFERROR(__xludf.DUMMYFUNCTION("IF(B2158="""","""",RIGHT(REGEXREPLACE(B2158&amp;"""",""[^0-9]"",""""),9))"),"772402313")</f>
        <v>772402313</v>
      </c>
      <c r="B2158" s="48">
        <v>7.72402313E8</v>
      </c>
      <c r="C2158" s="10" t="s">
        <v>2279</v>
      </c>
      <c r="D2158" s="10" t="s">
        <v>50</v>
      </c>
      <c r="E2158" s="13">
        <v>46229.0</v>
      </c>
      <c r="F2158" s="10" t="s">
        <v>35</v>
      </c>
      <c r="G2158" s="10">
        <v>11.0</v>
      </c>
      <c r="I2158" s="10" t="s">
        <v>22</v>
      </c>
      <c r="J2158" s="9" t="str">
        <f t="shared" si="37"/>
        <v>No</v>
      </c>
      <c r="K2158" s="9" t="str">
        <f t="shared" si="36"/>
        <v/>
      </c>
      <c r="L2158" s="9" t="str">
        <f t="shared" si="38"/>
        <v/>
      </c>
      <c r="M2158" s="9"/>
      <c r="O2158" s="9"/>
    </row>
    <row r="2159" ht="15.75" customHeight="1">
      <c r="A2159" s="9" t="str">
        <f>IFERROR(__xludf.DUMMYFUNCTION("IF(B2159="""","""",RIGHT(REGEXREPLACE(B2159&amp;"""",""[^0-9]"",""""),9))"),"712988370")</f>
        <v>712988370</v>
      </c>
      <c r="B2159" s="10">
        <v>7.1298837E8</v>
      </c>
      <c r="C2159" s="10" t="s">
        <v>2280</v>
      </c>
      <c r="D2159" s="10" t="s">
        <v>20</v>
      </c>
      <c r="E2159" s="13">
        <v>46229.0</v>
      </c>
      <c r="F2159" s="10" t="s">
        <v>35</v>
      </c>
      <c r="G2159" s="10">
        <v>11.0</v>
      </c>
      <c r="I2159" s="10" t="s">
        <v>22</v>
      </c>
      <c r="J2159" s="9" t="str">
        <f t="shared" si="37"/>
        <v>No</v>
      </c>
      <c r="K2159" s="9" t="str">
        <f t="shared" si="36"/>
        <v/>
      </c>
      <c r="L2159" s="9" t="str">
        <f t="shared" si="38"/>
        <v/>
      </c>
      <c r="M2159" s="9"/>
      <c r="O2159" s="9"/>
    </row>
    <row r="2160" ht="15.75" customHeight="1">
      <c r="A2160" s="9" t="str">
        <f>IFERROR(__xludf.DUMMYFUNCTION("IF(B2160="""","""",RIGHT(REGEXREPLACE(B2160&amp;"""",""[^0-9]"",""""),9))"),"710551369")</f>
        <v>710551369</v>
      </c>
      <c r="B2160" s="48">
        <v>7.10551369E8</v>
      </c>
      <c r="C2160" s="10" t="s">
        <v>2281</v>
      </c>
      <c r="D2160" s="10" t="s">
        <v>97</v>
      </c>
      <c r="E2160" s="13">
        <v>46229.0</v>
      </c>
      <c r="F2160" s="10" t="s">
        <v>35</v>
      </c>
      <c r="G2160" s="10">
        <v>11.0</v>
      </c>
      <c r="I2160" s="10" t="s">
        <v>22</v>
      </c>
      <c r="J2160" s="9" t="str">
        <f t="shared" si="37"/>
        <v>No</v>
      </c>
      <c r="K2160" s="9" t="str">
        <f t="shared" si="36"/>
        <v/>
      </c>
      <c r="L2160" s="9" t="str">
        <f t="shared" si="38"/>
        <v/>
      </c>
      <c r="M2160" s="9"/>
      <c r="O2160" s="9"/>
    </row>
    <row r="2161" ht="15.75" customHeight="1">
      <c r="A2161" s="9" t="str">
        <f>IFERROR(__xludf.DUMMYFUNCTION("IF(B2161="""","""",RIGHT(REGEXREPLACE(B2161&amp;"""",""[^0-9]"",""""),9))"),"776788278")</f>
        <v>776788278</v>
      </c>
      <c r="B2161" s="48">
        <v>7.76788278E8</v>
      </c>
      <c r="C2161" s="10" t="s">
        <v>2282</v>
      </c>
      <c r="D2161" s="10" t="s">
        <v>34</v>
      </c>
      <c r="E2161" s="13">
        <v>46229.0</v>
      </c>
      <c r="F2161" s="10" t="s">
        <v>35</v>
      </c>
      <c r="G2161" s="10">
        <v>11.0</v>
      </c>
      <c r="I2161" s="10" t="s">
        <v>22</v>
      </c>
      <c r="J2161" s="9" t="str">
        <f t="shared" si="37"/>
        <v>No</v>
      </c>
      <c r="K2161" s="9" t="str">
        <f t="shared" si="36"/>
        <v/>
      </c>
      <c r="L2161" s="9" t="str">
        <f t="shared" si="38"/>
        <v/>
      </c>
      <c r="M2161" s="9"/>
      <c r="O2161" s="9"/>
    </row>
    <row r="2162" ht="15.75" customHeight="1">
      <c r="A2162" s="9" t="str">
        <f>IFERROR(__xludf.DUMMYFUNCTION("IF(B2162="""","""",RIGHT(REGEXREPLACE(B2162&amp;"""",""[^0-9]"",""""),9))"),"770833923")</f>
        <v>770833923</v>
      </c>
      <c r="B2162" s="48">
        <v>7.70833923E8</v>
      </c>
      <c r="C2162" s="10" t="s">
        <v>2283</v>
      </c>
      <c r="D2162" s="10" t="s">
        <v>50</v>
      </c>
      <c r="E2162" s="13">
        <v>46229.0</v>
      </c>
      <c r="F2162" s="10" t="s">
        <v>35</v>
      </c>
      <c r="G2162" s="10">
        <v>11.0</v>
      </c>
      <c r="I2162" s="10" t="s">
        <v>22</v>
      </c>
      <c r="J2162" s="9" t="str">
        <f t="shared" si="37"/>
        <v>No</v>
      </c>
      <c r="K2162" s="9" t="str">
        <f t="shared" si="36"/>
        <v/>
      </c>
      <c r="L2162" s="9" t="str">
        <f t="shared" si="38"/>
        <v/>
      </c>
      <c r="M2162" s="9"/>
      <c r="O2162" s="9"/>
    </row>
    <row r="2163" ht="15.75" customHeight="1">
      <c r="A2163" s="9" t="str">
        <f>IFERROR(__xludf.DUMMYFUNCTION("IF(B2163="""","""",RIGHT(REGEXREPLACE(B2163&amp;"""",""[^0-9]"",""""),9))"),"705959557")</f>
        <v>705959557</v>
      </c>
      <c r="B2163" s="10">
        <v>7.05959557E8</v>
      </c>
      <c r="C2163" s="10" t="s">
        <v>2284</v>
      </c>
      <c r="D2163" s="10" t="s">
        <v>20</v>
      </c>
      <c r="E2163" s="13">
        <v>46229.0</v>
      </c>
      <c r="F2163" s="10" t="s">
        <v>35</v>
      </c>
      <c r="I2163" s="10" t="s">
        <v>22</v>
      </c>
      <c r="J2163" s="9" t="str">
        <f t="shared" si="37"/>
        <v>No</v>
      </c>
      <c r="K2163" s="9" t="str">
        <f t="shared" si="36"/>
        <v/>
      </c>
      <c r="L2163" s="9" t="str">
        <f t="shared" si="38"/>
        <v/>
      </c>
      <c r="M2163" s="9"/>
      <c r="O2163" s="9"/>
    </row>
    <row r="2164" ht="15.75" customHeight="1">
      <c r="A2164" s="9" t="str">
        <f>IFERROR(__xludf.DUMMYFUNCTION("IF(B2164="""","""",RIGHT(REGEXREPLACE(B2164&amp;"""",""[^0-9]"",""""),9))"),"713844377")</f>
        <v>713844377</v>
      </c>
      <c r="B2164" s="48">
        <v>7.13844377E8</v>
      </c>
      <c r="C2164" s="10" t="s">
        <v>2285</v>
      </c>
      <c r="D2164" s="10" t="s">
        <v>34</v>
      </c>
      <c r="E2164" s="13">
        <v>46229.0</v>
      </c>
      <c r="F2164" s="10" t="s">
        <v>35</v>
      </c>
      <c r="G2164" s="10">
        <v>11.0</v>
      </c>
      <c r="I2164" s="10" t="s">
        <v>22</v>
      </c>
      <c r="J2164" s="9" t="str">
        <f t="shared" si="37"/>
        <v>No</v>
      </c>
      <c r="K2164" s="9" t="str">
        <f t="shared" si="36"/>
        <v/>
      </c>
      <c r="L2164" s="9" t="str">
        <f t="shared" si="38"/>
        <v/>
      </c>
      <c r="M2164" s="9"/>
      <c r="O2164" s="9"/>
    </row>
    <row r="2165" ht="15.75" customHeight="1">
      <c r="A2165" s="9" t="str">
        <f>IFERROR(__xludf.DUMMYFUNCTION("IF(B2165="""","""",RIGHT(REGEXREPLACE(B2165&amp;"""",""[^0-9]"",""""),9))"),"774297750")</f>
        <v>774297750</v>
      </c>
      <c r="B2165" s="64">
        <v>7.7429775E8</v>
      </c>
      <c r="C2165" s="10" t="s">
        <v>2286</v>
      </c>
      <c r="D2165" s="10" t="s">
        <v>69</v>
      </c>
      <c r="E2165" s="13">
        <v>46229.0</v>
      </c>
      <c r="F2165" s="10" t="s">
        <v>21</v>
      </c>
      <c r="I2165" s="10" t="s">
        <v>22</v>
      </c>
      <c r="J2165" s="9" t="str">
        <f t="shared" si="37"/>
        <v>No</v>
      </c>
      <c r="K2165" s="9" t="str">
        <f t="shared" si="36"/>
        <v/>
      </c>
      <c r="L2165" s="9" t="str">
        <f t="shared" si="38"/>
        <v/>
      </c>
      <c r="M2165" s="9"/>
      <c r="O2165" s="9"/>
    </row>
    <row r="2166" ht="15.75" customHeight="1">
      <c r="A2166" s="9" t="str">
        <f>IFERROR(__xludf.DUMMYFUNCTION("IF(B2166="""","""",RIGHT(REGEXREPLACE(B2166&amp;"""",""[^0-9]"",""""),9))"),"715975973")</f>
        <v>715975973</v>
      </c>
      <c r="B2166" s="48">
        <v>7.15975973E8</v>
      </c>
      <c r="C2166" s="10" t="s">
        <v>2287</v>
      </c>
      <c r="D2166" s="10" t="s">
        <v>97</v>
      </c>
      <c r="E2166" s="13">
        <v>46229.0</v>
      </c>
      <c r="F2166" s="10" t="s">
        <v>35</v>
      </c>
      <c r="G2166" s="10">
        <v>11.0</v>
      </c>
      <c r="I2166" s="10" t="s">
        <v>22</v>
      </c>
      <c r="J2166" s="9" t="str">
        <f t="shared" si="37"/>
        <v>No</v>
      </c>
      <c r="K2166" s="9" t="str">
        <f t="shared" si="36"/>
        <v/>
      </c>
      <c r="L2166" s="9" t="str">
        <f t="shared" si="38"/>
        <v/>
      </c>
      <c r="M2166" s="9"/>
      <c r="O2166" s="9"/>
    </row>
    <row r="2167" ht="15.75" customHeight="1">
      <c r="A2167" s="9" t="str">
        <f>IFERROR(__xludf.DUMMYFUNCTION("IF(B2167="""","""",RIGHT(REGEXREPLACE(B2167&amp;"""",""[^0-9]"",""""),9))"),"711902124")</f>
        <v>711902124</v>
      </c>
      <c r="B2167" s="48">
        <v>7.11902124E8</v>
      </c>
      <c r="C2167" s="10" t="s">
        <v>2288</v>
      </c>
      <c r="D2167" s="10" t="s">
        <v>50</v>
      </c>
      <c r="E2167" s="13">
        <v>46229.0</v>
      </c>
      <c r="F2167" s="10" t="s">
        <v>35</v>
      </c>
      <c r="G2167" s="10">
        <v>8.0</v>
      </c>
      <c r="I2167" s="10" t="s">
        <v>22</v>
      </c>
      <c r="J2167" s="9" t="str">
        <f t="shared" si="37"/>
        <v>No</v>
      </c>
      <c r="K2167" s="9" t="str">
        <f t="shared" si="36"/>
        <v/>
      </c>
      <c r="L2167" s="9" t="str">
        <f t="shared" si="38"/>
        <v/>
      </c>
      <c r="M2167" s="9"/>
      <c r="O2167" s="9"/>
    </row>
    <row r="2168" ht="15.75" customHeight="1">
      <c r="A2168" s="9" t="str">
        <f>IFERROR(__xludf.DUMMYFUNCTION("IF(B2168="""","""",RIGHT(REGEXREPLACE(B2168&amp;"""",""[^0-9]"",""""),9))"),"702591566")</f>
        <v>702591566</v>
      </c>
      <c r="B2168" s="10">
        <v>7.02591566E8</v>
      </c>
      <c r="C2168" s="10" t="s">
        <v>2289</v>
      </c>
      <c r="D2168" s="10" t="s">
        <v>20</v>
      </c>
      <c r="E2168" s="13">
        <v>46229.0</v>
      </c>
      <c r="F2168" s="10" t="s">
        <v>198</v>
      </c>
      <c r="I2168" s="10" t="s">
        <v>22</v>
      </c>
      <c r="J2168" s="9" t="str">
        <f t="shared" si="37"/>
        <v>No</v>
      </c>
      <c r="K2168" s="9" t="str">
        <f t="shared" si="36"/>
        <v/>
      </c>
      <c r="L2168" s="9" t="str">
        <f t="shared" si="38"/>
        <v/>
      </c>
      <c r="M2168" s="9"/>
      <c r="O2168" s="9"/>
    </row>
    <row r="2169" ht="15.75" customHeight="1">
      <c r="A2169" s="9" t="str">
        <f>IFERROR(__xludf.DUMMYFUNCTION("IF(B2169="""","""",RIGHT(REGEXREPLACE(B2169&amp;"""",""[^0-9]"",""""),9))"),"760427929")</f>
        <v>760427929</v>
      </c>
      <c r="B2169" s="48">
        <v>7.60427929E8</v>
      </c>
      <c r="C2169" s="10" t="s">
        <v>2287</v>
      </c>
      <c r="D2169" s="10" t="s">
        <v>34</v>
      </c>
      <c r="E2169" s="13">
        <v>46229.0</v>
      </c>
      <c r="F2169" s="10" t="s">
        <v>35</v>
      </c>
      <c r="G2169" s="10">
        <v>11.0</v>
      </c>
      <c r="I2169" s="10" t="s">
        <v>22</v>
      </c>
      <c r="J2169" s="9" t="str">
        <f t="shared" si="37"/>
        <v>No</v>
      </c>
      <c r="K2169" s="9" t="str">
        <f t="shared" si="36"/>
        <v/>
      </c>
      <c r="L2169" s="9" t="str">
        <f t="shared" si="38"/>
        <v/>
      </c>
      <c r="M2169" s="9"/>
      <c r="O2169" s="9"/>
    </row>
    <row r="2170" ht="15.75" customHeight="1">
      <c r="A2170" s="9" t="str">
        <f>IFERROR(__xludf.DUMMYFUNCTION("IF(B2170="""","""",RIGHT(REGEXREPLACE(B2170&amp;"""",""[^0-9]"",""""),9))"),"711734877")</f>
        <v>711734877</v>
      </c>
      <c r="B2170" s="10">
        <v>7.11734877E8</v>
      </c>
      <c r="C2170" s="10" t="s">
        <v>2290</v>
      </c>
      <c r="D2170" s="10" t="s">
        <v>20</v>
      </c>
      <c r="E2170" s="13">
        <v>46229.0</v>
      </c>
      <c r="F2170" s="10" t="s">
        <v>113</v>
      </c>
      <c r="I2170" s="10" t="s">
        <v>22</v>
      </c>
      <c r="J2170" s="9" t="str">
        <f t="shared" si="37"/>
        <v>No</v>
      </c>
      <c r="K2170" s="9" t="str">
        <f t="shared" si="36"/>
        <v/>
      </c>
      <c r="L2170" s="9" t="str">
        <f t="shared" si="38"/>
        <v/>
      </c>
      <c r="M2170" s="9"/>
      <c r="O2170" s="9"/>
    </row>
    <row r="2171" ht="15.75" customHeight="1">
      <c r="A2171" s="9" t="str">
        <f>IFERROR(__xludf.DUMMYFUNCTION("IF(B2171="""","""",RIGHT(REGEXREPLACE(B2171&amp;"""",""[^0-9]"",""""),9))"),"714556076")</f>
        <v>714556076</v>
      </c>
      <c r="B2171" s="48">
        <v>7.14556076E8</v>
      </c>
      <c r="C2171" s="10" t="s">
        <v>2291</v>
      </c>
      <c r="D2171" s="10" t="s">
        <v>97</v>
      </c>
      <c r="E2171" s="13">
        <v>46229.0</v>
      </c>
      <c r="F2171" s="10" t="s">
        <v>113</v>
      </c>
      <c r="I2171" s="10" t="s">
        <v>22</v>
      </c>
      <c r="J2171" s="9" t="str">
        <f t="shared" si="37"/>
        <v>No</v>
      </c>
      <c r="K2171" s="9" t="str">
        <f t="shared" si="36"/>
        <v/>
      </c>
      <c r="L2171" s="9" t="str">
        <f t="shared" si="38"/>
        <v/>
      </c>
      <c r="M2171" s="9"/>
      <c r="O2171" s="9"/>
    </row>
    <row r="2172" ht="15.75" customHeight="1">
      <c r="A2172" s="9" t="str">
        <f>IFERROR(__xludf.DUMMYFUNCTION("IF(B2172="""","""",RIGHT(REGEXREPLACE(B2172&amp;"""",""[^0-9]"",""""),9))"),"764094015")</f>
        <v>764094015</v>
      </c>
      <c r="B2172" s="48">
        <v>7.64094015E8</v>
      </c>
      <c r="C2172" s="10" t="s">
        <v>2292</v>
      </c>
      <c r="D2172" s="10" t="s">
        <v>69</v>
      </c>
      <c r="E2172" s="13">
        <v>46229.0</v>
      </c>
      <c r="F2172" s="10" t="s">
        <v>35</v>
      </c>
      <c r="G2172" s="10">
        <v>4.0</v>
      </c>
      <c r="I2172" s="10" t="s">
        <v>22</v>
      </c>
      <c r="J2172" s="9" t="str">
        <f t="shared" si="37"/>
        <v>No</v>
      </c>
      <c r="K2172" s="9" t="str">
        <f t="shared" si="36"/>
        <v/>
      </c>
      <c r="L2172" s="9" t="str">
        <f t="shared" si="38"/>
        <v/>
      </c>
      <c r="M2172" s="9"/>
      <c r="O2172" s="9"/>
    </row>
    <row r="2173" ht="15.75" customHeight="1">
      <c r="A2173" s="9" t="str">
        <f>IFERROR(__xludf.DUMMYFUNCTION("IF(B2173="""","""",RIGHT(REGEXREPLACE(B2173&amp;"""",""[^0-9]"",""""),9))"),"787440941")</f>
        <v>787440941</v>
      </c>
      <c r="B2173" s="10">
        <v>7.87440941E8</v>
      </c>
      <c r="C2173" s="10" t="s">
        <v>2293</v>
      </c>
      <c r="D2173" s="10" t="s">
        <v>20</v>
      </c>
      <c r="E2173" s="13">
        <v>46229.0</v>
      </c>
      <c r="F2173" s="10" t="s">
        <v>648</v>
      </c>
      <c r="I2173" s="10" t="s">
        <v>22</v>
      </c>
      <c r="J2173" s="9" t="str">
        <f t="shared" si="37"/>
        <v>No</v>
      </c>
      <c r="K2173" s="9" t="str">
        <f t="shared" si="36"/>
        <v/>
      </c>
      <c r="L2173" s="9" t="str">
        <f t="shared" si="38"/>
        <v/>
      </c>
      <c r="M2173" s="9"/>
      <c r="O2173" s="9"/>
    </row>
    <row r="2174" ht="15.75" customHeight="1">
      <c r="A2174" s="9" t="str">
        <f>IFERROR(__xludf.DUMMYFUNCTION("IF(B2174="""","""",RIGHT(REGEXREPLACE(B2174&amp;"""",""[^0-9]"",""""),9))"),"772824112")</f>
        <v>772824112</v>
      </c>
      <c r="B2174" s="48">
        <v>7.72824112E8</v>
      </c>
      <c r="C2174" s="10" t="s">
        <v>2294</v>
      </c>
      <c r="D2174" s="10" t="s">
        <v>50</v>
      </c>
      <c r="E2174" s="13">
        <v>46229.0</v>
      </c>
      <c r="F2174" s="10" t="s">
        <v>35</v>
      </c>
      <c r="G2174" s="10">
        <v>11.0</v>
      </c>
      <c r="I2174" s="10" t="s">
        <v>22</v>
      </c>
      <c r="J2174" s="9" t="str">
        <f t="shared" si="37"/>
        <v>No</v>
      </c>
      <c r="K2174" s="9" t="str">
        <f t="shared" si="36"/>
        <v/>
      </c>
      <c r="L2174" s="9" t="str">
        <f t="shared" si="38"/>
        <v/>
      </c>
      <c r="M2174" s="9"/>
      <c r="O2174" s="9"/>
    </row>
    <row r="2175" ht="15.75" customHeight="1">
      <c r="A2175" s="9" t="str">
        <f>IFERROR(__xludf.DUMMYFUNCTION("IF(B2175="""","""",RIGHT(REGEXREPLACE(B2175&amp;"""",""[^0-9]"",""""),9))"),"702375283")</f>
        <v>702375283</v>
      </c>
      <c r="B2175" s="10">
        <v>7.02375283E8</v>
      </c>
      <c r="C2175" s="10" t="s">
        <v>2295</v>
      </c>
      <c r="D2175" s="10" t="s">
        <v>20</v>
      </c>
      <c r="E2175" s="13">
        <v>46229.0</v>
      </c>
      <c r="F2175" s="10" t="s">
        <v>113</v>
      </c>
      <c r="G2175" s="10">
        <v>11.0</v>
      </c>
      <c r="I2175" s="10" t="s">
        <v>22</v>
      </c>
      <c r="J2175" s="9" t="str">
        <f t="shared" si="37"/>
        <v>No</v>
      </c>
      <c r="K2175" s="9" t="str">
        <f t="shared" si="36"/>
        <v/>
      </c>
      <c r="L2175" s="9" t="str">
        <f t="shared" si="38"/>
        <v/>
      </c>
      <c r="M2175" s="9"/>
      <c r="O2175" s="9"/>
    </row>
    <row r="2176" ht="15.75" customHeight="1">
      <c r="A2176" s="9" t="str">
        <f>IFERROR(__xludf.DUMMYFUNCTION("IF(B2176="""","""",RIGHT(REGEXREPLACE(B2176&amp;"""",""[^0-9]"",""""),9))"),"767685636")</f>
        <v>767685636</v>
      </c>
      <c r="B2176" s="48">
        <v>7.67685636E8</v>
      </c>
      <c r="C2176" s="10" t="s">
        <v>2296</v>
      </c>
      <c r="D2176" s="10" t="s">
        <v>97</v>
      </c>
      <c r="E2176" s="13">
        <v>46229.0</v>
      </c>
      <c r="F2176" s="10" t="s">
        <v>35</v>
      </c>
      <c r="H2176" s="10" t="s">
        <v>2297</v>
      </c>
      <c r="I2176" s="10" t="s">
        <v>22</v>
      </c>
      <c r="J2176" s="9" t="str">
        <f t="shared" si="37"/>
        <v>No</v>
      </c>
      <c r="K2176" s="9" t="str">
        <f t="shared" si="36"/>
        <v/>
      </c>
      <c r="L2176" s="9" t="str">
        <f t="shared" si="38"/>
        <v/>
      </c>
      <c r="M2176" s="9"/>
      <c r="O2176" s="9"/>
    </row>
    <row r="2177" ht="15.75" customHeight="1">
      <c r="A2177" s="9" t="str">
        <f>IFERROR(__xludf.DUMMYFUNCTION("IF(B2177="""","""",RIGHT(REGEXREPLACE(B2177&amp;"""",""[^0-9]"",""""),9))"),"772800323")</f>
        <v>772800323</v>
      </c>
      <c r="B2177" s="48">
        <v>7.72800323E8</v>
      </c>
      <c r="C2177" s="10" t="s">
        <v>2298</v>
      </c>
      <c r="D2177" s="10" t="s">
        <v>69</v>
      </c>
      <c r="E2177" s="13">
        <v>46229.0</v>
      </c>
      <c r="F2177" s="10" t="s">
        <v>35</v>
      </c>
      <c r="G2177" s="10">
        <v>11.0</v>
      </c>
      <c r="I2177" s="10" t="s">
        <v>22</v>
      </c>
      <c r="J2177" s="9" t="str">
        <f t="shared" si="37"/>
        <v>No</v>
      </c>
      <c r="K2177" s="9" t="str">
        <f t="shared" si="36"/>
        <v/>
      </c>
      <c r="L2177" s="9" t="str">
        <f t="shared" si="38"/>
        <v/>
      </c>
      <c r="M2177" s="9"/>
      <c r="O2177" s="9"/>
    </row>
    <row r="2178" ht="15.75" customHeight="1">
      <c r="A2178" s="9" t="str">
        <f>IFERROR(__xludf.DUMMYFUNCTION("IF(B2178="""","""",RIGHT(REGEXREPLACE(B2178&amp;"""",""[^0-9]"",""""),9))"),"774455440")</f>
        <v>774455440</v>
      </c>
      <c r="B2178" s="48">
        <v>7.7445544E8</v>
      </c>
      <c r="C2178" s="10" t="s">
        <v>2299</v>
      </c>
      <c r="D2178" s="10" t="s">
        <v>50</v>
      </c>
      <c r="E2178" s="13">
        <v>46229.0</v>
      </c>
      <c r="F2178" s="10" t="s">
        <v>35</v>
      </c>
      <c r="G2178" s="10">
        <v>11.0</v>
      </c>
      <c r="I2178" s="10" t="s">
        <v>22</v>
      </c>
      <c r="J2178" s="9" t="str">
        <f t="shared" si="37"/>
        <v>No</v>
      </c>
      <c r="K2178" s="9" t="str">
        <f t="shared" si="36"/>
        <v/>
      </c>
      <c r="L2178" s="9" t="str">
        <f t="shared" si="38"/>
        <v/>
      </c>
      <c r="M2178" s="9"/>
      <c r="O2178" s="9"/>
    </row>
    <row r="2179" ht="15.75" customHeight="1">
      <c r="A2179" s="9" t="str">
        <f>IFERROR(__xludf.DUMMYFUNCTION("IF(B2179="""","""",RIGHT(REGEXREPLACE(B2179&amp;"""",""[^0-9]"",""""),9))"),"779118142")</f>
        <v>779118142</v>
      </c>
      <c r="B2179" s="10">
        <v>7.79118142E8</v>
      </c>
      <c r="C2179" s="10" t="s">
        <v>2300</v>
      </c>
      <c r="D2179" s="10" t="s">
        <v>20</v>
      </c>
      <c r="E2179" s="13">
        <v>46229.0</v>
      </c>
      <c r="F2179" s="10" t="s">
        <v>171</v>
      </c>
      <c r="G2179" s="10">
        <v>11.0</v>
      </c>
      <c r="I2179" s="10" t="s">
        <v>22</v>
      </c>
      <c r="J2179" s="9" t="str">
        <f t="shared" si="37"/>
        <v>No</v>
      </c>
      <c r="K2179" s="9" t="str">
        <f t="shared" si="36"/>
        <v/>
      </c>
      <c r="L2179" s="9" t="str">
        <f t="shared" si="38"/>
        <v/>
      </c>
      <c r="M2179" s="9"/>
      <c r="O2179" s="9"/>
    </row>
    <row r="2180" ht="15.75" customHeight="1">
      <c r="A2180" s="9" t="str">
        <f>IFERROR(__xludf.DUMMYFUNCTION("IF(B2180="""","""",RIGHT(REGEXREPLACE(B2180&amp;"""",""[^0-9]"",""""),9))"),"779360228")</f>
        <v>779360228</v>
      </c>
      <c r="B2180" s="48">
        <v>7.79360228E8</v>
      </c>
      <c r="C2180" s="10" t="s">
        <v>2301</v>
      </c>
      <c r="D2180" s="10" t="s">
        <v>34</v>
      </c>
      <c r="E2180" s="13">
        <v>46229.0</v>
      </c>
      <c r="F2180" s="10" t="s">
        <v>35</v>
      </c>
      <c r="G2180" s="10">
        <v>11.0</v>
      </c>
      <c r="I2180" s="10" t="s">
        <v>22</v>
      </c>
      <c r="J2180" s="9" t="str">
        <f t="shared" si="37"/>
        <v>No</v>
      </c>
      <c r="K2180" s="9" t="str">
        <f t="shared" si="36"/>
        <v/>
      </c>
      <c r="L2180" s="9" t="str">
        <f t="shared" si="38"/>
        <v/>
      </c>
      <c r="M2180" s="9"/>
      <c r="O2180" s="9"/>
    </row>
    <row r="2181" ht="15.75" customHeight="1">
      <c r="A2181" s="9" t="str">
        <f>IFERROR(__xludf.DUMMYFUNCTION("IF(B2181="""","""",RIGHT(REGEXREPLACE(B2181&amp;"""",""[^0-9]"",""""),9))"),"770774255")</f>
        <v>770774255</v>
      </c>
      <c r="B2181" s="10">
        <v>7.70774255E8</v>
      </c>
      <c r="C2181" s="10" t="s">
        <v>2302</v>
      </c>
      <c r="D2181" s="10" t="s">
        <v>20</v>
      </c>
      <c r="E2181" s="13">
        <v>46229.0</v>
      </c>
      <c r="F2181" s="10" t="s">
        <v>35</v>
      </c>
      <c r="G2181" s="10">
        <v>11.0</v>
      </c>
      <c r="I2181" s="10" t="s">
        <v>22</v>
      </c>
      <c r="J2181" s="9" t="str">
        <f t="shared" si="37"/>
        <v>No</v>
      </c>
      <c r="K2181" s="9" t="str">
        <f t="shared" si="36"/>
        <v/>
      </c>
      <c r="L2181" s="9" t="str">
        <f t="shared" si="38"/>
        <v/>
      </c>
      <c r="M2181" s="9"/>
      <c r="O2181" s="9"/>
    </row>
    <row r="2182" ht="15.75" customHeight="1">
      <c r="A2182" s="9" t="str">
        <f>IFERROR(__xludf.DUMMYFUNCTION("IF(B2182="""","""",RIGHT(REGEXREPLACE(B2182&amp;"""",""[^0-9]"",""""),9))"),"779990701")</f>
        <v>779990701</v>
      </c>
      <c r="B2182" s="48">
        <v>7.79990701E8</v>
      </c>
      <c r="C2182" s="10" t="s">
        <v>2303</v>
      </c>
      <c r="D2182" s="10" t="s">
        <v>97</v>
      </c>
      <c r="E2182" s="13">
        <v>46229.0</v>
      </c>
      <c r="F2182" s="10" t="s">
        <v>198</v>
      </c>
      <c r="I2182" s="10" t="s">
        <v>22</v>
      </c>
      <c r="J2182" s="9" t="str">
        <f t="shared" si="37"/>
        <v>No</v>
      </c>
      <c r="K2182" s="9" t="str">
        <f t="shared" si="36"/>
        <v/>
      </c>
      <c r="L2182" s="9" t="str">
        <f t="shared" si="38"/>
        <v/>
      </c>
      <c r="M2182" s="9"/>
      <c r="O2182" s="9"/>
    </row>
    <row r="2183" ht="15.75" customHeight="1">
      <c r="A2183" s="9" t="str">
        <f>IFERROR(__xludf.DUMMYFUNCTION("IF(B2183="""","""",RIGHT(REGEXREPLACE(B2183&amp;"""",""[^0-9]"",""""),9))"),"740920064")</f>
        <v>740920064</v>
      </c>
      <c r="B2183" s="48">
        <v>7.40920064E8</v>
      </c>
      <c r="C2183" s="10" t="s">
        <v>2304</v>
      </c>
      <c r="D2183" s="10" t="s">
        <v>34</v>
      </c>
      <c r="E2183" s="13">
        <v>46229.0</v>
      </c>
      <c r="F2183" s="10" t="s">
        <v>171</v>
      </c>
      <c r="I2183" s="10" t="s">
        <v>22</v>
      </c>
      <c r="J2183" s="9" t="str">
        <f t="shared" si="37"/>
        <v>No</v>
      </c>
      <c r="K2183" s="9" t="str">
        <f t="shared" si="36"/>
        <v/>
      </c>
      <c r="L2183" s="9" t="str">
        <f t="shared" si="38"/>
        <v/>
      </c>
      <c r="M2183" s="9"/>
      <c r="O2183" s="9"/>
    </row>
    <row r="2184" ht="15.75" customHeight="1">
      <c r="A2184" s="9" t="str">
        <f>IFERROR(__xludf.DUMMYFUNCTION("IF(B2184="""","""",RIGHT(REGEXREPLACE(B2184&amp;"""",""[^0-9]"",""""),9))"),"779908092")</f>
        <v>779908092</v>
      </c>
      <c r="B2184" s="48">
        <v>7.79908092E8</v>
      </c>
      <c r="C2184" s="10" t="s">
        <v>2305</v>
      </c>
      <c r="D2184" s="10" t="s">
        <v>34</v>
      </c>
      <c r="E2184" s="13">
        <v>46229.0</v>
      </c>
      <c r="F2184" s="10" t="s">
        <v>35</v>
      </c>
      <c r="G2184" s="10">
        <v>11.0</v>
      </c>
      <c r="I2184" s="10" t="s">
        <v>22</v>
      </c>
      <c r="J2184" s="9" t="str">
        <f t="shared" si="37"/>
        <v>No</v>
      </c>
      <c r="K2184" s="9" t="str">
        <f t="shared" si="36"/>
        <v/>
      </c>
      <c r="L2184" s="9" t="str">
        <f t="shared" si="38"/>
        <v/>
      </c>
      <c r="M2184" s="9"/>
      <c r="O2184" s="9"/>
    </row>
    <row r="2185" ht="15.75" customHeight="1">
      <c r="A2185" s="9" t="str">
        <f>IFERROR(__xludf.DUMMYFUNCTION("IF(B2185="""","""",RIGHT(REGEXREPLACE(B2185&amp;"""",""[^0-9]"",""""),9))"),"769980760")</f>
        <v>769980760</v>
      </c>
      <c r="B2185" s="48">
        <v>7.6998076E8</v>
      </c>
      <c r="C2185" s="10" t="s">
        <v>2306</v>
      </c>
      <c r="D2185" s="10" t="s">
        <v>50</v>
      </c>
      <c r="E2185" s="13">
        <v>46229.0</v>
      </c>
      <c r="F2185" s="10" t="s">
        <v>198</v>
      </c>
      <c r="I2185" s="10" t="s">
        <v>22</v>
      </c>
      <c r="J2185" s="9" t="str">
        <f t="shared" si="37"/>
        <v>No</v>
      </c>
      <c r="K2185" s="9" t="str">
        <f t="shared" si="36"/>
        <v/>
      </c>
      <c r="L2185" s="9" t="str">
        <f t="shared" si="38"/>
        <v/>
      </c>
      <c r="M2185" s="9"/>
      <c r="O2185" s="9"/>
    </row>
    <row r="2186" ht="15.75" customHeight="1">
      <c r="A2186" s="9" t="str">
        <f>IFERROR(__xludf.DUMMYFUNCTION("IF(B2186="""","""",RIGHT(REGEXREPLACE(B2186&amp;"""",""[^0-9]"",""""),9))"),"774123900")</f>
        <v>774123900</v>
      </c>
      <c r="B2186" s="48">
        <v>7.741239E8</v>
      </c>
      <c r="C2186" s="10" t="s">
        <v>2307</v>
      </c>
      <c r="D2186" s="10" t="s">
        <v>69</v>
      </c>
      <c r="E2186" s="13">
        <v>46229.0</v>
      </c>
      <c r="F2186" s="10" t="s">
        <v>35</v>
      </c>
      <c r="G2186" s="10">
        <v>11.0</v>
      </c>
      <c r="I2186" s="10" t="s">
        <v>22</v>
      </c>
      <c r="J2186" s="9" t="str">
        <f t="shared" si="37"/>
        <v>No</v>
      </c>
      <c r="K2186" s="9" t="str">
        <f t="shared" si="36"/>
        <v/>
      </c>
      <c r="L2186" s="9" t="str">
        <f t="shared" si="38"/>
        <v/>
      </c>
      <c r="M2186" s="9"/>
      <c r="O2186" s="9"/>
    </row>
    <row r="2187" ht="15.75" customHeight="1">
      <c r="A2187" s="9" t="str">
        <f>IFERROR(__xludf.DUMMYFUNCTION("IF(B2187="""","""",RIGHT(REGEXREPLACE(B2187&amp;"""",""[^0-9]"",""""),9))"),"759167521")</f>
        <v>759167521</v>
      </c>
      <c r="B2187" s="48">
        <v>7.59167521E8</v>
      </c>
      <c r="C2187" s="10" t="s">
        <v>2308</v>
      </c>
      <c r="D2187" s="10" t="s">
        <v>34</v>
      </c>
      <c r="E2187" s="13">
        <v>46229.0</v>
      </c>
      <c r="F2187" s="10" t="s">
        <v>35</v>
      </c>
      <c r="G2187" s="10">
        <v>11.0</v>
      </c>
      <c r="I2187" s="10" t="s">
        <v>22</v>
      </c>
      <c r="J2187" s="9" t="str">
        <f t="shared" si="37"/>
        <v>No</v>
      </c>
      <c r="K2187" s="9" t="str">
        <f t="shared" si="36"/>
        <v/>
      </c>
      <c r="L2187" s="9" t="str">
        <f t="shared" si="38"/>
        <v/>
      </c>
      <c r="M2187" s="9"/>
      <c r="O2187" s="9"/>
    </row>
    <row r="2188" ht="15.75" customHeight="1">
      <c r="A2188" s="9" t="str">
        <f>IFERROR(__xludf.DUMMYFUNCTION("IF(B2188="""","""",RIGHT(REGEXREPLACE(B2188&amp;"""",""[^0-9]"",""""),9))"),"769388276")</f>
        <v>769388276</v>
      </c>
      <c r="B2188" s="10">
        <v>7.69388276E8</v>
      </c>
      <c r="C2188" s="10" t="s">
        <v>2309</v>
      </c>
      <c r="D2188" s="10" t="s">
        <v>20</v>
      </c>
      <c r="E2188" s="13">
        <v>46229.0</v>
      </c>
      <c r="F2188" s="10" t="s">
        <v>171</v>
      </c>
      <c r="G2188" s="10">
        <v>11.0</v>
      </c>
      <c r="I2188" s="10" t="s">
        <v>22</v>
      </c>
      <c r="J2188" s="9" t="str">
        <f t="shared" si="37"/>
        <v>No</v>
      </c>
      <c r="K2188" s="9" t="str">
        <f t="shared" si="36"/>
        <v/>
      </c>
      <c r="L2188" s="9" t="str">
        <f t="shared" si="38"/>
        <v/>
      </c>
      <c r="M2188" s="9"/>
      <c r="O2188" s="9"/>
    </row>
    <row r="2189" ht="15.75" customHeight="1">
      <c r="A2189" s="9" t="str">
        <f>IFERROR(__xludf.DUMMYFUNCTION("IF(B2189="""","""",RIGHT(REGEXREPLACE(B2189&amp;"""",""[^0-9]"",""""),9))"),"763353806")</f>
        <v>763353806</v>
      </c>
      <c r="B2189" s="48">
        <v>7.63353806E8</v>
      </c>
      <c r="C2189" s="10" t="s">
        <v>2310</v>
      </c>
      <c r="D2189" s="10" t="s">
        <v>97</v>
      </c>
      <c r="E2189" s="13">
        <v>46229.0</v>
      </c>
      <c r="F2189" s="10" t="s">
        <v>21</v>
      </c>
      <c r="G2189" s="10">
        <v>11.0</v>
      </c>
      <c r="I2189" s="10" t="s">
        <v>22</v>
      </c>
      <c r="J2189" s="9" t="str">
        <f t="shared" si="37"/>
        <v>No</v>
      </c>
      <c r="K2189" s="9" t="str">
        <f t="shared" si="36"/>
        <v/>
      </c>
      <c r="L2189" s="9" t="str">
        <f t="shared" si="38"/>
        <v/>
      </c>
      <c r="M2189" s="9"/>
      <c r="O2189" s="9"/>
    </row>
    <row r="2190" ht="15.75" customHeight="1">
      <c r="A2190" s="9" t="str">
        <f>IFERROR(__xludf.DUMMYFUNCTION("IF(B2190="""","""",RIGHT(REGEXREPLACE(B2190&amp;"""",""[^0-9]"",""""),9))"),"774948893")</f>
        <v>774948893</v>
      </c>
      <c r="B2190" s="48">
        <v>7.74948893E8</v>
      </c>
      <c r="C2190" s="10" t="s">
        <v>1075</v>
      </c>
      <c r="D2190" s="10" t="s">
        <v>69</v>
      </c>
      <c r="E2190" s="13">
        <v>46229.0</v>
      </c>
      <c r="F2190" s="10" t="s">
        <v>21</v>
      </c>
      <c r="I2190" s="10" t="s">
        <v>22</v>
      </c>
      <c r="J2190" s="9" t="str">
        <f t="shared" si="37"/>
        <v>No</v>
      </c>
      <c r="K2190" s="9" t="str">
        <f t="shared" si="36"/>
        <v/>
      </c>
      <c r="L2190" s="9" t="str">
        <f t="shared" si="38"/>
        <v/>
      </c>
      <c r="M2190" s="9"/>
      <c r="O2190" s="9"/>
    </row>
    <row r="2191" ht="15.75" customHeight="1">
      <c r="A2191" s="9" t="str">
        <f>IFERROR(__xludf.DUMMYFUNCTION("IF(B2191="""","""",RIGHT(REGEXREPLACE(B2191&amp;"""",""[^0-9]"",""""),9))"),"714825199")</f>
        <v>714825199</v>
      </c>
      <c r="B2191" s="48">
        <v>7.14825199E8</v>
      </c>
      <c r="C2191" s="10" t="s">
        <v>2311</v>
      </c>
      <c r="D2191" s="10" t="s">
        <v>50</v>
      </c>
      <c r="E2191" s="13">
        <v>46229.0</v>
      </c>
      <c r="F2191" s="10" t="s">
        <v>35</v>
      </c>
      <c r="G2191" s="10">
        <v>11.0</v>
      </c>
      <c r="I2191" s="10" t="s">
        <v>22</v>
      </c>
      <c r="J2191" s="9" t="str">
        <f t="shared" si="37"/>
        <v>No</v>
      </c>
      <c r="K2191" s="9" t="str">
        <f t="shared" si="36"/>
        <v/>
      </c>
      <c r="L2191" s="9" t="str">
        <f t="shared" si="38"/>
        <v/>
      </c>
      <c r="M2191" s="9"/>
      <c r="O2191" s="9"/>
    </row>
    <row r="2192" ht="15.75" customHeight="1">
      <c r="A2192" s="9" t="str">
        <f>IFERROR(__xludf.DUMMYFUNCTION("IF(B2192="""","""",RIGHT(REGEXREPLACE(B2192&amp;"""",""[^0-9]"",""""),9))"),"764409872")</f>
        <v>764409872</v>
      </c>
      <c r="B2192" s="48">
        <v>7.64409872E8</v>
      </c>
      <c r="C2192" s="10" t="s">
        <v>2312</v>
      </c>
      <c r="D2192" s="10" t="s">
        <v>34</v>
      </c>
      <c r="E2192" s="13">
        <v>46229.0</v>
      </c>
      <c r="F2192" s="10" t="s">
        <v>35</v>
      </c>
      <c r="G2192" s="10">
        <v>11.0</v>
      </c>
      <c r="I2192" s="10" t="s">
        <v>22</v>
      </c>
      <c r="J2192" s="9" t="str">
        <f t="shared" si="37"/>
        <v>No</v>
      </c>
      <c r="K2192" s="9" t="str">
        <f t="shared" si="36"/>
        <v/>
      </c>
      <c r="L2192" s="9" t="str">
        <f t="shared" si="38"/>
        <v/>
      </c>
      <c r="M2192" s="9"/>
      <c r="O2192" s="9"/>
    </row>
    <row r="2193" ht="15.75" customHeight="1">
      <c r="A2193" s="9" t="str">
        <f>IFERROR(__xludf.DUMMYFUNCTION("IF(B2193="""","""",RIGHT(REGEXREPLACE(B2193&amp;"""",""[^0-9]"",""""),9))"),"785358468")</f>
        <v>785358468</v>
      </c>
      <c r="B2193" s="48">
        <v>7.85358468E8</v>
      </c>
      <c r="C2193" s="10" t="s">
        <v>2313</v>
      </c>
      <c r="D2193" s="10" t="s">
        <v>97</v>
      </c>
      <c r="E2193" s="13">
        <v>46229.0</v>
      </c>
      <c r="F2193" s="10" t="s">
        <v>35</v>
      </c>
      <c r="G2193" s="10">
        <v>10.0</v>
      </c>
      <c r="I2193" s="10" t="s">
        <v>22</v>
      </c>
      <c r="J2193" s="9" t="str">
        <f t="shared" si="37"/>
        <v>No</v>
      </c>
      <c r="K2193" s="9" t="str">
        <f t="shared" si="36"/>
        <v/>
      </c>
      <c r="L2193" s="9" t="str">
        <f t="shared" si="38"/>
        <v/>
      </c>
      <c r="M2193" s="9"/>
      <c r="O2193" s="9"/>
    </row>
    <row r="2194" ht="15.75" customHeight="1">
      <c r="A2194" s="9" t="str">
        <f>IFERROR(__xludf.DUMMYFUNCTION("IF(B2194="""","""",RIGHT(REGEXREPLACE(B2194&amp;"""",""[^0-9]"",""""),9))"),"773913305")</f>
        <v>773913305</v>
      </c>
      <c r="B2194" s="48">
        <v>7.73913305E8</v>
      </c>
      <c r="C2194" s="10" t="s">
        <v>2314</v>
      </c>
      <c r="D2194" s="10" t="s">
        <v>50</v>
      </c>
      <c r="E2194" s="13">
        <v>46229.0</v>
      </c>
      <c r="F2194" s="10" t="s">
        <v>35</v>
      </c>
      <c r="G2194" s="10">
        <v>11.0</v>
      </c>
      <c r="I2194" s="10" t="s">
        <v>22</v>
      </c>
      <c r="J2194" s="9" t="str">
        <f t="shared" si="37"/>
        <v>No</v>
      </c>
      <c r="K2194" s="9" t="str">
        <f t="shared" si="36"/>
        <v/>
      </c>
      <c r="L2194" s="9" t="str">
        <f t="shared" si="38"/>
        <v/>
      </c>
      <c r="M2194" s="9"/>
      <c r="O2194" s="9"/>
    </row>
    <row r="2195" ht="15.75" customHeight="1">
      <c r="A2195" s="9" t="str">
        <f>IFERROR(__xludf.DUMMYFUNCTION("IF(B2195="""","""",RIGHT(REGEXREPLACE(B2195&amp;"""",""[^0-9]"",""""),9))"),"713328710")</f>
        <v>713328710</v>
      </c>
      <c r="B2195" s="48">
        <v>7.1332871E8</v>
      </c>
      <c r="C2195" s="10" t="s">
        <v>2315</v>
      </c>
      <c r="D2195" s="10" t="s">
        <v>69</v>
      </c>
      <c r="E2195" s="13">
        <v>46229.0</v>
      </c>
      <c r="F2195" s="10" t="s">
        <v>35</v>
      </c>
      <c r="G2195" s="10">
        <v>11.0</v>
      </c>
      <c r="I2195" s="10" t="s">
        <v>22</v>
      </c>
      <c r="J2195" s="9" t="str">
        <f t="shared" si="37"/>
        <v>No</v>
      </c>
      <c r="K2195" s="9" t="str">
        <f t="shared" si="36"/>
        <v/>
      </c>
      <c r="L2195" s="9" t="str">
        <f t="shared" si="38"/>
        <v/>
      </c>
      <c r="M2195" s="9"/>
      <c r="O2195" s="9"/>
    </row>
    <row r="2196" ht="15.75" customHeight="1">
      <c r="A2196" s="9" t="str">
        <f>IFERROR(__xludf.DUMMYFUNCTION("IF(B2196="""","""",RIGHT(REGEXREPLACE(B2196&amp;"""",""[^0-9]"",""""),9))"),"786202682")</f>
        <v>786202682</v>
      </c>
      <c r="B2196" s="48">
        <v>7.86202682E8</v>
      </c>
      <c r="C2196" s="10" t="s">
        <v>2316</v>
      </c>
      <c r="D2196" s="10" t="s">
        <v>50</v>
      </c>
      <c r="E2196" s="13">
        <v>46229.0</v>
      </c>
      <c r="F2196" s="10" t="s">
        <v>648</v>
      </c>
      <c r="I2196" s="10" t="s">
        <v>22</v>
      </c>
      <c r="J2196" s="9" t="str">
        <f t="shared" si="37"/>
        <v>No</v>
      </c>
      <c r="K2196" s="9" t="str">
        <f t="shared" si="36"/>
        <v/>
      </c>
      <c r="L2196" s="9" t="str">
        <f t="shared" si="38"/>
        <v/>
      </c>
      <c r="M2196" s="9"/>
      <c r="O2196" s="9"/>
    </row>
    <row r="2197" ht="15.75" customHeight="1">
      <c r="A2197" s="9" t="str">
        <f>IFERROR(__xludf.DUMMYFUNCTION("IF(B2197="""","""",RIGHT(REGEXREPLACE(B2197&amp;"""",""[^0-9]"",""""),9))"),"777492068")</f>
        <v>777492068</v>
      </c>
      <c r="B2197" s="48">
        <v>7.77492068E8</v>
      </c>
      <c r="C2197" s="10" t="s">
        <v>2317</v>
      </c>
      <c r="D2197" s="10" t="s">
        <v>97</v>
      </c>
      <c r="E2197" s="13">
        <v>46229.0</v>
      </c>
      <c r="F2197" s="10" t="s">
        <v>35</v>
      </c>
      <c r="G2197" s="10">
        <v>11.0</v>
      </c>
      <c r="I2197" s="10" t="s">
        <v>22</v>
      </c>
      <c r="J2197" s="9" t="str">
        <f t="shared" si="37"/>
        <v>No</v>
      </c>
      <c r="K2197" s="9" t="str">
        <f t="shared" si="36"/>
        <v/>
      </c>
      <c r="L2197" s="9" t="str">
        <f t="shared" si="38"/>
        <v/>
      </c>
      <c r="M2197" s="9"/>
      <c r="O2197" s="9"/>
    </row>
    <row r="2198" ht="15.75" customHeight="1">
      <c r="A2198" s="9" t="str">
        <f>IFERROR(__xludf.DUMMYFUNCTION("IF(B2198="""","""",RIGHT(REGEXREPLACE(B2198&amp;"""",""[^0-9]"",""""),9))"),"718488411")</f>
        <v>718488411</v>
      </c>
      <c r="B2198" s="10">
        <v>7.18488411E8</v>
      </c>
      <c r="C2198" s="10" t="s">
        <v>2318</v>
      </c>
      <c r="D2198" s="10" t="s">
        <v>20</v>
      </c>
      <c r="E2198" s="13">
        <v>46229.0</v>
      </c>
      <c r="F2198" s="10" t="s">
        <v>21</v>
      </c>
      <c r="I2198" s="10" t="s">
        <v>22</v>
      </c>
      <c r="J2198" s="9" t="str">
        <f t="shared" si="37"/>
        <v>No</v>
      </c>
      <c r="K2198" s="9" t="str">
        <f t="shared" si="36"/>
        <v/>
      </c>
      <c r="L2198" s="9" t="str">
        <f t="shared" si="38"/>
        <v/>
      </c>
      <c r="M2198" s="9"/>
      <c r="O2198" s="9"/>
    </row>
    <row r="2199" ht="15.75" customHeight="1">
      <c r="A2199" s="9" t="str">
        <f>IFERROR(__xludf.DUMMYFUNCTION("IF(B2199="""","""",RIGHT(REGEXREPLACE(B2199&amp;"""",""[^0-9]"",""""),9))"),"760865447")</f>
        <v>760865447</v>
      </c>
      <c r="B2199" s="48">
        <v>7.60865447E8</v>
      </c>
      <c r="C2199" s="10" t="s">
        <v>2319</v>
      </c>
      <c r="D2199" s="10" t="s">
        <v>34</v>
      </c>
      <c r="E2199" s="13">
        <v>46229.0</v>
      </c>
      <c r="F2199" s="10" t="s">
        <v>35</v>
      </c>
      <c r="G2199" s="10">
        <v>11.0</v>
      </c>
      <c r="I2199" s="10" t="s">
        <v>22</v>
      </c>
      <c r="J2199" s="9" t="str">
        <f t="shared" si="37"/>
        <v>No</v>
      </c>
      <c r="K2199" s="9" t="str">
        <f t="shared" si="36"/>
        <v/>
      </c>
      <c r="L2199" s="9" t="str">
        <f t="shared" si="38"/>
        <v/>
      </c>
      <c r="M2199" s="9"/>
      <c r="O2199" s="9"/>
    </row>
    <row r="2200" ht="15.75" customHeight="1">
      <c r="A2200" s="9" t="str">
        <f>IFERROR(__xludf.DUMMYFUNCTION("IF(B2200="""","""",RIGHT(REGEXREPLACE(B2200&amp;"""",""[^0-9]"",""""),9))"),"779955334")</f>
        <v>779955334</v>
      </c>
      <c r="B2200" s="48">
        <v>7.79955334E8</v>
      </c>
      <c r="C2200" s="10" t="s">
        <v>2320</v>
      </c>
      <c r="D2200" s="10" t="s">
        <v>50</v>
      </c>
      <c r="E2200" s="13">
        <v>46229.0</v>
      </c>
      <c r="F2200" s="10" t="s">
        <v>35</v>
      </c>
      <c r="G2200" s="10">
        <v>11.0</v>
      </c>
      <c r="I2200" s="10" t="s">
        <v>22</v>
      </c>
      <c r="J2200" s="9" t="str">
        <f t="shared" si="37"/>
        <v>No</v>
      </c>
      <c r="K2200" s="9" t="str">
        <f t="shared" si="36"/>
        <v/>
      </c>
      <c r="L2200" s="9" t="str">
        <f t="shared" si="38"/>
        <v/>
      </c>
      <c r="M2200" s="9"/>
      <c r="O2200" s="9"/>
    </row>
    <row r="2201" ht="15.75" customHeight="1">
      <c r="A2201" s="9" t="str">
        <f>IFERROR(__xludf.DUMMYFUNCTION("IF(B2201="""","""",RIGHT(REGEXREPLACE(B2201&amp;"""",""[^0-9]"",""""),9))"),"713224188")</f>
        <v>713224188</v>
      </c>
      <c r="B2201" s="48">
        <v>7.13224188E8</v>
      </c>
      <c r="C2201" s="10" t="s">
        <v>2321</v>
      </c>
      <c r="D2201" s="10" t="s">
        <v>97</v>
      </c>
      <c r="E2201" s="13">
        <v>46229.0</v>
      </c>
      <c r="F2201" s="10" t="s">
        <v>198</v>
      </c>
      <c r="I2201" s="10" t="s">
        <v>22</v>
      </c>
      <c r="J2201" s="9" t="str">
        <f t="shared" si="37"/>
        <v>No</v>
      </c>
      <c r="K2201" s="9" t="str">
        <f t="shared" si="36"/>
        <v/>
      </c>
      <c r="L2201" s="9" t="str">
        <f t="shared" si="38"/>
        <v/>
      </c>
      <c r="M2201" s="9"/>
      <c r="O2201" s="9"/>
    </row>
    <row r="2202" ht="15.75" customHeight="1">
      <c r="A2202" s="9" t="str">
        <f>IFERROR(__xludf.DUMMYFUNCTION("IF(B2202="""","""",RIGHT(REGEXREPLACE(B2202&amp;"""",""[^0-9]"",""""),9))"),"706381151")</f>
        <v>706381151</v>
      </c>
      <c r="B2202" s="48">
        <v>7.06381151E8</v>
      </c>
      <c r="C2202" s="10" t="s">
        <v>2322</v>
      </c>
      <c r="D2202" s="10" t="s">
        <v>69</v>
      </c>
      <c r="E2202" s="13">
        <v>46229.0</v>
      </c>
      <c r="F2202" s="10" t="s">
        <v>35</v>
      </c>
      <c r="G2202" s="10">
        <v>11.0</v>
      </c>
      <c r="I2202" s="10" t="s">
        <v>22</v>
      </c>
      <c r="J2202" s="9" t="str">
        <f t="shared" si="37"/>
        <v>No</v>
      </c>
      <c r="K2202" s="9" t="str">
        <f t="shared" si="36"/>
        <v/>
      </c>
      <c r="L2202" s="9" t="str">
        <f t="shared" si="38"/>
        <v/>
      </c>
      <c r="M2202" s="9"/>
      <c r="O2202" s="9"/>
    </row>
    <row r="2203" ht="15.75" customHeight="1">
      <c r="A2203" s="9" t="str">
        <f>IFERROR(__xludf.DUMMYFUNCTION("IF(B2203="""","""",RIGHT(REGEXREPLACE(B2203&amp;"""",""[^0-9]"",""""),9))"),"773565150")</f>
        <v>773565150</v>
      </c>
      <c r="B2203" s="10">
        <v>7.7356515E8</v>
      </c>
      <c r="C2203" s="10" t="s">
        <v>2323</v>
      </c>
      <c r="D2203" s="10" t="s">
        <v>20</v>
      </c>
      <c r="E2203" s="13">
        <v>46229.0</v>
      </c>
      <c r="F2203" s="10" t="s">
        <v>35</v>
      </c>
      <c r="G2203" s="10">
        <v>11.0</v>
      </c>
      <c r="H2203" s="10" t="s">
        <v>2324</v>
      </c>
      <c r="I2203" s="10" t="s">
        <v>22</v>
      </c>
      <c r="J2203" s="9" t="str">
        <f t="shared" si="37"/>
        <v>No</v>
      </c>
      <c r="K2203" s="9" t="str">
        <f t="shared" si="36"/>
        <v/>
      </c>
      <c r="L2203" s="9" t="str">
        <f t="shared" si="38"/>
        <v/>
      </c>
      <c r="M2203" s="9"/>
      <c r="O2203" s="9"/>
    </row>
    <row r="2204" ht="15.75" customHeight="1">
      <c r="A2204" s="9" t="str">
        <f>IFERROR(__xludf.DUMMYFUNCTION("IF(B2204="""","""",RIGHT(REGEXREPLACE(B2204&amp;"""",""[^0-9]"",""""),9))"),"776953639")</f>
        <v>776953639</v>
      </c>
      <c r="B2204" s="48">
        <v>7.76953639E8</v>
      </c>
      <c r="C2204" s="10" t="s">
        <v>2325</v>
      </c>
      <c r="D2204" s="10" t="s">
        <v>50</v>
      </c>
      <c r="E2204" s="13">
        <v>46229.0</v>
      </c>
      <c r="F2204" s="10" t="s">
        <v>35</v>
      </c>
      <c r="G2204" s="10">
        <v>11.0</v>
      </c>
      <c r="I2204" s="10" t="s">
        <v>22</v>
      </c>
      <c r="J2204" s="9" t="str">
        <f t="shared" si="37"/>
        <v>No</v>
      </c>
      <c r="K2204" s="9" t="str">
        <f t="shared" si="36"/>
        <v/>
      </c>
      <c r="L2204" s="9" t="str">
        <f t="shared" si="38"/>
        <v/>
      </c>
      <c r="M2204" s="9"/>
      <c r="O2204" s="9"/>
    </row>
    <row r="2205" ht="15.75" customHeight="1">
      <c r="A2205" s="9" t="str">
        <f>IFERROR(__xludf.DUMMYFUNCTION("IF(B2205="""","""",RIGHT(REGEXREPLACE(B2205&amp;"""",""[^0-9]"",""""),9))"),"778602272")</f>
        <v>778602272</v>
      </c>
      <c r="B2205" s="48">
        <v>7.78602272E8</v>
      </c>
      <c r="C2205" s="10" t="s">
        <v>2326</v>
      </c>
      <c r="D2205" s="10" t="s">
        <v>97</v>
      </c>
      <c r="E2205" s="13">
        <v>46229.0</v>
      </c>
      <c r="F2205" s="10" t="s">
        <v>35</v>
      </c>
      <c r="G2205" s="10">
        <v>11.0</v>
      </c>
      <c r="I2205" s="10" t="s">
        <v>22</v>
      </c>
      <c r="J2205" s="9" t="str">
        <f t="shared" si="37"/>
        <v>No</v>
      </c>
      <c r="K2205" s="9" t="str">
        <f t="shared" si="36"/>
        <v/>
      </c>
      <c r="L2205" s="9" t="str">
        <f t="shared" si="38"/>
        <v/>
      </c>
      <c r="M2205" s="9"/>
      <c r="O2205" s="9"/>
    </row>
    <row r="2206" ht="15.75" customHeight="1">
      <c r="A2206" s="9" t="str">
        <f>IFERROR(__xludf.DUMMYFUNCTION("IF(B2206="""","""",RIGHT(REGEXREPLACE(B2206&amp;"""",""[^0-9]"",""""),9))"),"756024915")</f>
        <v>756024915</v>
      </c>
      <c r="B2206" s="10">
        <v>7.56024915E8</v>
      </c>
      <c r="C2206" s="10" t="s">
        <v>2327</v>
      </c>
      <c r="D2206" s="10" t="s">
        <v>20</v>
      </c>
      <c r="E2206" s="13">
        <v>46229.0</v>
      </c>
      <c r="F2206" s="10" t="s">
        <v>35</v>
      </c>
      <c r="G2206" s="10">
        <v>11.0</v>
      </c>
      <c r="I2206" s="10" t="s">
        <v>22</v>
      </c>
      <c r="J2206" s="9" t="str">
        <f t="shared" si="37"/>
        <v>No</v>
      </c>
      <c r="K2206" s="9" t="str">
        <f t="shared" si="36"/>
        <v/>
      </c>
      <c r="L2206" s="9" t="str">
        <f t="shared" si="38"/>
        <v/>
      </c>
      <c r="M2206" s="9"/>
      <c r="O2206" s="9"/>
    </row>
    <row r="2207" ht="15.75" customHeight="1">
      <c r="A2207" s="9" t="str">
        <f>IFERROR(__xludf.DUMMYFUNCTION("IF(B2207="""","""",RIGHT(REGEXREPLACE(B2207&amp;"""",""[^0-9]"",""""),9))"),"770487032")</f>
        <v>770487032</v>
      </c>
      <c r="B2207" s="48">
        <v>7.70487032E8</v>
      </c>
      <c r="C2207" s="10" t="s">
        <v>2328</v>
      </c>
      <c r="D2207" s="10" t="s">
        <v>34</v>
      </c>
      <c r="E2207" s="13">
        <v>46229.0</v>
      </c>
      <c r="F2207" s="10" t="s">
        <v>35</v>
      </c>
      <c r="G2207" s="10">
        <v>11.0</v>
      </c>
      <c r="I2207" s="10" t="s">
        <v>22</v>
      </c>
      <c r="J2207" s="9" t="str">
        <f t="shared" si="37"/>
        <v>No</v>
      </c>
      <c r="K2207" s="9" t="str">
        <f t="shared" si="36"/>
        <v/>
      </c>
      <c r="L2207" s="9" t="str">
        <f t="shared" si="38"/>
        <v/>
      </c>
      <c r="M2207" s="9"/>
      <c r="O2207" s="9"/>
    </row>
    <row r="2208" ht="15.75" customHeight="1">
      <c r="A2208" s="9" t="str">
        <f>IFERROR(__xludf.DUMMYFUNCTION("IF(B2208="""","""",RIGHT(REGEXREPLACE(B2208&amp;"""",""[^0-9]"",""""),9))"),"714024629")</f>
        <v>714024629</v>
      </c>
      <c r="B2208" s="48">
        <v>7.14024629E8</v>
      </c>
      <c r="C2208" s="10" t="s">
        <v>2329</v>
      </c>
      <c r="D2208" s="10" t="s">
        <v>69</v>
      </c>
      <c r="E2208" s="13">
        <v>46229.0</v>
      </c>
      <c r="F2208" s="10" t="s">
        <v>35</v>
      </c>
      <c r="G2208" s="10">
        <v>11.0</v>
      </c>
      <c r="I2208" s="10" t="s">
        <v>22</v>
      </c>
      <c r="J2208" s="9" t="str">
        <f t="shared" si="37"/>
        <v>No</v>
      </c>
      <c r="K2208" s="9" t="str">
        <f t="shared" si="36"/>
        <v/>
      </c>
      <c r="L2208" s="9" t="str">
        <f t="shared" si="38"/>
        <v/>
      </c>
      <c r="M2208" s="9"/>
      <c r="O2208" s="9"/>
    </row>
    <row r="2209" ht="15.75" customHeight="1">
      <c r="A2209" s="9" t="str">
        <f>IFERROR(__xludf.DUMMYFUNCTION("IF(B2209="""","""",RIGHT(REGEXREPLACE(B2209&amp;"""",""[^0-9]"",""""),9))"),"775253186")</f>
        <v>775253186</v>
      </c>
      <c r="B2209" s="10">
        <v>7.75253186E8</v>
      </c>
      <c r="C2209" s="10" t="s">
        <v>2330</v>
      </c>
      <c r="D2209" s="10" t="s">
        <v>20</v>
      </c>
      <c r="E2209" s="13">
        <v>46229.0</v>
      </c>
      <c r="F2209" s="10" t="s">
        <v>198</v>
      </c>
      <c r="I2209" s="10" t="s">
        <v>22</v>
      </c>
      <c r="J2209" s="9" t="str">
        <f t="shared" si="37"/>
        <v>No</v>
      </c>
      <c r="K2209" s="9" t="str">
        <f t="shared" si="36"/>
        <v/>
      </c>
      <c r="L2209" s="9" t="str">
        <f t="shared" si="38"/>
        <v/>
      </c>
      <c r="M2209" s="9"/>
      <c r="O2209" s="9"/>
    </row>
    <row r="2210" ht="15.75" customHeight="1">
      <c r="A2210" s="9" t="str">
        <f>IFERROR(__xludf.DUMMYFUNCTION("IF(B2210="""","""",RIGHT(REGEXREPLACE(B2210&amp;"""",""[^0-9]"",""""),9))"),"766954533")</f>
        <v>766954533</v>
      </c>
      <c r="B2210" s="10">
        <v>7.66954533E8</v>
      </c>
      <c r="C2210" s="10" t="s">
        <v>2331</v>
      </c>
      <c r="D2210" s="10" t="s">
        <v>20</v>
      </c>
      <c r="E2210" s="13">
        <v>46229.0</v>
      </c>
      <c r="F2210" s="10" t="s">
        <v>35</v>
      </c>
      <c r="G2210" s="10">
        <v>10.0</v>
      </c>
      <c r="I2210" s="10" t="s">
        <v>22</v>
      </c>
      <c r="J2210" s="9" t="str">
        <f t="shared" si="37"/>
        <v>No</v>
      </c>
      <c r="K2210" s="9" t="str">
        <f t="shared" si="36"/>
        <v/>
      </c>
      <c r="L2210" s="9" t="str">
        <f t="shared" si="38"/>
        <v/>
      </c>
      <c r="M2210" s="9"/>
      <c r="O2210" s="9"/>
    </row>
    <row r="2211" ht="15.75" customHeight="1">
      <c r="A2211" s="9" t="str">
        <f>IFERROR(__xludf.DUMMYFUNCTION("IF(B2211="""","""",RIGHT(REGEXREPLACE(B2211&amp;"""",""[^0-9]"",""""),9))"),"767090285")</f>
        <v>767090285</v>
      </c>
      <c r="B2211" s="48">
        <v>7.67090285E8</v>
      </c>
      <c r="C2211" s="10" t="s">
        <v>2332</v>
      </c>
      <c r="D2211" s="10" t="s">
        <v>50</v>
      </c>
      <c r="E2211" s="13">
        <v>46229.0</v>
      </c>
      <c r="F2211" s="10" t="s">
        <v>35</v>
      </c>
      <c r="G2211" s="10">
        <v>11.0</v>
      </c>
      <c r="I2211" s="10" t="s">
        <v>22</v>
      </c>
      <c r="J2211" s="9" t="str">
        <f t="shared" si="37"/>
        <v>No</v>
      </c>
      <c r="K2211" s="9" t="str">
        <f t="shared" si="36"/>
        <v/>
      </c>
      <c r="L2211" s="9" t="str">
        <f t="shared" si="38"/>
        <v/>
      </c>
      <c r="M2211" s="9"/>
      <c r="O2211" s="9"/>
    </row>
    <row r="2212" ht="15.75" customHeight="1">
      <c r="A2212" s="9" t="str">
        <f>IFERROR(__xludf.DUMMYFUNCTION("IF(B2212="""","""",RIGHT(REGEXREPLACE(B2212&amp;"""",""[^0-9]"",""""),9))"),"721133829")</f>
        <v>721133829</v>
      </c>
      <c r="B2212" s="48">
        <v>7.21133829E8</v>
      </c>
      <c r="C2212" s="10" t="s">
        <v>2333</v>
      </c>
      <c r="D2212" s="10" t="s">
        <v>97</v>
      </c>
      <c r="E2212" s="13">
        <v>46229.0</v>
      </c>
      <c r="F2212" s="10" t="s">
        <v>198</v>
      </c>
      <c r="G2212" s="10">
        <v>11.0</v>
      </c>
      <c r="I2212" s="10" t="s">
        <v>22</v>
      </c>
      <c r="J2212" s="9" t="str">
        <f t="shared" si="37"/>
        <v>No</v>
      </c>
      <c r="K2212" s="9" t="str">
        <f t="shared" si="36"/>
        <v/>
      </c>
      <c r="L2212" s="9" t="str">
        <f t="shared" si="38"/>
        <v/>
      </c>
      <c r="M2212" s="9"/>
      <c r="O2212" s="9"/>
    </row>
    <row r="2213" ht="15.75" customHeight="1">
      <c r="A2213" s="9" t="str">
        <f>IFERROR(__xludf.DUMMYFUNCTION("IF(B2213="""","""",RIGHT(REGEXREPLACE(B2213&amp;"""",""[^0-9]"",""""),9))"),"756081589")</f>
        <v>756081589</v>
      </c>
      <c r="B2213" s="10">
        <v>7.56081589E8</v>
      </c>
      <c r="C2213" s="10" t="s">
        <v>2334</v>
      </c>
      <c r="D2213" s="10" t="s">
        <v>20</v>
      </c>
      <c r="E2213" s="13">
        <v>46229.0</v>
      </c>
      <c r="F2213" s="10" t="s">
        <v>198</v>
      </c>
      <c r="I2213" s="10" t="s">
        <v>22</v>
      </c>
      <c r="J2213" s="9" t="str">
        <f t="shared" si="37"/>
        <v>No</v>
      </c>
      <c r="K2213" s="9" t="str">
        <f t="shared" si="36"/>
        <v/>
      </c>
      <c r="L2213" s="9" t="str">
        <f t="shared" si="38"/>
        <v/>
      </c>
      <c r="M2213" s="9"/>
      <c r="O2213" s="9"/>
    </row>
    <row r="2214" ht="15.75" customHeight="1">
      <c r="A2214" s="9" t="str">
        <f>IFERROR(__xludf.DUMMYFUNCTION("IF(B2214="""","""",RIGHT(REGEXREPLACE(B2214&amp;"""",""[^0-9]"",""""),9))"),"779342515")</f>
        <v>779342515</v>
      </c>
      <c r="B2214" s="48">
        <v>7.79342515E8</v>
      </c>
      <c r="C2214" s="10" t="s">
        <v>2335</v>
      </c>
      <c r="D2214" s="10" t="s">
        <v>69</v>
      </c>
      <c r="E2214" s="13">
        <v>46229.0</v>
      </c>
      <c r="F2214" s="10" t="s">
        <v>145</v>
      </c>
      <c r="G2214" s="10">
        <v>11.0</v>
      </c>
      <c r="I2214" s="10" t="s">
        <v>22</v>
      </c>
      <c r="J2214" s="9" t="str">
        <f t="shared" si="37"/>
        <v>No</v>
      </c>
      <c r="K2214" s="9" t="str">
        <f t="shared" si="36"/>
        <v/>
      </c>
      <c r="L2214" s="9" t="str">
        <f t="shared" si="38"/>
        <v/>
      </c>
      <c r="M2214" s="9"/>
      <c r="O2214" s="9"/>
    </row>
    <row r="2215" ht="15.75" customHeight="1">
      <c r="A2215" s="9" t="str">
        <f>IFERROR(__xludf.DUMMYFUNCTION("IF(B2215="""","""",RIGHT(REGEXREPLACE(B2215&amp;"""",""[^0-9]"",""""),9))"),"777739518")</f>
        <v>777739518</v>
      </c>
      <c r="B2215" s="48">
        <v>7.77739518E8</v>
      </c>
      <c r="C2215" s="10" t="s">
        <v>2336</v>
      </c>
      <c r="D2215" s="10" t="s">
        <v>34</v>
      </c>
      <c r="E2215" s="13">
        <v>46229.0</v>
      </c>
      <c r="F2215" s="10" t="s">
        <v>145</v>
      </c>
      <c r="I2215" s="10" t="s">
        <v>22</v>
      </c>
      <c r="J2215" s="9" t="str">
        <f t="shared" si="37"/>
        <v>No</v>
      </c>
      <c r="K2215" s="9" t="str">
        <f t="shared" si="36"/>
        <v/>
      </c>
      <c r="L2215" s="9" t="str">
        <f t="shared" si="38"/>
        <v/>
      </c>
      <c r="M2215" s="9"/>
      <c r="O2215" s="9"/>
    </row>
    <row r="2216" ht="15.75" customHeight="1">
      <c r="A2216" s="9" t="str">
        <f>IFERROR(__xludf.DUMMYFUNCTION("IF(B2216="""","""",RIGHT(REGEXREPLACE(B2216&amp;"""",""[^0-9]"",""""),9))"),"775564199")</f>
        <v>775564199</v>
      </c>
      <c r="B2216" s="10">
        <v>7.75564199E8</v>
      </c>
      <c r="C2216" s="10" t="s">
        <v>2337</v>
      </c>
      <c r="D2216" s="10" t="s">
        <v>20</v>
      </c>
      <c r="E2216" s="13">
        <v>46229.0</v>
      </c>
      <c r="F2216" s="10" t="s">
        <v>21</v>
      </c>
      <c r="G2216" s="10">
        <v>11.0</v>
      </c>
      <c r="I2216" s="10" t="s">
        <v>22</v>
      </c>
      <c r="J2216" s="9" t="str">
        <f t="shared" si="37"/>
        <v>No</v>
      </c>
      <c r="K2216" s="9" t="str">
        <f t="shared" si="36"/>
        <v/>
      </c>
      <c r="L2216" s="9" t="str">
        <f t="shared" si="38"/>
        <v/>
      </c>
      <c r="M2216" s="9"/>
      <c r="O2216" s="9"/>
    </row>
    <row r="2217" ht="15.75" customHeight="1">
      <c r="A2217" s="9" t="str">
        <f>IFERROR(__xludf.DUMMYFUNCTION("IF(B2217="""","""",RIGHT(REGEXREPLACE(B2217&amp;"""",""[^0-9]"",""""),9))"),"763016652")</f>
        <v>763016652</v>
      </c>
      <c r="B2217" s="48">
        <v>7.63016652E8</v>
      </c>
      <c r="C2217" s="10" t="s">
        <v>2338</v>
      </c>
      <c r="D2217" s="10" t="s">
        <v>50</v>
      </c>
      <c r="E2217" s="13">
        <v>46229.0</v>
      </c>
      <c r="F2217" s="10" t="s">
        <v>35</v>
      </c>
      <c r="G2217" s="10">
        <v>11.0</v>
      </c>
      <c r="I2217" s="10" t="s">
        <v>22</v>
      </c>
      <c r="J2217" s="9" t="str">
        <f t="shared" si="37"/>
        <v>No</v>
      </c>
      <c r="K2217" s="9" t="str">
        <f t="shared" si="36"/>
        <v/>
      </c>
      <c r="L2217" s="9" t="str">
        <f t="shared" si="38"/>
        <v/>
      </c>
      <c r="M2217" s="9"/>
      <c r="O2217" s="9"/>
    </row>
    <row r="2218" ht="15.75" customHeight="1">
      <c r="A2218" s="9" t="str">
        <f>IFERROR(__xludf.DUMMYFUNCTION("IF(B2218="""","""",RIGHT(REGEXREPLACE(B2218&amp;"""",""[^0-9]"",""""),9))"),"761562423")</f>
        <v>761562423</v>
      </c>
      <c r="B2218" s="48">
        <v>7.61562423E8</v>
      </c>
      <c r="C2218" s="10" t="s">
        <v>2339</v>
      </c>
      <c r="D2218" s="10" t="s">
        <v>97</v>
      </c>
      <c r="E2218" s="13">
        <v>46229.0</v>
      </c>
      <c r="F2218" s="10" t="s">
        <v>21</v>
      </c>
      <c r="G2218" s="10">
        <v>11.0</v>
      </c>
      <c r="I2218" s="10" t="s">
        <v>22</v>
      </c>
      <c r="J2218" s="9" t="str">
        <f t="shared" si="37"/>
        <v>No</v>
      </c>
      <c r="K2218" s="9" t="str">
        <f t="shared" si="36"/>
        <v/>
      </c>
      <c r="L2218" s="9" t="str">
        <f t="shared" si="38"/>
        <v/>
      </c>
      <c r="M2218" s="9"/>
      <c r="O2218" s="9"/>
    </row>
    <row r="2219" ht="15.75" customHeight="1">
      <c r="A2219" s="9" t="str">
        <f>IFERROR(__xludf.DUMMYFUNCTION("IF(B2219="""","""",RIGHT(REGEXREPLACE(B2219&amp;"""",""[^0-9]"",""""),9))"),"710294150")</f>
        <v>710294150</v>
      </c>
      <c r="B2219" s="48">
        <v>7.1029415E8</v>
      </c>
      <c r="C2219" s="10" t="s">
        <v>2340</v>
      </c>
      <c r="D2219" s="10" t="s">
        <v>34</v>
      </c>
      <c r="E2219" s="13">
        <v>46229.0</v>
      </c>
      <c r="F2219" s="10" t="s">
        <v>35</v>
      </c>
      <c r="G2219" s="10">
        <v>11.0</v>
      </c>
      <c r="I2219" s="10" t="s">
        <v>22</v>
      </c>
      <c r="J2219" s="9" t="str">
        <f t="shared" si="37"/>
        <v>No</v>
      </c>
      <c r="K2219" s="9" t="str">
        <f t="shared" si="36"/>
        <v/>
      </c>
      <c r="L2219" s="9" t="str">
        <f t="shared" si="38"/>
        <v/>
      </c>
      <c r="M2219" s="9"/>
      <c r="O2219" s="9"/>
    </row>
    <row r="2220" ht="15.75" customHeight="1">
      <c r="A2220" s="9" t="str">
        <f>IFERROR(__xludf.DUMMYFUNCTION("IF(B2220="""","""",RIGHT(REGEXREPLACE(B2220&amp;"""",""[^0-9]"",""""),9))"),"719241960")</f>
        <v>719241960</v>
      </c>
      <c r="B2220" s="48">
        <v>7.1924196E8</v>
      </c>
      <c r="C2220" s="10" t="s">
        <v>2341</v>
      </c>
      <c r="D2220" s="10" t="s">
        <v>69</v>
      </c>
      <c r="E2220" s="13">
        <v>46229.0</v>
      </c>
      <c r="F2220" s="10" t="s">
        <v>35</v>
      </c>
      <c r="G2220" s="10">
        <v>11.0</v>
      </c>
      <c r="I2220" s="10" t="s">
        <v>22</v>
      </c>
      <c r="J2220" s="9" t="str">
        <f t="shared" si="37"/>
        <v>No</v>
      </c>
      <c r="K2220" s="9" t="str">
        <f t="shared" si="36"/>
        <v/>
      </c>
      <c r="L2220" s="9" t="str">
        <f t="shared" si="38"/>
        <v/>
      </c>
      <c r="M2220" s="9"/>
      <c r="O2220" s="9"/>
    </row>
    <row r="2221" ht="15.75" customHeight="1">
      <c r="A2221" s="9" t="str">
        <f>IFERROR(__xludf.DUMMYFUNCTION("IF(B2221="""","""",RIGHT(REGEXREPLACE(B2221&amp;"""",""[^0-9]"",""""),9))"),"765422949")</f>
        <v>765422949</v>
      </c>
      <c r="B2221" s="10">
        <v>7.65422949E8</v>
      </c>
      <c r="C2221" s="10" t="s">
        <v>2342</v>
      </c>
      <c r="D2221" s="10" t="s">
        <v>20</v>
      </c>
      <c r="E2221" s="13">
        <v>46229.0</v>
      </c>
      <c r="F2221" s="10" t="s">
        <v>35</v>
      </c>
      <c r="G2221" s="10">
        <v>11.0</v>
      </c>
      <c r="I2221" s="10" t="s">
        <v>22</v>
      </c>
      <c r="J2221" s="9" t="str">
        <f t="shared" si="37"/>
        <v>No</v>
      </c>
      <c r="K2221" s="9" t="str">
        <f t="shared" si="36"/>
        <v/>
      </c>
      <c r="L2221" s="9" t="str">
        <f t="shared" si="38"/>
        <v/>
      </c>
      <c r="M2221" s="9"/>
      <c r="O2221" s="9"/>
    </row>
    <row r="2222" ht="15.75" customHeight="1">
      <c r="A2222" s="9" t="str">
        <f>IFERROR(__xludf.DUMMYFUNCTION("IF(B2222="""","""",RIGHT(REGEXREPLACE(B2222&amp;"""",""[^0-9]"",""""),9))"),"772901301")</f>
        <v>772901301</v>
      </c>
      <c r="B2222" s="10">
        <v>7.72901301E8</v>
      </c>
      <c r="C2222" s="10" t="s">
        <v>2343</v>
      </c>
      <c r="D2222" s="10" t="s">
        <v>20</v>
      </c>
      <c r="E2222" s="13">
        <v>46229.0</v>
      </c>
      <c r="F2222" s="10" t="s">
        <v>35</v>
      </c>
      <c r="G2222" s="10">
        <v>11.0</v>
      </c>
      <c r="H2222" s="10" t="s">
        <v>2344</v>
      </c>
      <c r="I2222" s="10" t="s">
        <v>22</v>
      </c>
      <c r="J2222" s="9" t="str">
        <f t="shared" si="37"/>
        <v>No</v>
      </c>
      <c r="K2222" s="9" t="str">
        <f t="shared" si="36"/>
        <v/>
      </c>
      <c r="L2222" s="9" t="str">
        <f t="shared" si="38"/>
        <v/>
      </c>
      <c r="M2222" s="9"/>
      <c r="O2222" s="9"/>
    </row>
    <row r="2223" ht="15.75" customHeight="1">
      <c r="A2223" s="9" t="str">
        <f>IFERROR(__xludf.DUMMYFUNCTION("IF(B2223="""","""",RIGHT(REGEXREPLACE(B2223&amp;"""",""[^0-9]"",""""),9))"),"711226274")</f>
        <v>711226274</v>
      </c>
      <c r="B2223" s="48">
        <v>7.11226274E8</v>
      </c>
      <c r="C2223" s="10" t="s">
        <v>2345</v>
      </c>
      <c r="D2223" s="10" t="s">
        <v>34</v>
      </c>
      <c r="E2223" s="13">
        <v>46229.0</v>
      </c>
      <c r="F2223" s="10" t="s">
        <v>35</v>
      </c>
      <c r="G2223" s="10">
        <v>11.0</v>
      </c>
      <c r="I2223" s="10" t="s">
        <v>22</v>
      </c>
      <c r="J2223" s="9" t="str">
        <f t="shared" si="37"/>
        <v>No</v>
      </c>
      <c r="K2223" s="9" t="str">
        <f t="shared" si="36"/>
        <v/>
      </c>
      <c r="L2223" s="9" t="str">
        <f t="shared" si="38"/>
        <v/>
      </c>
      <c r="M2223" s="9"/>
      <c r="O2223" s="9"/>
    </row>
    <row r="2224" ht="15.75" customHeight="1">
      <c r="A2224" s="9" t="str">
        <f>IFERROR(__xludf.DUMMYFUNCTION("IF(B2224="""","""",RIGHT(REGEXREPLACE(B2224&amp;"""",""[^0-9]"",""""),9))"),"771917548")</f>
        <v>771917548</v>
      </c>
      <c r="B2224" s="48">
        <v>7.71917548E8</v>
      </c>
      <c r="C2224" s="10" t="s">
        <v>2346</v>
      </c>
      <c r="D2224" s="10" t="s">
        <v>50</v>
      </c>
      <c r="E2224" s="13">
        <v>46229.0</v>
      </c>
      <c r="F2224" s="10" t="s">
        <v>604</v>
      </c>
      <c r="I2224" s="10" t="s">
        <v>22</v>
      </c>
      <c r="J2224" s="9" t="str">
        <f t="shared" si="37"/>
        <v>No</v>
      </c>
      <c r="K2224" s="9" t="str">
        <f t="shared" si="36"/>
        <v/>
      </c>
      <c r="L2224" s="9" t="str">
        <f t="shared" si="38"/>
        <v/>
      </c>
      <c r="M2224" s="9"/>
      <c r="O2224" s="9"/>
    </row>
    <row r="2225" ht="15.75" customHeight="1">
      <c r="A2225" s="9" t="str">
        <f>IFERROR(__xludf.DUMMYFUNCTION("IF(B2225="""","""",RIGHT(REGEXREPLACE(B2225&amp;"""",""[^0-9]"",""""),9))"),"761427181")</f>
        <v>761427181</v>
      </c>
      <c r="B2225" s="10">
        <v>7.61427181E8</v>
      </c>
      <c r="C2225" s="10" t="s">
        <v>2347</v>
      </c>
      <c r="D2225" s="10" t="s">
        <v>20</v>
      </c>
      <c r="E2225" s="13">
        <v>46229.0</v>
      </c>
      <c r="F2225" s="10" t="s">
        <v>171</v>
      </c>
      <c r="I2225" s="10" t="s">
        <v>22</v>
      </c>
      <c r="J2225" s="9" t="str">
        <f t="shared" si="37"/>
        <v>No</v>
      </c>
      <c r="K2225" s="9" t="str">
        <f t="shared" si="36"/>
        <v/>
      </c>
      <c r="L2225" s="9" t="str">
        <f t="shared" si="38"/>
        <v/>
      </c>
      <c r="M2225" s="9"/>
      <c r="O2225" s="9"/>
    </row>
    <row r="2226" ht="15.75" customHeight="1">
      <c r="A2226" s="9" t="str">
        <f>IFERROR(__xludf.DUMMYFUNCTION("IF(B2226="""","""",RIGHT(REGEXREPLACE(B2226&amp;"""",""[^0-9]"",""""),9))"),"788150152")</f>
        <v>788150152</v>
      </c>
      <c r="B2226" s="48">
        <v>7.88150152E8</v>
      </c>
      <c r="C2226" s="10" t="s">
        <v>2348</v>
      </c>
      <c r="D2226" s="10" t="s">
        <v>97</v>
      </c>
      <c r="E2226" s="13">
        <v>46229.0</v>
      </c>
      <c r="F2226" s="10" t="s">
        <v>35</v>
      </c>
      <c r="G2226" s="10">
        <v>10.0</v>
      </c>
      <c r="I2226" s="10" t="s">
        <v>22</v>
      </c>
      <c r="J2226" s="9" t="str">
        <f t="shared" si="37"/>
        <v>No</v>
      </c>
      <c r="K2226" s="9" t="str">
        <f t="shared" si="36"/>
        <v/>
      </c>
      <c r="L2226" s="9" t="str">
        <f t="shared" si="38"/>
        <v/>
      </c>
      <c r="M2226" s="9"/>
      <c r="O2226" s="9"/>
    </row>
    <row r="2227" ht="15.75" customHeight="1">
      <c r="A2227" s="9" t="str">
        <f>IFERROR(__xludf.DUMMYFUNCTION("IF(B2227="""","""",RIGHT(REGEXREPLACE(B2227&amp;"""",""[^0-9]"",""""),9))"),"771840145")</f>
        <v>771840145</v>
      </c>
      <c r="B2227" s="10">
        <v>7.71840145E8</v>
      </c>
      <c r="C2227" s="10" t="s">
        <v>2349</v>
      </c>
      <c r="D2227" s="10" t="s">
        <v>20</v>
      </c>
      <c r="E2227" s="13">
        <v>46229.0</v>
      </c>
      <c r="F2227" s="10" t="s">
        <v>35</v>
      </c>
      <c r="G2227" s="10">
        <v>11.0</v>
      </c>
      <c r="I2227" s="10" t="s">
        <v>22</v>
      </c>
      <c r="J2227" s="9" t="str">
        <f t="shared" si="37"/>
        <v>No</v>
      </c>
      <c r="K2227" s="9" t="str">
        <f t="shared" si="36"/>
        <v/>
      </c>
      <c r="L2227" s="9" t="str">
        <f t="shared" si="38"/>
        <v/>
      </c>
      <c r="M2227" s="9"/>
      <c r="O2227" s="9"/>
    </row>
    <row r="2228" ht="15.75" customHeight="1">
      <c r="A2228" s="9" t="str">
        <f>IFERROR(__xludf.DUMMYFUNCTION("IF(B2228="""","""",RIGHT(REGEXREPLACE(B2228&amp;"""",""[^0-9]"",""""),9))"),"760919290")</f>
        <v>760919290</v>
      </c>
      <c r="B2228" s="48">
        <v>7.6091929E8</v>
      </c>
      <c r="C2228" s="10" t="s">
        <v>2350</v>
      </c>
      <c r="D2228" s="10" t="s">
        <v>69</v>
      </c>
      <c r="E2228" s="13">
        <v>46229.0</v>
      </c>
      <c r="F2228" s="10" t="s">
        <v>21</v>
      </c>
      <c r="I2228" s="10" t="s">
        <v>22</v>
      </c>
      <c r="J2228" s="9" t="str">
        <f t="shared" si="37"/>
        <v>No</v>
      </c>
      <c r="K2228" s="9" t="str">
        <f t="shared" si="36"/>
        <v/>
      </c>
      <c r="L2228" s="9" t="str">
        <f t="shared" si="38"/>
        <v/>
      </c>
      <c r="M2228" s="9"/>
      <c r="O2228" s="9"/>
    </row>
    <row r="2229" ht="15.75" customHeight="1">
      <c r="A2229" s="9" t="str">
        <f>IFERROR(__xludf.DUMMYFUNCTION("IF(B2229="""","""",RIGHT(REGEXREPLACE(B2229&amp;"""",""[^0-9]"",""""),9))"),"722457161")</f>
        <v>722457161</v>
      </c>
      <c r="B2229" s="10">
        <v>7.22457161E8</v>
      </c>
      <c r="C2229" s="10" t="s">
        <v>2351</v>
      </c>
      <c r="D2229" s="10" t="s">
        <v>20</v>
      </c>
      <c r="E2229" s="13">
        <v>46229.0</v>
      </c>
      <c r="F2229" s="10" t="s">
        <v>648</v>
      </c>
      <c r="I2229" s="10" t="s">
        <v>22</v>
      </c>
      <c r="J2229" s="9" t="str">
        <f t="shared" si="37"/>
        <v>No</v>
      </c>
      <c r="K2229" s="9" t="str">
        <f t="shared" si="36"/>
        <v/>
      </c>
      <c r="L2229" s="9" t="str">
        <f t="shared" si="38"/>
        <v/>
      </c>
      <c r="M2229" s="9"/>
      <c r="O2229" s="9"/>
    </row>
    <row r="2230" ht="15.75" customHeight="1">
      <c r="A2230" s="9" t="str">
        <f>IFERROR(__xludf.DUMMYFUNCTION("IF(B2230="""","""",RIGHT(REGEXREPLACE(B2230&amp;"""",""[^0-9]"",""""),9))"),"701210900")</f>
        <v>701210900</v>
      </c>
      <c r="B2230" s="48">
        <v>7.012109E8</v>
      </c>
      <c r="C2230" s="10" t="s">
        <v>2352</v>
      </c>
      <c r="D2230" s="10" t="s">
        <v>50</v>
      </c>
      <c r="E2230" s="13">
        <v>46229.0</v>
      </c>
      <c r="F2230" s="10" t="s">
        <v>35</v>
      </c>
      <c r="G2230" s="10">
        <v>11.0</v>
      </c>
      <c r="I2230" s="10" t="s">
        <v>22</v>
      </c>
      <c r="J2230" s="9" t="str">
        <f t="shared" si="37"/>
        <v>No</v>
      </c>
      <c r="K2230" s="9" t="str">
        <f t="shared" si="36"/>
        <v/>
      </c>
      <c r="L2230" s="9" t="str">
        <f t="shared" si="38"/>
        <v/>
      </c>
      <c r="M2230" s="9"/>
      <c r="O2230" s="9"/>
    </row>
    <row r="2231" ht="15.75" customHeight="1">
      <c r="A2231" s="9" t="str">
        <f>IFERROR(__xludf.DUMMYFUNCTION("IF(B2231="""","""",RIGHT(REGEXREPLACE(B2231&amp;"""",""[^0-9]"",""""),9))"),"788150152")</f>
        <v>788150152</v>
      </c>
      <c r="B2231" s="48">
        <v>7.88150152E8</v>
      </c>
      <c r="C2231" s="10" t="s">
        <v>2348</v>
      </c>
      <c r="D2231" s="10" t="s">
        <v>34</v>
      </c>
      <c r="E2231" s="13">
        <v>46229.0</v>
      </c>
      <c r="F2231" s="10" t="s">
        <v>35</v>
      </c>
      <c r="G2231" s="10">
        <v>10.0</v>
      </c>
      <c r="I2231" s="10" t="s">
        <v>22</v>
      </c>
      <c r="J2231" s="9" t="str">
        <f t="shared" si="37"/>
        <v>Yes - see Previous F-Code</v>
      </c>
      <c r="K2231" s="9" t="str">
        <f t="shared" si="36"/>
        <v>DUPLICATE - CHECK</v>
      </c>
      <c r="L2231" s="9" t="str">
        <f t="shared" si="38"/>
        <v>F72119</v>
      </c>
      <c r="M2231" s="9"/>
      <c r="O2231" s="9"/>
    </row>
    <row r="2232" ht="15.75" customHeight="1">
      <c r="A2232" s="9" t="str">
        <f>IFERROR(__xludf.DUMMYFUNCTION("IF(B2232="""","""",RIGHT(REGEXREPLACE(B2232&amp;"""",""[^0-9]"",""""),9))"),"763964475")</f>
        <v>763964475</v>
      </c>
      <c r="B2232" s="48">
        <v>7.63964475E8</v>
      </c>
      <c r="C2232" s="10" t="s">
        <v>2353</v>
      </c>
      <c r="D2232" s="10" t="s">
        <v>34</v>
      </c>
      <c r="E2232" s="13">
        <v>46229.0</v>
      </c>
      <c r="F2232" s="10" t="s">
        <v>35</v>
      </c>
      <c r="G2232" s="10" t="s">
        <v>2354</v>
      </c>
      <c r="I2232" s="10" t="s">
        <v>22</v>
      </c>
      <c r="J2232" s="9" t="str">
        <f t="shared" si="37"/>
        <v>No</v>
      </c>
      <c r="K2232" s="9" t="str">
        <f t="shared" si="36"/>
        <v/>
      </c>
      <c r="L2232" s="9" t="str">
        <f t="shared" si="38"/>
        <v/>
      </c>
      <c r="M2232" s="9"/>
      <c r="O2232" s="9"/>
    </row>
    <row r="2233" ht="15.75" customHeight="1">
      <c r="A2233" s="9" t="str">
        <f>IFERROR(__xludf.DUMMYFUNCTION("IF(B2233="""","""",RIGHT(REGEXREPLACE(B2233&amp;"""",""[^0-9]"",""""),9))"),"743409928")</f>
        <v>743409928</v>
      </c>
      <c r="B2233" s="48">
        <v>7.43409928E8</v>
      </c>
      <c r="C2233" s="10" t="s">
        <v>2353</v>
      </c>
      <c r="D2233" s="10" t="s">
        <v>69</v>
      </c>
      <c r="E2233" s="13">
        <v>46229.0</v>
      </c>
      <c r="F2233" s="10" t="s">
        <v>35</v>
      </c>
      <c r="G2233" s="10">
        <v>11.0</v>
      </c>
      <c r="I2233" s="10" t="s">
        <v>22</v>
      </c>
      <c r="J2233" s="9" t="str">
        <f t="shared" si="37"/>
        <v>No</v>
      </c>
      <c r="K2233" s="9" t="str">
        <f t="shared" si="36"/>
        <v/>
      </c>
      <c r="L2233" s="9" t="str">
        <f t="shared" si="38"/>
        <v/>
      </c>
      <c r="M2233" s="9"/>
      <c r="O2233" s="9"/>
    </row>
    <row r="2234" ht="15.75" customHeight="1">
      <c r="A2234" s="9" t="str">
        <f>IFERROR(__xludf.DUMMYFUNCTION("IF(B2234="""","""",RIGHT(REGEXREPLACE(B2234&amp;"""",""[^0-9]"",""""),9))"),"724255843")</f>
        <v>724255843</v>
      </c>
      <c r="B2234" s="48">
        <v>7.24255843E8</v>
      </c>
      <c r="C2234" s="10" t="s">
        <v>2355</v>
      </c>
      <c r="D2234" s="10" t="s">
        <v>97</v>
      </c>
      <c r="E2234" s="13">
        <v>46229.0</v>
      </c>
      <c r="F2234" s="10" t="s">
        <v>604</v>
      </c>
      <c r="G2234" s="10">
        <v>11.0</v>
      </c>
      <c r="I2234" s="10" t="s">
        <v>22</v>
      </c>
      <c r="J2234" s="9" t="str">
        <f t="shared" si="37"/>
        <v>No</v>
      </c>
      <c r="K2234" s="9" t="str">
        <f t="shared" si="36"/>
        <v/>
      </c>
      <c r="L2234" s="9" t="str">
        <f t="shared" si="38"/>
        <v/>
      </c>
      <c r="M2234" s="9"/>
      <c r="O2234" s="9"/>
    </row>
    <row r="2235" ht="15.75" customHeight="1">
      <c r="A2235" s="9" t="str">
        <f>IFERROR(__xludf.DUMMYFUNCTION("IF(B2235="""","""",RIGHT(REGEXREPLACE(B2235&amp;"""",""[^0-9]"",""""),9))"),"753711626")</f>
        <v>753711626</v>
      </c>
      <c r="B2235" s="48">
        <v>7.53711626E8</v>
      </c>
      <c r="C2235" s="10" t="s">
        <v>2356</v>
      </c>
      <c r="D2235" s="10" t="s">
        <v>50</v>
      </c>
      <c r="E2235" s="13">
        <v>46229.0</v>
      </c>
      <c r="F2235" s="10" t="s">
        <v>604</v>
      </c>
      <c r="G2235" s="10">
        <v>11.0</v>
      </c>
      <c r="I2235" s="10" t="s">
        <v>22</v>
      </c>
      <c r="J2235" s="9" t="str">
        <f t="shared" si="37"/>
        <v>No</v>
      </c>
      <c r="K2235" s="9" t="str">
        <f t="shared" si="36"/>
        <v/>
      </c>
      <c r="L2235" s="9" t="str">
        <f t="shared" si="38"/>
        <v/>
      </c>
      <c r="M2235" s="9"/>
      <c r="O2235" s="9"/>
    </row>
    <row r="2236" ht="15.75" customHeight="1">
      <c r="A2236" s="9" t="str">
        <f>IFERROR(__xludf.DUMMYFUNCTION("IF(B2236="""","""",RIGHT(REGEXREPLACE(B2236&amp;"""",""[^0-9]"",""""),9))"),"773732560")</f>
        <v>773732560</v>
      </c>
      <c r="B2236" s="48">
        <v>7.7373256E8</v>
      </c>
      <c r="C2236" s="10" t="s">
        <v>2357</v>
      </c>
      <c r="D2236" s="10" t="s">
        <v>97</v>
      </c>
      <c r="E2236" s="13">
        <v>46229.0</v>
      </c>
      <c r="F2236" s="10" t="s">
        <v>35</v>
      </c>
      <c r="G2236" s="10">
        <v>10.0</v>
      </c>
      <c r="I2236" s="10" t="s">
        <v>22</v>
      </c>
      <c r="J2236" s="9" t="str">
        <f t="shared" si="37"/>
        <v>No</v>
      </c>
      <c r="K2236" s="9" t="str">
        <f t="shared" si="36"/>
        <v/>
      </c>
      <c r="L2236" s="9" t="str">
        <f t="shared" si="38"/>
        <v/>
      </c>
      <c r="M2236" s="9"/>
      <c r="O2236" s="9"/>
    </row>
    <row r="2237" ht="15.75" customHeight="1">
      <c r="A2237" s="9" t="str">
        <f>IFERROR(__xludf.DUMMYFUNCTION("IF(B2237="""","""",RIGHT(REGEXREPLACE(B2237&amp;"""",""[^0-9]"",""""),9))"),"740800998")</f>
        <v>740800998</v>
      </c>
      <c r="B2237" s="48">
        <v>7.40800998E8</v>
      </c>
      <c r="C2237" s="10" t="s">
        <v>2358</v>
      </c>
      <c r="D2237" s="10" t="s">
        <v>50</v>
      </c>
      <c r="E2237" s="13">
        <v>46229.0</v>
      </c>
      <c r="F2237" s="10" t="s">
        <v>21</v>
      </c>
      <c r="G2237" s="10">
        <v>11.0</v>
      </c>
      <c r="I2237" s="10" t="s">
        <v>22</v>
      </c>
      <c r="J2237" s="9" t="str">
        <f t="shared" si="37"/>
        <v>No</v>
      </c>
      <c r="K2237" s="9" t="str">
        <f t="shared" si="36"/>
        <v/>
      </c>
      <c r="L2237" s="9" t="str">
        <f t="shared" si="38"/>
        <v/>
      </c>
      <c r="M2237" s="9"/>
      <c r="O2237" s="9"/>
    </row>
    <row r="2238" ht="15.75" customHeight="1">
      <c r="A2238" s="9" t="str">
        <f>IFERROR(__xludf.DUMMYFUNCTION("IF(B2238="""","""",RIGHT(REGEXREPLACE(B2238&amp;"""",""[^0-9]"",""""),9))"),"765835248")</f>
        <v>765835248</v>
      </c>
      <c r="B2238" s="48">
        <v>7.65835248E8</v>
      </c>
      <c r="C2238" s="10" t="s">
        <v>2359</v>
      </c>
      <c r="D2238" s="10" t="s">
        <v>34</v>
      </c>
      <c r="E2238" s="13">
        <v>46229.0</v>
      </c>
      <c r="F2238" s="10" t="s">
        <v>35</v>
      </c>
      <c r="G2238" s="10">
        <v>11.0</v>
      </c>
      <c r="I2238" s="10" t="s">
        <v>22</v>
      </c>
      <c r="J2238" s="9" t="str">
        <f t="shared" si="37"/>
        <v>No</v>
      </c>
      <c r="K2238" s="9" t="str">
        <f t="shared" si="36"/>
        <v/>
      </c>
      <c r="L2238" s="9" t="str">
        <f t="shared" si="38"/>
        <v/>
      </c>
      <c r="M2238" s="9"/>
      <c r="O2238" s="9"/>
    </row>
    <row r="2239" ht="15.75" customHeight="1">
      <c r="A2239" s="9" t="str">
        <f>IFERROR(__xludf.DUMMYFUNCTION("IF(B2239="""","""",RIGHT(REGEXREPLACE(B2239&amp;"""",""[^0-9]"",""""),9))"),"766818418")</f>
        <v>766818418</v>
      </c>
      <c r="B2239" s="48">
        <v>7.66818418E8</v>
      </c>
      <c r="C2239" s="10" t="s">
        <v>2360</v>
      </c>
      <c r="D2239" s="10" t="s">
        <v>97</v>
      </c>
      <c r="E2239" s="13">
        <v>46229.0</v>
      </c>
      <c r="F2239" s="10" t="s">
        <v>35</v>
      </c>
      <c r="G2239" s="10">
        <v>10.0</v>
      </c>
      <c r="I2239" s="10" t="s">
        <v>22</v>
      </c>
      <c r="J2239" s="9" t="str">
        <f t="shared" si="37"/>
        <v>No</v>
      </c>
      <c r="K2239" s="9" t="str">
        <f t="shared" si="36"/>
        <v/>
      </c>
      <c r="L2239" s="9" t="str">
        <f t="shared" si="38"/>
        <v/>
      </c>
      <c r="M2239" s="9"/>
      <c r="O2239" s="9"/>
    </row>
    <row r="2240" ht="15.75" customHeight="1">
      <c r="A2240" s="9" t="str">
        <f>IFERROR(__xludf.DUMMYFUNCTION("IF(B2240="""","""",RIGHT(REGEXREPLACE(B2240&amp;"""",""[^0-9]"",""""),9))"),"772878036")</f>
        <v>772878036</v>
      </c>
      <c r="B2240" s="48">
        <v>7.72878036E8</v>
      </c>
      <c r="C2240" s="10" t="s">
        <v>2361</v>
      </c>
      <c r="D2240" s="10" t="s">
        <v>50</v>
      </c>
      <c r="E2240" s="13">
        <v>46229.0</v>
      </c>
      <c r="F2240" s="10" t="s">
        <v>198</v>
      </c>
      <c r="G2240" s="10">
        <v>11.0</v>
      </c>
      <c r="I2240" s="10" t="s">
        <v>22</v>
      </c>
      <c r="J2240" s="9" t="str">
        <f t="shared" si="37"/>
        <v>No</v>
      </c>
      <c r="K2240" s="9" t="str">
        <f t="shared" si="36"/>
        <v/>
      </c>
      <c r="L2240" s="9" t="str">
        <f t="shared" si="38"/>
        <v/>
      </c>
      <c r="M2240" s="9"/>
      <c r="O2240" s="9"/>
    </row>
    <row r="2241" ht="15.75" customHeight="1">
      <c r="A2241" s="9" t="str">
        <f>IFERROR(__xludf.DUMMYFUNCTION("IF(B2241="""","""",RIGHT(REGEXREPLACE(B2241&amp;"""",""[^0-9]"",""""),9))"),"701628239")</f>
        <v>701628239</v>
      </c>
      <c r="B2241" s="48">
        <v>7.01628239E8</v>
      </c>
      <c r="C2241" s="10" t="s">
        <v>2362</v>
      </c>
      <c r="D2241" s="10" t="s">
        <v>34</v>
      </c>
      <c r="E2241" s="13">
        <v>46229.0</v>
      </c>
      <c r="F2241" s="10" t="s">
        <v>648</v>
      </c>
      <c r="I2241" s="10" t="s">
        <v>22</v>
      </c>
      <c r="J2241" s="9" t="str">
        <f t="shared" si="37"/>
        <v>No</v>
      </c>
      <c r="K2241" s="9" t="str">
        <f t="shared" si="36"/>
        <v/>
      </c>
      <c r="L2241" s="9" t="str">
        <f t="shared" si="38"/>
        <v/>
      </c>
      <c r="M2241" s="9"/>
      <c r="O2241" s="9"/>
    </row>
    <row r="2242" ht="15.75" customHeight="1">
      <c r="A2242" s="9" t="str">
        <f>IFERROR(__xludf.DUMMYFUNCTION("IF(B2242="""","""",RIGHT(REGEXREPLACE(B2242&amp;"""",""[^0-9]"",""""),9))"),"740529371")</f>
        <v>740529371</v>
      </c>
      <c r="B2242" s="48">
        <v>7.40529371E8</v>
      </c>
      <c r="C2242" s="10" t="s">
        <v>1899</v>
      </c>
      <c r="D2242" s="10" t="s">
        <v>69</v>
      </c>
      <c r="E2242" s="13">
        <v>46229.0</v>
      </c>
      <c r="F2242" s="10" t="s">
        <v>35</v>
      </c>
      <c r="G2242" s="10">
        <v>11.0</v>
      </c>
      <c r="I2242" s="10" t="s">
        <v>22</v>
      </c>
      <c r="J2242" s="9" t="str">
        <f t="shared" si="37"/>
        <v>No</v>
      </c>
      <c r="K2242" s="9" t="str">
        <f t="shared" si="36"/>
        <v/>
      </c>
      <c r="L2242" s="9" t="str">
        <f t="shared" si="38"/>
        <v/>
      </c>
      <c r="M2242" s="9"/>
      <c r="O2242" s="9"/>
    </row>
    <row r="2243" ht="15.75" customHeight="1">
      <c r="A2243" s="9" t="str">
        <f>IFERROR(__xludf.DUMMYFUNCTION("IF(B2243="""","""",RIGHT(REGEXREPLACE(B2243&amp;"""",""[^0-9]"",""""),9))"),"760267555")</f>
        <v>760267555</v>
      </c>
      <c r="B2243" s="48">
        <v>7.60267555E8</v>
      </c>
      <c r="C2243" s="10" t="s">
        <v>2363</v>
      </c>
      <c r="D2243" s="10" t="s">
        <v>97</v>
      </c>
      <c r="E2243" s="13">
        <v>46229.0</v>
      </c>
      <c r="F2243" s="10" t="s">
        <v>35</v>
      </c>
      <c r="G2243" s="10">
        <v>11.0</v>
      </c>
      <c r="I2243" s="10" t="s">
        <v>22</v>
      </c>
      <c r="J2243" s="9" t="str">
        <f t="shared" si="37"/>
        <v>No</v>
      </c>
      <c r="K2243" s="9" t="str">
        <f t="shared" si="36"/>
        <v/>
      </c>
      <c r="L2243" s="9" t="str">
        <f t="shared" si="38"/>
        <v/>
      </c>
      <c r="M2243" s="9"/>
      <c r="O2243" s="9"/>
    </row>
    <row r="2244" ht="15.75" customHeight="1">
      <c r="A2244" s="9" t="str">
        <f>IFERROR(__xludf.DUMMYFUNCTION("IF(B2244="""","""",RIGHT(REGEXREPLACE(B2244&amp;"""",""[^0-9]"",""""),9))"),"705232490")</f>
        <v>705232490</v>
      </c>
      <c r="B2244" s="48">
        <v>7.0523249E8</v>
      </c>
      <c r="C2244" s="10" t="s">
        <v>2364</v>
      </c>
      <c r="D2244" s="10" t="s">
        <v>50</v>
      </c>
      <c r="E2244" s="13">
        <v>46229.0</v>
      </c>
      <c r="F2244" s="10" t="s">
        <v>35</v>
      </c>
      <c r="G2244" s="10">
        <v>11.0</v>
      </c>
      <c r="I2244" s="10" t="s">
        <v>22</v>
      </c>
      <c r="J2244" s="9" t="str">
        <f t="shared" si="37"/>
        <v>No</v>
      </c>
      <c r="K2244" s="9" t="str">
        <f t="shared" si="36"/>
        <v/>
      </c>
      <c r="L2244" s="9" t="str">
        <f t="shared" si="38"/>
        <v/>
      </c>
      <c r="M2244" s="9"/>
      <c r="O2244" s="9"/>
    </row>
    <row r="2245" ht="15.75" customHeight="1">
      <c r="A2245" s="9" t="str">
        <f>IFERROR(__xludf.DUMMYFUNCTION("IF(B2245="""","""",RIGHT(REGEXREPLACE(B2245&amp;"""",""[^0-9]"",""""),9))"),"775217895")</f>
        <v>775217895</v>
      </c>
      <c r="B2245" s="48">
        <v>7.75217895E8</v>
      </c>
      <c r="C2245" s="10" t="s">
        <v>2365</v>
      </c>
      <c r="D2245" s="10" t="s">
        <v>50</v>
      </c>
      <c r="E2245" s="13">
        <v>46229.0</v>
      </c>
      <c r="F2245" s="10" t="s">
        <v>21</v>
      </c>
      <c r="I2245" s="10" t="s">
        <v>22</v>
      </c>
      <c r="J2245" s="9" t="str">
        <f t="shared" si="37"/>
        <v>No</v>
      </c>
      <c r="K2245" s="9" t="str">
        <f t="shared" si="36"/>
        <v/>
      </c>
      <c r="L2245" s="9" t="str">
        <f t="shared" si="38"/>
        <v/>
      </c>
      <c r="M2245" s="9"/>
      <c r="O2245" s="9"/>
    </row>
    <row r="2246" ht="15.75" customHeight="1">
      <c r="A2246" s="9" t="str">
        <f>IFERROR(__xludf.DUMMYFUNCTION("IF(B2246="""","""",RIGHT(REGEXREPLACE(B2246&amp;"""",""[^0-9]"",""""),9))"),"778644125")</f>
        <v>778644125</v>
      </c>
      <c r="B2246" s="48">
        <v>7.78644125E8</v>
      </c>
      <c r="C2246" s="10" t="s">
        <v>2366</v>
      </c>
      <c r="D2246" s="10" t="s">
        <v>97</v>
      </c>
      <c r="E2246" s="13">
        <v>46229.0</v>
      </c>
      <c r="F2246" s="10" t="s">
        <v>21</v>
      </c>
      <c r="I2246" s="10" t="s">
        <v>22</v>
      </c>
      <c r="J2246" s="9" t="str">
        <f t="shared" si="37"/>
        <v>No</v>
      </c>
      <c r="K2246" s="9" t="str">
        <f t="shared" si="36"/>
        <v/>
      </c>
      <c r="L2246" s="9" t="str">
        <f t="shared" si="38"/>
        <v/>
      </c>
      <c r="M2246" s="9"/>
      <c r="O2246" s="9"/>
    </row>
    <row r="2247" ht="15.75" customHeight="1">
      <c r="A2247" s="9" t="str">
        <f>IFERROR(__xludf.DUMMYFUNCTION("IF(B2247="""","""",RIGHT(REGEXREPLACE(B2247&amp;"""",""[^0-9]"",""""),9))"),"703499339")</f>
        <v>703499339</v>
      </c>
      <c r="B2247" s="48">
        <v>7.03499339E8</v>
      </c>
      <c r="C2247" s="10" t="s">
        <v>2367</v>
      </c>
      <c r="D2247" s="10" t="s">
        <v>50</v>
      </c>
      <c r="E2247" s="13">
        <v>46229.0</v>
      </c>
      <c r="F2247" s="10" t="s">
        <v>35</v>
      </c>
      <c r="G2247" s="10">
        <v>11.0</v>
      </c>
      <c r="I2247" s="10" t="s">
        <v>22</v>
      </c>
      <c r="J2247" s="9" t="str">
        <f t="shared" si="37"/>
        <v>No</v>
      </c>
      <c r="K2247" s="9" t="str">
        <f t="shared" si="36"/>
        <v/>
      </c>
      <c r="L2247" s="9" t="str">
        <f t="shared" si="38"/>
        <v/>
      </c>
      <c r="M2247" s="9"/>
      <c r="O2247" s="9"/>
    </row>
    <row r="2248" ht="15.75" customHeight="1">
      <c r="A2248" s="9" t="str">
        <f>IFERROR(__xludf.DUMMYFUNCTION("IF(B2248="""","""",RIGHT(REGEXREPLACE(B2248&amp;"""",""[^0-9]"",""""),9))"),"740301220")</f>
        <v>740301220</v>
      </c>
      <c r="B2248" s="10">
        <v>7.4030122E8</v>
      </c>
      <c r="C2248" s="10" t="s">
        <v>2368</v>
      </c>
      <c r="D2248" s="10" t="s">
        <v>20</v>
      </c>
      <c r="E2248" s="13">
        <v>46229.0</v>
      </c>
      <c r="F2248" s="10" t="s">
        <v>21</v>
      </c>
      <c r="G2248" s="10">
        <v>9.0</v>
      </c>
      <c r="I2248" s="10" t="s">
        <v>22</v>
      </c>
      <c r="J2248" s="9" t="str">
        <f t="shared" si="37"/>
        <v>No</v>
      </c>
      <c r="K2248" s="9" t="str">
        <f t="shared" si="36"/>
        <v/>
      </c>
      <c r="L2248" s="9" t="str">
        <f t="shared" si="38"/>
        <v/>
      </c>
      <c r="M2248" s="9"/>
      <c r="O2248" s="9"/>
    </row>
    <row r="2249" ht="15.75" customHeight="1">
      <c r="A2249" s="9" t="str">
        <f>IFERROR(__xludf.DUMMYFUNCTION("IF(B2249="""","""",RIGHT(REGEXREPLACE(B2249&amp;"""",""[^0-9]"",""""),9))"),"534602467")</f>
        <v>534602467</v>
      </c>
      <c r="B2249" s="48">
        <v>6.534602467E9</v>
      </c>
      <c r="C2249" s="10" t="s">
        <v>2369</v>
      </c>
      <c r="D2249" s="10" t="s">
        <v>69</v>
      </c>
      <c r="E2249" s="13">
        <v>46229.0</v>
      </c>
      <c r="F2249" s="10" t="s">
        <v>572</v>
      </c>
      <c r="I2249" s="10" t="s">
        <v>22</v>
      </c>
      <c r="J2249" s="9" t="str">
        <f t="shared" si="37"/>
        <v>No</v>
      </c>
      <c r="K2249" s="9" t="str">
        <f t="shared" si="36"/>
        <v/>
      </c>
      <c r="L2249" s="9" t="str">
        <f t="shared" si="38"/>
        <v/>
      </c>
      <c r="M2249" s="9"/>
      <c r="O2249" s="9"/>
    </row>
    <row r="2250" ht="15.75" customHeight="1">
      <c r="A2250" s="9" t="str">
        <f>IFERROR(__xludf.DUMMYFUNCTION("IF(B2250="""","""",RIGHT(REGEXREPLACE(B2250&amp;"""",""[^0-9]"",""""),9))"),"776617540")</f>
        <v>776617540</v>
      </c>
      <c r="B2250" s="10">
        <v>7.7661754E8</v>
      </c>
      <c r="C2250" s="10" t="s">
        <v>2370</v>
      </c>
      <c r="D2250" s="10" t="s">
        <v>20</v>
      </c>
      <c r="E2250" s="13">
        <v>46229.0</v>
      </c>
      <c r="F2250" s="10" t="s">
        <v>21</v>
      </c>
      <c r="G2250" s="10">
        <v>11.0</v>
      </c>
      <c r="I2250" s="10" t="s">
        <v>22</v>
      </c>
      <c r="J2250" s="9" t="str">
        <f t="shared" si="37"/>
        <v>No</v>
      </c>
      <c r="K2250" s="9" t="str">
        <f t="shared" si="36"/>
        <v/>
      </c>
      <c r="L2250" s="9" t="str">
        <f t="shared" si="38"/>
        <v/>
      </c>
      <c r="M2250" s="9"/>
      <c r="O2250" s="9"/>
    </row>
    <row r="2251" ht="15.75" customHeight="1">
      <c r="A2251" s="9" t="str">
        <f>IFERROR(__xludf.DUMMYFUNCTION("IF(B2251="""","""",RIGHT(REGEXREPLACE(B2251&amp;"""",""[^0-9]"",""""),9))"),"701628239")</f>
        <v>701628239</v>
      </c>
      <c r="B2251" s="48">
        <v>7.01628239E8</v>
      </c>
      <c r="C2251" s="10" t="s">
        <v>2362</v>
      </c>
      <c r="D2251" s="10" t="s">
        <v>34</v>
      </c>
      <c r="E2251" s="13">
        <v>46229.0</v>
      </c>
      <c r="F2251" s="10" t="s">
        <v>35</v>
      </c>
      <c r="G2251" s="10">
        <v>10.0</v>
      </c>
      <c r="I2251" s="10" t="s">
        <v>22</v>
      </c>
      <c r="J2251" s="9" t="str">
        <f t="shared" si="37"/>
        <v>Yes - see Previous F-Code</v>
      </c>
      <c r="K2251" s="9" t="str">
        <f t="shared" si="36"/>
        <v>DUPLICATE - CHECK</v>
      </c>
      <c r="L2251" s="9" t="str">
        <f t="shared" si="38"/>
        <v>F72133</v>
      </c>
      <c r="M2251" s="9"/>
      <c r="O2251" s="9"/>
    </row>
    <row r="2252" ht="15.75" customHeight="1">
      <c r="A2252" s="9" t="str">
        <f>IFERROR(__xludf.DUMMYFUNCTION("IF(B2252="""","""",RIGHT(REGEXREPLACE(B2252&amp;"""",""[^0-9]"",""""),9))"),"764583559")</f>
        <v>764583559</v>
      </c>
      <c r="B2252" s="48">
        <v>7.64583559E8</v>
      </c>
      <c r="C2252" s="10" t="s">
        <v>2371</v>
      </c>
      <c r="D2252" s="10" t="s">
        <v>50</v>
      </c>
      <c r="E2252" s="13">
        <v>46229.0</v>
      </c>
      <c r="F2252" s="10" t="s">
        <v>35</v>
      </c>
      <c r="G2252" s="10">
        <v>11.0</v>
      </c>
      <c r="I2252" s="10" t="s">
        <v>22</v>
      </c>
      <c r="J2252" s="9" t="str">
        <f t="shared" si="37"/>
        <v>No</v>
      </c>
      <c r="K2252" s="9" t="str">
        <f t="shared" si="36"/>
        <v/>
      </c>
      <c r="L2252" s="9" t="str">
        <f t="shared" si="38"/>
        <v/>
      </c>
      <c r="M2252" s="9"/>
      <c r="O2252" s="9"/>
    </row>
    <row r="2253" ht="15.75" customHeight="1">
      <c r="A2253" s="9" t="str">
        <f>IFERROR(__xludf.DUMMYFUNCTION("IF(B2253="""","""",RIGHT(REGEXREPLACE(B2253&amp;"""",""[^0-9]"",""""),9))"),"702857450")</f>
        <v>702857450</v>
      </c>
      <c r="B2253" s="48">
        <v>7.0285745E8</v>
      </c>
      <c r="C2253" s="10" t="s">
        <v>2372</v>
      </c>
      <c r="D2253" s="10" t="s">
        <v>69</v>
      </c>
      <c r="E2253" s="13">
        <v>46229.0</v>
      </c>
      <c r="F2253" s="10" t="s">
        <v>35</v>
      </c>
      <c r="G2253" s="10">
        <v>11.0</v>
      </c>
      <c r="I2253" s="10" t="s">
        <v>22</v>
      </c>
      <c r="J2253" s="9" t="str">
        <f t="shared" si="37"/>
        <v>No</v>
      </c>
      <c r="K2253" s="9" t="str">
        <f t="shared" si="36"/>
        <v/>
      </c>
      <c r="L2253" s="9" t="str">
        <f t="shared" si="38"/>
        <v/>
      </c>
      <c r="M2253" s="9"/>
      <c r="O2253" s="9"/>
    </row>
    <row r="2254" ht="15.75" customHeight="1">
      <c r="A2254" s="9" t="str">
        <f>IFERROR(__xludf.DUMMYFUNCTION("IF(B2254="""","""",RIGHT(REGEXREPLACE(B2254&amp;"""",""[^0-9]"",""""),9))"),"762338068")</f>
        <v>762338068</v>
      </c>
      <c r="B2254" s="48">
        <v>7.62338068E8</v>
      </c>
      <c r="C2254" s="10" t="s">
        <v>2366</v>
      </c>
      <c r="D2254" s="10" t="s">
        <v>97</v>
      </c>
      <c r="E2254" s="13">
        <v>46229.0</v>
      </c>
      <c r="F2254" s="10" t="s">
        <v>35</v>
      </c>
      <c r="G2254" s="10">
        <v>11.0</v>
      </c>
      <c r="I2254" s="10" t="s">
        <v>22</v>
      </c>
      <c r="J2254" s="9" t="str">
        <f t="shared" si="37"/>
        <v>No</v>
      </c>
      <c r="K2254" s="9" t="str">
        <f t="shared" si="36"/>
        <v/>
      </c>
      <c r="L2254" s="9" t="str">
        <f t="shared" si="38"/>
        <v/>
      </c>
      <c r="M2254" s="9"/>
      <c r="O2254" s="9"/>
    </row>
    <row r="2255" ht="15.75" customHeight="1">
      <c r="A2255" s="9" t="str">
        <f>IFERROR(__xludf.DUMMYFUNCTION("IF(B2255="""","""",RIGHT(REGEXREPLACE(B2255&amp;"""",""[^0-9]"",""""),9))"),"740213615")</f>
        <v>740213615</v>
      </c>
      <c r="B2255" s="10">
        <v>7.40213615E8</v>
      </c>
      <c r="C2255" s="10" t="s">
        <v>2373</v>
      </c>
      <c r="D2255" s="10" t="s">
        <v>20</v>
      </c>
      <c r="E2255" s="13">
        <v>46229.0</v>
      </c>
      <c r="F2255" s="10" t="s">
        <v>648</v>
      </c>
      <c r="G2255" s="10">
        <v>11.0</v>
      </c>
      <c r="I2255" s="10" t="s">
        <v>22</v>
      </c>
      <c r="J2255" s="9" t="str">
        <f t="shared" si="37"/>
        <v>No</v>
      </c>
      <c r="K2255" s="9" t="str">
        <f t="shared" si="36"/>
        <v/>
      </c>
      <c r="L2255" s="9" t="str">
        <f t="shared" si="38"/>
        <v/>
      </c>
      <c r="M2255" s="9"/>
      <c r="O2255" s="9"/>
    </row>
    <row r="2256" ht="15.75" customHeight="1">
      <c r="A2256" s="9" t="str">
        <f>IFERROR(__xludf.DUMMYFUNCTION("IF(B2256="""","""",RIGHT(REGEXREPLACE(B2256&amp;"""",""[^0-9]"",""""),9))"),"777623495")</f>
        <v>777623495</v>
      </c>
      <c r="B2256" s="48">
        <v>7.77623495E8</v>
      </c>
      <c r="C2256" s="10" t="s">
        <v>2374</v>
      </c>
      <c r="D2256" s="10" t="s">
        <v>34</v>
      </c>
      <c r="E2256" s="13">
        <v>46229.0</v>
      </c>
      <c r="F2256" s="10" t="s">
        <v>35</v>
      </c>
      <c r="G2256" s="10">
        <v>11.0</v>
      </c>
      <c r="I2256" s="10" t="s">
        <v>22</v>
      </c>
      <c r="J2256" s="9" t="str">
        <f t="shared" si="37"/>
        <v>No</v>
      </c>
      <c r="K2256" s="9" t="str">
        <f t="shared" si="36"/>
        <v/>
      </c>
      <c r="L2256" s="9" t="str">
        <f t="shared" si="38"/>
        <v/>
      </c>
      <c r="M2256" s="9"/>
      <c r="O2256" s="9"/>
    </row>
    <row r="2257" ht="15.75" customHeight="1">
      <c r="A2257" s="9" t="str">
        <f>IFERROR(__xludf.DUMMYFUNCTION("IF(B2257="""","""",RIGHT(REGEXREPLACE(B2257&amp;"""",""[^0-9]"",""""),9))"),"778338720")</f>
        <v>778338720</v>
      </c>
      <c r="B2257" s="48">
        <v>7.7833872E8</v>
      </c>
      <c r="C2257" s="10" t="s">
        <v>2375</v>
      </c>
      <c r="D2257" s="10" t="s">
        <v>50</v>
      </c>
      <c r="E2257" s="13">
        <v>46229.0</v>
      </c>
      <c r="F2257" s="10" t="s">
        <v>35</v>
      </c>
      <c r="G2257" s="10">
        <v>11.0</v>
      </c>
      <c r="I2257" s="10" t="s">
        <v>22</v>
      </c>
      <c r="J2257" s="9" t="str">
        <f t="shared" si="37"/>
        <v>No</v>
      </c>
      <c r="K2257" s="9" t="str">
        <f t="shared" si="36"/>
        <v/>
      </c>
      <c r="L2257" s="9" t="str">
        <f t="shared" si="38"/>
        <v/>
      </c>
      <c r="M2257" s="9"/>
      <c r="O2257" s="9"/>
    </row>
    <row r="2258" ht="15.75" customHeight="1">
      <c r="A2258" s="9" t="str">
        <f>IFERROR(__xludf.DUMMYFUNCTION("IF(B2258="""","""",RIGHT(REGEXREPLACE(B2258&amp;"""",""[^0-9]"",""""),9))"),"712292348")</f>
        <v>712292348</v>
      </c>
      <c r="B2258" s="48">
        <v>7.12292348E8</v>
      </c>
      <c r="C2258" s="10" t="s">
        <v>2376</v>
      </c>
      <c r="D2258" s="10" t="s">
        <v>69</v>
      </c>
      <c r="E2258" s="13">
        <v>46229.0</v>
      </c>
      <c r="F2258" s="10" t="s">
        <v>21</v>
      </c>
      <c r="I2258" s="10" t="s">
        <v>22</v>
      </c>
      <c r="J2258" s="9" t="str">
        <f t="shared" si="37"/>
        <v>No</v>
      </c>
      <c r="K2258" s="9" t="str">
        <f t="shared" si="36"/>
        <v/>
      </c>
      <c r="L2258" s="9" t="str">
        <f t="shared" si="38"/>
        <v/>
      </c>
      <c r="M2258" s="9"/>
      <c r="O2258" s="9"/>
    </row>
    <row r="2259" ht="15.75" customHeight="1">
      <c r="A2259" s="9" t="str">
        <f>IFERROR(__xludf.DUMMYFUNCTION("IF(B2259="""","""",RIGHT(REGEXREPLACE(B2259&amp;"""",""[^0-9]"",""""),9))"),"712292348")</f>
        <v>712292348</v>
      </c>
      <c r="B2259" s="10">
        <v>7.12292348E8</v>
      </c>
      <c r="C2259" s="10" t="s">
        <v>2376</v>
      </c>
      <c r="D2259" s="10" t="s">
        <v>20</v>
      </c>
      <c r="E2259" s="13">
        <v>46229.0</v>
      </c>
      <c r="F2259" s="10" t="s">
        <v>21</v>
      </c>
      <c r="I2259" s="10" t="s">
        <v>22</v>
      </c>
      <c r="J2259" s="9" t="str">
        <f t="shared" si="37"/>
        <v>Yes - see Previous F-Code</v>
      </c>
      <c r="K2259" s="9" t="str">
        <f t="shared" si="36"/>
        <v>DUPLICATE - CHECK</v>
      </c>
      <c r="L2259" s="9" t="str">
        <f t="shared" si="38"/>
        <v>F72147</v>
      </c>
      <c r="M2259" s="9"/>
      <c r="O2259" s="9"/>
    </row>
    <row r="2260" ht="15.75" customHeight="1">
      <c r="A2260" s="9" t="str">
        <f>IFERROR(__xludf.DUMMYFUNCTION("IF(B2260="""","""",RIGHT(REGEXREPLACE(B2260&amp;"""",""[^0-9]"",""""),9))"),"762338068")</f>
        <v>762338068</v>
      </c>
      <c r="B2260" s="48">
        <v>7.62338068E8</v>
      </c>
      <c r="C2260" s="10" t="s">
        <v>2366</v>
      </c>
      <c r="D2260" s="10" t="s">
        <v>34</v>
      </c>
      <c r="E2260" s="13">
        <v>46229.0</v>
      </c>
      <c r="F2260" s="10" t="s">
        <v>35</v>
      </c>
      <c r="G2260" s="10">
        <v>11.0</v>
      </c>
      <c r="I2260" s="10" t="s">
        <v>22</v>
      </c>
      <c r="J2260" s="9" t="str">
        <f t="shared" si="37"/>
        <v>Yes - see Previous F-Code</v>
      </c>
      <c r="K2260" s="9" t="str">
        <f t="shared" si="36"/>
        <v>DUPLICATE - CHECK</v>
      </c>
      <c r="L2260" s="9" t="str">
        <f t="shared" si="38"/>
        <v>F72137</v>
      </c>
      <c r="M2260" s="9"/>
      <c r="O2260" s="9"/>
    </row>
    <row r="2261" ht="15.75" customHeight="1">
      <c r="A2261" s="9" t="str">
        <f>IFERROR(__xludf.DUMMYFUNCTION("IF(B2261="""","""",RIGHT(REGEXREPLACE(B2261&amp;"""",""[^0-9]"",""""),9))"),"724176770")</f>
        <v>724176770</v>
      </c>
      <c r="B2261" s="48">
        <v>7.2417677E8</v>
      </c>
      <c r="C2261" s="10" t="s">
        <v>2377</v>
      </c>
      <c r="D2261" s="10" t="s">
        <v>20</v>
      </c>
      <c r="E2261" s="13">
        <v>46229.0</v>
      </c>
      <c r="F2261" s="10" t="s">
        <v>35</v>
      </c>
      <c r="G2261" s="10">
        <v>9.0</v>
      </c>
      <c r="I2261" s="10" t="s">
        <v>22</v>
      </c>
      <c r="J2261" s="9" t="str">
        <f t="shared" si="37"/>
        <v>No</v>
      </c>
      <c r="K2261" s="9" t="str">
        <f t="shared" si="36"/>
        <v/>
      </c>
      <c r="L2261" s="9" t="str">
        <f t="shared" si="38"/>
        <v/>
      </c>
      <c r="M2261" s="9"/>
      <c r="O2261" s="9"/>
    </row>
    <row r="2262" ht="15.75" customHeight="1">
      <c r="A2262" s="9" t="str">
        <f>IFERROR(__xludf.DUMMYFUNCTION("IF(B2262="""","""",RIGHT(REGEXREPLACE(B2262&amp;"""",""[^0-9]"",""""),9))"),"776278779")</f>
        <v>776278779</v>
      </c>
      <c r="B2262" s="48">
        <v>7.76278779E8</v>
      </c>
      <c r="C2262" s="10" t="s">
        <v>2378</v>
      </c>
      <c r="D2262" s="10" t="s">
        <v>69</v>
      </c>
      <c r="E2262" s="13">
        <v>46229.0</v>
      </c>
      <c r="F2262" s="10" t="s">
        <v>35</v>
      </c>
      <c r="G2262" s="10">
        <v>11.0</v>
      </c>
      <c r="I2262" s="10" t="s">
        <v>22</v>
      </c>
      <c r="J2262" s="9" t="str">
        <f t="shared" si="37"/>
        <v>No</v>
      </c>
      <c r="K2262" s="9" t="str">
        <f t="shared" si="36"/>
        <v/>
      </c>
      <c r="L2262" s="9" t="str">
        <f t="shared" si="38"/>
        <v/>
      </c>
      <c r="M2262" s="9"/>
      <c r="O2262" s="9"/>
    </row>
    <row r="2263" ht="15.75" customHeight="1">
      <c r="A2263" s="9" t="str">
        <f>IFERROR(__xludf.DUMMYFUNCTION("IF(B2263="""","""",RIGHT(REGEXREPLACE(B2263&amp;"""",""[^0-9]"",""""),9))"),"767762926")</f>
        <v>767762926</v>
      </c>
      <c r="B2263" s="48">
        <v>7.67762926E8</v>
      </c>
      <c r="C2263" s="10" t="s">
        <v>2379</v>
      </c>
      <c r="D2263" s="10" t="s">
        <v>34</v>
      </c>
      <c r="E2263" s="13">
        <v>46229.0</v>
      </c>
      <c r="F2263" s="10" t="s">
        <v>21</v>
      </c>
      <c r="G2263" s="10">
        <v>11.0</v>
      </c>
      <c r="I2263" s="10" t="s">
        <v>22</v>
      </c>
      <c r="J2263" s="9" t="str">
        <f t="shared" si="37"/>
        <v>No</v>
      </c>
      <c r="K2263" s="9" t="str">
        <f t="shared" si="36"/>
        <v/>
      </c>
      <c r="L2263" s="9" t="str">
        <f t="shared" si="38"/>
        <v/>
      </c>
      <c r="M2263" s="9"/>
      <c r="O2263" s="9"/>
    </row>
    <row r="2264" ht="15.75" customHeight="1">
      <c r="A2264" s="9" t="str">
        <f>IFERROR(__xludf.DUMMYFUNCTION("IF(B2264="""","""",RIGHT(REGEXREPLACE(B2264&amp;"""",""[^0-9]"",""""),9))"),"714491862")</f>
        <v>714491862</v>
      </c>
      <c r="B2264" s="48">
        <v>7.14491862E8</v>
      </c>
      <c r="C2264" s="10" t="s">
        <v>2380</v>
      </c>
      <c r="D2264" s="10" t="s">
        <v>50</v>
      </c>
      <c r="E2264" s="13">
        <v>46229.0</v>
      </c>
      <c r="F2264" s="10" t="s">
        <v>35</v>
      </c>
      <c r="G2264" s="10">
        <v>11.0</v>
      </c>
      <c r="I2264" s="10" t="s">
        <v>22</v>
      </c>
      <c r="J2264" s="9" t="str">
        <f t="shared" si="37"/>
        <v>No</v>
      </c>
      <c r="K2264" s="9" t="str">
        <f t="shared" si="36"/>
        <v/>
      </c>
      <c r="L2264" s="9" t="str">
        <f t="shared" si="38"/>
        <v/>
      </c>
      <c r="M2264" s="9"/>
      <c r="O2264" s="9"/>
    </row>
    <row r="2265" ht="15.75" customHeight="1">
      <c r="A2265" s="9" t="str">
        <f>IFERROR(__xludf.DUMMYFUNCTION("IF(B2265="""","""",RIGHT(REGEXREPLACE(B2265&amp;"""",""[^0-9]"",""""),9))"),"722993536")</f>
        <v>722993536</v>
      </c>
      <c r="B2265" s="10">
        <v>7.22993536E8</v>
      </c>
      <c r="C2265" s="10" t="s">
        <v>2381</v>
      </c>
      <c r="D2265" s="10" t="s">
        <v>20</v>
      </c>
      <c r="E2265" s="13">
        <v>46229.0</v>
      </c>
      <c r="F2265" s="10" t="s">
        <v>113</v>
      </c>
      <c r="G2265" s="10">
        <v>9.0</v>
      </c>
      <c r="I2265" s="10" t="s">
        <v>22</v>
      </c>
      <c r="J2265" s="9" t="str">
        <f t="shared" si="37"/>
        <v>No</v>
      </c>
      <c r="K2265" s="9" t="str">
        <f t="shared" si="36"/>
        <v/>
      </c>
      <c r="L2265" s="9" t="str">
        <f t="shared" si="38"/>
        <v/>
      </c>
      <c r="M2265" s="9"/>
      <c r="O2265" s="9"/>
    </row>
    <row r="2266" ht="15.75" customHeight="1">
      <c r="A2266" s="9" t="str">
        <f>IFERROR(__xludf.DUMMYFUNCTION("IF(B2266="""","""",RIGHT(REGEXREPLACE(B2266&amp;"""",""[^0-9]"",""""),9))"),"760948818")</f>
        <v>760948818</v>
      </c>
      <c r="B2266" s="10">
        <v>7.60948818E8</v>
      </c>
      <c r="C2266" s="10" t="s">
        <v>2382</v>
      </c>
      <c r="D2266" s="10" t="s">
        <v>20</v>
      </c>
      <c r="E2266" s="13">
        <v>46229.0</v>
      </c>
      <c r="F2266" s="10" t="s">
        <v>35</v>
      </c>
      <c r="G2266" s="10">
        <v>11.0</v>
      </c>
      <c r="H2266" s="10" t="s">
        <v>2383</v>
      </c>
      <c r="I2266" s="10" t="s">
        <v>22</v>
      </c>
      <c r="J2266" s="9" t="str">
        <f t="shared" si="37"/>
        <v>No</v>
      </c>
      <c r="K2266" s="9" t="str">
        <f t="shared" si="36"/>
        <v/>
      </c>
      <c r="L2266" s="9" t="str">
        <f t="shared" si="38"/>
        <v/>
      </c>
      <c r="M2266" s="9"/>
      <c r="O2266" s="9"/>
    </row>
    <row r="2267" ht="15.75" customHeight="1">
      <c r="A2267" s="9" t="str">
        <f>IFERROR(__xludf.DUMMYFUNCTION("IF(B2267="""","""",RIGHT(REGEXREPLACE(B2267&amp;"""",""[^0-9]"",""""),9))"),"760183809")</f>
        <v>760183809</v>
      </c>
      <c r="B2267" s="48">
        <v>7.60183809E8</v>
      </c>
      <c r="C2267" s="10"/>
      <c r="D2267" s="10" t="s">
        <v>97</v>
      </c>
      <c r="E2267" s="13">
        <v>46229.0</v>
      </c>
      <c r="F2267" s="10" t="s">
        <v>35</v>
      </c>
      <c r="G2267" s="10">
        <v>11.0</v>
      </c>
      <c r="I2267" s="10" t="s">
        <v>22</v>
      </c>
      <c r="J2267" s="9" t="str">
        <f t="shared" si="37"/>
        <v>No</v>
      </c>
      <c r="K2267" s="9" t="str">
        <f t="shared" si="36"/>
        <v/>
      </c>
      <c r="L2267" s="9" t="str">
        <f t="shared" si="38"/>
        <v/>
      </c>
      <c r="M2267" s="9"/>
      <c r="O2267" s="9"/>
    </row>
    <row r="2268" ht="15.75" customHeight="1">
      <c r="A2268" s="9" t="str">
        <f>IFERROR(__xludf.DUMMYFUNCTION("IF(B2268="""","""",RIGHT(REGEXREPLACE(B2268&amp;"""",""[^0-9]"",""""),9))"),"762214878")</f>
        <v>762214878</v>
      </c>
      <c r="B2268" s="48">
        <v>7.62214878E8</v>
      </c>
      <c r="C2268" s="10" t="s">
        <v>2384</v>
      </c>
      <c r="D2268" s="10" t="s">
        <v>34</v>
      </c>
      <c r="E2268" s="13">
        <v>46229.0</v>
      </c>
      <c r="F2268" s="10" t="s">
        <v>35</v>
      </c>
      <c r="G2268" s="10">
        <v>10.0</v>
      </c>
      <c r="I2268" s="10" t="s">
        <v>22</v>
      </c>
      <c r="J2268" s="9" t="str">
        <f t="shared" si="37"/>
        <v>No</v>
      </c>
      <c r="K2268" s="9" t="str">
        <f t="shared" si="36"/>
        <v/>
      </c>
      <c r="L2268" s="9" t="str">
        <f t="shared" si="38"/>
        <v/>
      </c>
      <c r="M2268" s="9"/>
      <c r="O2268" s="9"/>
    </row>
    <row r="2269" ht="15.75" customHeight="1">
      <c r="A2269" s="9" t="str">
        <f>IFERROR(__xludf.DUMMYFUNCTION("IF(B2269="""","""",RIGHT(REGEXREPLACE(B2269&amp;"""",""[^0-9]"",""""),9))"),"717133398")</f>
        <v>717133398</v>
      </c>
      <c r="B2269" s="10">
        <v>7171333.98</v>
      </c>
      <c r="C2269" s="10" t="s">
        <v>2385</v>
      </c>
      <c r="D2269" s="10" t="s">
        <v>20</v>
      </c>
      <c r="E2269" s="13">
        <v>46229.0</v>
      </c>
      <c r="F2269" s="10" t="s">
        <v>171</v>
      </c>
      <c r="I2269" s="10" t="s">
        <v>22</v>
      </c>
      <c r="J2269" s="9" t="str">
        <f t="shared" si="37"/>
        <v>No</v>
      </c>
      <c r="K2269" s="9" t="str">
        <f t="shared" si="36"/>
        <v/>
      </c>
      <c r="L2269" s="9" t="str">
        <f t="shared" si="38"/>
        <v/>
      </c>
      <c r="M2269" s="9"/>
      <c r="O2269" s="9"/>
    </row>
    <row r="2270" ht="15.75" customHeight="1">
      <c r="A2270" s="9" t="str">
        <f>IFERROR(__xludf.DUMMYFUNCTION("IF(B2270="""","""",RIGHT(REGEXREPLACE(B2270&amp;"""",""[^0-9]"",""""),9))"),"778857745")</f>
        <v>778857745</v>
      </c>
      <c r="B2270" s="10">
        <v>7.78857745E8</v>
      </c>
      <c r="C2270" s="10" t="s">
        <v>2386</v>
      </c>
      <c r="D2270" s="10" t="s">
        <v>20</v>
      </c>
      <c r="E2270" s="13">
        <v>46229.0</v>
      </c>
      <c r="F2270" s="10" t="s">
        <v>35</v>
      </c>
      <c r="I2270" s="10" t="s">
        <v>22</v>
      </c>
      <c r="J2270" s="9" t="str">
        <f t="shared" si="37"/>
        <v>No</v>
      </c>
      <c r="K2270" s="9" t="str">
        <f t="shared" si="36"/>
        <v/>
      </c>
      <c r="L2270" s="9" t="str">
        <f t="shared" si="38"/>
        <v/>
      </c>
      <c r="M2270" s="9"/>
      <c r="O2270" s="9"/>
    </row>
    <row r="2271" ht="15.75" customHeight="1">
      <c r="A2271" s="9" t="str">
        <f>IFERROR(__xludf.DUMMYFUNCTION("IF(B2271="""","""",RIGHT(REGEXREPLACE(B2271&amp;"""",""[^0-9]"",""""),9))"),"760502375")</f>
        <v>760502375</v>
      </c>
      <c r="B2271" s="48">
        <v>7.60502375E8</v>
      </c>
      <c r="C2271" s="10" t="s">
        <v>2387</v>
      </c>
      <c r="D2271" s="10" t="s">
        <v>69</v>
      </c>
      <c r="E2271" s="13">
        <v>46229.0</v>
      </c>
      <c r="F2271" s="9"/>
      <c r="G2271" s="9"/>
      <c r="H2271" s="9"/>
      <c r="I2271" s="10" t="s">
        <v>22</v>
      </c>
      <c r="J2271" s="9" t="str">
        <f t="shared" si="37"/>
        <v>No</v>
      </c>
      <c r="K2271" s="9" t="str">
        <f t="shared" si="36"/>
        <v/>
      </c>
      <c r="L2271" s="9" t="str">
        <f t="shared" si="38"/>
        <v/>
      </c>
      <c r="M2271" s="9"/>
      <c r="N2271" s="9"/>
      <c r="O2271" s="9"/>
      <c r="P2271" s="9"/>
    </row>
    <row r="2272" ht="15.75" customHeight="1">
      <c r="A2272" s="9" t="str">
        <f>IFERROR(__xludf.DUMMYFUNCTION("IF(B2272="""","""",RIGHT(REGEXREPLACE(B2272&amp;"""",""[^0-9]"",""""),9))"),"756951358")</f>
        <v>756951358</v>
      </c>
      <c r="B2272" s="48">
        <v>7.56951358E8</v>
      </c>
      <c r="C2272" s="10" t="s">
        <v>2388</v>
      </c>
      <c r="D2272" s="10" t="s">
        <v>50</v>
      </c>
      <c r="E2272" s="13">
        <v>46229.0</v>
      </c>
      <c r="F2272" s="10" t="s">
        <v>21</v>
      </c>
      <c r="G2272" s="10">
        <v>11.0</v>
      </c>
      <c r="I2272" s="10" t="s">
        <v>22</v>
      </c>
      <c r="J2272" s="9" t="str">
        <f t="shared" si="37"/>
        <v>No</v>
      </c>
      <c r="K2272" s="9" t="str">
        <f t="shared" si="36"/>
        <v/>
      </c>
      <c r="L2272" s="9" t="str">
        <f t="shared" si="38"/>
        <v/>
      </c>
      <c r="M2272" s="9"/>
      <c r="O2272" s="9"/>
    </row>
    <row r="2273" ht="15.75" customHeight="1">
      <c r="A2273" s="9" t="str">
        <f>IFERROR(__xludf.DUMMYFUNCTION("IF(B2273="""","""",RIGHT(REGEXREPLACE(B2273&amp;"""",""[^0-9]"",""""),9))"),"763258695")</f>
        <v>763258695</v>
      </c>
      <c r="B2273" s="48">
        <v>7.63258695E8</v>
      </c>
      <c r="C2273" s="10" t="s">
        <v>2389</v>
      </c>
      <c r="D2273" s="10" t="s">
        <v>97</v>
      </c>
      <c r="E2273" s="13">
        <v>46229.0</v>
      </c>
      <c r="F2273" s="10" t="s">
        <v>35</v>
      </c>
      <c r="G2273" s="10">
        <v>11.0</v>
      </c>
      <c r="I2273" s="10" t="s">
        <v>22</v>
      </c>
      <c r="J2273" s="9" t="str">
        <f t="shared" si="37"/>
        <v>No</v>
      </c>
      <c r="K2273" s="9" t="str">
        <f t="shared" si="36"/>
        <v/>
      </c>
      <c r="L2273" s="9" t="str">
        <f t="shared" si="38"/>
        <v/>
      </c>
      <c r="M2273" s="9"/>
      <c r="O2273" s="9"/>
    </row>
    <row r="2274" ht="15.75" customHeight="1">
      <c r="A2274" s="9" t="str">
        <f>IFERROR(__xludf.DUMMYFUNCTION("IF(B2274="""","""",RIGHT(REGEXREPLACE(B2274&amp;"""",""[^0-9]"",""""),9))"),"771990850")</f>
        <v>771990850</v>
      </c>
      <c r="B2274" s="10">
        <v>7.7199085E8</v>
      </c>
      <c r="C2274" s="10" t="s">
        <v>2390</v>
      </c>
      <c r="D2274" s="10" t="s">
        <v>20</v>
      </c>
      <c r="E2274" s="13">
        <v>46229.0</v>
      </c>
      <c r="F2274" s="10" t="s">
        <v>35</v>
      </c>
      <c r="G2274" s="10">
        <v>11.0</v>
      </c>
      <c r="I2274" s="10" t="s">
        <v>22</v>
      </c>
      <c r="J2274" s="9" t="str">
        <f t="shared" si="37"/>
        <v>No</v>
      </c>
      <c r="K2274" s="9" t="str">
        <f t="shared" si="36"/>
        <v/>
      </c>
      <c r="L2274" s="9" t="str">
        <f t="shared" si="38"/>
        <v/>
      </c>
      <c r="M2274" s="9"/>
      <c r="O2274" s="9"/>
    </row>
    <row r="2275" ht="15.75" customHeight="1">
      <c r="A2275" s="9" t="str">
        <f>IFERROR(__xludf.DUMMYFUNCTION("IF(B2275="""","""",RIGHT(REGEXREPLACE(B2275&amp;"""",""[^0-9]"",""""),9))"),"772538685")</f>
        <v>772538685</v>
      </c>
      <c r="B2275" s="48">
        <v>7.72538685E8</v>
      </c>
      <c r="C2275" s="10" t="s">
        <v>2391</v>
      </c>
      <c r="D2275" s="10" t="s">
        <v>34</v>
      </c>
      <c r="E2275" s="13">
        <v>46229.0</v>
      </c>
      <c r="F2275" s="10" t="s">
        <v>21</v>
      </c>
      <c r="G2275" s="10">
        <v>11.0</v>
      </c>
      <c r="I2275" s="10" t="s">
        <v>22</v>
      </c>
      <c r="J2275" s="9" t="str">
        <f t="shared" si="37"/>
        <v>No</v>
      </c>
      <c r="K2275" s="9" t="str">
        <f t="shared" si="36"/>
        <v/>
      </c>
      <c r="L2275" s="9" t="str">
        <f t="shared" si="38"/>
        <v/>
      </c>
      <c r="M2275" s="9"/>
      <c r="O2275" s="9"/>
    </row>
    <row r="2276" ht="15.75" customHeight="1">
      <c r="A2276" s="9" t="str">
        <f>IFERROR(__xludf.DUMMYFUNCTION("IF(B2276="""","""",RIGHT(REGEXREPLACE(B2276&amp;"""",""[^0-9]"",""""),9))"),"766894167")</f>
        <v>766894167</v>
      </c>
      <c r="B2276" s="48">
        <v>7.66894167E8</v>
      </c>
      <c r="C2276" s="10" t="s">
        <v>2392</v>
      </c>
      <c r="D2276" s="10" t="s">
        <v>69</v>
      </c>
      <c r="E2276" s="13">
        <v>46229.0</v>
      </c>
      <c r="F2276" s="10" t="s">
        <v>35</v>
      </c>
      <c r="G2276" s="10">
        <v>10.0</v>
      </c>
      <c r="I2276" s="10" t="s">
        <v>22</v>
      </c>
      <c r="J2276" s="9" t="str">
        <f t="shared" si="37"/>
        <v>No</v>
      </c>
      <c r="K2276" s="9" t="str">
        <f t="shared" si="36"/>
        <v/>
      </c>
      <c r="L2276" s="9" t="str">
        <f t="shared" si="38"/>
        <v/>
      </c>
      <c r="M2276" s="9"/>
      <c r="O2276" s="9"/>
    </row>
    <row r="2277" ht="15.75" customHeight="1">
      <c r="A2277" s="9" t="str">
        <f>IFERROR(__xludf.DUMMYFUNCTION("IF(B2277="""","""",RIGHT(REGEXREPLACE(B2277&amp;"""",""[^0-9]"",""""),9))"),"784445585")</f>
        <v>784445585</v>
      </c>
      <c r="B2277" s="48">
        <v>7.84445585E8</v>
      </c>
      <c r="C2277" s="10" t="s">
        <v>2393</v>
      </c>
      <c r="D2277" s="10" t="s">
        <v>50</v>
      </c>
      <c r="E2277" s="13">
        <v>46229.0</v>
      </c>
      <c r="F2277" s="10" t="s">
        <v>35</v>
      </c>
      <c r="G2277" s="10">
        <v>11.0</v>
      </c>
      <c r="I2277" s="10" t="s">
        <v>22</v>
      </c>
      <c r="J2277" s="9" t="str">
        <f t="shared" si="37"/>
        <v>No</v>
      </c>
      <c r="K2277" s="9" t="str">
        <f t="shared" si="36"/>
        <v/>
      </c>
      <c r="L2277" s="9" t="str">
        <f t="shared" si="38"/>
        <v/>
      </c>
      <c r="M2277" s="9"/>
      <c r="O2277" s="9"/>
    </row>
    <row r="2278" ht="15.75" customHeight="1">
      <c r="A2278" s="9" t="str">
        <f>IFERROR(__xludf.DUMMYFUNCTION("IF(B2278="""","""",RIGHT(REGEXREPLACE(B2278&amp;"""",""[^0-9]"",""""),9))"),"719244123")</f>
        <v>719244123</v>
      </c>
      <c r="B2278" s="48">
        <v>7.19244123E8</v>
      </c>
      <c r="C2278" s="10" t="s">
        <v>278</v>
      </c>
      <c r="D2278" s="10" t="s">
        <v>34</v>
      </c>
      <c r="E2278" s="13">
        <v>46229.0</v>
      </c>
      <c r="F2278" s="10" t="s">
        <v>21</v>
      </c>
      <c r="G2278" s="10">
        <v>11.0</v>
      </c>
      <c r="I2278" s="10" t="s">
        <v>22</v>
      </c>
      <c r="J2278" s="9" t="str">
        <f t="shared" si="37"/>
        <v>Yes - see Previous F-Code</v>
      </c>
      <c r="K2278" s="9" t="str">
        <f t="shared" si="36"/>
        <v>DUPLICATE - CHECK</v>
      </c>
      <c r="L2278" s="9" t="str">
        <f t="shared" si="38"/>
        <v>F70168</v>
      </c>
      <c r="M2278" s="9"/>
      <c r="O2278" s="9"/>
    </row>
    <row r="2279" ht="15.75" customHeight="1">
      <c r="A2279" s="9" t="str">
        <f>IFERROR(__xludf.DUMMYFUNCTION("IF(B2279="""","""",RIGHT(REGEXREPLACE(B2279&amp;"""",""[^0-9]"",""""),9))"),"759304202")</f>
        <v>759304202</v>
      </c>
      <c r="B2279" s="48">
        <v>7.59304202E8</v>
      </c>
      <c r="C2279" s="10" t="s">
        <v>2394</v>
      </c>
      <c r="D2279" s="10" t="s">
        <v>34</v>
      </c>
      <c r="E2279" s="13">
        <v>46229.0</v>
      </c>
      <c r="F2279" s="10" t="s">
        <v>35</v>
      </c>
      <c r="G2279" s="10">
        <v>11.0</v>
      </c>
      <c r="I2279" s="10" t="s">
        <v>22</v>
      </c>
      <c r="J2279" s="9" t="str">
        <f t="shared" si="37"/>
        <v>No</v>
      </c>
      <c r="K2279" s="9" t="str">
        <f t="shared" si="36"/>
        <v/>
      </c>
      <c r="L2279" s="9" t="str">
        <f t="shared" si="38"/>
        <v/>
      </c>
      <c r="M2279" s="9"/>
      <c r="O2279" s="9"/>
    </row>
    <row r="2280" ht="15.75" customHeight="1">
      <c r="A2280" s="9" t="str">
        <f>IFERROR(__xludf.DUMMYFUNCTION("IF(B2280="""","""",RIGHT(REGEXREPLACE(B2280&amp;"""",""[^0-9]"",""""),9))"),"765990547")</f>
        <v>765990547</v>
      </c>
      <c r="B2280" s="48">
        <v>7.65990547E8</v>
      </c>
      <c r="C2280" s="10" t="s">
        <v>2395</v>
      </c>
      <c r="D2280" s="10" t="s">
        <v>69</v>
      </c>
      <c r="E2280" s="13">
        <v>46229.0</v>
      </c>
      <c r="F2280" s="10" t="s">
        <v>35</v>
      </c>
      <c r="G2280" s="10">
        <v>11.0</v>
      </c>
      <c r="I2280" s="10" t="s">
        <v>22</v>
      </c>
      <c r="J2280" s="9" t="str">
        <f t="shared" si="37"/>
        <v>No</v>
      </c>
      <c r="K2280" s="9" t="str">
        <f t="shared" si="36"/>
        <v/>
      </c>
      <c r="L2280" s="9" t="str">
        <f t="shared" si="38"/>
        <v/>
      </c>
      <c r="M2280" s="9"/>
      <c r="O2280" s="9"/>
    </row>
    <row r="2281" ht="15.75" customHeight="1">
      <c r="A2281" s="9" t="str">
        <f>IFERROR(__xludf.DUMMYFUNCTION("IF(B2281="""","""",RIGHT(REGEXREPLACE(B2281&amp;"""",""[^0-9]"",""""),9))"),"788590620")</f>
        <v>788590620</v>
      </c>
      <c r="B2281" s="48">
        <v>7.8859062E8</v>
      </c>
      <c r="C2281" s="10" t="s">
        <v>2396</v>
      </c>
      <c r="D2281" s="10" t="s">
        <v>50</v>
      </c>
      <c r="E2281" s="13">
        <v>46229.0</v>
      </c>
      <c r="F2281" s="10" t="s">
        <v>198</v>
      </c>
      <c r="G2281" s="10">
        <v>11.0</v>
      </c>
      <c r="I2281" s="10" t="s">
        <v>22</v>
      </c>
      <c r="J2281" s="9" t="str">
        <f t="shared" si="37"/>
        <v>No</v>
      </c>
      <c r="K2281" s="9" t="str">
        <f t="shared" si="36"/>
        <v/>
      </c>
      <c r="L2281" s="9" t="str">
        <f t="shared" si="38"/>
        <v/>
      </c>
      <c r="M2281" s="9"/>
      <c r="O2281" s="9"/>
    </row>
    <row r="2282" ht="15.75" customHeight="1">
      <c r="A2282" s="9" t="str">
        <f>IFERROR(__xludf.DUMMYFUNCTION("IF(B2282="""","""",RIGHT(REGEXREPLACE(B2282&amp;"""",""[^0-9]"",""""),9))"),"766140582")</f>
        <v>766140582</v>
      </c>
      <c r="B2282" s="48">
        <v>7.66140582E8</v>
      </c>
      <c r="C2282" s="10" t="s">
        <v>2397</v>
      </c>
      <c r="D2282" s="10" t="s">
        <v>97</v>
      </c>
      <c r="E2282" s="13">
        <v>46229.0</v>
      </c>
      <c r="F2282" s="10" t="s">
        <v>35</v>
      </c>
      <c r="G2282" s="10">
        <v>11.0</v>
      </c>
      <c r="I2282" s="10" t="s">
        <v>22</v>
      </c>
      <c r="J2282" s="9" t="str">
        <f t="shared" si="37"/>
        <v>No</v>
      </c>
      <c r="K2282" s="9" t="str">
        <f t="shared" si="36"/>
        <v/>
      </c>
      <c r="L2282" s="9" t="str">
        <f t="shared" si="38"/>
        <v/>
      </c>
      <c r="M2282" s="9"/>
      <c r="O2282" s="9"/>
    </row>
    <row r="2283" ht="15.75" customHeight="1">
      <c r="A2283" s="9" t="str">
        <f>IFERROR(__xludf.DUMMYFUNCTION("IF(B2283="""","""",RIGHT(REGEXREPLACE(B2283&amp;"""",""[^0-9]"",""""),9))"),"729884403")</f>
        <v>729884403</v>
      </c>
      <c r="B2283" s="48">
        <v>7.29884403E8</v>
      </c>
      <c r="C2283" s="10" t="s">
        <v>2398</v>
      </c>
      <c r="D2283" s="10" t="s">
        <v>34</v>
      </c>
      <c r="E2283" s="13">
        <v>46229.0</v>
      </c>
      <c r="F2283" s="10" t="s">
        <v>198</v>
      </c>
      <c r="G2283" s="10">
        <v>11.0</v>
      </c>
      <c r="I2283" s="10" t="s">
        <v>22</v>
      </c>
      <c r="J2283" s="9" t="str">
        <f t="shared" si="37"/>
        <v>No</v>
      </c>
      <c r="K2283" s="9" t="str">
        <f t="shared" si="36"/>
        <v/>
      </c>
      <c r="L2283" s="9" t="str">
        <f t="shared" si="38"/>
        <v/>
      </c>
      <c r="M2283" s="9"/>
      <c r="O2283" s="9"/>
    </row>
    <row r="2284" ht="15.75" customHeight="1">
      <c r="A2284" s="9" t="str">
        <f>IFERROR(__xludf.DUMMYFUNCTION("IF(B2284="""","""",RIGHT(REGEXREPLACE(B2284&amp;"""",""[^0-9]"",""""),9))"),"713885166")</f>
        <v>713885166</v>
      </c>
      <c r="B2284" s="48">
        <v>7.13885166E8</v>
      </c>
      <c r="C2284" s="10" t="s">
        <v>2399</v>
      </c>
      <c r="D2284" s="10" t="s">
        <v>50</v>
      </c>
      <c r="E2284" s="13">
        <v>46229.0</v>
      </c>
      <c r="F2284" s="10" t="s">
        <v>35</v>
      </c>
      <c r="G2284" s="10">
        <v>11.0</v>
      </c>
      <c r="I2284" s="10" t="s">
        <v>22</v>
      </c>
      <c r="J2284" s="9" t="str">
        <f t="shared" si="37"/>
        <v>No</v>
      </c>
      <c r="K2284" s="9" t="str">
        <f t="shared" si="36"/>
        <v/>
      </c>
      <c r="L2284" s="9" t="str">
        <f t="shared" si="38"/>
        <v/>
      </c>
      <c r="M2284" s="9"/>
      <c r="O2284" s="9"/>
    </row>
    <row r="2285" ht="15.75" customHeight="1">
      <c r="A2285" s="9" t="str">
        <f>IFERROR(__xludf.DUMMYFUNCTION("IF(B2285="""","""",RIGHT(REGEXREPLACE(B2285&amp;"""",""[^0-9]"",""""),9))"),"773919250")</f>
        <v>773919250</v>
      </c>
      <c r="B2285" s="48">
        <v>7.7391925E8</v>
      </c>
      <c r="C2285" s="10" t="s">
        <v>2400</v>
      </c>
      <c r="D2285" s="10" t="s">
        <v>97</v>
      </c>
      <c r="E2285" s="13">
        <v>46229.0</v>
      </c>
      <c r="F2285" s="10" t="s">
        <v>21</v>
      </c>
      <c r="G2285" s="10">
        <v>11.0</v>
      </c>
      <c r="I2285" s="10" t="s">
        <v>22</v>
      </c>
      <c r="J2285" s="9" t="str">
        <f t="shared" si="37"/>
        <v>No</v>
      </c>
      <c r="K2285" s="9" t="str">
        <f t="shared" si="36"/>
        <v/>
      </c>
      <c r="L2285" s="9" t="str">
        <f t="shared" si="38"/>
        <v/>
      </c>
      <c r="M2285" s="9"/>
      <c r="O2285" s="9"/>
    </row>
    <row r="2286" ht="15.75" customHeight="1">
      <c r="A2286" s="9" t="str">
        <f>IFERROR(__xludf.DUMMYFUNCTION("IF(B2286="""","""",RIGHT(REGEXREPLACE(B2286&amp;"""",""[^0-9]"",""""),9))"),"727234455")</f>
        <v>727234455</v>
      </c>
      <c r="B2286" s="48">
        <v>7.27234455E8</v>
      </c>
      <c r="C2286" s="10" t="s">
        <v>2401</v>
      </c>
      <c r="D2286" s="10" t="s">
        <v>34</v>
      </c>
      <c r="E2286" s="13">
        <v>46229.0</v>
      </c>
      <c r="F2286" s="10" t="s">
        <v>35</v>
      </c>
      <c r="G2286" s="10">
        <v>11.0</v>
      </c>
      <c r="I2286" s="10" t="s">
        <v>22</v>
      </c>
      <c r="J2286" s="9" t="str">
        <f t="shared" si="37"/>
        <v>No</v>
      </c>
      <c r="K2286" s="9" t="str">
        <f t="shared" si="36"/>
        <v/>
      </c>
      <c r="L2286" s="9" t="str">
        <f t="shared" si="38"/>
        <v/>
      </c>
      <c r="M2286" s="9"/>
      <c r="O2286" s="9"/>
    </row>
    <row r="2287" ht="15.75" customHeight="1">
      <c r="A2287" s="9" t="str">
        <f>IFERROR(__xludf.DUMMYFUNCTION("IF(B2287="""","""",RIGHT(REGEXREPLACE(B2287&amp;"""",""[^0-9]"",""""),9))"),"710650585")</f>
        <v>710650585</v>
      </c>
      <c r="B2287" s="48">
        <v>7.10650585E8</v>
      </c>
      <c r="C2287" s="10" t="s">
        <v>2402</v>
      </c>
      <c r="D2287" s="10" t="s">
        <v>69</v>
      </c>
      <c r="E2287" s="13">
        <v>46229.0</v>
      </c>
      <c r="F2287" s="10" t="s">
        <v>198</v>
      </c>
      <c r="G2287" s="10">
        <v>11.0</v>
      </c>
      <c r="I2287" s="10" t="s">
        <v>22</v>
      </c>
      <c r="J2287" s="9" t="str">
        <f t="shared" si="37"/>
        <v>No</v>
      </c>
      <c r="K2287" s="9" t="str">
        <f t="shared" si="36"/>
        <v/>
      </c>
      <c r="L2287" s="9" t="str">
        <f t="shared" si="38"/>
        <v/>
      </c>
      <c r="M2287" s="9"/>
      <c r="O2287" s="9"/>
    </row>
    <row r="2288" ht="15.75" customHeight="1">
      <c r="A2288" s="9" t="str">
        <f>IFERROR(__xludf.DUMMYFUNCTION("IF(B2288="""","""",RIGHT(REGEXREPLACE(B2288&amp;"""",""[^0-9]"",""""),9))"),"760373561")</f>
        <v>760373561</v>
      </c>
      <c r="B2288" s="48">
        <v>7.60373561E8</v>
      </c>
      <c r="C2288" s="10" t="s">
        <v>2403</v>
      </c>
      <c r="D2288" s="10" t="s">
        <v>50</v>
      </c>
      <c r="E2288" s="13">
        <v>46229.0</v>
      </c>
      <c r="F2288" s="10" t="s">
        <v>21</v>
      </c>
      <c r="G2288" s="10">
        <v>11.0</v>
      </c>
      <c r="I2288" s="10" t="s">
        <v>22</v>
      </c>
      <c r="J2288" s="9" t="str">
        <f t="shared" si="37"/>
        <v>No</v>
      </c>
      <c r="K2288" s="9" t="str">
        <f t="shared" si="36"/>
        <v/>
      </c>
      <c r="L2288" s="9" t="str">
        <f t="shared" si="38"/>
        <v/>
      </c>
      <c r="M2288" s="9"/>
      <c r="O2288" s="9"/>
    </row>
    <row r="2289" ht="15.75" customHeight="1">
      <c r="A2289" s="9" t="str">
        <f>IFERROR(__xludf.DUMMYFUNCTION("IF(B2289="""","""",RIGHT(REGEXREPLACE(B2289&amp;"""",""[^0-9]"",""""),9))"),"716680905")</f>
        <v>716680905</v>
      </c>
      <c r="B2289" s="48">
        <v>7.16680905E8</v>
      </c>
      <c r="C2289" s="10" t="s">
        <v>2404</v>
      </c>
      <c r="D2289" s="10" t="s">
        <v>97</v>
      </c>
      <c r="E2289" s="13">
        <v>46229.0</v>
      </c>
      <c r="F2289" s="10" t="s">
        <v>35</v>
      </c>
      <c r="G2289" s="10">
        <v>10.0</v>
      </c>
      <c r="I2289" s="10" t="s">
        <v>22</v>
      </c>
      <c r="J2289" s="9" t="str">
        <f t="shared" si="37"/>
        <v>No</v>
      </c>
      <c r="K2289" s="9" t="str">
        <f t="shared" si="36"/>
        <v/>
      </c>
      <c r="L2289" s="9" t="str">
        <f t="shared" si="38"/>
        <v/>
      </c>
      <c r="M2289" s="9"/>
      <c r="O2289" s="9"/>
    </row>
    <row r="2290" ht="15.75" customHeight="1">
      <c r="A2290" s="9" t="str">
        <f>IFERROR(__xludf.DUMMYFUNCTION("IF(B2290="""","""",RIGHT(REGEXREPLACE(B2290&amp;"""",""[^0-9]"",""""),9))"),"742624280")</f>
        <v>742624280</v>
      </c>
      <c r="B2290" s="48">
        <v>7.4262428E8</v>
      </c>
      <c r="C2290" s="10" t="s">
        <v>2405</v>
      </c>
      <c r="D2290" s="10" t="s">
        <v>34</v>
      </c>
      <c r="E2290" s="13">
        <v>46229.0</v>
      </c>
      <c r="F2290" s="10" t="s">
        <v>35</v>
      </c>
      <c r="G2290" s="10">
        <v>11.0</v>
      </c>
      <c r="I2290" s="10" t="s">
        <v>22</v>
      </c>
      <c r="J2290" s="9" t="str">
        <f t="shared" si="37"/>
        <v>No</v>
      </c>
      <c r="K2290" s="9" t="str">
        <f t="shared" si="36"/>
        <v/>
      </c>
      <c r="L2290" s="9" t="str">
        <f t="shared" si="38"/>
        <v/>
      </c>
      <c r="M2290" s="9"/>
      <c r="O2290" s="9"/>
    </row>
    <row r="2291" ht="15.75" customHeight="1">
      <c r="A2291" s="9" t="str">
        <f>IFERROR(__xludf.DUMMYFUNCTION("IF(B2291="""","""",RIGHT(REGEXREPLACE(B2291&amp;"""",""[^0-9]"",""""),9))"),"711723248")</f>
        <v>711723248</v>
      </c>
      <c r="B2291" s="48">
        <v>7.11723248E8</v>
      </c>
      <c r="C2291" s="10" t="s">
        <v>2406</v>
      </c>
      <c r="D2291" s="10" t="s">
        <v>69</v>
      </c>
      <c r="E2291" s="13">
        <v>46229.0</v>
      </c>
      <c r="F2291" s="10" t="s">
        <v>21</v>
      </c>
      <c r="G2291" s="10">
        <v>11.0</v>
      </c>
      <c r="I2291" s="10" t="s">
        <v>22</v>
      </c>
      <c r="J2291" s="9" t="str">
        <f t="shared" si="37"/>
        <v>No</v>
      </c>
      <c r="K2291" s="9" t="str">
        <f t="shared" si="36"/>
        <v/>
      </c>
      <c r="L2291" s="9" t="str">
        <f t="shared" si="38"/>
        <v/>
      </c>
      <c r="M2291" s="9"/>
      <c r="O2291" s="9"/>
    </row>
    <row r="2292" ht="15.75" customHeight="1">
      <c r="A2292" s="9" t="str">
        <f>IFERROR(__xludf.DUMMYFUNCTION("IF(B2292="""","""",RIGHT(REGEXREPLACE(B2292&amp;"""",""[^0-9]"",""""),9))"),"770365980")</f>
        <v>770365980</v>
      </c>
      <c r="B2292" s="48">
        <v>7.7036598E8</v>
      </c>
      <c r="C2292" s="10" t="s">
        <v>2407</v>
      </c>
      <c r="D2292" s="10" t="s">
        <v>97</v>
      </c>
      <c r="E2292" s="13">
        <v>46229.0</v>
      </c>
      <c r="F2292" s="10" t="s">
        <v>35</v>
      </c>
      <c r="G2292" s="10">
        <v>11.0</v>
      </c>
      <c r="I2292" s="10" t="s">
        <v>22</v>
      </c>
      <c r="J2292" s="9" t="str">
        <f t="shared" si="37"/>
        <v>No</v>
      </c>
      <c r="K2292" s="9" t="str">
        <f t="shared" si="36"/>
        <v/>
      </c>
      <c r="L2292" s="9" t="str">
        <f t="shared" si="38"/>
        <v/>
      </c>
      <c r="M2292" s="9"/>
      <c r="O2292" s="9"/>
    </row>
    <row r="2293" ht="15.75" customHeight="1">
      <c r="A2293" s="9" t="str">
        <f>IFERROR(__xludf.DUMMYFUNCTION("IF(B2293="""","""",RIGHT(REGEXREPLACE(B2293&amp;"""",""[^0-9]"",""""),9))"),"767475188")</f>
        <v>767475188</v>
      </c>
      <c r="B2293" s="48">
        <v>7.67475188E8</v>
      </c>
      <c r="C2293" s="10" t="s">
        <v>2408</v>
      </c>
      <c r="D2293" s="10" t="s">
        <v>50</v>
      </c>
      <c r="E2293" s="13">
        <v>46229.0</v>
      </c>
      <c r="F2293" s="10" t="s">
        <v>35</v>
      </c>
      <c r="G2293" s="10">
        <v>11.0</v>
      </c>
      <c r="I2293" s="10" t="s">
        <v>22</v>
      </c>
      <c r="J2293" s="9" t="str">
        <f t="shared" si="37"/>
        <v>No</v>
      </c>
      <c r="K2293" s="9" t="str">
        <f t="shared" si="36"/>
        <v/>
      </c>
      <c r="L2293" s="9" t="str">
        <f t="shared" si="38"/>
        <v/>
      </c>
      <c r="M2293" s="9"/>
      <c r="O2293" s="9"/>
    </row>
    <row r="2294" ht="15.75" customHeight="1">
      <c r="A2294" s="9" t="str">
        <f>IFERROR(__xludf.DUMMYFUNCTION("IF(B2294="""","""",RIGHT(REGEXREPLACE(B2294&amp;"""",""[^0-9]"",""""),9))"),"707083903")</f>
        <v>707083903</v>
      </c>
      <c r="B2294" s="10">
        <v>7.07083903E8</v>
      </c>
      <c r="C2294" s="10" t="s">
        <v>2409</v>
      </c>
      <c r="D2294" s="10" t="s">
        <v>20</v>
      </c>
      <c r="E2294" s="13">
        <v>46229.0</v>
      </c>
      <c r="F2294" s="10" t="s">
        <v>198</v>
      </c>
      <c r="G2294" s="10">
        <v>11.0</v>
      </c>
      <c r="I2294" s="10" t="s">
        <v>22</v>
      </c>
      <c r="J2294" s="9" t="str">
        <f t="shared" si="37"/>
        <v>No</v>
      </c>
      <c r="K2294" s="9" t="str">
        <f t="shared" si="36"/>
        <v/>
      </c>
      <c r="L2294" s="9" t="str">
        <f t="shared" si="38"/>
        <v/>
      </c>
      <c r="M2294" s="9"/>
      <c r="O2294" s="9"/>
    </row>
    <row r="2295" ht="15.75" customHeight="1">
      <c r="A2295" s="9" t="str">
        <f>IFERROR(__xludf.DUMMYFUNCTION("IF(B2295="""","""",RIGHT(REGEXREPLACE(B2295&amp;"""",""[^0-9]"",""""),9))"),"750135122")</f>
        <v>750135122</v>
      </c>
      <c r="B2295" s="48">
        <v>7.50135122E8</v>
      </c>
      <c r="C2295" s="10" t="s">
        <v>2410</v>
      </c>
      <c r="D2295" s="10" t="s">
        <v>69</v>
      </c>
      <c r="E2295" s="13">
        <v>46229.0</v>
      </c>
      <c r="F2295" s="10" t="s">
        <v>35</v>
      </c>
      <c r="G2295" s="10">
        <v>11.0</v>
      </c>
      <c r="I2295" s="10" t="s">
        <v>22</v>
      </c>
      <c r="J2295" s="9" t="str">
        <f t="shared" si="37"/>
        <v>No</v>
      </c>
      <c r="K2295" s="9" t="str">
        <f t="shared" si="36"/>
        <v/>
      </c>
      <c r="L2295" s="9" t="str">
        <f t="shared" si="38"/>
        <v/>
      </c>
      <c r="M2295" s="9"/>
      <c r="O2295" s="9"/>
    </row>
    <row r="2296" ht="15.75" customHeight="1">
      <c r="A2296" s="9" t="str">
        <f>IFERROR(__xludf.DUMMYFUNCTION("IF(B2296="""","""",RIGHT(REGEXREPLACE(B2296&amp;"""",""[^0-9]"",""""),9))"),"773108693")</f>
        <v>773108693</v>
      </c>
      <c r="B2296" s="48">
        <v>7.73108693E8</v>
      </c>
      <c r="C2296" s="10" t="s">
        <v>2411</v>
      </c>
      <c r="D2296" s="10" t="s">
        <v>34</v>
      </c>
      <c r="E2296" s="13">
        <v>46229.0</v>
      </c>
      <c r="F2296" s="10" t="s">
        <v>35</v>
      </c>
      <c r="G2296" s="10">
        <v>11.0</v>
      </c>
      <c r="I2296" s="10" t="s">
        <v>22</v>
      </c>
      <c r="J2296" s="9" t="str">
        <f t="shared" si="37"/>
        <v>No</v>
      </c>
      <c r="K2296" s="9" t="str">
        <f t="shared" si="36"/>
        <v/>
      </c>
      <c r="L2296" s="9" t="str">
        <f t="shared" si="38"/>
        <v/>
      </c>
      <c r="M2296" s="9"/>
      <c r="O2296" s="9"/>
    </row>
    <row r="2297" ht="15.75" customHeight="1">
      <c r="A2297" s="9" t="str">
        <f>IFERROR(__xludf.DUMMYFUNCTION("IF(B2297="""","""",RIGHT(REGEXREPLACE(B2297&amp;"""",""[^0-9]"",""""),9))"),"763686044")</f>
        <v>763686044</v>
      </c>
      <c r="B2297" s="48">
        <v>7.63686044E8</v>
      </c>
      <c r="C2297" s="10" t="s">
        <v>2412</v>
      </c>
      <c r="D2297" s="10" t="s">
        <v>50</v>
      </c>
      <c r="E2297" s="13">
        <v>46229.0</v>
      </c>
      <c r="F2297" s="10" t="s">
        <v>35</v>
      </c>
      <c r="G2297" s="10">
        <v>11.0</v>
      </c>
      <c r="I2297" s="10" t="s">
        <v>22</v>
      </c>
      <c r="J2297" s="9" t="str">
        <f t="shared" si="37"/>
        <v>No</v>
      </c>
      <c r="K2297" s="9" t="str">
        <f t="shared" si="36"/>
        <v/>
      </c>
      <c r="L2297" s="9" t="str">
        <f t="shared" si="38"/>
        <v/>
      </c>
      <c r="M2297" s="9"/>
      <c r="O2297" s="9"/>
    </row>
    <row r="2298" ht="15.75" customHeight="1">
      <c r="A2298" s="9" t="str">
        <f>IFERROR(__xludf.DUMMYFUNCTION("IF(B2298="""","""",RIGHT(REGEXREPLACE(B2298&amp;"""",""[^0-9]"",""""),9))"),"773307382")</f>
        <v>773307382</v>
      </c>
      <c r="B2298" s="10">
        <v>7.73307382E8</v>
      </c>
      <c r="C2298" s="10" t="s">
        <v>2413</v>
      </c>
      <c r="D2298" s="10" t="s">
        <v>20</v>
      </c>
      <c r="E2298" s="13">
        <v>46229.0</v>
      </c>
      <c r="F2298" s="10" t="s">
        <v>35</v>
      </c>
      <c r="I2298" s="10" t="s">
        <v>22</v>
      </c>
      <c r="J2298" s="9" t="str">
        <f t="shared" si="37"/>
        <v>No</v>
      </c>
      <c r="K2298" s="9" t="str">
        <f t="shared" si="36"/>
        <v/>
      </c>
      <c r="L2298" s="9" t="str">
        <f t="shared" si="38"/>
        <v/>
      </c>
      <c r="M2298" s="9"/>
      <c r="O2298" s="9"/>
    </row>
    <row r="2299" ht="15.75" customHeight="1">
      <c r="A2299" s="9" t="str">
        <f>IFERROR(__xludf.DUMMYFUNCTION("IF(B2299="""","""",RIGHT(REGEXREPLACE(B2299&amp;"""",""[^0-9]"",""""),9))"),"742372851")</f>
        <v>742372851</v>
      </c>
      <c r="B2299" s="48">
        <v>7.42372851E8</v>
      </c>
      <c r="C2299" s="10" t="s">
        <v>2414</v>
      </c>
      <c r="D2299" s="10" t="s">
        <v>97</v>
      </c>
      <c r="E2299" s="13">
        <v>46229.0</v>
      </c>
      <c r="F2299" s="10" t="s">
        <v>35</v>
      </c>
      <c r="G2299" s="10">
        <v>11.0</v>
      </c>
      <c r="I2299" s="10" t="s">
        <v>22</v>
      </c>
      <c r="J2299" s="9" t="str">
        <f t="shared" si="37"/>
        <v>No</v>
      </c>
      <c r="K2299" s="9" t="str">
        <f t="shared" si="36"/>
        <v/>
      </c>
      <c r="L2299" s="9" t="str">
        <f t="shared" si="38"/>
        <v/>
      </c>
      <c r="M2299" s="9"/>
      <c r="O2299" s="9"/>
    </row>
    <row r="2300" ht="15.75" customHeight="1">
      <c r="A2300" s="9" t="str">
        <f>IFERROR(__xludf.DUMMYFUNCTION("IF(B2300="""","""",RIGHT(REGEXREPLACE(B2300&amp;"""",""[^0-9]"",""""),9))"),"761848135")</f>
        <v>761848135</v>
      </c>
      <c r="B2300" s="10">
        <v>7.61848135E8</v>
      </c>
      <c r="C2300" s="10" t="s">
        <v>2415</v>
      </c>
      <c r="D2300" s="10" t="s">
        <v>20</v>
      </c>
      <c r="E2300" s="13">
        <v>46229.0</v>
      </c>
      <c r="F2300" s="10" t="s">
        <v>171</v>
      </c>
      <c r="I2300" s="10" t="s">
        <v>22</v>
      </c>
      <c r="J2300" s="9" t="str">
        <f t="shared" si="37"/>
        <v>No</v>
      </c>
      <c r="K2300" s="9" t="str">
        <f t="shared" si="36"/>
        <v/>
      </c>
      <c r="L2300" s="9" t="str">
        <f t="shared" si="38"/>
        <v/>
      </c>
      <c r="M2300" s="9"/>
      <c r="O2300" s="9"/>
    </row>
    <row r="2301" ht="15.75" customHeight="1">
      <c r="A2301" s="9" t="str">
        <f>IFERROR(__xludf.DUMMYFUNCTION("IF(B2301="""","""",RIGHT(REGEXREPLACE(B2301&amp;"""",""[^0-9]"",""""),9))"),"742751373")</f>
        <v>742751373</v>
      </c>
      <c r="B2301" s="48">
        <v>7.42751373E8</v>
      </c>
      <c r="C2301" s="10" t="s">
        <v>2416</v>
      </c>
      <c r="D2301" s="10" t="s">
        <v>34</v>
      </c>
      <c r="E2301" s="13">
        <v>46229.0</v>
      </c>
      <c r="F2301" s="10" t="s">
        <v>35</v>
      </c>
      <c r="G2301" s="10">
        <v>11.0</v>
      </c>
      <c r="I2301" s="10" t="s">
        <v>22</v>
      </c>
      <c r="J2301" s="9" t="str">
        <f t="shared" si="37"/>
        <v>No</v>
      </c>
      <c r="K2301" s="9" t="str">
        <f t="shared" si="36"/>
        <v/>
      </c>
      <c r="L2301" s="9" t="str">
        <f t="shared" si="38"/>
        <v/>
      </c>
      <c r="M2301" s="9"/>
      <c r="O2301" s="9"/>
    </row>
    <row r="2302" ht="15.75" customHeight="1">
      <c r="A2302" s="9" t="str">
        <f>IFERROR(__xludf.DUMMYFUNCTION("IF(B2302="""","""",RIGHT(REGEXREPLACE(B2302&amp;"""",""[^0-9]"",""""),9))"),"770129114")</f>
        <v>770129114</v>
      </c>
      <c r="B2302" s="10">
        <v>7.70129114E8</v>
      </c>
      <c r="C2302" s="10" t="s">
        <v>2417</v>
      </c>
      <c r="D2302" s="10" t="s">
        <v>20</v>
      </c>
      <c r="E2302" s="13">
        <v>46229.0</v>
      </c>
      <c r="F2302" s="10" t="s">
        <v>35</v>
      </c>
      <c r="I2302" s="10" t="s">
        <v>22</v>
      </c>
      <c r="J2302" s="9" t="str">
        <f t="shared" si="37"/>
        <v>No</v>
      </c>
      <c r="K2302" s="9" t="str">
        <f t="shared" si="36"/>
        <v/>
      </c>
      <c r="L2302" s="9" t="str">
        <f t="shared" si="38"/>
        <v/>
      </c>
      <c r="M2302" s="9"/>
      <c r="O2302" s="9"/>
    </row>
    <row r="2303" ht="15.75" customHeight="1">
      <c r="A2303" s="9" t="str">
        <f>IFERROR(__xludf.DUMMYFUNCTION("IF(B2303="""","""",RIGHT(REGEXREPLACE(B2303&amp;"""",""[^0-9]"",""""),9))"),"763587157")</f>
        <v>763587157</v>
      </c>
      <c r="B2303" s="48">
        <v>7.63587157E8</v>
      </c>
      <c r="C2303" s="10" t="s">
        <v>2418</v>
      </c>
      <c r="D2303" s="10" t="s">
        <v>69</v>
      </c>
      <c r="E2303" s="13">
        <v>46229.0</v>
      </c>
      <c r="F2303" s="10" t="s">
        <v>21</v>
      </c>
      <c r="G2303" s="10">
        <v>11.0</v>
      </c>
      <c r="I2303" s="10" t="s">
        <v>22</v>
      </c>
      <c r="J2303" s="9" t="str">
        <f t="shared" si="37"/>
        <v>No</v>
      </c>
      <c r="K2303" s="9" t="str">
        <f t="shared" si="36"/>
        <v/>
      </c>
      <c r="L2303" s="9" t="str">
        <f t="shared" si="38"/>
        <v/>
      </c>
      <c r="M2303" s="9"/>
      <c r="O2303" s="9"/>
    </row>
    <row r="2304" ht="15.75" customHeight="1">
      <c r="A2304" s="9" t="str">
        <f>IFERROR(__xludf.DUMMYFUNCTION("IF(B2304="""","""",RIGHT(REGEXREPLACE(B2304&amp;"""",""[^0-9]"",""""),9))"),"702488989")</f>
        <v>702488989</v>
      </c>
      <c r="B2304" s="10">
        <v>7.02488989E8</v>
      </c>
      <c r="C2304" s="10" t="s">
        <v>2419</v>
      </c>
      <c r="D2304" s="10" t="s">
        <v>20</v>
      </c>
      <c r="E2304" s="13">
        <v>46229.0</v>
      </c>
      <c r="F2304" s="10" t="s">
        <v>21</v>
      </c>
      <c r="I2304" s="10" t="s">
        <v>22</v>
      </c>
      <c r="J2304" s="9" t="str">
        <f t="shared" si="37"/>
        <v>No</v>
      </c>
      <c r="K2304" s="9" t="str">
        <f t="shared" si="36"/>
        <v/>
      </c>
      <c r="L2304" s="9" t="str">
        <f t="shared" si="38"/>
        <v/>
      </c>
      <c r="M2304" s="9"/>
      <c r="O2304" s="9"/>
    </row>
    <row r="2305" ht="15.75" customHeight="1">
      <c r="A2305" s="9" t="str">
        <f>IFERROR(__xludf.DUMMYFUNCTION("IF(B2305="""","""",RIGHT(REGEXREPLACE(B2305&amp;"""",""[^0-9]"",""""),9))"),"779830770")</f>
        <v>779830770</v>
      </c>
      <c r="B2305" s="48">
        <v>7.7983077E8</v>
      </c>
      <c r="C2305" s="10" t="s">
        <v>2420</v>
      </c>
      <c r="D2305" s="10" t="s">
        <v>50</v>
      </c>
      <c r="E2305" s="13">
        <v>46229.0</v>
      </c>
      <c r="F2305" s="10" t="s">
        <v>21</v>
      </c>
      <c r="G2305" s="10">
        <v>11.0</v>
      </c>
      <c r="I2305" s="10" t="s">
        <v>22</v>
      </c>
      <c r="J2305" s="9" t="str">
        <f t="shared" si="37"/>
        <v>No</v>
      </c>
      <c r="K2305" s="9" t="str">
        <f t="shared" si="36"/>
        <v/>
      </c>
      <c r="L2305" s="9" t="str">
        <f t="shared" si="38"/>
        <v/>
      </c>
      <c r="M2305" s="9"/>
      <c r="O2305" s="9"/>
    </row>
    <row r="2306" ht="15.75" customHeight="1">
      <c r="A2306" s="9" t="str">
        <f>IFERROR(__xludf.DUMMYFUNCTION("IF(B2306="""","""",RIGHT(REGEXREPLACE(B2306&amp;"""",""[^0-9]"",""""),9))"),"767075337")</f>
        <v>767075337</v>
      </c>
      <c r="B2306" s="48">
        <v>7.67075337E8</v>
      </c>
      <c r="C2306" s="10" t="s">
        <v>2420</v>
      </c>
      <c r="D2306" s="10" t="s">
        <v>34</v>
      </c>
      <c r="E2306" s="13">
        <v>46229.0</v>
      </c>
      <c r="F2306" s="10" t="s">
        <v>21</v>
      </c>
      <c r="G2306" s="10">
        <v>11.0</v>
      </c>
      <c r="I2306" s="10" t="s">
        <v>22</v>
      </c>
      <c r="J2306" s="9" t="str">
        <f t="shared" si="37"/>
        <v>No</v>
      </c>
      <c r="K2306" s="9" t="str">
        <f t="shared" si="36"/>
        <v/>
      </c>
      <c r="L2306" s="9" t="str">
        <f t="shared" si="38"/>
        <v/>
      </c>
      <c r="M2306" s="9"/>
      <c r="O2306" s="9"/>
    </row>
    <row r="2307" ht="15.75" customHeight="1">
      <c r="A2307" s="9" t="str">
        <f>IFERROR(__xludf.DUMMYFUNCTION("IF(B2307="""","""",RIGHT(REGEXREPLACE(B2307&amp;"""",""[^0-9]"",""""),9))"),"741015212")</f>
        <v>741015212</v>
      </c>
      <c r="B2307" s="10">
        <v>7.41015212E8</v>
      </c>
      <c r="C2307" s="10" t="s">
        <v>2421</v>
      </c>
      <c r="D2307" s="10" t="s">
        <v>20</v>
      </c>
      <c r="E2307" s="13">
        <v>46229.0</v>
      </c>
      <c r="F2307" s="10" t="s">
        <v>21</v>
      </c>
      <c r="G2307" s="10">
        <v>11.0</v>
      </c>
      <c r="I2307" s="10" t="s">
        <v>22</v>
      </c>
      <c r="J2307" s="9" t="str">
        <f t="shared" si="37"/>
        <v>No</v>
      </c>
      <c r="K2307" s="9" t="str">
        <f t="shared" si="36"/>
        <v/>
      </c>
      <c r="L2307" s="9" t="str">
        <f t="shared" si="38"/>
        <v/>
      </c>
      <c r="M2307" s="9"/>
      <c r="O2307" s="9"/>
    </row>
    <row r="2308" ht="15.75" customHeight="1">
      <c r="A2308" s="9" t="str">
        <f>IFERROR(__xludf.DUMMYFUNCTION("IF(B2308="""","""",RIGHT(REGEXREPLACE(B2308&amp;"""",""[^0-9]"",""""),9))"),"717742855")</f>
        <v>717742855</v>
      </c>
      <c r="B2308" s="48">
        <v>7.17742855E8</v>
      </c>
      <c r="C2308" s="10" t="s">
        <v>2422</v>
      </c>
      <c r="D2308" s="10" t="s">
        <v>97</v>
      </c>
      <c r="E2308" s="13">
        <v>46229.0</v>
      </c>
      <c r="F2308" s="10" t="s">
        <v>35</v>
      </c>
      <c r="G2308" s="10">
        <v>11.0</v>
      </c>
      <c r="I2308" s="10" t="s">
        <v>22</v>
      </c>
      <c r="J2308" s="9" t="str">
        <f t="shared" si="37"/>
        <v>No</v>
      </c>
      <c r="K2308" s="9" t="str">
        <f t="shared" si="36"/>
        <v/>
      </c>
      <c r="L2308" s="9" t="str">
        <f t="shared" si="38"/>
        <v/>
      </c>
      <c r="M2308" s="9"/>
      <c r="O2308" s="9"/>
    </row>
    <row r="2309" ht="15.75" customHeight="1">
      <c r="A2309" s="9" t="str">
        <f>IFERROR(__xludf.DUMMYFUNCTION("IF(B2309="""","""",RIGHT(REGEXREPLACE(B2309&amp;"""",""[^0-9]"",""""),9))"),"714197341")</f>
        <v>714197341</v>
      </c>
      <c r="B2309" s="48">
        <v>7.14197341E8</v>
      </c>
      <c r="C2309" s="10" t="s">
        <v>2423</v>
      </c>
      <c r="D2309" s="10" t="s">
        <v>50</v>
      </c>
      <c r="E2309" s="13">
        <v>46229.0</v>
      </c>
      <c r="F2309" s="10" t="s">
        <v>35</v>
      </c>
      <c r="G2309" s="10">
        <v>11.0</v>
      </c>
      <c r="I2309" s="10" t="s">
        <v>22</v>
      </c>
      <c r="J2309" s="9" t="str">
        <f t="shared" si="37"/>
        <v>No</v>
      </c>
      <c r="K2309" s="9" t="str">
        <f t="shared" si="36"/>
        <v/>
      </c>
      <c r="L2309" s="9" t="str">
        <f t="shared" si="38"/>
        <v/>
      </c>
      <c r="M2309" s="9"/>
      <c r="O2309" s="9"/>
    </row>
    <row r="2310" ht="15.75" customHeight="1">
      <c r="A2310" s="9" t="str">
        <f>IFERROR(__xludf.DUMMYFUNCTION("IF(B2310="""","""",RIGHT(REGEXREPLACE(B2310&amp;"""",""[^0-9]"",""""),9))"),"773476202")</f>
        <v>773476202</v>
      </c>
      <c r="B2310" s="48">
        <v>7.73476202E8</v>
      </c>
      <c r="C2310" s="10" t="s">
        <v>2424</v>
      </c>
      <c r="D2310" s="10" t="s">
        <v>69</v>
      </c>
      <c r="E2310" s="13">
        <v>46229.0</v>
      </c>
      <c r="F2310" s="10" t="s">
        <v>604</v>
      </c>
      <c r="G2310" s="10">
        <v>11.0</v>
      </c>
      <c r="I2310" s="10" t="s">
        <v>22</v>
      </c>
      <c r="J2310" s="9" t="str">
        <f t="shared" si="37"/>
        <v>No</v>
      </c>
      <c r="K2310" s="9" t="str">
        <f t="shared" si="36"/>
        <v/>
      </c>
      <c r="L2310" s="9" t="str">
        <f t="shared" si="38"/>
        <v/>
      </c>
      <c r="M2310" s="9"/>
      <c r="O2310" s="9"/>
    </row>
    <row r="2311" ht="15.75" customHeight="1">
      <c r="A2311" s="9" t="str">
        <f>IFERROR(__xludf.DUMMYFUNCTION("IF(B2311="""","""",RIGHT(REGEXREPLACE(B2311&amp;"""",""[^0-9]"",""""),9))"),"754307543")</f>
        <v>754307543</v>
      </c>
      <c r="B2311" s="48">
        <v>7.54307543E8</v>
      </c>
      <c r="C2311" s="10" t="s">
        <v>2425</v>
      </c>
      <c r="D2311" s="10" t="s">
        <v>97</v>
      </c>
      <c r="E2311" s="13">
        <v>46229.0</v>
      </c>
      <c r="F2311" s="10" t="s">
        <v>198</v>
      </c>
      <c r="G2311" s="10">
        <v>11.0</v>
      </c>
      <c r="I2311" s="10" t="s">
        <v>22</v>
      </c>
      <c r="J2311" s="9" t="str">
        <f t="shared" si="37"/>
        <v>No</v>
      </c>
      <c r="K2311" s="9" t="str">
        <f t="shared" si="36"/>
        <v/>
      </c>
      <c r="L2311" s="9" t="str">
        <f t="shared" si="38"/>
        <v/>
      </c>
      <c r="M2311" s="9"/>
      <c r="O2311" s="9"/>
    </row>
    <row r="2312" ht="15.75" customHeight="1">
      <c r="A2312" s="9" t="str">
        <f>IFERROR(__xludf.DUMMYFUNCTION("IF(B2312="""","""",RIGHT(REGEXREPLACE(B2312&amp;"""",""[^0-9]"",""""),9))"),"762799789")</f>
        <v>762799789</v>
      </c>
      <c r="B2312" s="48">
        <v>7.62799789E8</v>
      </c>
      <c r="C2312" s="10" t="s">
        <v>2426</v>
      </c>
      <c r="D2312" s="10" t="s">
        <v>69</v>
      </c>
      <c r="E2312" s="13">
        <v>46229.0</v>
      </c>
      <c r="F2312" s="10" t="s">
        <v>35</v>
      </c>
      <c r="G2312" s="10">
        <v>11.0</v>
      </c>
      <c r="I2312" s="10" t="s">
        <v>22</v>
      </c>
      <c r="J2312" s="9" t="str">
        <f t="shared" si="37"/>
        <v>No</v>
      </c>
      <c r="K2312" s="9" t="str">
        <f t="shared" si="36"/>
        <v/>
      </c>
      <c r="L2312" s="9" t="str">
        <f t="shared" si="38"/>
        <v/>
      </c>
      <c r="M2312" s="9"/>
      <c r="O2312" s="9"/>
    </row>
    <row r="2313" ht="15.75" customHeight="1">
      <c r="A2313" s="9" t="str">
        <f>IFERROR(__xludf.DUMMYFUNCTION("IF(B2313="""","""",RIGHT(REGEXREPLACE(B2313&amp;"""",""[^0-9]"",""""),9))"),"778390657")</f>
        <v>778390657</v>
      </c>
      <c r="B2313" s="48">
        <v>7.78390657E8</v>
      </c>
      <c r="C2313" s="10" t="s">
        <v>2427</v>
      </c>
      <c r="D2313" s="10" t="s">
        <v>50</v>
      </c>
      <c r="E2313" s="13">
        <v>46229.0</v>
      </c>
      <c r="F2313" s="10" t="s">
        <v>35</v>
      </c>
      <c r="G2313" s="10" t="s">
        <v>1023</v>
      </c>
      <c r="I2313" s="10" t="s">
        <v>22</v>
      </c>
      <c r="J2313" s="9" t="str">
        <f t="shared" si="37"/>
        <v>No</v>
      </c>
      <c r="K2313" s="9" t="str">
        <f t="shared" si="36"/>
        <v/>
      </c>
      <c r="L2313" s="9" t="str">
        <f t="shared" si="38"/>
        <v/>
      </c>
      <c r="M2313" s="9"/>
      <c r="O2313" s="9"/>
    </row>
    <row r="2314" ht="15.75" customHeight="1">
      <c r="A2314" s="9" t="str">
        <f>IFERROR(__xludf.DUMMYFUNCTION("IF(B2314="""","""",RIGHT(REGEXREPLACE(B2314&amp;"""",""[^0-9]"",""""),9))"),"764887614")</f>
        <v>764887614</v>
      </c>
      <c r="B2314" s="48">
        <v>7.64887614E8</v>
      </c>
      <c r="C2314" s="10" t="s">
        <v>2428</v>
      </c>
      <c r="D2314" s="10" t="s">
        <v>97</v>
      </c>
      <c r="E2314" s="13">
        <v>46229.0</v>
      </c>
      <c r="F2314" s="10" t="s">
        <v>35</v>
      </c>
      <c r="G2314" s="10">
        <v>10.0</v>
      </c>
      <c r="I2314" s="10" t="s">
        <v>22</v>
      </c>
      <c r="J2314" s="9" t="str">
        <f t="shared" si="37"/>
        <v>No</v>
      </c>
      <c r="K2314" s="9" t="str">
        <f t="shared" si="36"/>
        <v/>
      </c>
      <c r="L2314" s="9" t="str">
        <f t="shared" si="38"/>
        <v/>
      </c>
      <c r="M2314" s="9"/>
      <c r="O2314" s="9"/>
    </row>
    <row r="2315" ht="15.75" customHeight="1">
      <c r="A2315" s="9" t="str">
        <f>IFERROR(__xludf.DUMMYFUNCTION("IF(B2315="""","""",RIGHT(REGEXREPLACE(B2315&amp;"""",""[^0-9]"",""""),9))"),"768722616")</f>
        <v>768722616</v>
      </c>
      <c r="B2315" s="48">
        <v>7.68722616E8</v>
      </c>
      <c r="C2315" s="10" t="s">
        <v>2429</v>
      </c>
      <c r="D2315" s="10" t="s">
        <v>97</v>
      </c>
      <c r="E2315" s="13">
        <v>46229.0</v>
      </c>
      <c r="F2315" s="10" t="s">
        <v>35</v>
      </c>
      <c r="G2315" s="10">
        <v>11.0</v>
      </c>
      <c r="I2315" s="10" t="s">
        <v>22</v>
      </c>
      <c r="J2315" s="9" t="str">
        <f t="shared" si="37"/>
        <v>No</v>
      </c>
      <c r="K2315" s="9" t="str">
        <f t="shared" si="36"/>
        <v/>
      </c>
      <c r="L2315" s="9" t="str">
        <f t="shared" si="38"/>
        <v/>
      </c>
      <c r="M2315" s="9"/>
      <c r="O2315" s="9"/>
    </row>
    <row r="2316" ht="15.75" customHeight="1">
      <c r="A2316" s="9" t="str">
        <f>IFERROR(__xludf.DUMMYFUNCTION("IF(B2316="""","""",RIGHT(REGEXREPLACE(B2316&amp;"""",""[^0-9]"",""""),9))"),"781947051")</f>
        <v>781947051</v>
      </c>
      <c r="B2316" s="48">
        <v>7.81947051E8</v>
      </c>
      <c r="C2316" s="10" t="s">
        <v>2430</v>
      </c>
      <c r="D2316" s="10" t="s">
        <v>50</v>
      </c>
      <c r="E2316" s="13">
        <v>46229.0</v>
      </c>
      <c r="F2316" s="10" t="s">
        <v>35</v>
      </c>
      <c r="G2316" s="10">
        <v>10.0</v>
      </c>
      <c r="I2316" s="10" t="s">
        <v>22</v>
      </c>
      <c r="J2316" s="9" t="str">
        <f t="shared" si="37"/>
        <v>No</v>
      </c>
      <c r="K2316" s="9" t="str">
        <f t="shared" si="36"/>
        <v/>
      </c>
      <c r="L2316" s="9" t="str">
        <f t="shared" si="38"/>
        <v/>
      </c>
      <c r="M2316" s="9"/>
      <c r="O2316" s="9"/>
    </row>
    <row r="2317" ht="15.75" customHeight="1">
      <c r="A2317" s="9" t="str">
        <f>IFERROR(__xludf.DUMMYFUNCTION("IF(B2317="""","""",RIGHT(REGEXREPLACE(B2317&amp;"""",""[^0-9]"",""""),9))"),"771954960")</f>
        <v>771954960</v>
      </c>
      <c r="B2317" s="48">
        <v>7.7195496E8</v>
      </c>
      <c r="C2317" s="10" t="s">
        <v>2431</v>
      </c>
      <c r="D2317" s="10" t="s">
        <v>69</v>
      </c>
      <c r="E2317" s="13">
        <v>46229.0</v>
      </c>
      <c r="F2317" s="10" t="s">
        <v>542</v>
      </c>
      <c r="G2317" s="10">
        <v>11.0</v>
      </c>
      <c r="I2317" s="10" t="s">
        <v>22</v>
      </c>
      <c r="J2317" s="9" t="str">
        <f t="shared" si="37"/>
        <v>No</v>
      </c>
      <c r="K2317" s="9" t="str">
        <f t="shared" si="36"/>
        <v/>
      </c>
      <c r="L2317" s="9" t="str">
        <f t="shared" si="38"/>
        <v/>
      </c>
      <c r="M2317" s="9"/>
      <c r="O2317" s="9"/>
    </row>
    <row r="2318" ht="15.75" customHeight="1">
      <c r="A2318" s="9" t="str">
        <f>IFERROR(__xludf.DUMMYFUNCTION("IF(B2318="""","""",RIGHT(REGEXREPLACE(B2318&amp;"""",""[^0-9]"",""""),9))"),"769839001")</f>
        <v>769839001</v>
      </c>
      <c r="B2318" s="48">
        <v>7.69839001E8</v>
      </c>
      <c r="C2318" s="10" t="s">
        <v>2432</v>
      </c>
      <c r="D2318" s="10" t="s">
        <v>97</v>
      </c>
      <c r="E2318" s="13">
        <v>46229.0</v>
      </c>
      <c r="F2318" s="10" t="s">
        <v>35</v>
      </c>
      <c r="G2318" s="10">
        <v>11.0</v>
      </c>
      <c r="I2318" s="10" t="s">
        <v>22</v>
      </c>
      <c r="J2318" s="9" t="str">
        <f t="shared" si="37"/>
        <v>No</v>
      </c>
      <c r="K2318" s="9" t="str">
        <f t="shared" si="36"/>
        <v/>
      </c>
      <c r="L2318" s="9" t="str">
        <f t="shared" si="38"/>
        <v/>
      </c>
      <c r="M2318" s="9"/>
      <c r="O2318" s="9"/>
    </row>
    <row r="2319" ht="15.75" customHeight="1">
      <c r="A2319" s="9" t="str">
        <f>IFERROR(__xludf.DUMMYFUNCTION("IF(B2319="""","""",RIGHT(REGEXREPLACE(B2319&amp;"""",""[^0-9]"",""""),9))"),"769066575")</f>
        <v>769066575</v>
      </c>
      <c r="B2319" s="48">
        <v>7.69066575E8</v>
      </c>
      <c r="C2319" s="10" t="s">
        <v>2433</v>
      </c>
      <c r="D2319" s="10" t="s">
        <v>50</v>
      </c>
      <c r="E2319" s="13">
        <v>46229.0</v>
      </c>
      <c r="F2319" s="10" t="s">
        <v>35</v>
      </c>
      <c r="G2319" s="10">
        <v>11.0</v>
      </c>
      <c r="I2319" s="10" t="s">
        <v>22</v>
      </c>
      <c r="J2319" s="9" t="str">
        <f t="shared" si="37"/>
        <v>No</v>
      </c>
      <c r="K2319" s="9" t="str">
        <f t="shared" si="36"/>
        <v/>
      </c>
      <c r="L2319" s="9" t="str">
        <f t="shared" si="38"/>
        <v/>
      </c>
      <c r="M2319" s="9"/>
      <c r="O2319" s="9"/>
    </row>
    <row r="2320" ht="15.75" customHeight="1">
      <c r="A2320" s="9" t="str">
        <f>IFERROR(__xludf.DUMMYFUNCTION("IF(B2320="""","""",RIGHT(REGEXREPLACE(B2320&amp;"""",""[^0-9]"",""""),9))"),"717292030")</f>
        <v>717292030</v>
      </c>
      <c r="B2320" s="48">
        <v>7.1729203E8</v>
      </c>
      <c r="C2320" s="10" t="s">
        <v>2434</v>
      </c>
      <c r="D2320" s="10" t="s">
        <v>69</v>
      </c>
      <c r="E2320" s="13">
        <v>46229.0</v>
      </c>
      <c r="F2320" s="10" t="s">
        <v>35</v>
      </c>
      <c r="G2320" s="10">
        <v>11.0</v>
      </c>
      <c r="I2320" s="10" t="s">
        <v>22</v>
      </c>
      <c r="J2320" s="9" t="str">
        <f t="shared" si="37"/>
        <v>No</v>
      </c>
      <c r="K2320" s="9" t="str">
        <f t="shared" si="36"/>
        <v/>
      </c>
      <c r="L2320" s="9" t="str">
        <f t="shared" si="38"/>
        <v/>
      </c>
      <c r="M2320" s="9"/>
      <c r="O2320" s="9"/>
    </row>
    <row r="2321" ht="15.75" customHeight="1">
      <c r="A2321" s="9" t="str">
        <f>IFERROR(__xludf.DUMMYFUNCTION("IF(B2321="""","""",RIGHT(REGEXREPLACE(B2321&amp;"""",""[^0-9]"",""""),9))"),"713409402")</f>
        <v>713409402</v>
      </c>
      <c r="B2321" s="10">
        <v>7.13409402E8</v>
      </c>
      <c r="C2321" s="10" t="s">
        <v>2435</v>
      </c>
      <c r="D2321" s="10" t="s">
        <v>20</v>
      </c>
      <c r="E2321" s="13">
        <v>46229.0</v>
      </c>
      <c r="F2321" s="10" t="s">
        <v>35</v>
      </c>
      <c r="G2321" s="10">
        <v>11.0</v>
      </c>
      <c r="I2321" s="10" t="s">
        <v>22</v>
      </c>
      <c r="J2321" s="9" t="str">
        <f t="shared" si="37"/>
        <v>No</v>
      </c>
      <c r="K2321" s="9" t="str">
        <f t="shared" si="36"/>
        <v/>
      </c>
      <c r="L2321" s="9" t="str">
        <f t="shared" si="38"/>
        <v/>
      </c>
      <c r="M2321" s="9"/>
      <c r="O2321" s="9"/>
    </row>
    <row r="2322" ht="15.75" customHeight="1">
      <c r="A2322" s="9" t="str">
        <f>IFERROR(__xludf.DUMMYFUNCTION("IF(B2322="""","""",RIGHT(REGEXREPLACE(B2322&amp;"""",""[^0-9]"",""""),9))"),"778790807")</f>
        <v>778790807</v>
      </c>
      <c r="B2322" s="48">
        <v>7.78790807E8</v>
      </c>
      <c r="C2322" s="10" t="s">
        <v>2436</v>
      </c>
      <c r="D2322" s="10" t="s">
        <v>97</v>
      </c>
      <c r="E2322" s="13">
        <v>46229.0</v>
      </c>
      <c r="F2322" s="10" t="s">
        <v>35</v>
      </c>
      <c r="G2322" s="10">
        <v>11.0</v>
      </c>
      <c r="I2322" s="10" t="s">
        <v>22</v>
      </c>
      <c r="J2322" s="9" t="str">
        <f t="shared" si="37"/>
        <v>No</v>
      </c>
      <c r="K2322" s="9" t="str">
        <f t="shared" si="36"/>
        <v/>
      </c>
      <c r="L2322" s="9" t="str">
        <f t="shared" si="38"/>
        <v/>
      </c>
      <c r="M2322" s="9"/>
      <c r="O2322" s="9"/>
    </row>
    <row r="2323" ht="15.75" customHeight="1">
      <c r="A2323" s="9" t="str">
        <f>IFERROR(__xludf.DUMMYFUNCTION("IF(B2323="""","""",RIGHT(REGEXREPLACE(B2323&amp;"""",""[^0-9]"",""""),9))"),"769614011")</f>
        <v>769614011</v>
      </c>
      <c r="B2323" s="48">
        <v>7.69614011E8</v>
      </c>
      <c r="C2323" s="10" t="s">
        <v>2437</v>
      </c>
      <c r="D2323" s="10" t="s">
        <v>50</v>
      </c>
      <c r="E2323" s="13">
        <v>46229.0</v>
      </c>
      <c r="F2323" s="10" t="s">
        <v>21</v>
      </c>
      <c r="G2323" s="10">
        <v>10.0</v>
      </c>
      <c r="I2323" s="10" t="s">
        <v>22</v>
      </c>
      <c r="J2323" s="9" t="str">
        <f t="shared" si="37"/>
        <v>No</v>
      </c>
      <c r="K2323" s="9" t="str">
        <f t="shared" si="36"/>
        <v/>
      </c>
      <c r="L2323" s="9" t="str">
        <f t="shared" si="38"/>
        <v/>
      </c>
      <c r="M2323" s="9"/>
      <c r="O2323" s="9"/>
    </row>
    <row r="2324" ht="15.75" customHeight="1">
      <c r="A2324" s="9" t="str">
        <f>IFERROR(__xludf.DUMMYFUNCTION("IF(B2324="""","""",RIGHT(REGEXREPLACE(B2324&amp;"""",""[^0-9]"",""""),9))"),"761252490")</f>
        <v>761252490</v>
      </c>
      <c r="B2324" s="48">
        <v>7.6125249E8</v>
      </c>
      <c r="C2324" s="10" t="s">
        <v>2438</v>
      </c>
      <c r="D2324" s="10" t="s">
        <v>34</v>
      </c>
      <c r="E2324" s="13">
        <v>46229.0</v>
      </c>
      <c r="F2324" s="10" t="s">
        <v>648</v>
      </c>
      <c r="I2324" s="10" t="s">
        <v>22</v>
      </c>
      <c r="J2324" s="9" t="str">
        <f t="shared" si="37"/>
        <v>No</v>
      </c>
      <c r="K2324" s="9" t="str">
        <f t="shared" si="36"/>
        <v/>
      </c>
      <c r="L2324" s="9" t="str">
        <f t="shared" si="38"/>
        <v/>
      </c>
      <c r="M2324" s="9"/>
      <c r="O2324" s="9"/>
    </row>
    <row r="2325" ht="15.75" customHeight="1">
      <c r="A2325" s="9" t="str">
        <f>IFERROR(__xludf.DUMMYFUNCTION("IF(B2325="""","""",RIGHT(REGEXREPLACE(B2325&amp;"""",""[^0-9]"",""""),9))"),"771967909")</f>
        <v>771967909</v>
      </c>
      <c r="B2325" s="48">
        <v>7.71967909E8</v>
      </c>
      <c r="C2325" s="10" t="s">
        <v>2439</v>
      </c>
      <c r="D2325" s="10" t="s">
        <v>34</v>
      </c>
      <c r="E2325" s="13">
        <v>46229.0</v>
      </c>
      <c r="F2325" s="10" t="s">
        <v>35</v>
      </c>
      <c r="G2325" s="10">
        <v>11.0</v>
      </c>
      <c r="I2325" s="10" t="s">
        <v>22</v>
      </c>
      <c r="J2325" s="9" t="str">
        <f t="shared" si="37"/>
        <v>No</v>
      </c>
      <c r="K2325" s="9" t="str">
        <f t="shared" si="36"/>
        <v/>
      </c>
      <c r="L2325" s="9" t="str">
        <f t="shared" si="38"/>
        <v/>
      </c>
      <c r="M2325" s="9"/>
      <c r="O2325" s="9"/>
    </row>
    <row r="2326" ht="15.75" customHeight="1">
      <c r="A2326" s="9" t="str">
        <f>IFERROR(__xludf.DUMMYFUNCTION("IF(B2326="""","""",RIGHT(REGEXREPLACE(B2326&amp;"""",""[^0-9]"",""""),9))"),"702744431")</f>
        <v>702744431</v>
      </c>
      <c r="B2326" s="10">
        <v>7.02744431E8</v>
      </c>
      <c r="C2326" s="10" t="s">
        <v>2440</v>
      </c>
      <c r="D2326" s="10" t="s">
        <v>20</v>
      </c>
      <c r="E2326" s="13">
        <v>46229.0</v>
      </c>
      <c r="F2326" s="10" t="s">
        <v>35</v>
      </c>
      <c r="G2326" s="10">
        <v>11.0</v>
      </c>
      <c r="I2326" s="10" t="s">
        <v>22</v>
      </c>
      <c r="J2326" s="9" t="str">
        <f t="shared" si="37"/>
        <v>No</v>
      </c>
      <c r="K2326" s="9" t="str">
        <f t="shared" si="36"/>
        <v/>
      </c>
      <c r="L2326" s="9" t="str">
        <f t="shared" si="38"/>
        <v/>
      </c>
      <c r="M2326" s="9"/>
      <c r="O2326" s="9"/>
    </row>
    <row r="2327" ht="15.75" customHeight="1">
      <c r="A2327" s="9" t="str">
        <f>IFERROR(__xludf.DUMMYFUNCTION("IF(B2327="""","""",RIGHT(REGEXREPLACE(B2327&amp;"""",""[^0-9]"",""""),9))"),"771232473")</f>
        <v>771232473</v>
      </c>
      <c r="B2327" s="48">
        <v>7.71232473E8</v>
      </c>
      <c r="C2327" s="10" t="s">
        <v>2441</v>
      </c>
      <c r="D2327" s="10" t="s">
        <v>50</v>
      </c>
      <c r="E2327" s="13">
        <v>46229.0</v>
      </c>
      <c r="F2327" s="10" t="s">
        <v>35</v>
      </c>
      <c r="G2327" s="10">
        <v>11.0</v>
      </c>
      <c r="I2327" s="10" t="s">
        <v>22</v>
      </c>
      <c r="J2327" s="9" t="str">
        <f t="shared" si="37"/>
        <v>No</v>
      </c>
      <c r="K2327" s="9" t="str">
        <f t="shared" si="36"/>
        <v/>
      </c>
      <c r="L2327" s="9" t="str">
        <f t="shared" si="38"/>
        <v/>
      </c>
      <c r="M2327" s="9"/>
      <c r="O2327" s="9"/>
    </row>
    <row r="2328" ht="15.75" customHeight="1">
      <c r="A2328" s="9" t="str">
        <f>IFERROR(__xludf.DUMMYFUNCTION("IF(B2328="""","""",RIGHT(REGEXREPLACE(B2328&amp;"""",""[^0-9]"",""""),9))"),"766321349")</f>
        <v>766321349</v>
      </c>
      <c r="B2328" s="48">
        <v>7.66321349E8</v>
      </c>
      <c r="C2328" s="10" t="s">
        <v>1819</v>
      </c>
      <c r="D2328" s="10" t="s">
        <v>97</v>
      </c>
      <c r="E2328" s="13">
        <v>46229.0</v>
      </c>
      <c r="F2328" s="10" t="s">
        <v>198</v>
      </c>
      <c r="G2328" s="10">
        <v>11.0</v>
      </c>
      <c r="I2328" s="10" t="s">
        <v>22</v>
      </c>
      <c r="J2328" s="9" t="str">
        <f t="shared" si="37"/>
        <v>Yes - see Previous F-Code</v>
      </c>
      <c r="K2328" s="9" t="str">
        <f t="shared" si="36"/>
        <v>DUPLICATE - CHECK</v>
      </c>
      <c r="L2328" s="9" t="str">
        <f t="shared" si="38"/>
        <v>F71603</v>
      </c>
      <c r="M2328" s="9"/>
      <c r="O2328" s="9"/>
    </row>
    <row r="2329" ht="15.75" customHeight="1">
      <c r="A2329" s="9" t="str">
        <f>IFERROR(__xludf.DUMMYFUNCTION("IF(B2329="""","""",RIGHT(REGEXREPLACE(B2329&amp;"""",""[^0-9]"",""""),9))"),"720843058")</f>
        <v>720843058</v>
      </c>
      <c r="B2329" s="10">
        <v>7.20843058E8</v>
      </c>
      <c r="C2329" s="10" t="s">
        <v>2442</v>
      </c>
      <c r="D2329" s="10" t="s">
        <v>20</v>
      </c>
      <c r="E2329" s="13">
        <v>46229.0</v>
      </c>
      <c r="F2329" s="10" t="s">
        <v>21</v>
      </c>
      <c r="G2329" s="10">
        <v>11.0</v>
      </c>
      <c r="I2329" s="10" t="s">
        <v>22</v>
      </c>
      <c r="J2329" s="9" t="str">
        <f t="shared" si="37"/>
        <v>No</v>
      </c>
      <c r="K2329" s="9" t="str">
        <f t="shared" si="36"/>
        <v/>
      </c>
      <c r="L2329" s="9" t="str">
        <f t="shared" si="38"/>
        <v/>
      </c>
      <c r="M2329" s="9"/>
      <c r="O2329" s="9"/>
    </row>
    <row r="2330" ht="15.75" customHeight="1">
      <c r="A2330" s="9" t="str">
        <f>IFERROR(__xludf.DUMMYFUNCTION("IF(B2330="""","""",RIGHT(REGEXREPLACE(B2330&amp;"""",""[^0-9]"",""""),9))"),"775141917")</f>
        <v>775141917</v>
      </c>
      <c r="B2330" s="48">
        <v>7.75141917E8</v>
      </c>
      <c r="C2330" s="10" t="s">
        <v>2443</v>
      </c>
      <c r="D2330" s="10" t="s">
        <v>69</v>
      </c>
      <c r="E2330" s="13">
        <v>46229.0</v>
      </c>
      <c r="F2330" s="10" t="s">
        <v>21</v>
      </c>
      <c r="G2330" s="10">
        <v>11.0</v>
      </c>
      <c r="I2330" s="10" t="s">
        <v>22</v>
      </c>
      <c r="J2330" s="9" t="str">
        <f t="shared" si="37"/>
        <v>No</v>
      </c>
      <c r="K2330" s="9" t="str">
        <f t="shared" si="36"/>
        <v/>
      </c>
      <c r="L2330" s="9" t="str">
        <f t="shared" si="38"/>
        <v/>
      </c>
      <c r="M2330" s="9"/>
      <c r="O2330" s="9"/>
    </row>
    <row r="2331" ht="15.75" customHeight="1">
      <c r="A2331" s="9" t="str">
        <f>IFERROR(__xludf.DUMMYFUNCTION("IF(B2331="""","""",RIGHT(REGEXREPLACE(B2331&amp;"""",""[^0-9]"",""""),9))"),"701339503")</f>
        <v>701339503</v>
      </c>
      <c r="B2331" s="48">
        <v>7.01339503E8</v>
      </c>
      <c r="C2331" s="10" t="s">
        <v>2444</v>
      </c>
      <c r="D2331" s="10" t="s">
        <v>34</v>
      </c>
      <c r="E2331" s="13">
        <v>46229.0</v>
      </c>
      <c r="F2331" s="10" t="s">
        <v>171</v>
      </c>
      <c r="I2331" s="10" t="s">
        <v>22</v>
      </c>
      <c r="J2331" s="9" t="str">
        <f t="shared" si="37"/>
        <v>No</v>
      </c>
      <c r="K2331" s="9" t="str">
        <f t="shared" si="36"/>
        <v/>
      </c>
      <c r="L2331" s="9" t="str">
        <f t="shared" si="38"/>
        <v/>
      </c>
      <c r="M2331" s="9"/>
      <c r="O2331" s="9"/>
    </row>
    <row r="2332" ht="15.75" customHeight="1">
      <c r="A2332" s="9" t="str">
        <f>IFERROR(__xludf.DUMMYFUNCTION("IF(B2332="""","""",RIGHT(REGEXREPLACE(B2332&amp;"""",""[^0-9]"",""""),9))"),"752847157")</f>
        <v>752847157</v>
      </c>
      <c r="B2332" s="10">
        <v>7.52847157E8</v>
      </c>
      <c r="C2332" s="10" t="s">
        <v>566</v>
      </c>
      <c r="D2332" s="10" t="s">
        <v>20</v>
      </c>
      <c r="E2332" s="13">
        <v>46229.0</v>
      </c>
      <c r="F2332" s="10" t="s">
        <v>35</v>
      </c>
      <c r="G2332" s="10">
        <v>11.0</v>
      </c>
      <c r="I2332" s="10" t="s">
        <v>22</v>
      </c>
      <c r="J2332" s="9" t="str">
        <f t="shared" si="37"/>
        <v>Yes - see Previous F-Code</v>
      </c>
      <c r="K2332" s="9" t="str">
        <f t="shared" si="36"/>
        <v>DUPLICATE - CHECK</v>
      </c>
      <c r="L2332" s="9" t="str">
        <f t="shared" si="38"/>
        <v>F70424</v>
      </c>
      <c r="M2332" s="9"/>
      <c r="O2332" s="9"/>
    </row>
    <row r="2333" ht="15.75" customHeight="1">
      <c r="A2333" s="9" t="str">
        <f>IFERROR(__xludf.DUMMYFUNCTION("IF(B2333="""","""",RIGHT(REGEXREPLACE(B2333&amp;"""",""[^0-9]"",""""),9))"),"714295436")</f>
        <v>714295436</v>
      </c>
      <c r="B2333" s="48">
        <v>7.14295436E8</v>
      </c>
      <c r="C2333" s="10" t="s">
        <v>2445</v>
      </c>
      <c r="D2333" s="10" t="s">
        <v>34</v>
      </c>
      <c r="E2333" s="13">
        <v>46229.0</v>
      </c>
      <c r="F2333" s="10" t="s">
        <v>113</v>
      </c>
      <c r="I2333" s="10" t="s">
        <v>22</v>
      </c>
      <c r="J2333" s="9" t="str">
        <f t="shared" si="37"/>
        <v>No</v>
      </c>
      <c r="K2333" s="9" t="str">
        <f t="shared" si="36"/>
        <v/>
      </c>
      <c r="L2333" s="9" t="str">
        <f t="shared" si="38"/>
        <v/>
      </c>
      <c r="M2333" s="9"/>
      <c r="O2333" s="9"/>
    </row>
    <row r="2334" ht="15.75" customHeight="1">
      <c r="A2334" s="9" t="str">
        <f>IFERROR(__xludf.DUMMYFUNCTION("IF(B2334="""","""",RIGHT(REGEXREPLACE(B2334&amp;"""",""[^0-9]"",""""),9))"),"704453184")</f>
        <v>704453184</v>
      </c>
      <c r="B2334" s="10">
        <v>7.04453184E8</v>
      </c>
      <c r="C2334" s="10" t="s">
        <v>2446</v>
      </c>
      <c r="D2334" s="10" t="s">
        <v>20</v>
      </c>
      <c r="E2334" s="13">
        <v>46229.0</v>
      </c>
      <c r="F2334" s="10" t="s">
        <v>21</v>
      </c>
      <c r="G2334" s="10">
        <v>11.0</v>
      </c>
      <c r="I2334" s="10" t="s">
        <v>22</v>
      </c>
      <c r="J2334" s="9" t="str">
        <f t="shared" si="37"/>
        <v>No</v>
      </c>
      <c r="K2334" s="9" t="str">
        <f t="shared" si="36"/>
        <v/>
      </c>
      <c r="L2334" s="9" t="str">
        <f t="shared" si="38"/>
        <v/>
      </c>
      <c r="M2334" s="9"/>
      <c r="O2334" s="9"/>
    </row>
    <row r="2335" ht="15.75" customHeight="1">
      <c r="A2335" s="9" t="str">
        <f>IFERROR(__xludf.DUMMYFUNCTION("IF(B2335="""","""",RIGHT(REGEXREPLACE(B2335&amp;"""",""[^0-9]"",""""),9))"),"778034652")</f>
        <v>778034652</v>
      </c>
      <c r="B2335" s="48">
        <v>7.78034652E8</v>
      </c>
      <c r="C2335" s="10" t="s">
        <v>2447</v>
      </c>
      <c r="D2335" s="10" t="s">
        <v>50</v>
      </c>
      <c r="E2335" s="13">
        <v>46229.0</v>
      </c>
      <c r="F2335" s="10" t="s">
        <v>21</v>
      </c>
      <c r="G2335" s="10">
        <v>11.0</v>
      </c>
      <c r="I2335" s="10" t="s">
        <v>22</v>
      </c>
      <c r="J2335" s="9" t="str">
        <f t="shared" si="37"/>
        <v>No</v>
      </c>
      <c r="K2335" s="9" t="str">
        <f t="shared" si="36"/>
        <v/>
      </c>
      <c r="L2335" s="9" t="str">
        <f t="shared" si="38"/>
        <v/>
      </c>
      <c r="M2335" s="9"/>
      <c r="O2335" s="9"/>
    </row>
    <row r="2336" ht="15.75" customHeight="1">
      <c r="A2336" s="9" t="str">
        <f>IFERROR(__xludf.DUMMYFUNCTION("IF(B2336="""","""",RIGHT(REGEXREPLACE(B2336&amp;"""",""[^0-9]"",""""),9))"),"777626590")</f>
        <v>777626590</v>
      </c>
      <c r="B2336" s="10">
        <v>7.7762659E8</v>
      </c>
      <c r="C2336" s="10" t="s">
        <v>2448</v>
      </c>
      <c r="D2336" s="10" t="s">
        <v>20</v>
      </c>
      <c r="E2336" s="13">
        <v>46229.0</v>
      </c>
      <c r="F2336" s="10" t="s">
        <v>35</v>
      </c>
      <c r="G2336" s="10">
        <v>11.0</v>
      </c>
      <c r="H2336" s="10" t="s">
        <v>1291</v>
      </c>
      <c r="I2336" s="10" t="s">
        <v>22</v>
      </c>
      <c r="J2336" s="9" t="str">
        <f t="shared" si="37"/>
        <v>No</v>
      </c>
      <c r="K2336" s="9" t="str">
        <f t="shared" si="36"/>
        <v/>
      </c>
      <c r="L2336" s="9" t="str">
        <f t="shared" si="38"/>
        <v/>
      </c>
      <c r="M2336" s="9"/>
      <c r="O2336" s="9"/>
    </row>
    <row r="2337" ht="15.75" customHeight="1">
      <c r="A2337" s="9" t="str">
        <f>IFERROR(__xludf.DUMMYFUNCTION("IF(B2337="""","""",RIGHT(REGEXREPLACE(B2337&amp;"""",""[^0-9]"",""""),9))"),"763250849")</f>
        <v>763250849</v>
      </c>
      <c r="B2337" s="48">
        <v>7.63250849E8</v>
      </c>
      <c r="C2337" s="10" t="s">
        <v>2449</v>
      </c>
      <c r="D2337" s="10" t="s">
        <v>34</v>
      </c>
      <c r="E2337" s="13">
        <v>46229.0</v>
      </c>
      <c r="F2337" s="10" t="s">
        <v>35</v>
      </c>
      <c r="G2337" s="10">
        <v>11.0</v>
      </c>
      <c r="I2337" s="10" t="s">
        <v>22</v>
      </c>
      <c r="J2337" s="9" t="str">
        <f t="shared" si="37"/>
        <v>No</v>
      </c>
      <c r="K2337" s="9" t="str">
        <f t="shared" si="36"/>
        <v/>
      </c>
      <c r="L2337" s="9" t="str">
        <f t="shared" si="38"/>
        <v/>
      </c>
      <c r="M2337" s="9"/>
      <c r="O2337" s="9"/>
    </row>
    <row r="2338" ht="15.75" customHeight="1">
      <c r="A2338" s="9" t="str">
        <f>IFERROR(__xludf.DUMMYFUNCTION("IF(B2338="""","""",RIGHT(REGEXREPLACE(B2338&amp;"""",""[^0-9]"",""""),9))"),"715679718")</f>
        <v>715679718</v>
      </c>
      <c r="B2338" s="48">
        <v>7.15679718E8</v>
      </c>
      <c r="C2338" s="10" t="s">
        <v>2450</v>
      </c>
      <c r="D2338" s="10" t="s">
        <v>97</v>
      </c>
      <c r="E2338" s="13">
        <v>46229.0</v>
      </c>
      <c r="F2338" s="10" t="s">
        <v>35</v>
      </c>
      <c r="G2338" s="10">
        <v>11.0</v>
      </c>
      <c r="I2338" s="10" t="s">
        <v>22</v>
      </c>
      <c r="J2338" s="9" t="str">
        <f t="shared" si="37"/>
        <v>No</v>
      </c>
      <c r="K2338" s="9" t="str">
        <f t="shared" si="36"/>
        <v/>
      </c>
      <c r="L2338" s="9" t="str">
        <f t="shared" si="38"/>
        <v/>
      </c>
      <c r="M2338" s="9"/>
      <c r="O2338" s="9"/>
    </row>
    <row r="2339" ht="15.75" customHeight="1">
      <c r="A2339" s="9" t="str">
        <f>IFERROR(__xludf.DUMMYFUNCTION("IF(B2339="""","""",RIGHT(REGEXREPLACE(B2339&amp;"""",""[^0-9]"",""""),9))"),"767534726")</f>
        <v>767534726</v>
      </c>
      <c r="B2339" s="48">
        <v>7.67534726E8</v>
      </c>
      <c r="C2339" s="10" t="s">
        <v>2451</v>
      </c>
      <c r="D2339" s="10" t="s">
        <v>69</v>
      </c>
      <c r="E2339" s="13">
        <v>46229.0</v>
      </c>
      <c r="F2339" s="10" t="s">
        <v>35</v>
      </c>
      <c r="G2339" s="10">
        <v>11.0</v>
      </c>
      <c r="I2339" s="10" t="s">
        <v>22</v>
      </c>
      <c r="J2339" s="9" t="str">
        <f t="shared" si="37"/>
        <v>No</v>
      </c>
      <c r="K2339" s="9" t="str">
        <f t="shared" si="36"/>
        <v/>
      </c>
      <c r="L2339" s="9" t="str">
        <f t="shared" si="38"/>
        <v/>
      </c>
      <c r="M2339" s="9"/>
      <c r="O2339" s="9"/>
    </row>
    <row r="2340" ht="15.75" customHeight="1">
      <c r="A2340" s="9" t="str">
        <f>IFERROR(__xludf.DUMMYFUNCTION("IF(B2340="""","""",RIGHT(REGEXREPLACE(B2340&amp;"""",""[^0-9]"",""""),9))"),"720819070")</f>
        <v>720819070</v>
      </c>
      <c r="B2340" s="10">
        <v>7.2081907E8</v>
      </c>
      <c r="C2340" s="10" t="s">
        <v>2452</v>
      </c>
      <c r="D2340" s="10" t="s">
        <v>20</v>
      </c>
      <c r="E2340" s="13">
        <v>46229.0</v>
      </c>
      <c r="F2340" s="10" t="s">
        <v>21</v>
      </c>
      <c r="G2340" s="10">
        <v>11.0</v>
      </c>
      <c r="I2340" s="10" t="s">
        <v>22</v>
      </c>
      <c r="J2340" s="9" t="str">
        <f t="shared" si="37"/>
        <v>No</v>
      </c>
      <c r="K2340" s="9" t="str">
        <f t="shared" si="36"/>
        <v/>
      </c>
      <c r="L2340" s="9" t="str">
        <f t="shared" si="38"/>
        <v/>
      </c>
      <c r="M2340" s="9"/>
      <c r="O2340" s="9"/>
    </row>
    <row r="2341" ht="15.75" customHeight="1">
      <c r="A2341" s="9" t="str">
        <f>IFERROR(__xludf.DUMMYFUNCTION("IF(B2341="""","""",RIGHT(REGEXREPLACE(B2341&amp;"""",""[^0-9]"",""""),9))"),"773299484")</f>
        <v>773299484</v>
      </c>
      <c r="B2341" s="48">
        <v>7.73299484E8</v>
      </c>
      <c r="C2341" s="10" t="s">
        <v>2453</v>
      </c>
      <c r="D2341" s="10" t="s">
        <v>50</v>
      </c>
      <c r="E2341" s="13">
        <v>46229.0</v>
      </c>
      <c r="F2341" s="10" t="s">
        <v>35</v>
      </c>
      <c r="G2341" s="10">
        <v>11.0</v>
      </c>
      <c r="I2341" s="10" t="s">
        <v>22</v>
      </c>
      <c r="J2341" s="9" t="str">
        <f t="shared" si="37"/>
        <v>No</v>
      </c>
      <c r="K2341" s="9" t="str">
        <f t="shared" si="36"/>
        <v/>
      </c>
      <c r="L2341" s="9" t="str">
        <f t="shared" si="38"/>
        <v/>
      </c>
      <c r="M2341" s="9"/>
      <c r="O2341" s="9"/>
    </row>
    <row r="2342" ht="15.75" customHeight="1">
      <c r="A2342" s="9" t="str">
        <f>IFERROR(__xludf.DUMMYFUNCTION("IF(B2342="""","""",RIGHT(REGEXREPLACE(B2342&amp;"""",""[^0-9]"",""""),9))"),"712061318")</f>
        <v>712061318</v>
      </c>
      <c r="B2342" s="48">
        <v>7.12061318E8</v>
      </c>
      <c r="C2342" s="10" t="s">
        <v>2454</v>
      </c>
      <c r="D2342" s="10" t="s">
        <v>34</v>
      </c>
      <c r="E2342" s="13">
        <v>46229.0</v>
      </c>
      <c r="F2342" s="10" t="s">
        <v>21</v>
      </c>
      <c r="I2342" s="10" t="s">
        <v>22</v>
      </c>
      <c r="J2342" s="9" t="str">
        <f t="shared" si="37"/>
        <v>No</v>
      </c>
      <c r="K2342" s="9" t="str">
        <f t="shared" si="36"/>
        <v/>
      </c>
      <c r="L2342" s="9" t="str">
        <f t="shared" si="38"/>
        <v/>
      </c>
      <c r="M2342" s="9"/>
      <c r="O2342" s="9"/>
    </row>
    <row r="2343" ht="15.75" customHeight="1">
      <c r="A2343" s="9" t="str">
        <f>IFERROR(__xludf.DUMMYFUNCTION("IF(B2343="""","""",RIGHT(REGEXREPLACE(B2343&amp;"""",""[^0-9]"",""""),9))"),"743189009")</f>
        <v>743189009</v>
      </c>
      <c r="B2343" s="10">
        <v>7.43189009E8</v>
      </c>
      <c r="C2343" s="10" t="s">
        <v>2455</v>
      </c>
      <c r="D2343" s="10" t="s">
        <v>20</v>
      </c>
      <c r="E2343" s="13">
        <v>46229.0</v>
      </c>
      <c r="F2343" s="10" t="s">
        <v>171</v>
      </c>
      <c r="G2343" s="10">
        <v>11.0</v>
      </c>
      <c r="I2343" s="10" t="s">
        <v>22</v>
      </c>
      <c r="J2343" s="9" t="str">
        <f t="shared" si="37"/>
        <v>No</v>
      </c>
      <c r="K2343" s="9" t="str">
        <f t="shared" si="36"/>
        <v/>
      </c>
      <c r="L2343" s="9" t="str">
        <f t="shared" si="38"/>
        <v/>
      </c>
      <c r="M2343" s="9"/>
      <c r="O2343" s="9"/>
    </row>
    <row r="2344" ht="15.75" customHeight="1">
      <c r="A2344" s="9" t="str">
        <f>IFERROR(__xludf.DUMMYFUNCTION("IF(B2344="""","""",RIGHT(REGEXREPLACE(B2344&amp;"""",""[^0-9]"",""""),9))"),"713635456")</f>
        <v>713635456</v>
      </c>
      <c r="B2344" s="48">
        <v>7.13635456E8</v>
      </c>
      <c r="C2344" s="10" t="s">
        <v>2456</v>
      </c>
      <c r="D2344" s="10" t="s">
        <v>34</v>
      </c>
      <c r="E2344" s="13">
        <v>46229.0</v>
      </c>
      <c r="F2344" s="10" t="s">
        <v>35</v>
      </c>
      <c r="G2344" s="10">
        <v>10.0</v>
      </c>
      <c r="I2344" s="10" t="s">
        <v>22</v>
      </c>
      <c r="J2344" s="9" t="str">
        <f t="shared" si="37"/>
        <v>No</v>
      </c>
      <c r="K2344" s="9" t="str">
        <f t="shared" si="36"/>
        <v/>
      </c>
      <c r="L2344" s="9" t="str">
        <f t="shared" si="38"/>
        <v/>
      </c>
      <c r="M2344" s="9"/>
      <c r="O2344" s="9"/>
    </row>
    <row r="2345" ht="15.75" customHeight="1">
      <c r="A2345" s="9" t="str">
        <f>IFERROR(__xludf.DUMMYFUNCTION("IF(B2345="""","""",RIGHT(REGEXREPLACE(B2345&amp;"""",""[^0-9]"",""""),9))"),"716091069")</f>
        <v>716091069</v>
      </c>
      <c r="B2345" s="10">
        <v>7.16091069E8</v>
      </c>
      <c r="C2345" s="10" t="s">
        <v>2457</v>
      </c>
      <c r="D2345" s="10" t="s">
        <v>20</v>
      </c>
      <c r="E2345" s="13">
        <v>46229.0</v>
      </c>
      <c r="F2345" s="10" t="s">
        <v>35</v>
      </c>
      <c r="H2345" s="10" t="s">
        <v>238</v>
      </c>
      <c r="I2345" s="10" t="s">
        <v>22</v>
      </c>
      <c r="J2345" s="9" t="str">
        <f t="shared" si="37"/>
        <v>No</v>
      </c>
      <c r="K2345" s="9" t="str">
        <f t="shared" si="36"/>
        <v/>
      </c>
      <c r="L2345" s="9" t="str">
        <f t="shared" si="38"/>
        <v/>
      </c>
      <c r="M2345" s="9"/>
      <c r="O2345" s="9"/>
    </row>
    <row r="2346" ht="15.75" customHeight="1">
      <c r="A2346" s="9" t="str">
        <f>IFERROR(__xludf.DUMMYFUNCTION("IF(B2346="""","""",RIGHT(REGEXREPLACE(B2346&amp;"""",""[^0-9]"",""""),9))"),"716864504")</f>
        <v>716864504</v>
      </c>
      <c r="B2346" s="48">
        <v>7.16864504E8</v>
      </c>
      <c r="C2346" s="10" t="s">
        <v>316</v>
      </c>
      <c r="D2346" s="10" t="s">
        <v>50</v>
      </c>
      <c r="E2346" s="13">
        <v>46229.0</v>
      </c>
      <c r="F2346" s="10" t="s">
        <v>35</v>
      </c>
      <c r="G2346" s="10">
        <v>11.0</v>
      </c>
      <c r="I2346" s="10" t="s">
        <v>22</v>
      </c>
      <c r="J2346" s="9" t="str">
        <f t="shared" si="37"/>
        <v>Yes - see Previous F-Code</v>
      </c>
      <c r="K2346" s="9" t="str">
        <f t="shared" si="36"/>
        <v>DUPLICATE - CHECK</v>
      </c>
      <c r="L2346" s="9" t="str">
        <f t="shared" si="38"/>
        <v>F70204</v>
      </c>
      <c r="M2346" s="9"/>
      <c r="O2346" s="9"/>
    </row>
    <row r="2347" ht="15.75" customHeight="1">
      <c r="A2347" s="9" t="str">
        <f>IFERROR(__xludf.DUMMYFUNCTION("IF(B2347="""","""",RIGHT(REGEXREPLACE(B2347&amp;"""",""[^0-9]"",""""),9))"),"766119852")</f>
        <v>766119852</v>
      </c>
      <c r="B2347" s="48">
        <v>7.66119852E8</v>
      </c>
      <c r="C2347" s="10" t="s">
        <v>2458</v>
      </c>
      <c r="D2347" s="10" t="s">
        <v>97</v>
      </c>
      <c r="E2347" s="13">
        <v>46229.0</v>
      </c>
      <c r="F2347" s="10" t="s">
        <v>21</v>
      </c>
      <c r="G2347" s="10">
        <v>11.0</v>
      </c>
      <c r="I2347" s="10" t="s">
        <v>22</v>
      </c>
      <c r="J2347" s="9" t="str">
        <f t="shared" si="37"/>
        <v>No</v>
      </c>
      <c r="K2347" s="9" t="str">
        <f t="shared" si="36"/>
        <v/>
      </c>
      <c r="L2347" s="9" t="str">
        <f t="shared" si="38"/>
        <v/>
      </c>
      <c r="M2347" s="9"/>
      <c r="O2347" s="9"/>
    </row>
    <row r="2348" ht="15.75" customHeight="1">
      <c r="A2348" s="9" t="str">
        <f>IFERROR(__xludf.DUMMYFUNCTION("IF(B2348="""","""",RIGHT(REGEXREPLACE(B2348&amp;"""",""[^0-9]"",""""),9))"),"778442665")</f>
        <v>778442665</v>
      </c>
      <c r="B2348" s="10">
        <v>7.78442665E8</v>
      </c>
      <c r="C2348" s="10" t="s">
        <v>2459</v>
      </c>
      <c r="D2348" s="10" t="s">
        <v>20</v>
      </c>
      <c r="E2348" s="13">
        <v>46229.0</v>
      </c>
      <c r="F2348" s="10" t="s">
        <v>21</v>
      </c>
      <c r="G2348" s="10">
        <v>11.0</v>
      </c>
      <c r="I2348" s="10" t="s">
        <v>22</v>
      </c>
      <c r="J2348" s="9" t="str">
        <f t="shared" si="37"/>
        <v>No</v>
      </c>
      <c r="K2348" s="9" t="str">
        <f t="shared" si="36"/>
        <v/>
      </c>
      <c r="L2348" s="9" t="str">
        <f t="shared" si="38"/>
        <v/>
      </c>
      <c r="M2348" s="9"/>
      <c r="O2348" s="9"/>
    </row>
    <row r="2349" ht="15.75" customHeight="1">
      <c r="A2349" s="9" t="str">
        <f>IFERROR(__xludf.DUMMYFUNCTION("IF(B2349="""","""",RIGHT(REGEXREPLACE(B2349&amp;"""",""[^0-9]"",""""),9))"),"760191078")</f>
        <v>760191078</v>
      </c>
      <c r="B2349" s="48">
        <v>7.60191078E8</v>
      </c>
      <c r="C2349" s="10" t="s">
        <v>2460</v>
      </c>
      <c r="D2349" s="10" t="s">
        <v>69</v>
      </c>
      <c r="E2349" s="13">
        <v>46229.0</v>
      </c>
      <c r="F2349" s="10" t="s">
        <v>35</v>
      </c>
      <c r="G2349" s="10">
        <v>11.0</v>
      </c>
      <c r="I2349" s="10" t="s">
        <v>22</v>
      </c>
      <c r="J2349" s="9" t="str">
        <f t="shared" si="37"/>
        <v>No</v>
      </c>
      <c r="K2349" s="9" t="str">
        <f t="shared" si="36"/>
        <v/>
      </c>
      <c r="L2349" s="9" t="str">
        <f t="shared" si="38"/>
        <v/>
      </c>
      <c r="M2349" s="9"/>
      <c r="O2349" s="9"/>
    </row>
    <row r="2350" ht="15.75" customHeight="1">
      <c r="A2350" s="9" t="str">
        <f>IFERROR(__xludf.DUMMYFUNCTION("IF(B2350="""","""",RIGHT(REGEXREPLACE(B2350&amp;"""",""[^0-9]"",""""),9))"),"778405173")</f>
        <v>778405173</v>
      </c>
      <c r="B2350" s="48">
        <v>7.78405173E8</v>
      </c>
      <c r="C2350" s="10" t="s">
        <v>2461</v>
      </c>
      <c r="D2350" s="10" t="s">
        <v>34</v>
      </c>
      <c r="E2350" s="13">
        <v>46229.0</v>
      </c>
      <c r="F2350" s="10" t="s">
        <v>21</v>
      </c>
      <c r="I2350" s="10" t="s">
        <v>22</v>
      </c>
      <c r="J2350" s="9" t="str">
        <f t="shared" si="37"/>
        <v>No</v>
      </c>
      <c r="K2350" s="9" t="str">
        <f t="shared" si="36"/>
        <v/>
      </c>
      <c r="L2350" s="9" t="str">
        <f t="shared" si="38"/>
        <v/>
      </c>
      <c r="M2350" s="9"/>
      <c r="O2350" s="9"/>
    </row>
    <row r="2351" ht="15.75" customHeight="1">
      <c r="A2351" s="9" t="str">
        <f>IFERROR(__xludf.DUMMYFUNCTION("IF(B2351="""","""",RIGHT(REGEXREPLACE(B2351&amp;"""",""[^0-9]"",""""),9))"),"777370728")</f>
        <v>777370728</v>
      </c>
      <c r="B2351" s="10">
        <v>7.77370728E8</v>
      </c>
      <c r="C2351" s="10" t="s">
        <v>2462</v>
      </c>
      <c r="D2351" s="10" t="s">
        <v>20</v>
      </c>
      <c r="E2351" s="13">
        <v>46229.0</v>
      </c>
      <c r="F2351" s="10" t="s">
        <v>35</v>
      </c>
      <c r="G2351" s="10">
        <v>11.0</v>
      </c>
      <c r="H2351" s="10" t="s">
        <v>1602</v>
      </c>
      <c r="I2351" s="10" t="s">
        <v>22</v>
      </c>
      <c r="J2351" s="9" t="str">
        <f t="shared" si="37"/>
        <v>No</v>
      </c>
      <c r="K2351" s="9" t="str">
        <f t="shared" si="36"/>
        <v/>
      </c>
      <c r="L2351" s="9" t="str">
        <f t="shared" si="38"/>
        <v/>
      </c>
      <c r="M2351" s="9"/>
      <c r="O2351" s="9"/>
    </row>
    <row r="2352" ht="15.75" customHeight="1">
      <c r="A2352" s="9" t="str">
        <f>IFERROR(__xludf.DUMMYFUNCTION("IF(B2352="""","""",RIGHT(REGEXREPLACE(B2352&amp;"""",""[^0-9]"",""""),9))"),"771632742")</f>
        <v>771632742</v>
      </c>
      <c r="B2352" s="48">
        <v>7.71632742E8</v>
      </c>
      <c r="C2352" s="10" t="s">
        <v>2463</v>
      </c>
      <c r="D2352" s="10" t="s">
        <v>50</v>
      </c>
      <c r="E2352" s="13">
        <v>46229.0</v>
      </c>
      <c r="F2352" s="10" t="s">
        <v>35</v>
      </c>
      <c r="G2352" s="10">
        <v>11.0</v>
      </c>
      <c r="I2352" s="10" t="s">
        <v>22</v>
      </c>
      <c r="J2352" s="9" t="str">
        <f t="shared" si="37"/>
        <v>No</v>
      </c>
      <c r="K2352" s="9" t="str">
        <f t="shared" si="36"/>
        <v/>
      </c>
      <c r="L2352" s="9" t="str">
        <f t="shared" si="38"/>
        <v/>
      </c>
      <c r="M2352" s="9"/>
      <c r="O2352" s="9"/>
    </row>
    <row r="2353" ht="15.75" customHeight="1">
      <c r="A2353" s="9" t="str">
        <f>IFERROR(__xludf.DUMMYFUNCTION("IF(B2353="""","""",RIGHT(REGEXREPLACE(B2353&amp;"""",""[^0-9]"",""""),9))"),"760558098")</f>
        <v>760558098</v>
      </c>
      <c r="B2353" s="48">
        <v>7.60558098E8</v>
      </c>
      <c r="C2353" s="10" t="s">
        <v>2462</v>
      </c>
      <c r="D2353" s="10" t="s">
        <v>97</v>
      </c>
      <c r="E2353" s="13">
        <v>46229.0</v>
      </c>
      <c r="F2353" s="10" t="s">
        <v>35</v>
      </c>
      <c r="G2353" s="10">
        <v>11.0</v>
      </c>
      <c r="I2353" s="10" t="s">
        <v>22</v>
      </c>
      <c r="J2353" s="9" t="str">
        <f t="shared" si="37"/>
        <v>No</v>
      </c>
      <c r="K2353" s="9" t="str">
        <f t="shared" si="36"/>
        <v/>
      </c>
      <c r="L2353" s="9" t="str">
        <f t="shared" si="38"/>
        <v/>
      </c>
      <c r="M2353" s="9"/>
      <c r="O2353" s="9"/>
    </row>
    <row r="2354" ht="15.75" customHeight="1">
      <c r="A2354" s="9" t="str">
        <f>IFERROR(__xludf.DUMMYFUNCTION("IF(B2354="""","""",RIGHT(REGEXREPLACE(B2354&amp;"""",""[^0-9]"",""""),9))"),"751867412")</f>
        <v>751867412</v>
      </c>
      <c r="B2354" s="10">
        <v>7.51867412E8</v>
      </c>
      <c r="C2354" s="10" t="s">
        <v>2464</v>
      </c>
      <c r="D2354" s="10" t="s">
        <v>20</v>
      </c>
      <c r="E2354" s="13">
        <v>46229.0</v>
      </c>
      <c r="F2354" s="10" t="s">
        <v>542</v>
      </c>
      <c r="G2354" s="10">
        <v>10.0</v>
      </c>
      <c r="I2354" s="10" t="s">
        <v>22</v>
      </c>
      <c r="J2354" s="9" t="str">
        <f t="shared" si="37"/>
        <v>No</v>
      </c>
      <c r="K2354" s="9" t="str">
        <f t="shared" si="36"/>
        <v/>
      </c>
      <c r="L2354" s="9" t="str">
        <f t="shared" si="38"/>
        <v/>
      </c>
      <c r="M2354" s="9"/>
      <c r="O2354" s="9"/>
    </row>
    <row r="2355" ht="15.75" customHeight="1">
      <c r="A2355" s="9" t="str">
        <f>IFERROR(__xludf.DUMMYFUNCTION("IF(B2355="""","""",RIGHT(REGEXREPLACE(B2355&amp;"""",""[^0-9]"",""""),9))"),"777241054")</f>
        <v>777241054</v>
      </c>
      <c r="B2355" s="48">
        <v>7.77241054E8</v>
      </c>
      <c r="C2355" s="10" t="s">
        <v>2465</v>
      </c>
      <c r="D2355" s="10" t="s">
        <v>34</v>
      </c>
      <c r="E2355" s="13">
        <v>46229.0</v>
      </c>
      <c r="F2355" s="10" t="s">
        <v>35</v>
      </c>
      <c r="G2355" s="10">
        <v>11.0</v>
      </c>
      <c r="I2355" s="10" t="s">
        <v>22</v>
      </c>
      <c r="J2355" s="9" t="str">
        <f t="shared" si="37"/>
        <v>No</v>
      </c>
      <c r="K2355" s="9" t="str">
        <f t="shared" si="36"/>
        <v/>
      </c>
      <c r="L2355" s="9" t="str">
        <f t="shared" si="38"/>
        <v/>
      </c>
      <c r="M2355" s="9"/>
      <c r="O2355" s="9"/>
    </row>
    <row r="2356" ht="15.75" customHeight="1">
      <c r="A2356" s="9" t="str">
        <f>IFERROR(__xludf.DUMMYFUNCTION("IF(B2356="""","""",RIGHT(REGEXREPLACE(B2356&amp;"""",""[^0-9]"",""""),9))"),"771342449")</f>
        <v>771342449</v>
      </c>
      <c r="B2356" s="10">
        <v>7.71342449E8</v>
      </c>
      <c r="C2356" s="10" t="s">
        <v>2466</v>
      </c>
      <c r="D2356" s="10" t="s">
        <v>20</v>
      </c>
      <c r="E2356" s="13">
        <v>46229.0</v>
      </c>
      <c r="F2356" s="10" t="s">
        <v>21</v>
      </c>
      <c r="G2356" s="10">
        <v>10.0</v>
      </c>
      <c r="I2356" s="10" t="s">
        <v>22</v>
      </c>
      <c r="J2356" s="9" t="str">
        <f t="shared" si="37"/>
        <v>No</v>
      </c>
      <c r="K2356" s="9" t="str">
        <f t="shared" si="36"/>
        <v/>
      </c>
      <c r="L2356" s="9" t="str">
        <f t="shared" si="38"/>
        <v/>
      </c>
      <c r="M2356" s="9"/>
      <c r="O2356" s="9"/>
    </row>
    <row r="2357" ht="15.75" customHeight="1">
      <c r="A2357" s="9" t="str">
        <f>IFERROR(__xludf.DUMMYFUNCTION("IF(B2357="""","""",RIGHT(REGEXREPLACE(B2357&amp;"""",""[^0-9]"",""""),9))"),"757324711")</f>
        <v>757324711</v>
      </c>
      <c r="B2357" s="48">
        <v>7.57324711E8</v>
      </c>
      <c r="C2357" s="10" t="s">
        <v>2467</v>
      </c>
      <c r="D2357" s="10" t="s">
        <v>69</v>
      </c>
      <c r="E2357" s="13">
        <v>46229.0</v>
      </c>
      <c r="F2357" s="10" t="s">
        <v>542</v>
      </c>
      <c r="G2357" s="10">
        <v>11.0</v>
      </c>
      <c r="I2357" s="10" t="s">
        <v>22</v>
      </c>
      <c r="J2357" s="9" t="str">
        <f t="shared" si="37"/>
        <v>No</v>
      </c>
      <c r="K2357" s="9" t="str">
        <f t="shared" si="36"/>
        <v/>
      </c>
      <c r="L2357" s="9" t="str">
        <f t="shared" si="38"/>
        <v/>
      </c>
      <c r="M2357" s="9"/>
      <c r="O2357" s="9"/>
    </row>
    <row r="2358" ht="15.75" customHeight="1">
      <c r="A2358" s="9" t="str">
        <f>IFERROR(__xludf.DUMMYFUNCTION("IF(B2358="""","""",RIGHT(REGEXREPLACE(B2358&amp;"""",""[^0-9]"",""""),9))"),"777283682")</f>
        <v>777283682</v>
      </c>
      <c r="B2358" s="48">
        <v>7.77283682E8</v>
      </c>
      <c r="C2358" s="10" t="s">
        <v>2468</v>
      </c>
      <c r="D2358" s="10" t="s">
        <v>50</v>
      </c>
      <c r="E2358" s="13">
        <v>46229.0</v>
      </c>
      <c r="F2358" s="10" t="s">
        <v>21</v>
      </c>
      <c r="G2358" s="10">
        <v>11.0</v>
      </c>
      <c r="I2358" s="10" t="s">
        <v>22</v>
      </c>
      <c r="J2358" s="9" t="str">
        <f t="shared" si="37"/>
        <v>No</v>
      </c>
      <c r="K2358" s="9" t="str">
        <f t="shared" si="36"/>
        <v/>
      </c>
      <c r="L2358" s="9" t="str">
        <f t="shared" si="38"/>
        <v/>
      </c>
      <c r="M2358" s="9"/>
      <c r="O2358" s="9"/>
    </row>
    <row r="2359" ht="15.75" customHeight="1">
      <c r="A2359" s="9" t="str">
        <f>IFERROR(__xludf.DUMMYFUNCTION("IF(B2359="""","""",RIGHT(REGEXREPLACE(B2359&amp;"""",""[^0-9]"",""""),9))"),"758456493")</f>
        <v>758456493</v>
      </c>
      <c r="B2359" s="48">
        <v>7.58456493E8</v>
      </c>
      <c r="C2359" s="10" t="s">
        <v>2469</v>
      </c>
      <c r="D2359" s="10" t="s">
        <v>34</v>
      </c>
      <c r="E2359" s="13">
        <v>46229.0</v>
      </c>
      <c r="F2359" s="10" t="s">
        <v>35</v>
      </c>
      <c r="G2359" s="10">
        <v>11.0</v>
      </c>
      <c r="I2359" s="10" t="s">
        <v>22</v>
      </c>
      <c r="J2359" s="9" t="str">
        <f t="shared" si="37"/>
        <v>No</v>
      </c>
      <c r="K2359" s="9" t="str">
        <f t="shared" si="36"/>
        <v/>
      </c>
      <c r="L2359" s="9" t="str">
        <f t="shared" si="38"/>
        <v/>
      </c>
      <c r="M2359" s="9"/>
      <c r="O2359" s="9"/>
    </row>
    <row r="2360" ht="15.75" customHeight="1">
      <c r="A2360" s="9" t="str">
        <f>IFERROR(__xludf.DUMMYFUNCTION("IF(B2360="""","""",RIGHT(REGEXREPLACE(B2360&amp;"""",""[^0-9]"",""""),9))"),"770824738")</f>
        <v>770824738</v>
      </c>
      <c r="B2360" s="48">
        <v>7.70824738E8</v>
      </c>
      <c r="C2360" s="10" t="s">
        <v>2470</v>
      </c>
      <c r="D2360" s="10" t="s">
        <v>97</v>
      </c>
      <c r="E2360" s="13">
        <v>46229.0</v>
      </c>
      <c r="F2360" s="10" t="s">
        <v>21</v>
      </c>
      <c r="G2360" s="10">
        <v>11.0</v>
      </c>
      <c r="I2360" s="10" t="s">
        <v>22</v>
      </c>
      <c r="J2360" s="9" t="str">
        <f t="shared" si="37"/>
        <v>No</v>
      </c>
      <c r="K2360" s="9" t="str">
        <f t="shared" si="36"/>
        <v/>
      </c>
      <c r="L2360" s="9" t="str">
        <f t="shared" si="38"/>
        <v/>
      </c>
      <c r="M2360" s="9"/>
      <c r="O2360" s="9"/>
    </row>
    <row r="2361" ht="15.75" customHeight="1">
      <c r="A2361" s="9" t="str">
        <f>IFERROR(__xludf.DUMMYFUNCTION("IF(B2361="""","""",RIGHT(REGEXREPLACE(B2361&amp;"""",""[^0-9]"",""""),9))"),"774877161")</f>
        <v>774877161</v>
      </c>
      <c r="B2361" s="48">
        <v>7.74877161E8</v>
      </c>
      <c r="C2361" s="10" t="s">
        <v>2471</v>
      </c>
      <c r="D2361" s="10" t="s">
        <v>50</v>
      </c>
      <c r="E2361" s="13">
        <v>46229.0</v>
      </c>
      <c r="F2361" s="10" t="s">
        <v>35</v>
      </c>
      <c r="G2361" s="10">
        <v>10.0</v>
      </c>
      <c r="I2361" s="10" t="s">
        <v>22</v>
      </c>
      <c r="J2361" s="9" t="str">
        <f t="shared" si="37"/>
        <v>No</v>
      </c>
      <c r="K2361" s="9" t="str">
        <f t="shared" si="36"/>
        <v/>
      </c>
      <c r="L2361" s="9" t="str">
        <f t="shared" si="38"/>
        <v/>
      </c>
      <c r="M2361" s="9"/>
      <c r="O2361" s="9"/>
    </row>
    <row r="2362" ht="15.75" customHeight="1">
      <c r="A2362" s="9" t="str">
        <f>IFERROR(__xludf.DUMMYFUNCTION("IF(B2362="""","""",RIGHT(REGEXREPLACE(B2362&amp;"""",""[^0-9]"",""""),9))"),"778815313")</f>
        <v>778815313</v>
      </c>
      <c r="B2362" s="48">
        <v>7.78815313E8</v>
      </c>
      <c r="C2362" s="10" t="s">
        <v>2472</v>
      </c>
      <c r="D2362" s="10" t="s">
        <v>69</v>
      </c>
      <c r="E2362" s="13">
        <v>46229.0</v>
      </c>
      <c r="F2362" s="10" t="s">
        <v>35</v>
      </c>
      <c r="G2362" s="10">
        <v>11.0</v>
      </c>
      <c r="I2362" s="10" t="s">
        <v>22</v>
      </c>
      <c r="J2362" s="9" t="str">
        <f t="shared" si="37"/>
        <v>No</v>
      </c>
      <c r="K2362" s="9" t="str">
        <f t="shared" si="36"/>
        <v/>
      </c>
      <c r="L2362" s="9" t="str">
        <f t="shared" si="38"/>
        <v/>
      </c>
      <c r="M2362" s="9"/>
      <c r="O2362" s="9"/>
    </row>
    <row r="2363" ht="15.75" customHeight="1">
      <c r="A2363" s="9" t="str">
        <f>IFERROR(__xludf.DUMMYFUNCTION("IF(B2363="""","""",RIGHT(REGEXREPLACE(B2363&amp;"""",""[^0-9]"",""""),9))"),"766457808")</f>
        <v>766457808</v>
      </c>
      <c r="B2363" s="111">
        <v>7.66457808E8</v>
      </c>
      <c r="C2363" s="10" t="s">
        <v>2473</v>
      </c>
      <c r="D2363" s="10" t="s">
        <v>34</v>
      </c>
      <c r="E2363" s="13">
        <v>46229.0</v>
      </c>
      <c r="F2363" s="10" t="s">
        <v>21</v>
      </c>
      <c r="I2363" s="10" t="s">
        <v>22</v>
      </c>
      <c r="J2363" s="9" t="str">
        <f t="shared" si="37"/>
        <v>No</v>
      </c>
      <c r="K2363" s="9" t="str">
        <f t="shared" si="36"/>
        <v/>
      </c>
      <c r="L2363" s="9" t="str">
        <f t="shared" si="38"/>
        <v/>
      </c>
      <c r="M2363" s="9"/>
      <c r="O2363" s="9"/>
    </row>
    <row r="2364" ht="15.75" customHeight="1">
      <c r="A2364" s="9" t="str">
        <f>IFERROR(__xludf.DUMMYFUNCTION("IF(B2364="""","""",RIGHT(REGEXREPLACE(B2364&amp;"""",""[^0-9]"",""""),9))"),"778517815")</f>
        <v>778517815</v>
      </c>
      <c r="B2364" s="48">
        <v>7.78517815E8</v>
      </c>
      <c r="C2364" s="10" t="s">
        <v>2474</v>
      </c>
      <c r="D2364" s="10" t="s">
        <v>34</v>
      </c>
      <c r="E2364" s="13">
        <v>46229.0</v>
      </c>
      <c r="F2364" s="10" t="s">
        <v>35</v>
      </c>
      <c r="G2364" s="10">
        <v>11.0</v>
      </c>
      <c r="I2364" s="10" t="s">
        <v>22</v>
      </c>
      <c r="J2364" s="9" t="str">
        <f t="shared" si="37"/>
        <v>No</v>
      </c>
      <c r="K2364" s="9" t="str">
        <f t="shared" si="36"/>
        <v/>
      </c>
      <c r="L2364" s="9" t="str">
        <f t="shared" si="38"/>
        <v/>
      </c>
      <c r="M2364" s="9"/>
      <c r="O2364" s="9"/>
    </row>
    <row r="2365" ht="15.75" customHeight="1">
      <c r="A2365" s="9" t="str">
        <f>IFERROR(__xludf.DUMMYFUNCTION("IF(B2365="""","""",RIGHT(REGEXREPLACE(B2365&amp;"""",""[^0-9]"",""""),9))"),"766513417")</f>
        <v>766513417</v>
      </c>
      <c r="B2365" s="48">
        <v>7.66513417E8</v>
      </c>
      <c r="C2365" s="10" t="s">
        <v>2475</v>
      </c>
      <c r="D2365" s="10" t="s">
        <v>97</v>
      </c>
      <c r="E2365" s="13">
        <v>46229.0</v>
      </c>
      <c r="F2365" s="10" t="s">
        <v>21</v>
      </c>
      <c r="I2365" s="10" t="s">
        <v>22</v>
      </c>
      <c r="J2365" s="9" t="str">
        <f t="shared" si="37"/>
        <v>No</v>
      </c>
      <c r="K2365" s="9" t="str">
        <f t="shared" si="36"/>
        <v/>
      </c>
      <c r="L2365" s="9" t="str">
        <f t="shared" si="38"/>
        <v/>
      </c>
      <c r="M2365" s="9"/>
      <c r="O2365" s="9"/>
    </row>
    <row r="2366" ht="15.75" customHeight="1">
      <c r="A2366" s="9" t="str">
        <f>IFERROR(__xludf.DUMMYFUNCTION("IF(B2366="""","""",RIGHT(REGEXREPLACE(B2366&amp;"""",""[^0-9]"",""""),9))"),"702136350")</f>
        <v>702136350</v>
      </c>
      <c r="B2366" s="48">
        <v>9.470213635E10</v>
      </c>
      <c r="C2366" s="10" t="s">
        <v>2476</v>
      </c>
      <c r="D2366" s="10" t="s">
        <v>20</v>
      </c>
      <c r="E2366" s="13">
        <v>46229.0</v>
      </c>
      <c r="F2366" s="10" t="s">
        <v>35</v>
      </c>
      <c r="G2366" s="10">
        <v>8.0</v>
      </c>
      <c r="H2366" s="10" t="s">
        <v>2477</v>
      </c>
      <c r="I2366" s="10" t="s">
        <v>22</v>
      </c>
      <c r="J2366" s="9" t="str">
        <f t="shared" si="37"/>
        <v>No</v>
      </c>
      <c r="K2366" s="9" t="str">
        <f t="shared" si="36"/>
        <v/>
      </c>
      <c r="L2366" s="9" t="str">
        <f t="shared" si="38"/>
        <v/>
      </c>
      <c r="M2366" s="9"/>
      <c r="O2366" s="9"/>
    </row>
    <row r="2367" ht="15.75" customHeight="1">
      <c r="A2367" s="9" t="str">
        <f>IFERROR(__xludf.DUMMYFUNCTION("IF(B2367="""","""",RIGHT(REGEXREPLACE(B2367&amp;"""",""[^0-9]"",""""),9))"),"760366274")</f>
        <v>760366274</v>
      </c>
      <c r="B2367" s="48">
        <v>7.60366274E8</v>
      </c>
      <c r="C2367" s="10" t="s">
        <v>170</v>
      </c>
      <c r="D2367" s="10" t="s">
        <v>50</v>
      </c>
      <c r="E2367" s="13">
        <v>46229.0</v>
      </c>
      <c r="F2367" s="10" t="s">
        <v>171</v>
      </c>
      <c r="I2367" s="10" t="s">
        <v>22</v>
      </c>
      <c r="J2367" s="9" t="str">
        <f t="shared" si="37"/>
        <v>Yes - see Previous F-Code</v>
      </c>
      <c r="K2367" s="9" t="str">
        <f t="shared" si="36"/>
        <v>DUPLICATE - CHECK</v>
      </c>
      <c r="L2367" s="9" t="str">
        <f t="shared" si="38"/>
        <v>F70067</v>
      </c>
      <c r="M2367" s="9"/>
      <c r="O2367" s="9"/>
    </row>
    <row r="2368" ht="15.75" customHeight="1">
      <c r="A2368" s="9" t="str">
        <f>IFERROR(__xludf.DUMMYFUNCTION("IF(B2368="""","""",RIGHT(REGEXREPLACE(B2368&amp;"""",""[^0-9]"",""""),9))"),"775635084")</f>
        <v>775635084</v>
      </c>
      <c r="B2368" s="48">
        <v>7.75635084E8</v>
      </c>
      <c r="C2368" s="10" t="s">
        <v>2478</v>
      </c>
      <c r="D2368" s="10" t="s">
        <v>69</v>
      </c>
      <c r="E2368" s="13">
        <v>46229.0</v>
      </c>
      <c r="F2368" s="10" t="s">
        <v>542</v>
      </c>
      <c r="G2368" s="10">
        <v>11.0</v>
      </c>
      <c r="I2368" s="10" t="s">
        <v>22</v>
      </c>
      <c r="J2368" s="9" t="str">
        <f t="shared" si="37"/>
        <v>No</v>
      </c>
      <c r="K2368" s="9" t="str">
        <f t="shared" si="36"/>
        <v/>
      </c>
      <c r="L2368" s="9" t="str">
        <f t="shared" si="38"/>
        <v/>
      </c>
      <c r="M2368" s="9"/>
      <c r="O2368" s="9"/>
    </row>
    <row r="2369" ht="15.75" customHeight="1">
      <c r="A2369" s="9" t="str">
        <f>IFERROR(__xludf.DUMMYFUNCTION("IF(B2369="""","""",RIGHT(REGEXREPLACE(B2369&amp;"""",""[^0-9]"",""""),9))"),"775847053")</f>
        <v>775847053</v>
      </c>
      <c r="B2369" s="48">
        <v>7.75847053E8</v>
      </c>
      <c r="C2369" s="10" t="s">
        <v>2479</v>
      </c>
      <c r="D2369" s="10" t="s">
        <v>50</v>
      </c>
      <c r="E2369" s="13">
        <v>46229.0</v>
      </c>
      <c r="F2369" s="10" t="s">
        <v>198</v>
      </c>
      <c r="G2369" s="10">
        <v>11.0</v>
      </c>
      <c r="I2369" s="10" t="s">
        <v>22</v>
      </c>
      <c r="J2369" s="9" t="str">
        <f t="shared" si="37"/>
        <v>No</v>
      </c>
      <c r="K2369" s="9" t="str">
        <f t="shared" si="36"/>
        <v/>
      </c>
      <c r="L2369" s="9" t="str">
        <f t="shared" si="38"/>
        <v/>
      </c>
      <c r="M2369" s="9"/>
      <c r="O2369" s="9"/>
    </row>
    <row r="2370" ht="15.75" customHeight="1">
      <c r="A2370" s="9" t="str">
        <f>IFERROR(__xludf.DUMMYFUNCTION("IF(B2370="""","""",RIGHT(REGEXREPLACE(B2370&amp;"""",""[^0-9]"",""""),9))"),"711962113")</f>
        <v>711962113</v>
      </c>
      <c r="B2370" s="48">
        <v>9.4711962113E10</v>
      </c>
      <c r="C2370" s="10" t="s">
        <v>2480</v>
      </c>
      <c r="D2370" s="10" t="s">
        <v>20</v>
      </c>
      <c r="E2370" s="13">
        <v>46229.0</v>
      </c>
      <c r="F2370" s="10" t="s">
        <v>113</v>
      </c>
      <c r="G2370" s="10">
        <v>11.0</v>
      </c>
      <c r="I2370" s="10" t="s">
        <v>22</v>
      </c>
      <c r="J2370" s="9" t="str">
        <f t="shared" si="37"/>
        <v>No</v>
      </c>
      <c r="K2370" s="9" t="str">
        <f t="shared" si="36"/>
        <v/>
      </c>
      <c r="L2370" s="9" t="str">
        <f t="shared" si="38"/>
        <v/>
      </c>
      <c r="M2370" s="9"/>
      <c r="O2370" s="9"/>
    </row>
    <row r="2371" ht="15.75" customHeight="1">
      <c r="A2371" s="9" t="str">
        <f>IFERROR(__xludf.DUMMYFUNCTION("IF(B2371="""","""",RIGHT(REGEXREPLACE(B2371&amp;"""",""[^0-9]"",""""),9))"),"777976135")</f>
        <v>777976135</v>
      </c>
      <c r="B2371" s="48">
        <v>7.77976135E8</v>
      </c>
      <c r="C2371" s="10" t="s">
        <v>2481</v>
      </c>
      <c r="D2371" s="10" t="s">
        <v>50</v>
      </c>
      <c r="E2371" s="13">
        <v>46229.0</v>
      </c>
      <c r="F2371" s="10" t="s">
        <v>35</v>
      </c>
      <c r="G2371" s="10">
        <v>11.0</v>
      </c>
      <c r="I2371" s="10" t="s">
        <v>22</v>
      </c>
      <c r="J2371" s="9" t="str">
        <f t="shared" si="37"/>
        <v>No</v>
      </c>
      <c r="K2371" s="9" t="str">
        <f t="shared" si="36"/>
        <v/>
      </c>
      <c r="L2371" s="9" t="str">
        <f t="shared" si="38"/>
        <v/>
      </c>
      <c r="M2371" s="9"/>
      <c r="O2371" s="9"/>
    </row>
    <row r="2372" ht="15.75" customHeight="1">
      <c r="A2372" s="9" t="str">
        <f>IFERROR(__xludf.DUMMYFUNCTION("IF(B2372="""","""",RIGHT(REGEXREPLACE(B2372&amp;"""",""[^0-9]"",""""),9))"),"778532988")</f>
        <v>778532988</v>
      </c>
      <c r="B2372" s="48">
        <v>9.4778532988E10</v>
      </c>
      <c r="C2372" s="10" t="s">
        <v>2482</v>
      </c>
      <c r="D2372" s="10" t="s">
        <v>20</v>
      </c>
      <c r="E2372" s="13">
        <v>46229.0</v>
      </c>
      <c r="F2372" s="10" t="s">
        <v>21</v>
      </c>
      <c r="G2372" s="10">
        <v>11.0</v>
      </c>
      <c r="I2372" s="10" t="s">
        <v>22</v>
      </c>
      <c r="J2372" s="9" t="str">
        <f t="shared" si="37"/>
        <v>No</v>
      </c>
      <c r="K2372" s="9" t="str">
        <f t="shared" si="36"/>
        <v/>
      </c>
      <c r="L2372" s="9" t="str">
        <f t="shared" si="38"/>
        <v/>
      </c>
      <c r="M2372" s="9"/>
      <c r="O2372" s="9"/>
    </row>
    <row r="2373" ht="15.75" customHeight="1">
      <c r="A2373" s="9" t="str">
        <f>IFERROR(__xludf.DUMMYFUNCTION("IF(B2373="""","""",RIGHT(REGEXREPLACE(B2373&amp;"""",""[^0-9]"",""""),9))"),"779734194")</f>
        <v>779734194</v>
      </c>
      <c r="B2373" s="48">
        <v>9.4779734194E10</v>
      </c>
      <c r="C2373" s="10" t="s">
        <v>2483</v>
      </c>
      <c r="D2373" s="10" t="s">
        <v>20</v>
      </c>
      <c r="E2373" s="13">
        <v>46229.0</v>
      </c>
      <c r="F2373" s="10" t="s">
        <v>542</v>
      </c>
      <c r="G2373" s="10">
        <v>11.0</v>
      </c>
      <c r="I2373" s="10" t="s">
        <v>22</v>
      </c>
      <c r="J2373" s="9" t="str">
        <f t="shared" si="37"/>
        <v>No</v>
      </c>
      <c r="K2373" s="9" t="str">
        <f t="shared" si="36"/>
        <v/>
      </c>
      <c r="L2373" s="9" t="str">
        <f t="shared" si="38"/>
        <v/>
      </c>
      <c r="M2373" s="9"/>
      <c r="O2373" s="9"/>
    </row>
    <row r="2374" ht="15.75" customHeight="1">
      <c r="A2374" s="9" t="str">
        <f>IFERROR(__xludf.DUMMYFUNCTION("IF(B2374="""","""",RIGHT(REGEXREPLACE(B2374&amp;"""",""[^0-9]"",""""),9))"),"715422294")</f>
        <v>715422294</v>
      </c>
      <c r="B2374" s="48">
        <v>7.15422294E8</v>
      </c>
      <c r="C2374" s="10" t="s">
        <v>2484</v>
      </c>
      <c r="D2374" s="10" t="s">
        <v>50</v>
      </c>
      <c r="E2374" s="13">
        <v>46229.0</v>
      </c>
      <c r="F2374" s="10" t="s">
        <v>35</v>
      </c>
      <c r="G2374" s="10">
        <v>10.0</v>
      </c>
      <c r="I2374" s="10" t="s">
        <v>22</v>
      </c>
      <c r="J2374" s="9" t="str">
        <f t="shared" si="37"/>
        <v>No</v>
      </c>
      <c r="K2374" s="9" t="str">
        <f t="shared" si="36"/>
        <v/>
      </c>
      <c r="L2374" s="9" t="str">
        <f t="shared" si="38"/>
        <v/>
      </c>
      <c r="M2374" s="9"/>
      <c r="O2374" s="9"/>
    </row>
    <row r="2375" ht="15.75" customHeight="1">
      <c r="A2375" s="9" t="str">
        <f>IFERROR(__xludf.DUMMYFUNCTION("IF(B2375="""","""",RIGHT(REGEXREPLACE(B2375&amp;"""",""[^0-9]"",""""),9))"),"771024316")</f>
        <v>771024316</v>
      </c>
      <c r="B2375" s="48">
        <v>7.71024316E8</v>
      </c>
      <c r="C2375" s="10" t="s">
        <v>2485</v>
      </c>
      <c r="D2375" s="10" t="s">
        <v>69</v>
      </c>
      <c r="E2375" s="13">
        <v>46229.0</v>
      </c>
      <c r="F2375" s="10" t="s">
        <v>35</v>
      </c>
      <c r="G2375" s="10">
        <v>11.0</v>
      </c>
      <c r="I2375" s="10" t="s">
        <v>22</v>
      </c>
      <c r="J2375" s="9" t="str">
        <f t="shared" si="37"/>
        <v>No</v>
      </c>
      <c r="K2375" s="9" t="str">
        <f t="shared" si="36"/>
        <v/>
      </c>
      <c r="L2375" s="9" t="str">
        <f t="shared" si="38"/>
        <v/>
      </c>
      <c r="M2375" s="9"/>
      <c r="O2375" s="9"/>
    </row>
    <row r="2376" ht="15.75" customHeight="1">
      <c r="A2376" s="9" t="str">
        <f>IFERROR(__xludf.DUMMYFUNCTION("IF(B2376="""","""",RIGHT(REGEXREPLACE(B2376&amp;"""",""[^0-9]"",""""),9))"),"756716867")</f>
        <v>756716867</v>
      </c>
      <c r="B2376" s="48">
        <v>7.56716867E8</v>
      </c>
      <c r="C2376" s="10" t="s">
        <v>2486</v>
      </c>
      <c r="D2376" s="10" t="s">
        <v>20</v>
      </c>
      <c r="E2376" s="13">
        <v>46229.0</v>
      </c>
      <c r="F2376" s="10" t="s">
        <v>21</v>
      </c>
      <c r="I2376" s="10" t="s">
        <v>22</v>
      </c>
      <c r="J2376" s="9" t="str">
        <f t="shared" si="37"/>
        <v>No</v>
      </c>
      <c r="K2376" s="9" t="str">
        <f t="shared" si="36"/>
        <v/>
      </c>
      <c r="L2376" s="9" t="str">
        <f t="shared" si="38"/>
        <v/>
      </c>
      <c r="M2376" s="9"/>
      <c r="O2376" s="9"/>
    </row>
    <row r="2377" ht="15.75" customHeight="1">
      <c r="A2377" s="9" t="str">
        <f>IFERROR(__xludf.DUMMYFUNCTION("IF(B2377="""","""",RIGHT(REGEXREPLACE(B2377&amp;"""",""[^0-9]"",""""),9))"),"741367645")</f>
        <v>741367645</v>
      </c>
      <c r="B2377" s="48">
        <v>7.41367645E8</v>
      </c>
      <c r="C2377" s="10" t="s">
        <v>2487</v>
      </c>
      <c r="D2377" s="10" t="s">
        <v>34</v>
      </c>
      <c r="E2377" s="13">
        <v>46229.0</v>
      </c>
      <c r="F2377" s="10" t="s">
        <v>21</v>
      </c>
      <c r="I2377" s="10" t="s">
        <v>22</v>
      </c>
      <c r="J2377" s="9" t="str">
        <f t="shared" si="37"/>
        <v>No</v>
      </c>
      <c r="K2377" s="9" t="str">
        <f t="shared" si="36"/>
        <v/>
      </c>
      <c r="L2377" s="9" t="str">
        <f t="shared" si="38"/>
        <v/>
      </c>
      <c r="M2377" s="9"/>
      <c r="O2377" s="9"/>
    </row>
    <row r="2378" ht="15.75" customHeight="1">
      <c r="A2378" s="9" t="str">
        <f>IFERROR(__xludf.DUMMYFUNCTION("IF(B2378="""","""",RIGHT(REGEXREPLACE(B2378&amp;"""",""[^0-9]"",""""),9))"),"759989124")</f>
        <v>759989124</v>
      </c>
      <c r="B2378" s="48">
        <v>7.59989124E8</v>
      </c>
      <c r="C2378" s="10" t="s">
        <v>2488</v>
      </c>
      <c r="D2378" s="10" t="s">
        <v>34</v>
      </c>
      <c r="E2378" s="13">
        <v>46229.0</v>
      </c>
      <c r="F2378" s="10" t="s">
        <v>21</v>
      </c>
      <c r="I2378" s="10" t="s">
        <v>22</v>
      </c>
      <c r="J2378" s="9" t="str">
        <f t="shared" si="37"/>
        <v>No</v>
      </c>
      <c r="K2378" s="9" t="str">
        <f t="shared" si="36"/>
        <v/>
      </c>
      <c r="L2378" s="9" t="str">
        <f t="shared" si="38"/>
        <v/>
      </c>
      <c r="M2378" s="9"/>
      <c r="O2378" s="9"/>
    </row>
    <row r="2379" ht="15.75" customHeight="1">
      <c r="A2379" s="9" t="str">
        <f>IFERROR(__xludf.DUMMYFUNCTION("IF(B2379="""","""",RIGHT(REGEXREPLACE(B2379&amp;"""",""[^0-9]"",""""),9))"),"776036947")</f>
        <v>776036947</v>
      </c>
      <c r="B2379" s="48">
        <v>7.76036947E8</v>
      </c>
      <c r="C2379" s="10" t="s">
        <v>2489</v>
      </c>
      <c r="D2379" s="10" t="s">
        <v>69</v>
      </c>
      <c r="E2379" s="13">
        <v>46229.0</v>
      </c>
      <c r="F2379" s="10" t="s">
        <v>35</v>
      </c>
      <c r="G2379" s="10">
        <v>11.0</v>
      </c>
      <c r="I2379" s="10" t="s">
        <v>22</v>
      </c>
      <c r="J2379" s="9" t="str">
        <f t="shared" si="37"/>
        <v>No</v>
      </c>
      <c r="K2379" s="9" t="str">
        <f t="shared" si="36"/>
        <v/>
      </c>
      <c r="L2379" s="9" t="str">
        <f t="shared" si="38"/>
        <v/>
      </c>
      <c r="M2379" s="9"/>
      <c r="O2379" s="9"/>
    </row>
    <row r="2380" ht="15.75" customHeight="1">
      <c r="A2380" s="9" t="str">
        <f>IFERROR(__xludf.DUMMYFUNCTION("IF(B2380="""","""",RIGHT(REGEXREPLACE(B2380&amp;"""",""[^0-9]"",""""),9))"),"777980521")</f>
        <v>777980521</v>
      </c>
      <c r="B2380" s="48">
        <v>7.77980521E8</v>
      </c>
      <c r="C2380" s="10" t="s">
        <v>2490</v>
      </c>
      <c r="D2380" s="10" t="s">
        <v>50</v>
      </c>
      <c r="E2380" s="13">
        <v>46229.0</v>
      </c>
      <c r="F2380" s="10" t="s">
        <v>35</v>
      </c>
      <c r="G2380" s="10">
        <v>11.0</v>
      </c>
      <c r="I2380" s="10" t="s">
        <v>22</v>
      </c>
      <c r="J2380" s="9" t="str">
        <f t="shared" si="37"/>
        <v>No</v>
      </c>
      <c r="K2380" s="9" t="str">
        <f t="shared" si="36"/>
        <v/>
      </c>
      <c r="L2380" s="9" t="str">
        <f t="shared" si="38"/>
        <v/>
      </c>
      <c r="M2380" s="9"/>
      <c r="O2380" s="9"/>
    </row>
    <row r="2381" ht="15.75" customHeight="1">
      <c r="A2381" s="9" t="str">
        <f>IFERROR(__xludf.DUMMYFUNCTION("IF(B2381="""","""",RIGHT(REGEXREPLACE(B2381&amp;"""",""[^0-9]"",""""),9))"),"782000986")</f>
        <v>782000986</v>
      </c>
      <c r="B2381" s="48">
        <v>9.4782000986E10</v>
      </c>
      <c r="C2381" s="10" t="s">
        <v>2491</v>
      </c>
      <c r="D2381" s="10" t="s">
        <v>20</v>
      </c>
      <c r="E2381" s="13">
        <v>46229.0</v>
      </c>
      <c r="F2381" s="10" t="s">
        <v>21</v>
      </c>
      <c r="I2381" s="10" t="s">
        <v>22</v>
      </c>
      <c r="J2381" s="9" t="str">
        <f t="shared" si="37"/>
        <v>No</v>
      </c>
      <c r="K2381" s="9" t="str">
        <f t="shared" si="36"/>
        <v/>
      </c>
      <c r="L2381" s="9" t="str">
        <f t="shared" si="38"/>
        <v/>
      </c>
      <c r="M2381" s="9"/>
      <c r="O2381" s="9"/>
    </row>
    <row r="2382" ht="15.75" customHeight="1">
      <c r="A2382" s="9" t="str">
        <f>IFERROR(__xludf.DUMMYFUNCTION("IF(B2382="""","""",RIGHT(REGEXREPLACE(B2382&amp;"""",""[^0-9]"",""""),9))"),"705818350")</f>
        <v>705818350</v>
      </c>
      <c r="B2382" s="48">
        <v>7.0581835E8</v>
      </c>
      <c r="C2382" s="10" t="s">
        <v>2492</v>
      </c>
      <c r="D2382" s="10" t="s">
        <v>50</v>
      </c>
      <c r="E2382" s="13">
        <v>46229.0</v>
      </c>
      <c r="F2382" s="10" t="s">
        <v>21</v>
      </c>
      <c r="G2382" s="10">
        <v>11.0</v>
      </c>
      <c r="I2382" s="10" t="s">
        <v>22</v>
      </c>
      <c r="J2382" s="9" t="str">
        <f t="shared" si="37"/>
        <v>No</v>
      </c>
      <c r="K2382" s="9" t="str">
        <f t="shared" si="36"/>
        <v/>
      </c>
      <c r="L2382" s="9" t="str">
        <f t="shared" si="38"/>
        <v/>
      </c>
      <c r="M2382" s="9"/>
      <c r="O2382" s="9"/>
    </row>
    <row r="2383" ht="15.75" customHeight="1">
      <c r="A2383" s="9" t="str">
        <f>IFERROR(__xludf.DUMMYFUNCTION("IF(B2383="""","""",RIGHT(REGEXREPLACE(B2383&amp;"""",""[^0-9]"",""""),9))"),"717055644")</f>
        <v>717055644</v>
      </c>
      <c r="B2383" s="48">
        <v>7.17055644E8</v>
      </c>
      <c r="C2383" s="10" t="s">
        <v>2493</v>
      </c>
      <c r="D2383" s="10" t="s">
        <v>69</v>
      </c>
      <c r="E2383" s="13">
        <v>46229.0</v>
      </c>
      <c r="F2383" s="10" t="s">
        <v>35</v>
      </c>
      <c r="G2383" s="10">
        <v>11.0</v>
      </c>
      <c r="I2383" s="10" t="s">
        <v>22</v>
      </c>
      <c r="J2383" s="9" t="str">
        <f t="shared" si="37"/>
        <v>No</v>
      </c>
      <c r="K2383" s="9" t="str">
        <f t="shared" si="36"/>
        <v/>
      </c>
      <c r="L2383" s="9" t="str">
        <f t="shared" si="38"/>
        <v/>
      </c>
      <c r="M2383" s="9"/>
      <c r="O2383" s="9"/>
    </row>
    <row r="2384" ht="15.75" customHeight="1">
      <c r="A2384" s="9" t="str">
        <f>IFERROR(__xludf.DUMMYFUNCTION("IF(B2384="""","""",RIGHT(REGEXREPLACE(B2384&amp;"""",""[^0-9]"",""""),9))"),"774538251")</f>
        <v>774538251</v>
      </c>
      <c r="B2384" s="48">
        <v>7.74538251E8</v>
      </c>
      <c r="C2384" s="10" t="s">
        <v>2494</v>
      </c>
      <c r="D2384" s="10" t="s">
        <v>50</v>
      </c>
      <c r="E2384" s="13">
        <v>46229.0</v>
      </c>
      <c r="F2384" s="10" t="s">
        <v>35</v>
      </c>
      <c r="G2384" s="10">
        <v>11.0</v>
      </c>
      <c r="I2384" s="10" t="s">
        <v>22</v>
      </c>
      <c r="J2384" s="9" t="str">
        <f t="shared" si="37"/>
        <v>No</v>
      </c>
      <c r="K2384" s="9" t="str">
        <f t="shared" si="36"/>
        <v/>
      </c>
      <c r="L2384" s="9" t="str">
        <f t="shared" si="38"/>
        <v/>
      </c>
      <c r="M2384" s="9"/>
      <c r="O2384" s="9"/>
    </row>
    <row r="2385" ht="15.75" customHeight="1">
      <c r="A2385" s="9" t="str">
        <f>IFERROR(__xludf.DUMMYFUNCTION("IF(B2385="""","""",RIGHT(REGEXREPLACE(B2385&amp;"""",""[^0-9]"",""""),9))"),"761803678")</f>
        <v>761803678</v>
      </c>
      <c r="B2385" s="48">
        <v>7.61803678E8</v>
      </c>
      <c r="C2385" s="10" t="s">
        <v>2495</v>
      </c>
      <c r="D2385" s="10" t="s">
        <v>69</v>
      </c>
      <c r="E2385" s="13">
        <v>46229.0</v>
      </c>
      <c r="F2385" s="10" t="s">
        <v>21</v>
      </c>
      <c r="G2385" s="10">
        <v>11.0</v>
      </c>
      <c r="I2385" s="10" t="s">
        <v>22</v>
      </c>
      <c r="J2385" s="9" t="str">
        <f t="shared" si="37"/>
        <v>No</v>
      </c>
      <c r="K2385" s="9" t="str">
        <f t="shared" si="36"/>
        <v/>
      </c>
      <c r="L2385" s="9" t="str">
        <f t="shared" si="38"/>
        <v/>
      </c>
      <c r="M2385" s="9"/>
      <c r="O2385" s="9"/>
    </row>
    <row r="2386" ht="15.75" customHeight="1">
      <c r="A2386" s="9" t="str">
        <f>IFERROR(__xludf.DUMMYFUNCTION("IF(B2386="""","""",RIGHT(REGEXREPLACE(B2386&amp;"""",""[^0-9]"",""""),9))"),"716000214")</f>
        <v>716000214</v>
      </c>
      <c r="B2386" s="48">
        <v>7.16000214E8</v>
      </c>
      <c r="C2386" s="10" t="s">
        <v>2496</v>
      </c>
      <c r="D2386" s="10" t="s">
        <v>50</v>
      </c>
      <c r="E2386" s="13">
        <v>46229.0</v>
      </c>
      <c r="F2386" s="10" t="s">
        <v>21</v>
      </c>
      <c r="G2386" s="10">
        <v>11.0</v>
      </c>
      <c r="I2386" s="10" t="s">
        <v>22</v>
      </c>
      <c r="J2386" s="9" t="str">
        <f t="shared" si="37"/>
        <v>No</v>
      </c>
      <c r="K2386" s="9" t="str">
        <f t="shared" si="36"/>
        <v/>
      </c>
      <c r="L2386" s="9" t="str">
        <f t="shared" si="38"/>
        <v/>
      </c>
      <c r="M2386" s="9"/>
      <c r="O2386" s="9"/>
    </row>
    <row r="2387" ht="15.75" customHeight="1">
      <c r="A2387" s="9" t="str">
        <f>IFERROR(__xludf.DUMMYFUNCTION("IF(B2387="""","""",RIGHT(REGEXREPLACE(B2387&amp;"""",""[^0-9]"",""""),9))"),"714140662")</f>
        <v>714140662</v>
      </c>
      <c r="B2387" s="48">
        <v>7.14140662E8</v>
      </c>
      <c r="C2387" s="10" t="s">
        <v>2497</v>
      </c>
      <c r="D2387" s="10" t="s">
        <v>50</v>
      </c>
      <c r="E2387" s="13">
        <v>46229.0</v>
      </c>
      <c r="F2387" s="10" t="s">
        <v>21</v>
      </c>
      <c r="I2387" s="10" t="s">
        <v>22</v>
      </c>
      <c r="J2387" s="9" t="str">
        <f t="shared" si="37"/>
        <v>No</v>
      </c>
      <c r="K2387" s="9" t="str">
        <f t="shared" si="36"/>
        <v/>
      </c>
      <c r="L2387" s="9" t="str">
        <f t="shared" si="38"/>
        <v/>
      </c>
      <c r="M2387" s="9"/>
      <c r="O2387" s="9"/>
    </row>
    <row r="2388" ht="15.75" customHeight="1">
      <c r="A2388" s="9" t="str">
        <f>IFERROR(__xludf.DUMMYFUNCTION("IF(B2388="""","""",RIGHT(REGEXREPLACE(B2388&amp;"""",""[^0-9]"",""""),9))"),"764345581")</f>
        <v>764345581</v>
      </c>
      <c r="B2388" s="48">
        <v>7.64345581E8</v>
      </c>
      <c r="C2388" s="10" t="s">
        <v>2498</v>
      </c>
      <c r="D2388" s="10" t="s">
        <v>69</v>
      </c>
      <c r="E2388" s="13">
        <v>46229.0</v>
      </c>
      <c r="F2388" s="10" t="s">
        <v>35</v>
      </c>
      <c r="G2388" s="10">
        <v>11.0</v>
      </c>
      <c r="I2388" s="10" t="s">
        <v>22</v>
      </c>
      <c r="J2388" s="9" t="str">
        <f t="shared" si="37"/>
        <v>No</v>
      </c>
      <c r="K2388" s="9" t="str">
        <f t="shared" si="36"/>
        <v/>
      </c>
      <c r="L2388" s="9" t="str">
        <f t="shared" si="38"/>
        <v/>
      </c>
      <c r="M2388" s="9"/>
      <c r="O2388" s="9"/>
    </row>
    <row r="2389" ht="15.75" customHeight="1">
      <c r="A2389" s="9" t="str">
        <f>IFERROR(__xludf.DUMMYFUNCTION("IF(B2389="""","""",RIGHT(REGEXREPLACE(B2389&amp;"""",""[^0-9]"",""""),9))"),"766668005")</f>
        <v>766668005</v>
      </c>
      <c r="B2389" s="48">
        <v>7.66668005E8</v>
      </c>
      <c r="C2389" s="10" t="s">
        <v>2498</v>
      </c>
      <c r="D2389" s="10" t="s">
        <v>20</v>
      </c>
      <c r="E2389" s="13">
        <v>46229.0</v>
      </c>
      <c r="F2389" s="10" t="s">
        <v>35</v>
      </c>
      <c r="G2389" s="10">
        <v>11.0</v>
      </c>
      <c r="I2389" s="10" t="s">
        <v>22</v>
      </c>
      <c r="J2389" s="9" t="str">
        <f t="shared" si="37"/>
        <v>No</v>
      </c>
      <c r="K2389" s="9" t="str">
        <f t="shared" si="36"/>
        <v/>
      </c>
      <c r="L2389" s="9" t="str">
        <f t="shared" si="38"/>
        <v/>
      </c>
      <c r="M2389" s="9"/>
      <c r="O2389" s="9"/>
    </row>
    <row r="2390" ht="15.75" customHeight="1">
      <c r="A2390" s="9" t="str">
        <f>IFERROR(__xludf.DUMMYFUNCTION("IF(B2390="""","""",RIGHT(REGEXREPLACE(B2390&amp;"""",""[^0-9]"",""""),9))"),"703186603")</f>
        <v>703186603</v>
      </c>
      <c r="B2390" s="48">
        <v>7.03186603E8</v>
      </c>
      <c r="C2390" s="10" t="s">
        <v>2499</v>
      </c>
      <c r="D2390" s="10" t="s">
        <v>34</v>
      </c>
      <c r="E2390" s="13">
        <v>46229.0</v>
      </c>
      <c r="F2390" s="10" t="s">
        <v>35</v>
      </c>
      <c r="G2390" s="10">
        <v>11.0</v>
      </c>
      <c r="I2390" s="10" t="s">
        <v>22</v>
      </c>
      <c r="J2390" s="9" t="str">
        <f t="shared" si="37"/>
        <v>No</v>
      </c>
      <c r="K2390" s="9" t="str">
        <f t="shared" si="36"/>
        <v/>
      </c>
      <c r="L2390" s="9" t="str">
        <f t="shared" si="38"/>
        <v/>
      </c>
      <c r="M2390" s="9"/>
      <c r="O2390" s="9"/>
    </row>
    <row r="2391" ht="15.75" customHeight="1">
      <c r="A2391" s="9" t="str">
        <f>IFERROR(__xludf.DUMMYFUNCTION("IF(B2391="""","""",RIGHT(REGEXREPLACE(B2391&amp;"""",""[^0-9]"",""""),9))"),"724705871")</f>
        <v>724705871</v>
      </c>
      <c r="B2391" s="10">
        <v>7.24705871E8</v>
      </c>
      <c r="C2391" s="10" t="s">
        <v>2500</v>
      </c>
      <c r="D2391" s="10" t="s">
        <v>20</v>
      </c>
      <c r="E2391" s="13">
        <v>46229.0</v>
      </c>
      <c r="F2391" s="10" t="s">
        <v>35</v>
      </c>
      <c r="G2391" s="10">
        <v>11.0</v>
      </c>
      <c r="I2391" s="10" t="s">
        <v>22</v>
      </c>
      <c r="J2391" s="9" t="str">
        <f t="shared" si="37"/>
        <v>No</v>
      </c>
      <c r="K2391" s="9" t="str">
        <f t="shared" si="36"/>
        <v/>
      </c>
      <c r="L2391" s="9" t="str">
        <f t="shared" si="38"/>
        <v/>
      </c>
      <c r="M2391" s="9"/>
      <c r="O2391" s="9"/>
    </row>
    <row r="2392" ht="15.75" customHeight="1">
      <c r="A2392" s="9" t="str">
        <f>IFERROR(__xludf.DUMMYFUNCTION("IF(B2392="""","""",RIGHT(REGEXREPLACE(B2392&amp;"""",""[^0-9]"",""""),9))"),"701033999")</f>
        <v>701033999</v>
      </c>
      <c r="B2392" s="48">
        <v>7.01033999E8</v>
      </c>
      <c r="C2392" s="10" t="s">
        <v>2501</v>
      </c>
      <c r="D2392" s="10" t="s">
        <v>69</v>
      </c>
      <c r="E2392" s="13">
        <v>46229.0</v>
      </c>
      <c r="F2392" s="10" t="s">
        <v>35</v>
      </c>
      <c r="G2392" s="10">
        <v>11.0</v>
      </c>
      <c r="I2392" s="10" t="s">
        <v>22</v>
      </c>
      <c r="J2392" s="9" t="str">
        <f t="shared" si="37"/>
        <v>No</v>
      </c>
      <c r="K2392" s="9" t="str">
        <f t="shared" si="36"/>
        <v/>
      </c>
      <c r="L2392" s="9" t="str">
        <f t="shared" si="38"/>
        <v/>
      </c>
      <c r="M2392" s="9"/>
      <c r="O2392" s="9"/>
    </row>
    <row r="2393" ht="15.75" customHeight="1">
      <c r="A2393" s="9" t="str">
        <f>IFERROR(__xludf.DUMMYFUNCTION("IF(B2393="""","""",RIGHT(REGEXREPLACE(B2393&amp;"""",""[^0-9]"",""""),9))"),"763897803")</f>
        <v>763897803</v>
      </c>
      <c r="B2393" s="48">
        <v>7.63897803E8</v>
      </c>
      <c r="C2393" s="10" t="s">
        <v>408</v>
      </c>
      <c r="D2393" s="10" t="s">
        <v>34</v>
      </c>
      <c r="E2393" s="13">
        <v>46229.0</v>
      </c>
      <c r="F2393" s="10" t="s">
        <v>35</v>
      </c>
      <c r="G2393" s="10">
        <v>11.0</v>
      </c>
      <c r="I2393" s="10" t="s">
        <v>22</v>
      </c>
      <c r="J2393" s="9" t="str">
        <f t="shared" si="37"/>
        <v>Yes - see Previous F-Code</v>
      </c>
      <c r="K2393" s="9" t="str">
        <f t="shared" si="36"/>
        <v>DUPLICATE - CHECK</v>
      </c>
      <c r="L2393" s="9" t="str">
        <f t="shared" si="38"/>
        <v>F70290</v>
      </c>
      <c r="M2393" s="9"/>
      <c r="O2393" s="9"/>
    </row>
    <row r="2394" ht="15.75" customHeight="1">
      <c r="A2394" s="9" t="str">
        <f>IFERROR(__xludf.DUMMYFUNCTION("IF(B2394="""","""",RIGHT(REGEXREPLACE(B2394&amp;"""",""[^0-9]"",""""),9))"),"729287339")</f>
        <v>729287339</v>
      </c>
      <c r="B2394" s="10">
        <v>7.29287339E8</v>
      </c>
      <c r="C2394" s="10" t="s">
        <v>2502</v>
      </c>
      <c r="D2394" s="10" t="s">
        <v>20</v>
      </c>
      <c r="E2394" s="13">
        <v>46229.0</v>
      </c>
      <c r="F2394" s="10" t="s">
        <v>35</v>
      </c>
      <c r="G2394" s="10">
        <v>11.0</v>
      </c>
      <c r="I2394" s="10" t="s">
        <v>22</v>
      </c>
      <c r="J2394" s="9" t="str">
        <f t="shared" si="37"/>
        <v>No</v>
      </c>
      <c r="K2394" s="9" t="str">
        <f t="shared" si="36"/>
        <v/>
      </c>
      <c r="L2394" s="9" t="str">
        <f t="shared" si="38"/>
        <v/>
      </c>
      <c r="M2394" s="9"/>
      <c r="O2394" s="9"/>
    </row>
    <row r="2395" ht="15.75" customHeight="1">
      <c r="A2395" s="9" t="str">
        <f>IFERROR(__xludf.DUMMYFUNCTION("IF(B2395="""","""",RIGHT(REGEXREPLACE(B2395&amp;"""",""[^0-9]"",""""),9))"),"710450695")</f>
        <v>710450695</v>
      </c>
      <c r="B2395" s="48">
        <v>7.10450695E8</v>
      </c>
      <c r="C2395" s="10" t="s">
        <v>2502</v>
      </c>
      <c r="D2395" s="10" t="s">
        <v>50</v>
      </c>
      <c r="E2395" s="13">
        <v>46229.0</v>
      </c>
      <c r="F2395" s="10" t="s">
        <v>35</v>
      </c>
      <c r="G2395" s="10">
        <v>11.0</v>
      </c>
      <c r="I2395" s="10" t="s">
        <v>22</v>
      </c>
      <c r="J2395" s="9" t="str">
        <f t="shared" si="37"/>
        <v>No</v>
      </c>
      <c r="K2395" s="9" t="str">
        <f t="shared" si="36"/>
        <v/>
      </c>
      <c r="L2395" s="9" t="str">
        <f t="shared" si="38"/>
        <v/>
      </c>
      <c r="M2395" s="9"/>
      <c r="O2395" s="9"/>
    </row>
    <row r="2396" ht="15.75" customHeight="1">
      <c r="A2396" s="9" t="str">
        <f>IFERROR(__xludf.DUMMYFUNCTION("IF(B2396="""","""",RIGHT(REGEXREPLACE(B2396&amp;"""",""[^0-9]"",""""),9))"),"753750390")</f>
        <v>753750390</v>
      </c>
      <c r="B2396" s="10">
        <v>7.5375039E8</v>
      </c>
      <c r="C2396" s="10" t="s">
        <v>2503</v>
      </c>
      <c r="D2396" s="10" t="s">
        <v>20</v>
      </c>
      <c r="E2396" s="13">
        <v>46229.0</v>
      </c>
      <c r="F2396" s="10" t="s">
        <v>35</v>
      </c>
      <c r="G2396" s="10">
        <v>11.0</v>
      </c>
      <c r="I2396" s="10" t="s">
        <v>22</v>
      </c>
      <c r="J2396" s="9" t="str">
        <f t="shared" si="37"/>
        <v>No</v>
      </c>
      <c r="K2396" s="9" t="str">
        <f t="shared" si="36"/>
        <v/>
      </c>
      <c r="L2396" s="9" t="str">
        <f t="shared" si="38"/>
        <v/>
      </c>
      <c r="M2396" s="9"/>
      <c r="O2396" s="9"/>
    </row>
    <row r="2397" ht="15.75" customHeight="1">
      <c r="A2397" s="9" t="str">
        <f>IFERROR(__xludf.DUMMYFUNCTION("IF(B2397="""","""",RIGHT(REGEXREPLACE(B2397&amp;"""",""[^0-9]"",""""),9))"),"701391133")</f>
        <v>701391133</v>
      </c>
      <c r="B2397" s="48">
        <v>7.01391133E8</v>
      </c>
      <c r="C2397" s="10" t="s">
        <v>2504</v>
      </c>
      <c r="D2397" s="10" t="s">
        <v>34</v>
      </c>
      <c r="E2397" s="13">
        <v>46229.0</v>
      </c>
      <c r="F2397" s="10" t="s">
        <v>35</v>
      </c>
      <c r="G2397" s="10">
        <v>11.0</v>
      </c>
      <c r="I2397" s="10" t="s">
        <v>22</v>
      </c>
      <c r="J2397" s="9" t="str">
        <f t="shared" si="37"/>
        <v>No</v>
      </c>
      <c r="K2397" s="9" t="str">
        <f t="shared" si="36"/>
        <v/>
      </c>
      <c r="L2397" s="9" t="str">
        <f t="shared" si="38"/>
        <v/>
      </c>
      <c r="M2397" s="9"/>
      <c r="O2397" s="9"/>
    </row>
    <row r="2398" ht="15.75" customHeight="1">
      <c r="A2398" s="9" t="str">
        <f>IFERROR(__xludf.DUMMYFUNCTION("IF(B2398="""","""",RIGHT(REGEXREPLACE(B2398&amp;"""",""[^0-9]"",""""),9))"),"741152186")</f>
        <v>741152186</v>
      </c>
      <c r="B2398" s="48">
        <v>7.41152186E8</v>
      </c>
      <c r="C2398" s="10" t="s">
        <v>2505</v>
      </c>
      <c r="D2398" s="10" t="s">
        <v>34</v>
      </c>
      <c r="E2398" s="13">
        <v>46229.0</v>
      </c>
      <c r="F2398" s="10" t="s">
        <v>35</v>
      </c>
      <c r="G2398" s="10">
        <v>11.0</v>
      </c>
      <c r="I2398" s="10" t="s">
        <v>22</v>
      </c>
      <c r="J2398" s="9" t="str">
        <f t="shared" si="37"/>
        <v>No</v>
      </c>
      <c r="K2398" s="9" t="str">
        <f t="shared" si="36"/>
        <v/>
      </c>
      <c r="L2398" s="9" t="str">
        <f t="shared" si="38"/>
        <v/>
      </c>
      <c r="M2398" s="9"/>
      <c r="O2398" s="9"/>
    </row>
    <row r="2399" ht="15.75" customHeight="1">
      <c r="A2399" s="9" t="str">
        <f>IFERROR(__xludf.DUMMYFUNCTION("IF(B2399="""","""",RIGHT(REGEXREPLACE(B2399&amp;"""",""[^0-9]"",""""),9))"),"743614487")</f>
        <v>743614487</v>
      </c>
      <c r="B2399" s="10">
        <v>7.43614487E8</v>
      </c>
      <c r="C2399" s="10" t="s">
        <v>2506</v>
      </c>
      <c r="D2399" s="10" t="s">
        <v>20</v>
      </c>
      <c r="E2399" s="13">
        <v>46229.0</v>
      </c>
      <c r="F2399" s="10" t="s">
        <v>35</v>
      </c>
      <c r="G2399" s="10">
        <v>11.0</v>
      </c>
      <c r="I2399" s="10" t="s">
        <v>22</v>
      </c>
      <c r="J2399" s="9" t="str">
        <f t="shared" si="37"/>
        <v>No</v>
      </c>
      <c r="K2399" s="9" t="str">
        <f t="shared" si="36"/>
        <v/>
      </c>
      <c r="L2399" s="9" t="str">
        <f t="shared" si="38"/>
        <v/>
      </c>
      <c r="M2399" s="9"/>
      <c r="O2399" s="9"/>
    </row>
    <row r="2400" ht="15.75" customHeight="1">
      <c r="A2400" s="9" t="str">
        <f>IFERROR(__xludf.DUMMYFUNCTION("IF(B2400="""","""",RIGHT(REGEXREPLACE(B2400&amp;"""",""[^0-9]"",""""),9))"),"779778085")</f>
        <v>779778085</v>
      </c>
      <c r="B2400" s="48">
        <v>7.79778085E8</v>
      </c>
      <c r="C2400" s="10" t="s">
        <v>2507</v>
      </c>
      <c r="D2400" s="10" t="s">
        <v>50</v>
      </c>
      <c r="E2400" s="13">
        <v>46229.0</v>
      </c>
      <c r="F2400" s="10" t="s">
        <v>21</v>
      </c>
      <c r="G2400" s="10">
        <v>11.0</v>
      </c>
      <c r="I2400" s="10" t="s">
        <v>22</v>
      </c>
      <c r="J2400" s="9" t="str">
        <f t="shared" si="37"/>
        <v>No</v>
      </c>
      <c r="K2400" s="9" t="str">
        <f t="shared" si="36"/>
        <v/>
      </c>
      <c r="L2400" s="9" t="str">
        <f t="shared" si="38"/>
        <v/>
      </c>
      <c r="M2400" s="9"/>
      <c r="O2400" s="9"/>
    </row>
    <row r="2401" ht="15.75" customHeight="1">
      <c r="A2401" s="9" t="str">
        <f>IFERROR(__xludf.DUMMYFUNCTION("IF(B2401="""","""",RIGHT(REGEXREPLACE(B2401&amp;"""",""[^0-9]"",""""),9))"),"778483712")</f>
        <v>778483712</v>
      </c>
      <c r="B2401" s="48">
        <v>7.78483712E8</v>
      </c>
      <c r="C2401" s="10" t="s">
        <v>2508</v>
      </c>
      <c r="D2401" s="10" t="s">
        <v>34</v>
      </c>
      <c r="E2401" s="13">
        <v>46229.0</v>
      </c>
      <c r="F2401" s="10" t="s">
        <v>35</v>
      </c>
      <c r="I2401" s="10" t="s">
        <v>22</v>
      </c>
      <c r="J2401" s="9" t="str">
        <f t="shared" si="37"/>
        <v>No</v>
      </c>
      <c r="K2401" s="9" t="str">
        <f t="shared" si="36"/>
        <v/>
      </c>
      <c r="L2401" s="9" t="str">
        <f t="shared" si="38"/>
        <v/>
      </c>
      <c r="M2401" s="9"/>
      <c r="O2401" s="9"/>
    </row>
    <row r="2402" ht="15.75" customHeight="1">
      <c r="A2402" s="9" t="str">
        <f>IFERROR(__xludf.DUMMYFUNCTION("IF(B2402="""","""",RIGHT(REGEXREPLACE(B2402&amp;"""",""[^0-9]"",""""),9))"),"773783941")</f>
        <v>773783941</v>
      </c>
      <c r="B2402" s="10">
        <v>7.73783941E8</v>
      </c>
      <c r="C2402" s="10" t="s">
        <v>1702</v>
      </c>
      <c r="D2402" s="10" t="s">
        <v>20</v>
      </c>
      <c r="E2402" s="13">
        <v>46229.0</v>
      </c>
      <c r="F2402" s="10" t="s">
        <v>35</v>
      </c>
      <c r="I2402" s="10" t="s">
        <v>22</v>
      </c>
      <c r="J2402" s="9" t="str">
        <f t="shared" si="37"/>
        <v>No</v>
      </c>
      <c r="K2402" s="9" t="str">
        <f t="shared" si="36"/>
        <v/>
      </c>
      <c r="L2402" s="9" t="str">
        <f t="shared" si="38"/>
        <v/>
      </c>
      <c r="M2402" s="9"/>
      <c r="O2402" s="9"/>
    </row>
    <row r="2403" ht="15.75" customHeight="1">
      <c r="A2403" s="9" t="str">
        <f>IFERROR(__xludf.DUMMYFUNCTION("IF(B2403="""","""",RIGHT(REGEXREPLACE(B2403&amp;"""",""[^0-9]"",""""),9))"),"786250942")</f>
        <v>786250942</v>
      </c>
      <c r="B2403" s="48">
        <v>7.86250942E8</v>
      </c>
      <c r="C2403" s="10" t="s">
        <v>2509</v>
      </c>
      <c r="D2403" s="10" t="s">
        <v>50</v>
      </c>
      <c r="E2403" s="13">
        <v>46229.0</v>
      </c>
      <c r="F2403" s="10" t="s">
        <v>21</v>
      </c>
      <c r="I2403" s="10" t="s">
        <v>22</v>
      </c>
      <c r="J2403" s="9" t="str">
        <f t="shared" si="37"/>
        <v>No</v>
      </c>
      <c r="K2403" s="9" t="str">
        <f t="shared" si="36"/>
        <v/>
      </c>
      <c r="L2403" s="9" t="str">
        <f t="shared" si="38"/>
        <v/>
      </c>
      <c r="M2403" s="9"/>
      <c r="O2403" s="9"/>
    </row>
    <row r="2404" ht="15.75" customHeight="1">
      <c r="A2404" s="9" t="str">
        <f>IFERROR(__xludf.DUMMYFUNCTION("IF(B2404="""","""",RIGHT(REGEXREPLACE(B2404&amp;"""",""[^0-9]"",""""),9))"),"715810382")</f>
        <v>715810382</v>
      </c>
      <c r="B2404" s="48">
        <v>7.15810382E8</v>
      </c>
      <c r="C2404" s="10" t="s">
        <v>2510</v>
      </c>
      <c r="D2404" s="10" t="s">
        <v>69</v>
      </c>
      <c r="E2404" s="13">
        <v>46229.0</v>
      </c>
      <c r="F2404" s="10" t="s">
        <v>171</v>
      </c>
      <c r="G2404" s="10">
        <v>11.0</v>
      </c>
      <c r="I2404" s="10" t="s">
        <v>22</v>
      </c>
      <c r="J2404" s="9" t="str">
        <f t="shared" si="37"/>
        <v>No</v>
      </c>
      <c r="K2404" s="9" t="str">
        <f t="shared" si="36"/>
        <v/>
      </c>
      <c r="L2404" s="9" t="str">
        <f t="shared" si="38"/>
        <v/>
      </c>
      <c r="M2404" s="9"/>
      <c r="O2404" s="9"/>
    </row>
    <row r="2405" ht="15.75" customHeight="1">
      <c r="A2405" s="9" t="str">
        <f>IFERROR(__xludf.DUMMYFUNCTION("IF(B2405="""","""",RIGHT(REGEXREPLACE(B2405&amp;"""",""[^0-9]"",""""),9))"),"757063897")</f>
        <v>757063897</v>
      </c>
      <c r="B2405" s="48">
        <v>7.57063897E8</v>
      </c>
      <c r="C2405" s="10" t="s">
        <v>2511</v>
      </c>
      <c r="D2405" s="10" t="s">
        <v>69</v>
      </c>
      <c r="E2405" s="13">
        <v>46229.0</v>
      </c>
      <c r="F2405" s="10" t="s">
        <v>35</v>
      </c>
      <c r="G2405" s="10">
        <v>11.0</v>
      </c>
      <c r="I2405" s="10" t="s">
        <v>22</v>
      </c>
      <c r="J2405" s="9" t="str">
        <f t="shared" si="37"/>
        <v>No</v>
      </c>
      <c r="K2405" s="9" t="str">
        <f t="shared" si="36"/>
        <v/>
      </c>
      <c r="L2405" s="9" t="str">
        <f t="shared" si="38"/>
        <v/>
      </c>
      <c r="M2405" s="9"/>
      <c r="O2405" s="9"/>
    </row>
    <row r="2406" ht="15.75" customHeight="1">
      <c r="A2406" s="9" t="str">
        <f>IFERROR(__xludf.DUMMYFUNCTION("IF(B2406="""","""",RIGHT(REGEXREPLACE(B2406&amp;"""",""[^0-9]"",""""),9))"),"715107621")</f>
        <v>715107621</v>
      </c>
      <c r="B2406" s="48">
        <v>7.15107621E8</v>
      </c>
      <c r="C2406" s="10" t="s">
        <v>2512</v>
      </c>
      <c r="D2406" s="10" t="s">
        <v>50</v>
      </c>
      <c r="E2406" s="13">
        <v>46229.0</v>
      </c>
      <c r="F2406" s="10" t="s">
        <v>35</v>
      </c>
      <c r="G2406" s="10" t="s">
        <v>179</v>
      </c>
      <c r="I2406" s="10" t="s">
        <v>22</v>
      </c>
      <c r="J2406" s="9" t="str">
        <f t="shared" si="37"/>
        <v>No</v>
      </c>
      <c r="K2406" s="9" t="str">
        <f t="shared" si="36"/>
        <v/>
      </c>
      <c r="L2406" s="9" t="str">
        <f t="shared" si="38"/>
        <v/>
      </c>
      <c r="M2406" s="9"/>
      <c r="O2406" s="9"/>
    </row>
    <row r="2407" ht="15.75" customHeight="1">
      <c r="A2407" s="9" t="str">
        <f>IFERROR(__xludf.DUMMYFUNCTION("IF(B2407="""","""",RIGHT(REGEXREPLACE(B2407&amp;"""",""[^0-9]"",""""),9))"),"772333774")</f>
        <v>772333774</v>
      </c>
      <c r="B2407" s="48">
        <v>7.72333774E8</v>
      </c>
      <c r="C2407" s="10" t="s">
        <v>2513</v>
      </c>
      <c r="D2407" s="10" t="s">
        <v>69</v>
      </c>
      <c r="E2407" s="13">
        <v>46229.0</v>
      </c>
      <c r="F2407" s="10" t="s">
        <v>21</v>
      </c>
      <c r="G2407" s="10">
        <v>11.0</v>
      </c>
      <c r="I2407" s="10" t="s">
        <v>22</v>
      </c>
      <c r="J2407" s="9" t="str">
        <f t="shared" si="37"/>
        <v>No</v>
      </c>
      <c r="K2407" s="9" t="str">
        <f t="shared" si="36"/>
        <v/>
      </c>
      <c r="L2407" s="9" t="str">
        <f t="shared" si="38"/>
        <v/>
      </c>
      <c r="M2407" s="9"/>
      <c r="O2407" s="9"/>
    </row>
    <row r="2408" ht="15.75" customHeight="1">
      <c r="A2408" s="9" t="str">
        <f>IFERROR(__xludf.DUMMYFUNCTION("IF(B2408="""","""",RIGHT(REGEXREPLACE(B2408&amp;"""",""[^0-9]"",""""),9))"),"774661161")</f>
        <v>774661161</v>
      </c>
      <c r="B2408" s="48">
        <v>7.74661161E8</v>
      </c>
      <c r="C2408" s="10" t="s">
        <v>808</v>
      </c>
      <c r="D2408" s="10" t="s">
        <v>50</v>
      </c>
      <c r="E2408" s="13">
        <v>46229.0</v>
      </c>
      <c r="F2408" s="10" t="s">
        <v>21</v>
      </c>
      <c r="G2408" s="10">
        <v>11.0</v>
      </c>
      <c r="I2408" s="10" t="s">
        <v>22</v>
      </c>
      <c r="J2408" s="9" t="str">
        <f t="shared" si="37"/>
        <v>Yes - see Previous F-Code</v>
      </c>
      <c r="K2408" s="9" t="str">
        <f t="shared" si="36"/>
        <v>DUPLICATE - CHECK</v>
      </c>
      <c r="L2408" s="9" t="str">
        <f t="shared" si="38"/>
        <v>F70637</v>
      </c>
      <c r="M2408" s="9"/>
      <c r="O2408" s="9"/>
    </row>
    <row r="2409" ht="15.75" customHeight="1">
      <c r="A2409" s="9" t="str">
        <f>IFERROR(__xludf.DUMMYFUNCTION("IF(B2409="""","""",RIGHT(REGEXREPLACE(B2409&amp;"""",""[^0-9]"",""""),9))"),"765642377")</f>
        <v>765642377</v>
      </c>
      <c r="B2409" s="48">
        <v>7.65642377E8</v>
      </c>
      <c r="C2409" s="10" t="s">
        <v>2514</v>
      </c>
      <c r="D2409" s="10" t="s">
        <v>50</v>
      </c>
      <c r="E2409" s="13">
        <v>46229.0</v>
      </c>
      <c r="F2409" s="10" t="s">
        <v>35</v>
      </c>
      <c r="G2409" s="10">
        <v>11.0</v>
      </c>
      <c r="I2409" s="10" t="s">
        <v>22</v>
      </c>
      <c r="J2409" s="9" t="str">
        <f t="shared" si="37"/>
        <v>No</v>
      </c>
      <c r="K2409" s="9" t="str">
        <f t="shared" si="36"/>
        <v/>
      </c>
      <c r="L2409" s="9" t="str">
        <f t="shared" si="38"/>
        <v/>
      </c>
      <c r="M2409" s="9"/>
      <c r="O2409" s="9"/>
    </row>
    <row r="2410" ht="15.75" customHeight="1">
      <c r="A2410" s="9" t="str">
        <f>IFERROR(__xludf.DUMMYFUNCTION("IF(B2410="""","""",RIGHT(REGEXREPLACE(B2410&amp;"""",""[^0-9]"",""""),9))"),"762455017")</f>
        <v>762455017</v>
      </c>
      <c r="B2410" s="48">
        <v>7.62455017E8</v>
      </c>
      <c r="C2410" s="10" t="s">
        <v>2515</v>
      </c>
      <c r="D2410" s="10" t="s">
        <v>69</v>
      </c>
      <c r="E2410" s="13">
        <v>46229.0</v>
      </c>
      <c r="F2410" s="10" t="s">
        <v>21</v>
      </c>
      <c r="G2410" s="10">
        <v>11.0</v>
      </c>
      <c r="I2410" s="10" t="s">
        <v>22</v>
      </c>
      <c r="J2410" s="9" t="str">
        <f t="shared" si="37"/>
        <v>No</v>
      </c>
      <c r="K2410" s="9" t="str">
        <f t="shared" si="36"/>
        <v/>
      </c>
      <c r="L2410" s="9" t="str">
        <f t="shared" si="38"/>
        <v/>
      </c>
      <c r="M2410" s="9"/>
      <c r="O2410" s="9"/>
    </row>
    <row r="2411" ht="15.75" customHeight="1">
      <c r="A2411" s="9" t="str">
        <f>IFERROR(__xludf.DUMMYFUNCTION("IF(B2411="""","""",RIGHT(REGEXREPLACE(B2411&amp;"""",""[^0-9]"",""""),9))"),"765466516")</f>
        <v>765466516</v>
      </c>
      <c r="B2411" s="48">
        <v>7.65466516E8</v>
      </c>
      <c r="C2411" s="10" t="s">
        <v>2516</v>
      </c>
      <c r="D2411" s="10" t="s">
        <v>50</v>
      </c>
      <c r="E2411" s="13">
        <v>46229.0</v>
      </c>
      <c r="F2411" s="10" t="s">
        <v>21</v>
      </c>
      <c r="I2411" s="10" t="s">
        <v>22</v>
      </c>
      <c r="J2411" s="9" t="str">
        <f t="shared" si="37"/>
        <v>No</v>
      </c>
      <c r="K2411" s="9" t="str">
        <f t="shared" si="36"/>
        <v/>
      </c>
      <c r="L2411" s="9" t="str">
        <f t="shared" si="38"/>
        <v/>
      </c>
      <c r="M2411" s="9"/>
      <c r="O2411" s="9"/>
    </row>
    <row r="2412" ht="15.75" customHeight="1">
      <c r="A2412" s="9" t="str">
        <f>IFERROR(__xludf.DUMMYFUNCTION("IF(B2412="""","""",RIGHT(REGEXREPLACE(B2412&amp;"""",""[^0-9]"",""""),9))"),"774415052")</f>
        <v>774415052</v>
      </c>
      <c r="B2412" s="10">
        <v>7.74415052E8</v>
      </c>
      <c r="C2412" s="10" t="s">
        <v>1812</v>
      </c>
      <c r="D2412" s="10" t="s">
        <v>20</v>
      </c>
      <c r="E2412" s="13">
        <v>46229.0</v>
      </c>
      <c r="F2412" s="10" t="s">
        <v>35</v>
      </c>
      <c r="G2412" s="10">
        <v>11.0</v>
      </c>
      <c r="I2412" s="10" t="s">
        <v>22</v>
      </c>
      <c r="J2412" s="9" t="str">
        <f t="shared" si="37"/>
        <v>Yes - see Previous F-Code</v>
      </c>
      <c r="K2412" s="9" t="str">
        <f t="shared" si="36"/>
        <v>DUPLICATE - CHECK</v>
      </c>
      <c r="L2412" s="9" t="str">
        <f t="shared" si="38"/>
        <v>F71596</v>
      </c>
      <c r="M2412" s="9"/>
      <c r="O2412" s="9"/>
    </row>
    <row r="2413" ht="15.75" customHeight="1">
      <c r="A2413" s="9" t="str">
        <f>IFERROR(__xludf.DUMMYFUNCTION("IF(B2413="""","""",RIGHT(REGEXREPLACE(B2413&amp;"""",""[^0-9]"",""""),9))"),"776736616")</f>
        <v>776736616</v>
      </c>
      <c r="B2413" s="48">
        <v>7.76736616E8</v>
      </c>
      <c r="C2413" s="10" t="s">
        <v>2517</v>
      </c>
      <c r="D2413" s="10" t="s">
        <v>120</v>
      </c>
      <c r="E2413" s="13">
        <v>46230.0</v>
      </c>
      <c r="F2413" s="10" t="s">
        <v>21</v>
      </c>
      <c r="I2413" s="10" t="s">
        <v>22</v>
      </c>
      <c r="J2413" s="9" t="str">
        <f t="shared" si="37"/>
        <v>No</v>
      </c>
      <c r="K2413" s="9" t="str">
        <f t="shared" si="36"/>
        <v/>
      </c>
      <c r="L2413" s="9" t="str">
        <f t="shared" si="38"/>
        <v/>
      </c>
      <c r="M2413" s="9"/>
      <c r="O2413" s="9"/>
    </row>
    <row r="2414" ht="15.75" customHeight="1">
      <c r="A2414" s="9" t="str">
        <f>IFERROR(__xludf.DUMMYFUNCTION("IF(B2414="""","""",RIGHT(REGEXREPLACE(B2414&amp;"""",""[^0-9]"",""""),9))"),"785477577")</f>
        <v>785477577</v>
      </c>
      <c r="B2414" s="48">
        <v>7.85477577E8</v>
      </c>
      <c r="C2414" s="10" t="s">
        <v>2518</v>
      </c>
      <c r="D2414" s="10" t="s">
        <v>69</v>
      </c>
      <c r="E2414" s="13">
        <v>46230.0</v>
      </c>
      <c r="F2414" s="10" t="s">
        <v>21</v>
      </c>
      <c r="I2414" s="10" t="s">
        <v>22</v>
      </c>
      <c r="J2414" s="9" t="str">
        <f t="shared" si="37"/>
        <v>No</v>
      </c>
      <c r="K2414" s="9" t="str">
        <f t="shared" si="36"/>
        <v/>
      </c>
      <c r="L2414" s="9" t="str">
        <f t="shared" si="38"/>
        <v/>
      </c>
      <c r="M2414" s="9"/>
      <c r="O2414" s="9"/>
    </row>
    <row r="2415" ht="15.75" customHeight="1">
      <c r="A2415" s="9" t="str">
        <f>IFERROR(__xludf.DUMMYFUNCTION("IF(B2415="""","""",RIGHT(REGEXREPLACE(B2415&amp;"""",""[^0-9]"",""""),9))"),"775840776")</f>
        <v>775840776</v>
      </c>
      <c r="B2415" s="48">
        <v>7.75840776E8</v>
      </c>
      <c r="C2415" s="10" t="s">
        <v>2519</v>
      </c>
      <c r="D2415" s="10" t="s">
        <v>97</v>
      </c>
      <c r="E2415" s="13">
        <v>46230.0</v>
      </c>
      <c r="F2415" s="10" t="s">
        <v>35</v>
      </c>
      <c r="G2415" s="10">
        <v>11.0</v>
      </c>
      <c r="I2415" s="10" t="s">
        <v>22</v>
      </c>
      <c r="J2415" s="9" t="str">
        <f t="shared" si="37"/>
        <v>No</v>
      </c>
      <c r="K2415" s="9" t="str">
        <f t="shared" si="36"/>
        <v/>
      </c>
      <c r="L2415" s="9" t="str">
        <f t="shared" si="38"/>
        <v/>
      </c>
      <c r="M2415" s="9"/>
      <c r="O2415" s="9"/>
    </row>
    <row r="2416" ht="15.75" customHeight="1">
      <c r="A2416" s="9" t="str">
        <f>IFERROR(__xludf.DUMMYFUNCTION("IF(B2416="""","""",RIGHT(REGEXREPLACE(B2416&amp;"""",""[^0-9]"",""""),9))"),"713497040")</f>
        <v>713497040</v>
      </c>
      <c r="B2416" s="48">
        <v>7.1349704E8</v>
      </c>
      <c r="C2416" s="10" t="s">
        <v>2520</v>
      </c>
      <c r="D2416" s="10" t="s">
        <v>120</v>
      </c>
      <c r="E2416" s="13">
        <v>46230.0</v>
      </c>
      <c r="F2416" s="10" t="s">
        <v>145</v>
      </c>
      <c r="G2416" s="10" t="s">
        <v>2521</v>
      </c>
      <c r="I2416" s="10" t="s">
        <v>22</v>
      </c>
      <c r="J2416" s="9" t="str">
        <f t="shared" si="37"/>
        <v>No</v>
      </c>
      <c r="K2416" s="9" t="str">
        <f t="shared" si="36"/>
        <v/>
      </c>
      <c r="L2416" s="9" t="str">
        <f t="shared" si="38"/>
        <v/>
      </c>
      <c r="M2416" s="9"/>
      <c r="O2416" s="9"/>
    </row>
    <row r="2417" ht="15.75" customHeight="1">
      <c r="A2417" s="9" t="str">
        <f>IFERROR(__xludf.DUMMYFUNCTION("IF(B2417="""","""",RIGHT(REGEXREPLACE(B2417&amp;"""",""[^0-9]"",""""),9))"),"753197508")</f>
        <v>753197508</v>
      </c>
      <c r="B2417" s="48">
        <v>7.53197508E8</v>
      </c>
      <c r="C2417" s="10" t="s">
        <v>2522</v>
      </c>
      <c r="D2417" s="10" t="s">
        <v>69</v>
      </c>
      <c r="E2417" s="13">
        <v>46230.0</v>
      </c>
      <c r="F2417" s="10" t="s">
        <v>198</v>
      </c>
      <c r="I2417" s="10" t="s">
        <v>22</v>
      </c>
      <c r="J2417" s="9" t="str">
        <f t="shared" si="37"/>
        <v>No</v>
      </c>
      <c r="K2417" s="9" t="str">
        <f t="shared" si="36"/>
        <v/>
      </c>
      <c r="L2417" s="9" t="str">
        <f t="shared" si="38"/>
        <v/>
      </c>
      <c r="M2417" s="9"/>
      <c r="O2417" s="9"/>
    </row>
    <row r="2418" ht="15.75" customHeight="1">
      <c r="A2418" s="9" t="str">
        <f>IFERROR(__xludf.DUMMYFUNCTION("IF(B2418="""","""",RIGHT(REGEXREPLACE(B2418&amp;"""",""[^0-9]"",""""),9))"),"778513095")</f>
        <v>778513095</v>
      </c>
      <c r="B2418" s="48">
        <v>7.78513095E8</v>
      </c>
      <c r="C2418" s="10" t="s">
        <v>2522</v>
      </c>
      <c r="D2418" s="10" t="s">
        <v>34</v>
      </c>
      <c r="E2418" s="13">
        <v>46230.0</v>
      </c>
      <c r="F2418" s="10" t="s">
        <v>35</v>
      </c>
      <c r="G2418" s="10">
        <v>11.0</v>
      </c>
      <c r="I2418" s="10" t="s">
        <v>22</v>
      </c>
      <c r="J2418" s="9" t="str">
        <f t="shared" si="37"/>
        <v>No</v>
      </c>
      <c r="K2418" s="9" t="str">
        <f t="shared" si="36"/>
        <v/>
      </c>
      <c r="L2418" s="9" t="str">
        <f t="shared" si="38"/>
        <v/>
      </c>
      <c r="M2418" s="9"/>
      <c r="O2418" s="9"/>
    </row>
    <row r="2419" ht="15.75" customHeight="1">
      <c r="A2419" s="9" t="str">
        <f>IFERROR(__xludf.DUMMYFUNCTION("IF(B2419="""","""",RIGHT(REGEXREPLACE(B2419&amp;"""",""[^0-9]"",""""),9))"),"763500088")</f>
        <v>763500088</v>
      </c>
      <c r="B2419" s="48">
        <v>7.63500088E8</v>
      </c>
      <c r="C2419" s="10" t="s">
        <v>2523</v>
      </c>
      <c r="D2419" s="10" t="s">
        <v>69</v>
      </c>
      <c r="E2419" s="13">
        <v>46230.0</v>
      </c>
      <c r="F2419" s="10" t="s">
        <v>35</v>
      </c>
      <c r="G2419" s="10">
        <v>11.0</v>
      </c>
      <c r="H2419" s="10" t="s">
        <v>716</v>
      </c>
      <c r="I2419" s="10" t="s">
        <v>22</v>
      </c>
      <c r="J2419" s="9" t="str">
        <f t="shared" si="37"/>
        <v>No</v>
      </c>
      <c r="K2419" s="9" t="str">
        <f t="shared" si="36"/>
        <v/>
      </c>
      <c r="L2419" s="9" t="str">
        <f t="shared" si="38"/>
        <v/>
      </c>
      <c r="M2419" s="9"/>
      <c r="O2419" s="9"/>
    </row>
    <row r="2420" ht="15.75" customHeight="1">
      <c r="A2420" s="9" t="str">
        <f>IFERROR(__xludf.DUMMYFUNCTION("IF(B2420="""","""",RIGHT(REGEXREPLACE(B2420&amp;"""",""[^0-9]"",""""),9))"),"768449723")</f>
        <v>768449723</v>
      </c>
      <c r="B2420" s="48">
        <v>7.68449723E8</v>
      </c>
      <c r="C2420" s="10" t="s">
        <v>1883</v>
      </c>
      <c r="D2420" s="10" t="s">
        <v>50</v>
      </c>
      <c r="E2420" s="13">
        <v>46230.0</v>
      </c>
      <c r="F2420" s="10" t="s">
        <v>35</v>
      </c>
      <c r="G2420" s="10">
        <v>11.0</v>
      </c>
      <c r="H2420" s="10" t="s">
        <v>622</v>
      </c>
      <c r="I2420" s="10" t="s">
        <v>22</v>
      </c>
      <c r="J2420" s="9" t="str">
        <f t="shared" si="37"/>
        <v>Yes - see Previous F-Code</v>
      </c>
      <c r="K2420" s="9" t="str">
        <f t="shared" si="36"/>
        <v>DUPLICATE - CHECK</v>
      </c>
      <c r="L2420" s="9" t="str">
        <f t="shared" si="38"/>
        <v>F71667</v>
      </c>
      <c r="M2420" s="9"/>
      <c r="O2420" s="9"/>
    </row>
    <row r="2421" ht="15.75" customHeight="1">
      <c r="A2421" s="9" t="str">
        <f>IFERROR(__xludf.DUMMYFUNCTION("IF(B2421="""","""",RIGHT(REGEXREPLACE(B2421&amp;"""",""[^0-9]"",""""),9))"),"765258534")</f>
        <v>765258534</v>
      </c>
      <c r="B2421" s="48">
        <v>7.65258534E8</v>
      </c>
      <c r="C2421" s="10" t="s">
        <v>2524</v>
      </c>
      <c r="D2421" s="10" t="s">
        <v>34</v>
      </c>
      <c r="E2421" s="13">
        <v>46230.0</v>
      </c>
      <c r="F2421" s="10" t="s">
        <v>35</v>
      </c>
      <c r="G2421" s="10">
        <v>7.0</v>
      </c>
      <c r="I2421" s="10" t="s">
        <v>22</v>
      </c>
      <c r="J2421" s="9" t="str">
        <f t="shared" si="37"/>
        <v>No</v>
      </c>
      <c r="K2421" s="9" t="str">
        <f t="shared" si="36"/>
        <v/>
      </c>
      <c r="L2421" s="9" t="str">
        <f t="shared" si="38"/>
        <v/>
      </c>
      <c r="M2421" s="9"/>
      <c r="O2421" s="9"/>
    </row>
    <row r="2422" ht="15.75" customHeight="1">
      <c r="A2422" s="9" t="str">
        <f>IFERROR(__xludf.DUMMYFUNCTION("IF(B2422="""","""",RIGHT(REGEXREPLACE(B2422&amp;"""",""[^0-9]"",""""),9))"),"783071533")</f>
        <v>783071533</v>
      </c>
      <c r="B2422" s="48">
        <v>7.83071533E8</v>
      </c>
      <c r="C2422" s="10" t="s">
        <v>2520</v>
      </c>
      <c r="D2422" s="10" t="s">
        <v>69</v>
      </c>
      <c r="E2422" s="13">
        <v>46230.0</v>
      </c>
      <c r="F2422" s="10" t="s">
        <v>198</v>
      </c>
      <c r="I2422" s="10" t="s">
        <v>22</v>
      </c>
      <c r="J2422" s="9" t="str">
        <f t="shared" si="37"/>
        <v>No</v>
      </c>
      <c r="K2422" s="9" t="str">
        <f t="shared" si="36"/>
        <v/>
      </c>
      <c r="L2422" s="9" t="str">
        <f t="shared" si="38"/>
        <v/>
      </c>
      <c r="M2422" s="9"/>
      <c r="O2422" s="9"/>
    </row>
    <row r="2423" ht="15.75" customHeight="1">
      <c r="A2423" s="9" t="str">
        <f>IFERROR(__xludf.DUMMYFUNCTION("IF(B2423="""","""",RIGHT(REGEXREPLACE(B2423&amp;"""",""[^0-9]"",""""),9))"),"743508126")</f>
        <v>743508126</v>
      </c>
      <c r="B2423" s="48">
        <v>7.43508126E8</v>
      </c>
      <c r="C2423" s="10" t="s">
        <v>2525</v>
      </c>
      <c r="D2423" s="10" t="s">
        <v>120</v>
      </c>
      <c r="E2423" s="13">
        <v>46230.0</v>
      </c>
      <c r="F2423" s="10" t="s">
        <v>21</v>
      </c>
      <c r="H2423" s="10" t="s">
        <v>2526</v>
      </c>
      <c r="I2423" s="10" t="s">
        <v>22</v>
      </c>
      <c r="J2423" s="9" t="str">
        <f t="shared" si="37"/>
        <v>No</v>
      </c>
      <c r="K2423" s="9" t="str">
        <f t="shared" si="36"/>
        <v/>
      </c>
      <c r="L2423" s="9" t="str">
        <f t="shared" si="38"/>
        <v/>
      </c>
      <c r="M2423" s="9"/>
      <c r="O2423" s="9"/>
    </row>
    <row r="2424" ht="15.75" customHeight="1">
      <c r="A2424" s="9" t="str">
        <f>IFERROR(__xludf.DUMMYFUNCTION("IF(B2424="""","""",RIGHT(REGEXREPLACE(B2424&amp;"""",""[^0-9]"",""""),9))"),"777572656")</f>
        <v>777572656</v>
      </c>
      <c r="B2424" s="48">
        <v>7.77572656E8</v>
      </c>
      <c r="C2424" s="10" t="s">
        <v>2527</v>
      </c>
      <c r="D2424" s="10" t="s">
        <v>34</v>
      </c>
      <c r="E2424" s="13">
        <v>46230.0</v>
      </c>
      <c r="F2424" s="10" t="s">
        <v>35</v>
      </c>
      <c r="G2424" s="10">
        <v>11.0</v>
      </c>
      <c r="I2424" s="10" t="s">
        <v>22</v>
      </c>
      <c r="J2424" s="9" t="str">
        <f t="shared" si="37"/>
        <v>No</v>
      </c>
      <c r="K2424" s="9" t="str">
        <f t="shared" si="36"/>
        <v/>
      </c>
      <c r="L2424" s="9" t="str">
        <f t="shared" si="38"/>
        <v/>
      </c>
      <c r="M2424" s="9"/>
      <c r="O2424" s="9"/>
    </row>
    <row r="2425" ht="15.75" customHeight="1">
      <c r="A2425" s="9" t="str">
        <f>IFERROR(__xludf.DUMMYFUNCTION("IF(B2425="""","""",RIGHT(REGEXREPLACE(B2425&amp;"""",""[^0-9]"",""""),9))"),"761675086")</f>
        <v>761675086</v>
      </c>
      <c r="B2425" s="48">
        <v>7.61675086E8</v>
      </c>
      <c r="C2425" s="10" t="s">
        <v>2528</v>
      </c>
      <c r="D2425" s="10" t="s">
        <v>69</v>
      </c>
      <c r="E2425" s="13">
        <v>46230.0</v>
      </c>
      <c r="F2425" s="10" t="s">
        <v>542</v>
      </c>
      <c r="G2425" s="10">
        <v>11.0</v>
      </c>
      <c r="H2425" s="10" t="s">
        <v>2529</v>
      </c>
      <c r="I2425" s="10" t="s">
        <v>22</v>
      </c>
      <c r="J2425" s="9" t="str">
        <f t="shared" si="37"/>
        <v>No</v>
      </c>
      <c r="K2425" s="9" t="str">
        <f t="shared" si="36"/>
        <v/>
      </c>
      <c r="L2425" s="9" t="str">
        <f t="shared" si="38"/>
        <v/>
      </c>
      <c r="M2425" s="9"/>
      <c r="O2425" s="9"/>
    </row>
    <row r="2426" ht="15.75" customHeight="1">
      <c r="A2426" s="9" t="str">
        <f>IFERROR(__xludf.DUMMYFUNCTION("IF(B2426="""","""",RIGHT(REGEXREPLACE(B2426&amp;"""",""[^0-9]"",""""),9))"),"778812193")</f>
        <v>778812193</v>
      </c>
      <c r="B2426" s="48">
        <v>7.78812193E8</v>
      </c>
      <c r="C2426" s="10" t="s">
        <v>2530</v>
      </c>
      <c r="D2426" s="10" t="s">
        <v>50</v>
      </c>
      <c r="E2426" s="13">
        <v>46230.0</v>
      </c>
      <c r="F2426" s="10" t="s">
        <v>35</v>
      </c>
      <c r="G2426" s="10">
        <v>11.0</v>
      </c>
      <c r="H2426" s="10" t="s">
        <v>622</v>
      </c>
      <c r="I2426" s="10" t="s">
        <v>22</v>
      </c>
      <c r="J2426" s="9" t="str">
        <f t="shared" si="37"/>
        <v>No</v>
      </c>
      <c r="K2426" s="9" t="str">
        <f t="shared" si="36"/>
        <v/>
      </c>
      <c r="L2426" s="9" t="str">
        <f t="shared" si="38"/>
        <v/>
      </c>
      <c r="M2426" s="9"/>
      <c r="O2426" s="9"/>
    </row>
    <row r="2427" ht="15.75" customHeight="1">
      <c r="A2427" s="9" t="str">
        <f>IFERROR(__xludf.DUMMYFUNCTION("IF(B2427="""","""",RIGHT(REGEXREPLACE(B2427&amp;"""",""[^0-9]"",""""),9))"),"763525353")</f>
        <v>763525353</v>
      </c>
      <c r="B2427" s="48">
        <v>7.63525353E8</v>
      </c>
      <c r="C2427" s="10" t="s">
        <v>2531</v>
      </c>
      <c r="D2427" s="10" t="s">
        <v>34</v>
      </c>
      <c r="E2427" s="13">
        <v>46230.0</v>
      </c>
      <c r="F2427" s="10" t="s">
        <v>21</v>
      </c>
      <c r="H2427" s="10" t="s">
        <v>622</v>
      </c>
      <c r="I2427" s="10" t="s">
        <v>22</v>
      </c>
      <c r="J2427" s="9" t="str">
        <f t="shared" si="37"/>
        <v>No</v>
      </c>
      <c r="K2427" s="9" t="str">
        <f t="shared" si="36"/>
        <v/>
      </c>
      <c r="L2427" s="9" t="str">
        <f t="shared" si="38"/>
        <v/>
      </c>
      <c r="M2427" s="9"/>
      <c r="O2427" s="9"/>
    </row>
    <row r="2428" ht="15.75" customHeight="1">
      <c r="A2428" s="9" t="str">
        <f>IFERROR(__xludf.DUMMYFUNCTION("IF(B2428="""","""",RIGHT(REGEXREPLACE(B2428&amp;"""",""[^0-9]"",""""),9))"),"717546458")</f>
        <v>717546458</v>
      </c>
      <c r="B2428" s="48">
        <v>7.17546458E8</v>
      </c>
      <c r="C2428" s="10" t="s">
        <v>2532</v>
      </c>
      <c r="D2428" s="10" t="s">
        <v>97</v>
      </c>
      <c r="E2428" s="13">
        <v>46230.0</v>
      </c>
      <c r="F2428" s="10" t="s">
        <v>35</v>
      </c>
      <c r="G2428" s="10">
        <v>11.0</v>
      </c>
      <c r="H2428" s="10" t="s">
        <v>622</v>
      </c>
      <c r="I2428" s="10" t="s">
        <v>22</v>
      </c>
      <c r="J2428" s="9" t="str">
        <f t="shared" si="37"/>
        <v>No</v>
      </c>
      <c r="K2428" s="9" t="str">
        <f t="shared" si="36"/>
        <v/>
      </c>
      <c r="L2428" s="9" t="str">
        <f t="shared" si="38"/>
        <v/>
      </c>
      <c r="M2428" s="9"/>
      <c r="O2428" s="9"/>
    </row>
    <row r="2429" ht="15.75" customHeight="1">
      <c r="A2429" s="9" t="str">
        <f>IFERROR(__xludf.DUMMYFUNCTION("IF(B2429="""","""",RIGHT(REGEXREPLACE(B2429&amp;"""",""[^0-9]"",""""),9))"),"740384853")</f>
        <v>740384853</v>
      </c>
      <c r="B2429" s="48">
        <v>7.40384853E8</v>
      </c>
      <c r="C2429" s="10" t="s">
        <v>2533</v>
      </c>
      <c r="D2429" s="10" t="s">
        <v>34</v>
      </c>
      <c r="E2429" s="13">
        <v>46230.0</v>
      </c>
      <c r="F2429" s="10" t="s">
        <v>35</v>
      </c>
      <c r="G2429" s="10">
        <v>9.0</v>
      </c>
      <c r="H2429" s="10" t="s">
        <v>2534</v>
      </c>
      <c r="I2429" s="10" t="s">
        <v>22</v>
      </c>
      <c r="J2429" s="9" t="str">
        <f t="shared" si="37"/>
        <v>No</v>
      </c>
      <c r="K2429" s="9" t="str">
        <f t="shared" si="36"/>
        <v/>
      </c>
      <c r="L2429" s="9" t="str">
        <f t="shared" si="38"/>
        <v/>
      </c>
      <c r="M2429" s="9"/>
      <c r="O2429" s="9"/>
    </row>
    <row r="2430" ht="15.75" customHeight="1">
      <c r="A2430" s="9" t="str">
        <f>IFERROR(__xludf.DUMMYFUNCTION("IF(B2430="""","""",RIGHT(REGEXREPLACE(B2430&amp;"""",""[^0-9]"",""""),9))"),"755568520")</f>
        <v>755568520</v>
      </c>
      <c r="B2430" s="48">
        <v>7.5556852E8</v>
      </c>
      <c r="C2430" s="10" t="s">
        <v>2535</v>
      </c>
      <c r="D2430" s="10" t="s">
        <v>50</v>
      </c>
      <c r="E2430" s="13">
        <v>46230.0</v>
      </c>
      <c r="F2430" s="10" t="s">
        <v>35</v>
      </c>
      <c r="G2430" s="10">
        <v>11.0</v>
      </c>
      <c r="H2430" s="10" t="s">
        <v>2536</v>
      </c>
      <c r="I2430" s="10" t="s">
        <v>22</v>
      </c>
      <c r="J2430" s="9" t="str">
        <f t="shared" si="37"/>
        <v>No</v>
      </c>
      <c r="K2430" s="9" t="str">
        <f t="shared" si="36"/>
        <v/>
      </c>
      <c r="L2430" s="9" t="str">
        <f t="shared" si="38"/>
        <v/>
      </c>
      <c r="M2430" s="9"/>
      <c r="O2430" s="9"/>
    </row>
    <row r="2431" ht="15.75" customHeight="1">
      <c r="A2431" s="9" t="str">
        <f>IFERROR(__xludf.DUMMYFUNCTION("IF(B2431="""","""",RIGHT(REGEXREPLACE(B2431&amp;"""",""[^0-9]"",""""),9))"),"716261511")</f>
        <v>716261511</v>
      </c>
      <c r="B2431" s="48">
        <v>7.16261511E8</v>
      </c>
      <c r="C2431" s="10" t="s">
        <v>2537</v>
      </c>
      <c r="D2431" s="10" t="s">
        <v>97</v>
      </c>
      <c r="E2431" s="13">
        <v>46230.0</v>
      </c>
      <c r="F2431" s="10" t="s">
        <v>35</v>
      </c>
      <c r="I2431" s="10" t="s">
        <v>22</v>
      </c>
      <c r="J2431" s="9" t="str">
        <f t="shared" si="37"/>
        <v>No</v>
      </c>
      <c r="K2431" s="9" t="str">
        <f t="shared" si="36"/>
        <v/>
      </c>
      <c r="L2431" s="9" t="str">
        <f t="shared" si="38"/>
        <v/>
      </c>
      <c r="M2431" s="9"/>
      <c r="O2431" s="9"/>
    </row>
    <row r="2432" ht="15.75" customHeight="1">
      <c r="A2432" s="9" t="str">
        <f>IFERROR(__xludf.DUMMYFUNCTION("IF(B2432="""","""",RIGHT(REGEXREPLACE(B2432&amp;"""",""[^0-9]"",""""),9))"),"763127716")</f>
        <v>763127716</v>
      </c>
      <c r="B2432" s="48">
        <v>7.63127716E8</v>
      </c>
      <c r="C2432" s="10" t="s">
        <v>2538</v>
      </c>
      <c r="D2432" s="10" t="s">
        <v>120</v>
      </c>
      <c r="E2432" s="13">
        <v>46230.0</v>
      </c>
      <c r="F2432" s="10" t="s">
        <v>21</v>
      </c>
      <c r="H2432" s="10" t="s">
        <v>2526</v>
      </c>
      <c r="I2432" s="10" t="s">
        <v>22</v>
      </c>
      <c r="J2432" s="9" t="str">
        <f t="shared" si="37"/>
        <v>No</v>
      </c>
      <c r="K2432" s="9" t="str">
        <f t="shared" si="36"/>
        <v/>
      </c>
      <c r="L2432" s="9" t="str">
        <f t="shared" si="38"/>
        <v/>
      </c>
      <c r="M2432" s="9"/>
      <c r="O2432" s="9"/>
    </row>
    <row r="2433" ht="15.75" customHeight="1">
      <c r="A2433" s="9" t="str">
        <f>IFERROR(__xludf.DUMMYFUNCTION("IF(B2433="""","""",RIGHT(REGEXREPLACE(B2433&amp;"""",""[^0-9]"",""""),9))"),"718373891")</f>
        <v>718373891</v>
      </c>
      <c r="B2433" s="48">
        <v>7.18373891E8</v>
      </c>
      <c r="C2433" s="10" t="s">
        <v>2539</v>
      </c>
      <c r="D2433" s="10" t="s">
        <v>50</v>
      </c>
      <c r="E2433" s="13">
        <v>46230.0</v>
      </c>
      <c r="F2433" s="10" t="s">
        <v>35</v>
      </c>
      <c r="G2433" s="10">
        <v>11.0</v>
      </c>
      <c r="H2433" s="10" t="s">
        <v>622</v>
      </c>
      <c r="I2433" s="10" t="s">
        <v>22</v>
      </c>
      <c r="J2433" s="9" t="str">
        <f t="shared" si="37"/>
        <v>No</v>
      </c>
      <c r="K2433" s="9" t="str">
        <f t="shared" si="36"/>
        <v/>
      </c>
      <c r="L2433" s="9" t="str">
        <f t="shared" si="38"/>
        <v/>
      </c>
      <c r="M2433" s="9"/>
      <c r="O2433" s="9"/>
    </row>
    <row r="2434" ht="15.75" customHeight="1">
      <c r="A2434" s="9" t="str">
        <f>IFERROR(__xludf.DUMMYFUNCTION("IF(B2434="""","""",RIGHT(REGEXREPLACE(B2434&amp;"""",""[^0-9]"",""""),9))"),"715410750")</f>
        <v>715410750</v>
      </c>
      <c r="B2434" s="48">
        <v>7.1541075E8</v>
      </c>
      <c r="C2434" s="10" t="s">
        <v>2540</v>
      </c>
      <c r="D2434" s="10" t="s">
        <v>34</v>
      </c>
      <c r="E2434" s="13">
        <v>46230.0</v>
      </c>
      <c r="F2434" s="10" t="s">
        <v>21</v>
      </c>
      <c r="H2434" s="10" t="s">
        <v>622</v>
      </c>
      <c r="I2434" s="10" t="s">
        <v>22</v>
      </c>
      <c r="J2434" s="9" t="str">
        <f t="shared" si="37"/>
        <v>No</v>
      </c>
      <c r="K2434" s="9" t="str">
        <f t="shared" si="36"/>
        <v/>
      </c>
      <c r="L2434" s="9" t="str">
        <f t="shared" si="38"/>
        <v/>
      </c>
      <c r="M2434" s="9"/>
      <c r="O2434" s="9"/>
    </row>
    <row r="2435" ht="15.75" customHeight="1">
      <c r="A2435" s="9" t="str">
        <f>IFERROR(__xludf.DUMMYFUNCTION("IF(B2435="""","""",RIGHT(REGEXREPLACE(B2435&amp;"""",""[^0-9]"",""""),9))"),"775266458")</f>
        <v>775266458</v>
      </c>
      <c r="B2435" s="48">
        <v>7.75266458E8</v>
      </c>
      <c r="C2435" s="10" t="s">
        <v>2541</v>
      </c>
      <c r="D2435" s="10" t="s">
        <v>120</v>
      </c>
      <c r="E2435" s="13">
        <v>46230.0</v>
      </c>
      <c r="F2435" s="10" t="s">
        <v>21</v>
      </c>
      <c r="I2435" s="10" t="s">
        <v>22</v>
      </c>
      <c r="J2435" s="9" t="str">
        <f t="shared" si="37"/>
        <v>No</v>
      </c>
      <c r="K2435" s="9" t="str">
        <f t="shared" si="36"/>
        <v/>
      </c>
      <c r="L2435" s="9" t="str">
        <f t="shared" si="38"/>
        <v/>
      </c>
      <c r="M2435" s="9"/>
      <c r="O2435" s="9"/>
    </row>
    <row r="2436" ht="15.75" customHeight="1">
      <c r="A2436" s="9" t="str">
        <f>IFERROR(__xludf.DUMMYFUNCTION("IF(B2436="""","""",RIGHT(REGEXREPLACE(B2436&amp;"""",""[^0-9]"",""""),9))"),"770514071")</f>
        <v>770514071</v>
      </c>
      <c r="B2436" s="48">
        <v>7.70514071E8</v>
      </c>
      <c r="C2436" s="10" t="s">
        <v>2542</v>
      </c>
      <c r="D2436" s="10" t="s">
        <v>69</v>
      </c>
      <c r="E2436" s="13">
        <v>46230.0</v>
      </c>
      <c r="F2436" s="10" t="s">
        <v>21</v>
      </c>
      <c r="I2436" s="10" t="s">
        <v>22</v>
      </c>
      <c r="J2436" s="9" t="str">
        <f t="shared" si="37"/>
        <v>No</v>
      </c>
      <c r="K2436" s="9" t="str">
        <f t="shared" si="36"/>
        <v/>
      </c>
      <c r="L2436" s="9" t="str">
        <f t="shared" si="38"/>
        <v/>
      </c>
      <c r="M2436" s="9"/>
      <c r="O2436" s="9"/>
    </row>
    <row r="2437" ht="15.75" customHeight="1">
      <c r="A2437" s="9" t="str">
        <f>IFERROR(__xludf.DUMMYFUNCTION("IF(B2437="""","""",RIGHT(REGEXREPLACE(B2437&amp;"""",""[^0-9]"",""""),9))"),"765575557")</f>
        <v>765575557</v>
      </c>
      <c r="B2437" s="48">
        <v>7.65575557E8</v>
      </c>
      <c r="C2437" s="10" t="s">
        <v>2543</v>
      </c>
      <c r="D2437" s="10" t="s">
        <v>34</v>
      </c>
      <c r="E2437" s="13">
        <v>46230.0</v>
      </c>
      <c r="F2437" s="10" t="s">
        <v>21</v>
      </c>
      <c r="I2437" s="10" t="s">
        <v>22</v>
      </c>
      <c r="J2437" s="9" t="str">
        <f t="shared" si="37"/>
        <v>No</v>
      </c>
      <c r="K2437" s="9" t="str">
        <f t="shared" si="36"/>
        <v/>
      </c>
      <c r="L2437" s="9" t="str">
        <f t="shared" si="38"/>
        <v/>
      </c>
      <c r="M2437" s="9"/>
      <c r="O2437" s="9"/>
    </row>
    <row r="2438" ht="15.75" customHeight="1">
      <c r="A2438" s="9" t="str">
        <f>IFERROR(__xludf.DUMMYFUNCTION("IF(B2438="""","""",RIGHT(REGEXREPLACE(B2438&amp;"""",""[^0-9]"",""""),9))"),"719835853")</f>
        <v>719835853</v>
      </c>
      <c r="B2438" s="48">
        <v>7.19835853E8</v>
      </c>
      <c r="C2438" s="10" t="s">
        <v>2544</v>
      </c>
      <c r="D2438" s="10" t="s">
        <v>50</v>
      </c>
      <c r="E2438" s="13">
        <v>46230.0</v>
      </c>
      <c r="F2438" s="10" t="s">
        <v>35</v>
      </c>
      <c r="G2438" s="10">
        <v>9.0</v>
      </c>
      <c r="H2438" s="10" t="s">
        <v>622</v>
      </c>
      <c r="I2438" s="10" t="s">
        <v>22</v>
      </c>
      <c r="J2438" s="9" t="str">
        <f t="shared" si="37"/>
        <v>No</v>
      </c>
      <c r="K2438" s="9" t="str">
        <f t="shared" si="36"/>
        <v/>
      </c>
      <c r="L2438" s="9" t="str">
        <f t="shared" si="38"/>
        <v/>
      </c>
      <c r="M2438" s="9"/>
      <c r="O2438" s="9"/>
    </row>
    <row r="2439" ht="15.75" customHeight="1">
      <c r="A2439" s="9" t="str">
        <f>IFERROR(__xludf.DUMMYFUNCTION("IF(B2439="""","""",RIGHT(REGEXREPLACE(B2439&amp;"""",""[^0-9]"",""""),9))"),"728267055")</f>
        <v>728267055</v>
      </c>
      <c r="B2439" s="48">
        <v>7.28267055E8</v>
      </c>
      <c r="C2439" s="10" t="s">
        <v>2545</v>
      </c>
      <c r="D2439" s="10" t="s">
        <v>120</v>
      </c>
      <c r="E2439" s="13">
        <v>46230.0</v>
      </c>
      <c r="F2439" s="10" t="s">
        <v>35</v>
      </c>
      <c r="G2439" s="10">
        <v>11.0</v>
      </c>
      <c r="H2439" s="10" t="s">
        <v>2526</v>
      </c>
      <c r="I2439" s="10" t="s">
        <v>22</v>
      </c>
      <c r="J2439" s="9" t="str">
        <f t="shared" si="37"/>
        <v>No</v>
      </c>
      <c r="K2439" s="9" t="str">
        <f t="shared" si="36"/>
        <v/>
      </c>
      <c r="L2439" s="9" t="str">
        <f t="shared" si="38"/>
        <v/>
      </c>
      <c r="M2439" s="9"/>
      <c r="O2439" s="9"/>
    </row>
    <row r="2440" ht="15.75" customHeight="1">
      <c r="A2440" s="9" t="str">
        <f>IFERROR(__xludf.DUMMYFUNCTION("IF(B2440="""","""",RIGHT(REGEXREPLACE(B2440&amp;"""",""[^0-9]"",""""),9))"),"775730161")</f>
        <v>775730161</v>
      </c>
      <c r="B2440" s="48">
        <v>7.75730161E8</v>
      </c>
      <c r="C2440" s="10" t="s">
        <v>2525</v>
      </c>
      <c r="D2440" s="10" t="s">
        <v>69</v>
      </c>
      <c r="E2440" s="13">
        <v>46230.0</v>
      </c>
      <c r="F2440" s="10" t="s">
        <v>21</v>
      </c>
      <c r="I2440" s="10" t="s">
        <v>22</v>
      </c>
      <c r="J2440" s="9" t="str">
        <f t="shared" si="37"/>
        <v>No</v>
      </c>
      <c r="K2440" s="9" t="str">
        <f t="shared" si="36"/>
        <v/>
      </c>
      <c r="L2440" s="9" t="str">
        <f t="shared" si="38"/>
        <v/>
      </c>
      <c r="M2440" s="9"/>
      <c r="O2440" s="9"/>
    </row>
    <row r="2441" ht="15.75" customHeight="1">
      <c r="A2441" s="9" t="str">
        <f>IFERROR(__xludf.DUMMYFUNCTION("IF(B2441="""","""",RIGHT(REGEXREPLACE(B2441&amp;"""",""[^0-9]"",""""),9))"),"773986830")</f>
        <v>773986830</v>
      </c>
      <c r="B2441" s="48">
        <v>7.7398683E8</v>
      </c>
      <c r="C2441" s="10" t="s">
        <v>2546</v>
      </c>
      <c r="D2441" s="10" t="s">
        <v>50</v>
      </c>
      <c r="E2441" s="13">
        <v>46230.0</v>
      </c>
      <c r="F2441" s="10" t="s">
        <v>35</v>
      </c>
      <c r="H2441" s="10" t="s">
        <v>622</v>
      </c>
      <c r="I2441" s="10" t="s">
        <v>22</v>
      </c>
      <c r="J2441" s="9" t="str">
        <f t="shared" si="37"/>
        <v>No</v>
      </c>
      <c r="K2441" s="9" t="str">
        <f t="shared" si="36"/>
        <v/>
      </c>
      <c r="L2441" s="9" t="str">
        <f t="shared" si="38"/>
        <v/>
      </c>
      <c r="M2441" s="9"/>
      <c r="O2441" s="9"/>
    </row>
    <row r="2442" ht="15.75" customHeight="1">
      <c r="A2442" s="9" t="str">
        <f>IFERROR(__xludf.DUMMYFUNCTION("IF(B2442="""","""",RIGHT(REGEXREPLACE(B2442&amp;"""",""[^0-9]"",""""),9))"),"781800536")</f>
        <v>781800536</v>
      </c>
      <c r="B2442" s="48">
        <v>7.81800536E8</v>
      </c>
      <c r="C2442" s="10" t="s">
        <v>2547</v>
      </c>
      <c r="D2442" s="10" t="s">
        <v>97</v>
      </c>
      <c r="E2442" s="13">
        <v>46230.0</v>
      </c>
      <c r="F2442" s="10" t="s">
        <v>21</v>
      </c>
      <c r="I2442" s="10" t="s">
        <v>22</v>
      </c>
      <c r="J2442" s="9" t="str">
        <f t="shared" si="37"/>
        <v>No</v>
      </c>
      <c r="K2442" s="9" t="str">
        <f t="shared" si="36"/>
        <v/>
      </c>
      <c r="L2442" s="9" t="str">
        <f t="shared" si="38"/>
        <v/>
      </c>
      <c r="M2442" s="9"/>
      <c r="O2442" s="9"/>
    </row>
    <row r="2443" ht="15.75" customHeight="1">
      <c r="A2443" s="9" t="str">
        <f>IFERROR(__xludf.DUMMYFUNCTION("IF(B2443="""","""",RIGHT(REGEXREPLACE(B2443&amp;"""",""[^0-9]"",""""),9))"),"773559800")</f>
        <v>773559800</v>
      </c>
      <c r="B2443" s="48">
        <v>7.735598E8</v>
      </c>
      <c r="C2443" s="10" t="s">
        <v>2548</v>
      </c>
      <c r="D2443" s="10" t="s">
        <v>120</v>
      </c>
      <c r="E2443" s="13">
        <v>46230.0</v>
      </c>
      <c r="F2443" s="10" t="s">
        <v>35</v>
      </c>
      <c r="G2443" s="10">
        <v>11.0</v>
      </c>
      <c r="H2443" s="10" t="s">
        <v>2526</v>
      </c>
      <c r="I2443" s="10" t="s">
        <v>22</v>
      </c>
      <c r="J2443" s="9" t="str">
        <f t="shared" si="37"/>
        <v>No</v>
      </c>
      <c r="K2443" s="9" t="str">
        <f t="shared" si="36"/>
        <v/>
      </c>
      <c r="L2443" s="9" t="str">
        <f t="shared" si="38"/>
        <v/>
      </c>
      <c r="M2443" s="9"/>
      <c r="O2443" s="9"/>
    </row>
    <row r="2444" ht="15.75" customHeight="1">
      <c r="A2444" s="9" t="str">
        <f>IFERROR(__xludf.DUMMYFUNCTION("IF(B2444="""","""",RIGHT(REGEXREPLACE(B2444&amp;"""",""[^0-9]"",""""),9))"),"765663198")</f>
        <v>765663198</v>
      </c>
      <c r="B2444" s="48">
        <v>7.65663198E8</v>
      </c>
      <c r="C2444" s="10" t="s">
        <v>2549</v>
      </c>
      <c r="D2444" s="10" t="s">
        <v>50</v>
      </c>
      <c r="E2444" s="13">
        <v>46230.0</v>
      </c>
      <c r="F2444" s="10" t="s">
        <v>35</v>
      </c>
      <c r="G2444" s="10">
        <v>11.0</v>
      </c>
      <c r="H2444" s="10" t="s">
        <v>622</v>
      </c>
      <c r="I2444" s="10" t="s">
        <v>22</v>
      </c>
      <c r="J2444" s="9" t="str">
        <f t="shared" si="37"/>
        <v>No</v>
      </c>
      <c r="K2444" s="9" t="str">
        <f t="shared" si="36"/>
        <v/>
      </c>
      <c r="L2444" s="9" t="str">
        <f t="shared" si="38"/>
        <v/>
      </c>
      <c r="M2444" s="9"/>
      <c r="O2444" s="9"/>
    </row>
    <row r="2445" ht="15.75" customHeight="1">
      <c r="A2445" s="9" t="str">
        <f>IFERROR(__xludf.DUMMYFUNCTION("IF(B2445="""","""",RIGHT(REGEXREPLACE(B2445&amp;"""",""[^0-9]"",""""),9))"),"711007063")</f>
        <v>711007063</v>
      </c>
      <c r="B2445" s="48">
        <v>7.11007063E8</v>
      </c>
      <c r="C2445" s="10" t="s">
        <v>2550</v>
      </c>
      <c r="D2445" s="10" t="s">
        <v>34</v>
      </c>
      <c r="E2445" s="13">
        <v>46230.0</v>
      </c>
      <c r="F2445" s="10" t="s">
        <v>198</v>
      </c>
      <c r="H2445" s="10" t="s">
        <v>622</v>
      </c>
      <c r="I2445" s="10" t="s">
        <v>22</v>
      </c>
      <c r="J2445" s="9" t="str">
        <f t="shared" si="37"/>
        <v>No</v>
      </c>
      <c r="K2445" s="9" t="str">
        <f t="shared" si="36"/>
        <v/>
      </c>
      <c r="L2445" s="9" t="str">
        <f t="shared" si="38"/>
        <v/>
      </c>
      <c r="M2445" s="9"/>
      <c r="O2445" s="9"/>
    </row>
    <row r="2446" ht="15.75" customHeight="1">
      <c r="A2446" s="9" t="str">
        <f>IFERROR(__xludf.DUMMYFUNCTION("IF(B2446="""","""",RIGHT(REGEXREPLACE(B2446&amp;"""",""[^0-9]"",""""),9))"),"761057547")</f>
        <v>761057547</v>
      </c>
      <c r="B2446" s="48">
        <v>7.61057547E8</v>
      </c>
      <c r="C2446" s="10" t="s">
        <v>1696</v>
      </c>
      <c r="D2446" s="10" t="s">
        <v>34</v>
      </c>
      <c r="E2446" s="13">
        <v>46230.0</v>
      </c>
      <c r="F2446" s="10" t="s">
        <v>21</v>
      </c>
      <c r="I2446" s="10" t="s">
        <v>22</v>
      </c>
      <c r="J2446" s="9" t="str">
        <f t="shared" si="37"/>
        <v>Yes - see Previous F-Code</v>
      </c>
      <c r="K2446" s="9" t="str">
        <f t="shared" si="36"/>
        <v>DUPLICATE - CHECK</v>
      </c>
      <c r="L2446" s="9" t="str">
        <f t="shared" si="38"/>
        <v>F71486</v>
      </c>
      <c r="M2446" s="9"/>
      <c r="O2446" s="9"/>
    </row>
    <row r="2447" ht="15.75" customHeight="1">
      <c r="A2447" s="9" t="str">
        <f>IFERROR(__xludf.DUMMYFUNCTION("IF(B2447="""","""",RIGHT(REGEXREPLACE(B2447&amp;"""",""[^0-9]"",""""),9))"),"773439617")</f>
        <v>773439617</v>
      </c>
      <c r="B2447" s="48">
        <v>7.73439617E8</v>
      </c>
      <c r="C2447" s="10" t="s">
        <v>2551</v>
      </c>
      <c r="D2447" s="10" t="s">
        <v>69</v>
      </c>
      <c r="E2447" s="13">
        <v>46230.0</v>
      </c>
      <c r="F2447" s="10" t="s">
        <v>35</v>
      </c>
      <c r="G2447" s="10">
        <v>11.0</v>
      </c>
      <c r="H2447" s="10" t="s">
        <v>600</v>
      </c>
      <c r="I2447" s="10" t="s">
        <v>22</v>
      </c>
      <c r="J2447" s="9" t="str">
        <f t="shared" si="37"/>
        <v>No</v>
      </c>
      <c r="K2447" s="9" t="str">
        <f t="shared" si="36"/>
        <v/>
      </c>
      <c r="L2447" s="9" t="str">
        <f t="shared" si="38"/>
        <v/>
      </c>
      <c r="M2447" s="9"/>
      <c r="O2447" s="9"/>
    </row>
    <row r="2448" ht="15.75" customHeight="1">
      <c r="A2448" s="9" t="str">
        <f>IFERROR(__xludf.DUMMYFUNCTION("IF(B2448="""","""",RIGHT(REGEXREPLACE(B2448&amp;"""",""[^0-9]"",""""),9))"),"775178013")</f>
        <v>775178013</v>
      </c>
      <c r="B2448" s="48">
        <v>7.75178013E8</v>
      </c>
      <c r="C2448" s="10" t="s">
        <v>2552</v>
      </c>
      <c r="D2448" s="10" t="s">
        <v>50</v>
      </c>
      <c r="E2448" s="13">
        <v>46230.0</v>
      </c>
      <c r="F2448" s="10" t="s">
        <v>35</v>
      </c>
      <c r="G2448" s="10">
        <v>10.0</v>
      </c>
      <c r="H2448" s="10" t="s">
        <v>622</v>
      </c>
      <c r="I2448" s="10" t="s">
        <v>22</v>
      </c>
      <c r="J2448" s="9" t="str">
        <f t="shared" si="37"/>
        <v>No</v>
      </c>
      <c r="K2448" s="9" t="str">
        <f t="shared" si="36"/>
        <v/>
      </c>
      <c r="L2448" s="9" t="str">
        <f t="shared" si="38"/>
        <v/>
      </c>
      <c r="M2448" s="9"/>
      <c r="O2448" s="9"/>
    </row>
    <row r="2449" ht="15.75" customHeight="1">
      <c r="A2449" s="9" t="str">
        <f>IFERROR(__xludf.DUMMYFUNCTION("IF(B2449="""","""",RIGHT(REGEXREPLACE(B2449&amp;"""",""[^0-9]"",""""),9))"),"764456082")</f>
        <v>764456082</v>
      </c>
      <c r="B2449" s="48">
        <v>7.64456082E8</v>
      </c>
      <c r="C2449" s="10" t="s">
        <v>2553</v>
      </c>
      <c r="D2449" s="10" t="s">
        <v>120</v>
      </c>
      <c r="E2449" s="13">
        <v>46230.0</v>
      </c>
      <c r="F2449" s="10" t="s">
        <v>21</v>
      </c>
      <c r="H2449" s="10" t="s">
        <v>2526</v>
      </c>
      <c r="I2449" s="10" t="s">
        <v>22</v>
      </c>
      <c r="J2449" s="9" t="str">
        <f t="shared" si="37"/>
        <v>No</v>
      </c>
      <c r="K2449" s="9" t="str">
        <f t="shared" si="36"/>
        <v/>
      </c>
      <c r="L2449" s="9" t="str">
        <f t="shared" si="38"/>
        <v/>
      </c>
      <c r="M2449" s="9"/>
      <c r="O2449" s="9"/>
    </row>
    <row r="2450" ht="15.75" customHeight="1">
      <c r="A2450" s="9" t="str">
        <f>IFERROR(__xludf.DUMMYFUNCTION("IF(B2450="""","""",RIGHT(REGEXREPLACE(B2450&amp;"""",""[^0-9]"",""""),9))"),"773711781")</f>
        <v>773711781</v>
      </c>
      <c r="B2450" s="48">
        <v>7.73711781E8</v>
      </c>
      <c r="C2450" s="10" t="s">
        <v>2554</v>
      </c>
      <c r="D2450" s="10" t="s">
        <v>34</v>
      </c>
      <c r="E2450" s="13">
        <v>46230.0</v>
      </c>
      <c r="F2450" s="10" t="s">
        <v>145</v>
      </c>
      <c r="H2450" s="10" t="s">
        <v>2526</v>
      </c>
      <c r="I2450" s="10" t="s">
        <v>22</v>
      </c>
      <c r="J2450" s="9" t="str">
        <f t="shared" si="37"/>
        <v>No</v>
      </c>
      <c r="K2450" s="9" t="str">
        <f t="shared" si="36"/>
        <v/>
      </c>
      <c r="L2450" s="9" t="str">
        <f t="shared" si="38"/>
        <v/>
      </c>
      <c r="M2450" s="9"/>
      <c r="O2450" s="9"/>
    </row>
    <row r="2451" ht="15.75" customHeight="1">
      <c r="A2451" s="9" t="str">
        <f>IFERROR(__xludf.DUMMYFUNCTION("IF(B2451="""","""",RIGHT(REGEXREPLACE(B2451&amp;"""",""[^0-9]"",""""),9))"),"711476179")</f>
        <v>711476179</v>
      </c>
      <c r="B2451" s="48">
        <v>7.11476179E8</v>
      </c>
      <c r="C2451" s="10" t="s">
        <v>2555</v>
      </c>
      <c r="D2451" s="10" t="s">
        <v>69</v>
      </c>
      <c r="E2451" s="13">
        <v>46230.0</v>
      </c>
      <c r="F2451" s="10" t="s">
        <v>35</v>
      </c>
      <c r="G2451" s="10">
        <v>11.0</v>
      </c>
      <c r="I2451" s="10" t="s">
        <v>22</v>
      </c>
      <c r="J2451" s="9" t="str">
        <f t="shared" si="37"/>
        <v>No</v>
      </c>
      <c r="K2451" s="9" t="str">
        <f t="shared" si="36"/>
        <v/>
      </c>
      <c r="L2451" s="9" t="str">
        <f t="shared" si="38"/>
        <v/>
      </c>
      <c r="M2451" s="9"/>
      <c r="O2451" s="9"/>
    </row>
    <row r="2452" ht="15.75" customHeight="1">
      <c r="A2452" s="9" t="str">
        <f>IFERROR(__xludf.DUMMYFUNCTION("IF(B2452="""","""",RIGHT(REGEXREPLACE(B2452&amp;"""",""[^0-9]"",""""),9))"),"717934405")</f>
        <v>717934405</v>
      </c>
      <c r="B2452" s="48">
        <v>7.17934405E8</v>
      </c>
      <c r="C2452" s="10" t="s">
        <v>2556</v>
      </c>
      <c r="D2452" s="10" t="s">
        <v>120</v>
      </c>
      <c r="E2452" s="13">
        <v>46230.0</v>
      </c>
      <c r="F2452" s="10" t="s">
        <v>21</v>
      </c>
      <c r="H2452" s="10" t="s">
        <v>2526</v>
      </c>
      <c r="I2452" s="10" t="s">
        <v>22</v>
      </c>
      <c r="J2452" s="9" t="str">
        <f t="shared" si="37"/>
        <v>No</v>
      </c>
      <c r="K2452" s="9" t="str">
        <f t="shared" si="36"/>
        <v/>
      </c>
      <c r="L2452" s="9" t="str">
        <f t="shared" si="38"/>
        <v/>
      </c>
      <c r="M2452" s="9"/>
      <c r="O2452" s="9"/>
    </row>
    <row r="2453" ht="15.75" customHeight="1">
      <c r="A2453" s="9" t="str">
        <f>IFERROR(__xludf.DUMMYFUNCTION("IF(B2453="""","""",RIGHT(REGEXREPLACE(B2453&amp;"""",""[^0-9]"",""""),9))"),"711043185")</f>
        <v>711043185</v>
      </c>
      <c r="B2453" s="48">
        <v>7.11043185E8</v>
      </c>
      <c r="C2453" s="10" t="s">
        <v>301</v>
      </c>
      <c r="D2453" s="10" t="s">
        <v>97</v>
      </c>
      <c r="E2453" s="13">
        <v>46230.0</v>
      </c>
      <c r="F2453" s="10" t="s">
        <v>198</v>
      </c>
      <c r="G2453" s="10">
        <v>8.0</v>
      </c>
      <c r="I2453" s="10" t="s">
        <v>22</v>
      </c>
      <c r="J2453" s="9" t="str">
        <f t="shared" si="37"/>
        <v>No</v>
      </c>
      <c r="K2453" s="9" t="str">
        <f t="shared" si="36"/>
        <v/>
      </c>
      <c r="L2453" s="9" t="str">
        <f t="shared" si="38"/>
        <v/>
      </c>
      <c r="M2453" s="9"/>
      <c r="O2453" s="9"/>
    </row>
    <row r="2454" ht="15.75" customHeight="1">
      <c r="A2454" s="9" t="str">
        <f>IFERROR(__xludf.DUMMYFUNCTION("IF(B2454="""","""",RIGHT(REGEXREPLACE(B2454&amp;"""",""[^0-9]"",""""),9))"),"703602734")</f>
        <v>703602734</v>
      </c>
      <c r="B2454" s="48">
        <v>7.03602734E8</v>
      </c>
      <c r="C2454" s="10" t="s">
        <v>2557</v>
      </c>
      <c r="D2454" s="10" t="s">
        <v>97</v>
      </c>
      <c r="E2454" s="13">
        <v>46230.0</v>
      </c>
      <c r="F2454" s="10" t="s">
        <v>35</v>
      </c>
      <c r="G2454" s="10">
        <v>11.0</v>
      </c>
      <c r="I2454" s="10" t="s">
        <v>22</v>
      </c>
      <c r="J2454" s="9" t="str">
        <f t="shared" si="37"/>
        <v>No</v>
      </c>
      <c r="K2454" s="9" t="str">
        <f t="shared" si="36"/>
        <v/>
      </c>
      <c r="L2454" s="9" t="str">
        <f t="shared" si="38"/>
        <v/>
      </c>
      <c r="M2454" s="9"/>
      <c r="O2454" s="9"/>
    </row>
    <row r="2455" ht="15.75" customHeight="1">
      <c r="A2455" s="9" t="str">
        <f>IFERROR(__xludf.DUMMYFUNCTION("IF(B2455="""","""",RIGHT(REGEXREPLACE(B2455&amp;"""",""[^0-9]"",""""),9))"),"765522689")</f>
        <v>765522689</v>
      </c>
      <c r="B2455" s="48">
        <v>7.65522689E8</v>
      </c>
      <c r="C2455" s="10" t="s">
        <v>2558</v>
      </c>
      <c r="D2455" s="10" t="s">
        <v>69</v>
      </c>
      <c r="E2455" s="13">
        <v>46230.0</v>
      </c>
      <c r="F2455" s="10" t="s">
        <v>35</v>
      </c>
      <c r="I2455" s="10" t="s">
        <v>22</v>
      </c>
      <c r="J2455" s="9" t="str">
        <f t="shared" si="37"/>
        <v>No</v>
      </c>
      <c r="K2455" s="9" t="str">
        <f t="shared" si="36"/>
        <v/>
      </c>
      <c r="L2455" s="9" t="str">
        <f t="shared" si="38"/>
        <v/>
      </c>
      <c r="M2455" s="9"/>
      <c r="O2455" s="9"/>
    </row>
    <row r="2456" ht="15.75" customHeight="1">
      <c r="A2456" s="9" t="str">
        <f>IFERROR(__xludf.DUMMYFUNCTION("IF(B2456="""","""",RIGHT(REGEXREPLACE(B2456&amp;"""",""[^0-9]"",""""),9))"),"782997122")</f>
        <v>782997122</v>
      </c>
      <c r="B2456" s="48">
        <v>7.82997122E8</v>
      </c>
      <c r="C2456" s="10" t="s">
        <v>2559</v>
      </c>
      <c r="D2456" s="10" t="s">
        <v>34</v>
      </c>
      <c r="E2456" s="13">
        <v>46230.0</v>
      </c>
      <c r="F2456" s="10" t="s">
        <v>604</v>
      </c>
      <c r="H2456" s="10" t="s">
        <v>2526</v>
      </c>
      <c r="I2456" s="10" t="s">
        <v>22</v>
      </c>
      <c r="J2456" s="9" t="str">
        <f t="shared" si="37"/>
        <v>No</v>
      </c>
      <c r="K2456" s="9" t="str">
        <f t="shared" si="36"/>
        <v/>
      </c>
      <c r="L2456" s="9" t="str">
        <f t="shared" si="38"/>
        <v/>
      </c>
      <c r="M2456" s="9"/>
      <c r="O2456" s="9"/>
    </row>
    <row r="2457" ht="15.75" customHeight="1">
      <c r="A2457" s="9" t="str">
        <f>IFERROR(__xludf.DUMMYFUNCTION("IF(B2457="""","""",RIGHT(REGEXREPLACE(B2457&amp;"""",""[^0-9]"",""""),9))"),"769420934")</f>
        <v>769420934</v>
      </c>
      <c r="B2457" s="48">
        <v>7.69420934E8</v>
      </c>
      <c r="C2457" s="10" t="s">
        <v>2560</v>
      </c>
      <c r="D2457" s="10" t="s">
        <v>50</v>
      </c>
      <c r="E2457" s="13">
        <v>46230.0</v>
      </c>
      <c r="F2457" s="10" t="s">
        <v>35</v>
      </c>
      <c r="G2457" s="10">
        <v>9.0</v>
      </c>
      <c r="H2457" s="10" t="s">
        <v>622</v>
      </c>
      <c r="I2457" s="10" t="s">
        <v>22</v>
      </c>
      <c r="J2457" s="9" t="str">
        <f t="shared" si="37"/>
        <v>No</v>
      </c>
      <c r="K2457" s="9" t="str">
        <f t="shared" si="36"/>
        <v/>
      </c>
      <c r="L2457" s="9" t="str">
        <f t="shared" si="38"/>
        <v/>
      </c>
      <c r="M2457" s="9"/>
      <c r="O2457" s="9"/>
    </row>
    <row r="2458" ht="15.75" customHeight="1">
      <c r="A2458" s="9" t="str">
        <f>IFERROR(__xludf.DUMMYFUNCTION("IF(B2458="""","""",RIGHT(REGEXREPLACE(B2458&amp;"""",""[^0-9]"",""""),9))"),"719718626")</f>
        <v>719718626</v>
      </c>
      <c r="B2458" s="48">
        <v>7.19718626E8</v>
      </c>
      <c r="C2458" s="10" t="s">
        <v>2561</v>
      </c>
      <c r="D2458" s="10" t="s">
        <v>34</v>
      </c>
      <c r="E2458" s="13">
        <v>46230.0</v>
      </c>
      <c r="F2458" s="10" t="s">
        <v>35</v>
      </c>
      <c r="G2458" s="10">
        <v>10.0</v>
      </c>
      <c r="I2458" s="10" t="s">
        <v>22</v>
      </c>
      <c r="J2458" s="9" t="str">
        <f t="shared" si="37"/>
        <v>No</v>
      </c>
      <c r="K2458" s="9" t="str">
        <f t="shared" si="36"/>
        <v/>
      </c>
      <c r="L2458" s="9" t="str">
        <f t="shared" si="38"/>
        <v/>
      </c>
      <c r="M2458" s="9"/>
      <c r="O2458" s="9"/>
    </row>
    <row r="2459" ht="15.75" customHeight="1">
      <c r="A2459" s="9" t="str">
        <f>IFERROR(__xludf.DUMMYFUNCTION("IF(B2459="""","""",RIGHT(REGEXREPLACE(B2459&amp;"""",""[^0-9]"",""""),9))"),"774490140")</f>
        <v>774490140</v>
      </c>
      <c r="B2459" s="48">
        <v>7.7449014E8</v>
      </c>
      <c r="C2459" s="10" t="s">
        <v>2562</v>
      </c>
      <c r="D2459" s="10" t="s">
        <v>97</v>
      </c>
      <c r="E2459" s="13">
        <v>46230.0</v>
      </c>
      <c r="F2459" s="10" t="s">
        <v>198</v>
      </c>
      <c r="I2459" s="10" t="s">
        <v>22</v>
      </c>
      <c r="J2459" s="9" t="str">
        <f t="shared" si="37"/>
        <v>No</v>
      </c>
      <c r="K2459" s="9" t="str">
        <f t="shared" si="36"/>
        <v/>
      </c>
      <c r="L2459" s="9" t="str">
        <f t="shared" si="38"/>
        <v/>
      </c>
      <c r="M2459" s="9"/>
      <c r="O2459" s="9"/>
    </row>
    <row r="2460" ht="15.75" customHeight="1">
      <c r="A2460" s="9" t="str">
        <f>IFERROR(__xludf.DUMMYFUNCTION("IF(B2460="""","""",RIGHT(REGEXREPLACE(B2460&amp;"""",""[^0-9]"",""""),9))"),"775817020")</f>
        <v>775817020</v>
      </c>
      <c r="B2460" s="48">
        <v>7.7581702E8</v>
      </c>
      <c r="C2460" s="10" t="s">
        <v>2563</v>
      </c>
      <c r="D2460" s="10" t="s">
        <v>120</v>
      </c>
      <c r="E2460" s="13">
        <v>46230.0</v>
      </c>
      <c r="F2460" s="10" t="s">
        <v>35</v>
      </c>
      <c r="G2460" s="10">
        <v>8.0</v>
      </c>
      <c r="H2460" s="10" t="s">
        <v>2526</v>
      </c>
      <c r="I2460" s="10" t="s">
        <v>22</v>
      </c>
      <c r="J2460" s="9" t="str">
        <f t="shared" si="37"/>
        <v>No</v>
      </c>
      <c r="K2460" s="9" t="str">
        <f t="shared" si="36"/>
        <v/>
      </c>
      <c r="L2460" s="9" t="str">
        <f t="shared" si="38"/>
        <v/>
      </c>
      <c r="M2460" s="9"/>
      <c r="O2460" s="9"/>
    </row>
    <row r="2461" ht="15.75" customHeight="1">
      <c r="A2461" s="9" t="str">
        <f>IFERROR(__xludf.DUMMYFUNCTION("IF(B2461="""","""",RIGHT(REGEXREPLACE(B2461&amp;"""",""[^0-9]"",""""),9))"),"766627133")</f>
        <v>766627133</v>
      </c>
      <c r="B2461" s="48">
        <v>7.66627133E8</v>
      </c>
      <c r="C2461" s="10" t="s">
        <v>2564</v>
      </c>
      <c r="D2461" s="10" t="s">
        <v>50</v>
      </c>
      <c r="E2461" s="13">
        <v>46230.0</v>
      </c>
      <c r="F2461" s="10" t="s">
        <v>35</v>
      </c>
      <c r="G2461" s="10">
        <v>11.0</v>
      </c>
      <c r="H2461" s="10" t="s">
        <v>622</v>
      </c>
      <c r="I2461" s="10" t="s">
        <v>22</v>
      </c>
      <c r="J2461" s="9" t="str">
        <f t="shared" si="37"/>
        <v>No</v>
      </c>
      <c r="K2461" s="9" t="str">
        <f t="shared" si="36"/>
        <v/>
      </c>
      <c r="L2461" s="9" t="str">
        <f t="shared" si="38"/>
        <v/>
      </c>
      <c r="M2461" s="9"/>
      <c r="O2461" s="9"/>
    </row>
    <row r="2462" ht="15.75" customHeight="1">
      <c r="A2462" s="9" t="str">
        <f>IFERROR(__xludf.DUMMYFUNCTION("IF(B2462="""","""",RIGHT(REGEXREPLACE(B2462&amp;"""",""[^0-9]"",""""),9))"),"765586724")</f>
        <v>765586724</v>
      </c>
      <c r="B2462" s="48">
        <v>7.65586724E8</v>
      </c>
      <c r="C2462" s="10" t="s">
        <v>2565</v>
      </c>
      <c r="D2462" s="10" t="s">
        <v>34</v>
      </c>
      <c r="E2462" s="13">
        <v>46230.0</v>
      </c>
      <c r="F2462" s="10" t="s">
        <v>171</v>
      </c>
      <c r="H2462" s="10" t="s">
        <v>2526</v>
      </c>
      <c r="I2462" s="10" t="s">
        <v>22</v>
      </c>
      <c r="J2462" s="9" t="str">
        <f t="shared" si="37"/>
        <v>No</v>
      </c>
      <c r="K2462" s="9" t="str">
        <f t="shared" si="36"/>
        <v/>
      </c>
      <c r="L2462" s="9" t="str">
        <f t="shared" si="38"/>
        <v/>
      </c>
      <c r="M2462" s="9"/>
      <c r="O2462" s="9"/>
    </row>
    <row r="2463" ht="15.75" customHeight="1">
      <c r="A2463" s="9" t="str">
        <f>IFERROR(__xludf.DUMMYFUNCTION("IF(B2463="""","""",RIGHT(REGEXREPLACE(B2463&amp;"""",""[^0-9]"",""""),9))"),"773711781")</f>
        <v>773711781</v>
      </c>
      <c r="B2463" s="48">
        <v>7.73711781E8</v>
      </c>
      <c r="C2463" s="10" t="s">
        <v>2566</v>
      </c>
      <c r="D2463" s="10" t="s">
        <v>97</v>
      </c>
      <c r="E2463" s="13">
        <v>46230.0</v>
      </c>
      <c r="F2463" s="10" t="s">
        <v>604</v>
      </c>
      <c r="I2463" s="10" t="s">
        <v>22</v>
      </c>
      <c r="J2463" s="9" t="str">
        <f t="shared" si="37"/>
        <v>Yes - see Previous F-Code</v>
      </c>
      <c r="K2463" s="9" t="str">
        <f t="shared" si="36"/>
        <v>DUPLICATE - CHECK</v>
      </c>
      <c r="L2463" s="9" t="str">
        <f t="shared" si="38"/>
        <v>F72322</v>
      </c>
      <c r="M2463" s="9"/>
      <c r="O2463" s="9"/>
    </row>
    <row r="2464" ht="15.75" customHeight="1">
      <c r="A2464" s="9" t="str">
        <f>IFERROR(__xludf.DUMMYFUNCTION("IF(B2464="""","""",RIGHT(REGEXREPLACE(B2464&amp;"""",""[^0-9]"",""""),9))"),"714273001")</f>
        <v>714273001</v>
      </c>
      <c r="B2464" s="48">
        <v>7.14273001E8</v>
      </c>
      <c r="C2464" s="10" t="s">
        <v>2566</v>
      </c>
      <c r="D2464" s="10" t="s">
        <v>50</v>
      </c>
      <c r="E2464" s="13">
        <v>46230.0</v>
      </c>
      <c r="F2464" s="10" t="s">
        <v>35</v>
      </c>
      <c r="G2464" s="10">
        <v>10.0</v>
      </c>
      <c r="H2464" s="10" t="s">
        <v>622</v>
      </c>
      <c r="I2464" s="10" t="s">
        <v>22</v>
      </c>
      <c r="J2464" s="9" t="str">
        <f t="shared" si="37"/>
        <v>No</v>
      </c>
      <c r="K2464" s="9" t="str">
        <f t="shared" si="36"/>
        <v/>
      </c>
      <c r="L2464" s="9" t="str">
        <f t="shared" si="38"/>
        <v/>
      </c>
      <c r="M2464" s="9"/>
      <c r="O2464" s="9"/>
    </row>
    <row r="2465" ht="15.75" customHeight="1">
      <c r="D2465" s="9"/>
      <c r="F2465" s="9"/>
      <c r="I2465" s="10" t="s">
        <v>22</v>
      </c>
      <c r="M2465" s="9"/>
      <c r="O2465" s="9"/>
    </row>
    <row r="2466" ht="15.75" customHeight="1">
      <c r="A2466" s="9" t="str">
        <f>IFERROR(__xludf.DUMMYFUNCTION("IF(B2466="""","""",RIGHT(REGEXREPLACE(B2466&amp;"""",""[^0-9]"",""""),9))"),"760894227")</f>
        <v>760894227</v>
      </c>
      <c r="B2466" s="48">
        <v>7.60894227E8</v>
      </c>
      <c r="C2466" s="10" t="s">
        <v>2567</v>
      </c>
      <c r="D2466" s="10" t="s">
        <v>34</v>
      </c>
      <c r="E2466" s="13">
        <v>46230.0</v>
      </c>
      <c r="F2466" s="10" t="s">
        <v>21</v>
      </c>
      <c r="H2466" s="10" t="s">
        <v>2526</v>
      </c>
      <c r="I2466" s="10" t="s">
        <v>22</v>
      </c>
      <c r="J2466" s="9" t="str">
        <f t="shared" ref="J2466:J2548" si="39">IF(COUNTIF($A$2:A2465,A2466)&gt;0,"Yes - see Previous F-Code","No")</f>
        <v>No</v>
      </c>
      <c r="K2466" s="9" t="str">
        <f t="shared" ref="K2466:K2548" si="40">IF(COUNTIFS($A$2:A2466,A2466,$I$2:I2466,I2466)&gt;1,"DUPLICATE - CHECK","")</f>
        <v/>
      </c>
      <c r="L2466" s="9" t="str">
        <f t="shared" ref="L2466:L2548" si="41">IF(COUNTIF($A$2:A2465,A2466)&gt;0,INDEX($C$2:C2465,MATCH(A2466,$A$2:A2465,0)),"")</f>
        <v/>
      </c>
      <c r="M2466" s="9"/>
      <c r="O2466" s="9"/>
    </row>
    <row r="2467" ht="15.75" customHeight="1">
      <c r="A2467" s="9" t="str">
        <f>IFERROR(__xludf.DUMMYFUNCTION("IF(B2467="""","""",RIGHT(REGEXREPLACE(B2467&amp;"""",""[^0-9]"",""""),9))"),"752244221")</f>
        <v>752244221</v>
      </c>
      <c r="B2467" s="48">
        <v>7.52244221E8</v>
      </c>
      <c r="C2467" s="10" t="s">
        <v>2568</v>
      </c>
      <c r="D2467" s="10" t="s">
        <v>69</v>
      </c>
      <c r="E2467" s="13">
        <v>46230.0</v>
      </c>
      <c r="F2467" s="10" t="s">
        <v>35</v>
      </c>
      <c r="G2467" s="10">
        <v>11.0</v>
      </c>
      <c r="H2467" s="10" t="s">
        <v>2569</v>
      </c>
      <c r="I2467" s="10" t="s">
        <v>22</v>
      </c>
      <c r="J2467" s="9" t="str">
        <f t="shared" si="39"/>
        <v>No</v>
      </c>
      <c r="K2467" s="9" t="str">
        <f t="shared" si="40"/>
        <v/>
      </c>
      <c r="L2467" s="9" t="str">
        <f t="shared" si="41"/>
        <v/>
      </c>
      <c r="M2467" s="9"/>
      <c r="O2467" s="9"/>
    </row>
    <row r="2468" ht="15.75" customHeight="1">
      <c r="A2468" s="9" t="str">
        <f>IFERROR(__xludf.DUMMYFUNCTION("IF(B2468="""","""",RIGHT(REGEXREPLACE(B2468&amp;"""",""[^0-9]"",""""),9))"),"771239611")</f>
        <v>771239611</v>
      </c>
      <c r="B2468" s="48">
        <v>7.71239611E8</v>
      </c>
      <c r="C2468" s="10" t="s">
        <v>2570</v>
      </c>
      <c r="D2468" s="10" t="s">
        <v>120</v>
      </c>
      <c r="E2468" s="13">
        <v>46230.0</v>
      </c>
      <c r="F2468" s="10" t="s">
        <v>145</v>
      </c>
      <c r="G2468" s="10">
        <v>11.0</v>
      </c>
      <c r="I2468" s="10" t="s">
        <v>22</v>
      </c>
      <c r="J2468" s="9" t="str">
        <f t="shared" si="39"/>
        <v>No</v>
      </c>
      <c r="K2468" s="9" t="str">
        <f t="shared" si="40"/>
        <v/>
      </c>
      <c r="L2468" s="9" t="str">
        <f t="shared" si="41"/>
        <v/>
      </c>
      <c r="M2468" s="9"/>
      <c r="O2468" s="9"/>
    </row>
    <row r="2469" ht="15.75" customHeight="1">
      <c r="A2469" s="9" t="str">
        <f>IFERROR(__xludf.DUMMYFUNCTION("IF(B2469="""","""",RIGHT(REGEXREPLACE(B2469&amp;"""",""[^0-9]"",""""),9))"),"722916017")</f>
        <v>722916017</v>
      </c>
      <c r="B2469" s="48">
        <v>7.22916017E8</v>
      </c>
      <c r="C2469" s="10" t="s">
        <v>2571</v>
      </c>
      <c r="D2469" s="10" t="s">
        <v>34</v>
      </c>
      <c r="E2469" s="13">
        <v>46230.0</v>
      </c>
      <c r="F2469" s="10" t="s">
        <v>21</v>
      </c>
      <c r="H2469" s="10" t="s">
        <v>2526</v>
      </c>
      <c r="I2469" s="10" t="s">
        <v>22</v>
      </c>
      <c r="J2469" s="9" t="str">
        <f t="shared" si="39"/>
        <v>No</v>
      </c>
      <c r="K2469" s="9" t="str">
        <f t="shared" si="40"/>
        <v/>
      </c>
      <c r="L2469" s="9" t="str">
        <f t="shared" si="41"/>
        <v/>
      </c>
      <c r="M2469" s="9"/>
      <c r="O2469" s="9"/>
    </row>
    <row r="2470" ht="15.75" customHeight="1">
      <c r="A2470" s="9" t="str">
        <f>IFERROR(__xludf.DUMMYFUNCTION("IF(B2470="""","""",RIGHT(REGEXREPLACE(B2470&amp;"""",""[^0-9]"",""""),9))"),"707170053")</f>
        <v>707170053</v>
      </c>
      <c r="B2470" s="48">
        <v>7.07170053E8</v>
      </c>
      <c r="C2470" s="10" t="s">
        <v>2559</v>
      </c>
      <c r="D2470" s="10" t="s">
        <v>69</v>
      </c>
      <c r="E2470" s="13">
        <v>46230.0</v>
      </c>
      <c r="F2470" s="10" t="s">
        <v>21</v>
      </c>
      <c r="I2470" s="10" t="s">
        <v>22</v>
      </c>
      <c r="J2470" s="9" t="str">
        <f t="shared" si="39"/>
        <v>No</v>
      </c>
      <c r="K2470" s="9" t="str">
        <f t="shared" si="40"/>
        <v/>
      </c>
      <c r="L2470" s="9" t="str">
        <f t="shared" si="41"/>
        <v/>
      </c>
      <c r="M2470" s="9"/>
      <c r="O2470" s="9"/>
    </row>
    <row r="2471" ht="15.75" customHeight="1">
      <c r="A2471" s="9" t="str">
        <f>IFERROR(__xludf.DUMMYFUNCTION("IF(B2471="""","""",RIGHT(REGEXREPLACE(B2471&amp;"""",""[^0-9]"",""""),9))"),"717387978")</f>
        <v>717387978</v>
      </c>
      <c r="B2471" s="48">
        <v>7.17387978E8</v>
      </c>
      <c r="C2471" s="10" t="s">
        <v>2572</v>
      </c>
      <c r="D2471" s="10" t="s">
        <v>50</v>
      </c>
      <c r="E2471" s="13">
        <v>46230.0</v>
      </c>
      <c r="F2471" s="10" t="s">
        <v>198</v>
      </c>
      <c r="I2471" s="10" t="s">
        <v>22</v>
      </c>
      <c r="J2471" s="9" t="str">
        <f t="shared" si="39"/>
        <v>No</v>
      </c>
      <c r="K2471" s="9" t="str">
        <f t="shared" si="40"/>
        <v/>
      </c>
      <c r="L2471" s="9" t="str">
        <f t="shared" si="41"/>
        <v/>
      </c>
      <c r="M2471" s="9"/>
      <c r="O2471" s="9"/>
    </row>
    <row r="2472" ht="15.75" customHeight="1">
      <c r="A2472" s="9" t="str">
        <f>IFERROR(__xludf.DUMMYFUNCTION("IF(B2472="""","""",RIGHT(REGEXREPLACE(B2472&amp;"""",""[^0-9]"",""""),9))"),"716034279")</f>
        <v>716034279</v>
      </c>
      <c r="B2472" s="48">
        <v>7.16034279E8</v>
      </c>
      <c r="C2472" s="10" t="s">
        <v>2573</v>
      </c>
      <c r="D2472" s="10" t="s">
        <v>69</v>
      </c>
      <c r="E2472" s="13">
        <v>46230.0</v>
      </c>
      <c r="F2472" s="10" t="s">
        <v>21</v>
      </c>
      <c r="I2472" s="10" t="s">
        <v>22</v>
      </c>
      <c r="J2472" s="9" t="str">
        <f t="shared" si="39"/>
        <v>No</v>
      </c>
      <c r="K2472" s="9" t="str">
        <f t="shared" si="40"/>
        <v/>
      </c>
      <c r="L2472" s="9" t="str">
        <f t="shared" si="41"/>
        <v/>
      </c>
      <c r="M2472" s="9"/>
      <c r="O2472" s="9"/>
    </row>
    <row r="2473" ht="15.75" customHeight="1">
      <c r="A2473" s="9" t="str">
        <f>IFERROR(__xludf.DUMMYFUNCTION("IF(B2473="""","""",RIGHT(REGEXREPLACE(B2473&amp;"""",""[^0-9]"",""""),9))"),"778267147")</f>
        <v>778267147</v>
      </c>
      <c r="B2473" s="48">
        <v>7.78267147E8</v>
      </c>
      <c r="C2473" s="10" t="s">
        <v>2574</v>
      </c>
      <c r="D2473" s="10" t="s">
        <v>120</v>
      </c>
      <c r="E2473" s="13">
        <v>46230.0</v>
      </c>
      <c r="F2473" s="10" t="s">
        <v>21</v>
      </c>
      <c r="H2473" s="10" t="s">
        <v>1448</v>
      </c>
      <c r="I2473" s="10" t="s">
        <v>22</v>
      </c>
      <c r="J2473" s="9" t="str">
        <f t="shared" si="39"/>
        <v>No</v>
      </c>
      <c r="K2473" s="9" t="str">
        <f t="shared" si="40"/>
        <v/>
      </c>
      <c r="L2473" s="9" t="str">
        <f t="shared" si="41"/>
        <v/>
      </c>
      <c r="M2473" s="9"/>
      <c r="O2473" s="9"/>
    </row>
    <row r="2474" ht="15.75" customHeight="1">
      <c r="A2474" s="9" t="str">
        <f>IFERROR(__xludf.DUMMYFUNCTION("IF(B2474="""","""",RIGHT(REGEXREPLACE(B2474&amp;"""",""[^0-9]"",""""),9))"),"717083290")</f>
        <v>717083290</v>
      </c>
      <c r="B2474" s="48">
        <v>7.1708329E8</v>
      </c>
      <c r="C2474" s="10" t="s">
        <v>2575</v>
      </c>
      <c r="D2474" s="10" t="s">
        <v>69</v>
      </c>
      <c r="E2474" s="13">
        <v>46230.0</v>
      </c>
      <c r="F2474" s="9"/>
      <c r="G2474" s="9"/>
      <c r="H2474" s="10" t="s">
        <v>1099</v>
      </c>
      <c r="I2474" s="10" t="s">
        <v>22</v>
      </c>
      <c r="J2474" s="9" t="str">
        <f t="shared" si="39"/>
        <v>No</v>
      </c>
      <c r="K2474" s="9" t="str">
        <f t="shared" si="40"/>
        <v/>
      </c>
      <c r="L2474" s="9" t="str">
        <f t="shared" si="41"/>
        <v/>
      </c>
      <c r="M2474" s="9"/>
      <c r="N2474" s="9"/>
      <c r="O2474" s="9"/>
      <c r="P2474" s="9"/>
    </row>
    <row r="2475" ht="15.75" customHeight="1">
      <c r="A2475" s="9" t="str">
        <f>IFERROR(__xludf.DUMMYFUNCTION("IF(B2475="""","""",RIGHT(REGEXREPLACE(B2475&amp;"""",""[^0-9]"",""""),9))"),"778059284")</f>
        <v>778059284</v>
      </c>
      <c r="B2475" s="48">
        <v>7.78059284E8</v>
      </c>
      <c r="C2475" s="10" t="s">
        <v>2576</v>
      </c>
      <c r="D2475" s="10" t="s">
        <v>50</v>
      </c>
      <c r="E2475" s="13">
        <v>46230.0</v>
      </c>
      <c r="F2475" s="10" t="s">
        <v>35</v>
      </c>
      <c r="H2475" s="10" t="s">
        <v>622</v>
      </c>
      <c r="I2475" s="10" t="s">
        <v>22</v>
      </c>
      <c r="J2475" s="9" t="str">
        <f t="shared" si="39"/>
        <v>No</v>
      </c>
      <c r="K2475" s="9" t="str">
        <f t="shared" si="40"/>
        <v/>
      </c>
      <c r="L2475" s="9" t="str">
        <f t="shared" si="41"/>
        <v/>
      </c>
      <c r="M2475" s="9"/>
      <c r="O2475" s="9"/>
    </row>
    <row r="2476" ht="15.75" customHeight="1">
      <c r="A2476" s="9" t="str">
        <f>IFERROR(__xludf.DUMMYFUNCTION("IF(B2476="""","""",RIGHT(REGEXREPLACE(B2476&amp;"""",""[^0-9]"",""""),9))"),"774769590")</f>
        <v>774769590</v>
      </c>
      <c r="B2476" s="48">
        <v>7.7476959E8</v>
      </c>
      <c r="C2476" s="10" t="s">
        <v>2577</v>
      </c>
      <c r="D2476" s="10" t="s">
        <v>34</v>
      </c>
      <c r="E2476" s="13">
        <v>46230.0</v>
      </c>
      <c r="F2476" s="10" t="s">
        <v>21</v>
      </c>
      <c r="H2476" s="10" t="s">
        <v>2526</v>
      </c>
      <c r="I2476" s="10" t="s">
        <v>22</v>
      </c>
      <c r="J2476" s="9" t="str">
        <f t="shared" si="39"/>
        <v>No</v>
      </c>
      <c r="K2476" s="9" t="str">
        <f t="shared" si="40"/>
        <v/>
      </c>
      <c r="L2476" s="9" t="str">
        <f t="shared" si="41"/>
        <v/>
      </c>
      <c r="M2476" s="9"/>
      <c r="O2476" s="9"/>
    </row>
    <row r="2477" ht="15.75" customHeight="1">
      <c r="A2477" s="9" t="str">
        <f>IFERROR(__xludf.DUMMYFUNCTION("IF(B2477="""","""",RIGHT(REGEXREPLACE(B2477&amp;"""",""[^0-9]"",""""),9))"),"717684415")</f>
        <v>717684415</v>
      </c>
      <c r="B2477" s="48">
        <v>7.17684415E8</v>
      </c>
      <c r="C2477" s="10" t="s">
        <v>2578</v>
      </c>
      <c r="D2477" s="10" t="s">
        <v>120</v>
      </c>
      <c r="E2477" s="13">
        <v>46230.0</v>
      </c>
      <c r="F2477" s="10" t="s">
        <v>21</v>
      </c>
      <c r="H2477" s="10" t="s">
        <v>2526</v>
      </c>
      <c r="I2477" s="10" t="s">
        <v>22</v>
      </c>
      <c r="J2477" s="9" t="str">
        <f t="shared" si="39"/>
        <v>No</v>
      </c>
      <c r="K2477" s="9" t="str">
        <f t="shared" si="40"/>
        <v/>
      </c>
      <c r="L2477" s="9" t="str">
        <f t="shared" si="41"/>
        <v/>
      </c>
      <c r="M2477" s="9"/>
      <c r="O2477" s="9"/>
    </row>
    <row r="2478" ht="15.75" customHeight="1">
      <c r="A2478" s="9" t="str">
        <f>IFERROR(__xludf.DUMMYFUNCTION("IF(B2478="""","""",RIGHT(REGEXREPLACE(B2478&amp;"""",""[^0-9]"",""""),9))"),"766562409")</f>
        <v>766562409</v>
      </c>
      <c r="B2478" s="48">
        <v>7.66562409E8</v>
      </c>
      <c r="C2478" s="10" t="s">
        <v>2579</v>
      </c>
      <c r="D2478" s="10" t="s">
        <v>50</v>
      </c>
      <c r="E2478" s="13">
        <v>46230.0</v>
      </c>
      <c r="F2478" s="10" t="s">
        <v>198</v>
      </c>
      <c r="I2478" s="10" t="s">
        <v>22</v>
      </c>
      <c r="J2478" s="9" t="str">
        <f t="shared" si="39"/>
        <v>No</v>
      </c>
      <c r="K2478" s="9" t="str">
        <f t="shared" si="40"/>
        <v/>
      </c>
      <c r="L2478" s="9" t="str">
        <f t="shared" si="41"/>
        <v/>
      </c>
      <c r="M2478" s="9"/>
      <c r="O2478" s="9"/>
    </row>
    <row r="2479" ht="15.75" customHeight="1">
      <c r="A2479" s="9" t="str">
        <f>IFERROR(__xludf.DUMMYFUNCTION("IF(B2479="""","""",RIGHT(REGEXREPLACE(B2479&amp;"""",""[^0-9]"",""""),9))"),"712765399")</f>
        <v>712765399</v>
      </c>
      <c r="B2479" s="48">
        <v>7.12765399E8</v>
      </c>
      <c r="C2479" s="10" t="s">
        <v>2580</v>
      </c>
      <c r="D2479" s="10" t="s">
        <v>34</v>
      </c>
      <c r="E2479" s="13">
        <v>46230.0</v>
      </c>
      <c r="F2479" s="10" t="s">
        <v>35</v>
      </c>
      <c r="G2479" s="10">
        <v>11.0</v>
      </c>
      <c r="I2479" s="10" t="s">
        <v>22</v>
      </c>
      <c r="J2479" s="9" t="str">
        <f t="shared" si="39"/>
        <v>No</v>
      </c>
      <c r="K2479" s="9" t="str">
        <f t="shared" si="40"/>
        <v/>
      </c>
      <c r="L2479" s="9" t="str">
        <f t="shared" si="41"/>
        <v/>
      </c>
      <c r="M2479" s="9"/>
      <c r="O2479" s="9"/>
    </row>
    <row r="2480" ht="15.75" customHeight="1">
      <c r="A2480" s="9" t="str">
        <f>IFERROR(__xludf.DUMMYFUNCTION("IF(B2480="""","""",RIGHT(REGEXREPLACE(B2480&amp;"""",""[^0-9]"",""""),9))"),"706675583")</f>
        <v>706675583</v>
      </c>
      <c r="B2480" s="48">
        <v>7.06675583E8</v>
      </c>
      <c r="C2480" s="10" t="s">
        <v>2581</v>
      </c>
      <c r="D2480" s="10" t="s">
        <v>50</v>
      </c>
      <c r="E2480" s="13">
        <v>46230.0</v>
      </c>
      <c r="F2480" s="10" t="s">
        <v>35</v>
      </c>
      <c r="G2480" s="10">
        <v>11.0</v>
      </c>
      <c r="H2480" s="10" t="s">
        <v>1291</v>
      </c>
      <c r="I2480" s="10" t="s">
        <v>22</v>
      </c>
      <c r="J2480" s="9" t="str">
        <f t="shared" si="39"/>
        <v>No</v>
      </c>
      <c r="K2480" s="9" t="str">
        <f t="shared" si="40"/>
        <v/>
      </c>
      <c r="L2480" s="9" t="str">
        <f t="shared" si="41"/>
        <v/>
      </c>
      <c r="M2480" s="9"/>
      <c r="O2480" s="9"/>
    </row>
    <row r="2481" ht="15.75" customHeight="1">
      <c r="A2481" s="9" t="str">
        <f>IFERROR(__xludf.DUMMYFUNCTION("IF(B2481="""","""",RIGHT(REGEXREPLACE(B2481&amp;"""",""[^0-9]"",""""),9))"),"714273001")</f>
        <v>714273001</v>
      </c>
      <c r="B2481" s="48">
        <v>7.14273001E8</v>
      </c>
      <c r="C2481" s="10" t="s">
        <v>2567</v>
      </c>
      <c r="D2481" s="10" t="s">
        <v>97</v>
      </c>
      <c r="E2481" s="13">
        <v>46230.0</v>
      </c>
      <c r="F2481" s="10" t="s">
        <v>35</v>
      </c>
      <c r="G2481" s="10">
        <v>11.0</v>
      </c>
      <c r="I2481" s="10" t="s">
        <v>22</v>
      </c>
      <c r="J2481" s="9" t="str">
        <f t="shared" si="39"/>
        <v>Yes - see Previous F-Code</v>
      </c>
      <c r="K2481" s="9" t="str">
        <f t="shared" si="40"/>
        <v>DUPLICATE - CHECK</v>
      </c>
      <c r="L2481" s="9" t="str">
        <f t="shared" si="41"/>
        <v>F72334</v>
      </c>
      <c r="M2481" s="9"/>
      <c r="O2481" s="9"/>
    </row>
    <row r="2482" ht="15.75" customHeight="1">
      <c r="A2482" s="9" t="str">
        <f>IFERROR(__xludf.DUMMYFUNCTION("IF(B2482="""","""",RIGHT(REGEXREPLACE(B2482&amp;"""",""[^0-9]"",""""),9))"),"778460460")</f>
        <v>778460460</v>
      </c>
      <c r="B2482" s="48">
        <v>7.7846046E8</v>
      </c>
      <c r="C2482" s="10" t="s">
        <v>2582</v>
      </c>
      <c r="D2482" s="10" t="s">
        <v>120</v>
      </c>
      <c r="E2482" s="13">
        <v>46230.0</v>
      </c>
      <c r="F2482" s="10" t="s">
        <v>35</v>
      </c>
      <c r="H2482" s="10" t="s">
        <v>2526</v>
      </c>
      <c r="I2482" s="10" t="s">
        <v>22</v>
      </c>
      <c r="J2482" s="9" t="str">
        <f t="shared" si="39"/>
        <v>No</v>
      </c>
      <c r="K2482" s="9" t="str">
        <f t="shared" si="40"/>
        <v/>
      </c>
      <c r="L2482" s="9" t="str">
        <f t="shared" si="41"/>
        <v/>
      </c>
      <c r="M2482" s="9"/>
      <c r="O2482" s="9"/>
    </row>
    <row r="2483" ht="15.75" customHeight="1">
      <c r="A2483" s="9" t="str">
        <f>IFERROR(__xludf.DUMMYFUNCTION("IF(B2483="""","""",RIGHT(REGEXREPLACE(B2483&amp;"""",""[^0-9]"",""""),9))"),"707075125")</f>
        <v>707075125</v>
      </c>
      <c r="B2483" s="48">
        <v>7.07075125E8</v>
      </c>
      <c r="C2483" s="10" t="s">
        <v>2583</v>
      </c>
      <c r="D2483" s="10" t="s">
        <v>69</v>
      </c>
      <c r="E2483" s="13">
        <v>46230.0</v>
      </c>
      <c r="F2483" s="10" t="s">
        <v>21</v>
      </c>
      <c r="H2483" s="10" t="s">
        <v>737</v>
      </c>
      <c r="I2483" s="10" t="s">
        <v>22</v>
      </c>
      <c r="J2483" s="9" t="str">
        <f t="shared" si="39"/>
        <v>No</v>
      </c>
      <c r="K2483" s="9" t="str">
        <f t="shared" si="40"/>
        <v/>
      </c>
      <c r="L2483" s="9" t="str">
        <f t="shared" si="41"/>
        <v/>
      </c>
      <c r="M2483" s="9"/>
      <c r="O2483" s="9"/>
    </row>
    <row r="2484" ht="15.75" customHeight="1">
      <c r="A2484" s="9" t="str">
        <f>IFERROR(__xludf.DUMMYFUNCTION("IF(B2484="""","""",RIGHT(REGEXREPLACE(B2484&amp;"""",""[^0-9]"",""""),9))"),"767857891")</f>
        <v>767857891</v>
      </c>
      <c r="B2484" s="48">
        <v>7.67857891E8</v>
      </c>
      <c r="C2484" s="10" t="s">
        <v>2584</v>
      </c>
      <c r="D2484" s="10" t="s">
        <v>50</v>
      </c>
      <c r="E2484" s="13">
        <v>46230.0</v>
      </c>
      <c r="F2484" s="10" t="s">
        <v>35</v>
      </c>
      <c r="G2484" s="10">
        <v>10.0</v>
      </c>
      <c r="H2484" s="10" t="s">
        <v>622</v>
      </c>
      <c r="I2484" s="10" t="s">
        <v>22</v>
      </c>
      <c r="J2484" s="9" t="str">
        <f t="shared" si="39"/>
        <v>No</v>
      </c>
      <c r="K2484" s="9" t="str">
        <f t="shared" si="40"/>
        <v/>
      </c>
      <c r="L2484" s="9" t="str">
        <f t="shared" si="41"/>
        <v/>
      </c>
      <c r="M2484" s="9"/>
      <c r="O2484" s="9"/>
    </row>
    <row r="2485" ht="15.75" customHeight="1">
      <c r="A2485" s="9" t="str">
        <f>IFERROR(__xludf.DUMMYFUNCTION("IF(B2485="""","""",RIGHT(REGEXREPLACE(B2485&amp;"""",""[^0-9]"",""""),9))"),"766461391")</f>
        <v>766461391</v>
      </c>
      <c r="B2485" s="48">
        <v>7.66461391E8</v>
      </c>
      <c r="C2485" s="10" t="s">
        <v>2585</v>
      </c>
      <c r="D2485" s="10" t="s">
        <v>34</v>
      </c>
      <c r="E2485" s="13">
        <v>46230.0</v>
      </c>
      <c r="F2485" s="10" t="s">
        <v>21</v>
      </c>
      <c r="H2485" s="10" t="s">
        <v>2526</v>
      </c>
      <c r="I2485" s="10" t="s">
        <v>22</v>
      </c>
      <c r="J2485" s="9" t="str">
        <f t="shared" si="39"/>
        <v>No</v>
      </c>
      <c r="K2485" s="9" t="str">
        <f t="shared" si="40"/>
        <v/>
      </c>
      <c r="L2485" s="9" t="str">
        <f t="shared" si="41"/>
        <v/>
      </c>
      <c r="M2485" s="9"/>
      <c r="O2485" s="9"/>
    </row>
    <row r="2486" ht="15.75" customHeight="1">
      <c r="A2486" s="9" t="str">
        <f>IFERROR(__xludf.DUMMYFUNCTION("IF(B2486="""","""",RIGHT(REGEXREPLACE(B2486&amp;"""",""[^0-9]"",""""),9))"),"774416151")</f>
        <v>774416151</v>
      </c>
      <c r="B2486" s="48">
        <v>7.74416151E8</v>
      </c>
      <c r="C2486" s="10" t="s">
        <v>2586</v>
      </c>
      <c r="D2486" s="10" t="s">
        <v>120</v>
      </c>
      <c r="E2486" s="13">
        <v>46230.0</v>
      </c>
      <c r="F2486" s="10" t="s">
        <v>35</v>
      </c>
      <c r="G2486" s="10">
        <v>10.0</v>
      </c>
      <c r="H2486" s="10" t="s">
        <v>2526</v>
      </c>
      <c r="I2486" s="10" t="s">
        <v>22</v>
      </c>
      <c r="J2486" s="9" t="str">
        <f t="shared" si="39"/>
        <v>No</v>
      </c>
      <c r="K2486" s="9" t="str">
        <f t="shared" si="40"/>
        <v/>
      </c>
      <c r="L2486" s="9" t="str">
        <f t="shared" si="41"/>
        <v/>
      </c>
      <c r="M2486" s="9"/>
      <c r="O2486" s="9"/>
    </row>
    <row r="2487" ht="15.75" customHeight="1">
      <c r="A2487" s="9" t="str">
        <f>IFERROR(__xludf.DUMMYFUNCTION("IF(B2487="""","""",RIGHT(REGEXREPLACE(B2487&amp;"""",""[^0-9]"",""""),9))"),"777980984")</f>
        <v>777980984</v>
      </c>
      <c r="B2487" s="48">
        <v>7.77980984E8</v>
      </c>
      <c r="C2487" s="10" t="s">
        <v>2587</v>
      </c>
      <c r="D2487" s="10" t="s">
        <v>97</v>
      </c>
      <c r="E2487" s="13">
        <v>46230.0</v>
      </c>
      <c r="F2487" s="10" t="s">
        <v>35</v>
      </c>
      <c r="G2487" s="10">
        <v>10.0</v>
      </c>
      <c r="I2487" s="10" t="s">
        <v>22</v>
      </c>
      <c r="J2487" s="9" t="str">
        <f t="shared" si="39"/>
        <v>No</v>
      </c>
      <c r="K2487" s="9" t="str">
        <f t="shared" si="40"/>
        <v/>
      </c>
      <c r="L2487" s="9" t="str">
        <f t="shared" si="41"/>
        <v/>
      </c>
      <c r="M2487" s="9"/>
      <c r="O2487" s="9"/>
    </row>
    <row r="2488" ht="15.75" customHeight="1">
      <c r="A2488" s="9" t="str">
        <f>IFERROR(__xludf.DUMMYFUNCTION("IF(B2488="""","""",RIGHT(REGEXREPLACE(B2488&amp;"""",""[^0-9]"",""""),9))"),"721306172")</f>
        <v>721306172</v>
      </c>
      <c r="B2488" s="48">
        <v>7.21306172E8</v>
      </c>
      <c r="C2488" s="10" t="s">
        <v>2588</v>
      </c>
      <c r="D2488" s="10" t="s">
        <v>34</v>
      </c>
      <c r="E2488" s="13">
        <v>46230.0</v>
      </c>
      <c r="F2488" s="10" t="s">
        <v>35</v>
      </c>
      <c r="G2488" s="10">
        <v>11.0</v>
      </c>
      <c r="I2488" s="10" t="s">
        <v>22</v>
      </c>
      <c r="J2488" s="9" t="str">
        <f t="shared" si="39"/>
        <v>No</v>
      </c>
      <c r="K2488" s="9" t="str">
        <f t="shared" si="40"/>
        <v/>
      </c>
      <c r="L2488" s="9" t="str">
        <f t="shared" si="41"/>
        <v/>
      </c>
      <c r="M2488" s="9"/>
      <c r="O2488" s="9"/>
    </row>
    <row r="2489" ht="15.75" customHeight="1">
      <c r="A2489" s="9" t="str">
        <f>IFERROR(__xludf.DUMMYFUNCTION("IF(B2489="""","""",RIGHT(REGEXREPLACE(B2489&amp;"""",""[^0-9]"",""""),9))"),"766188756")</f>
        <v>766188756</v>
      </c>
      <c r="B2489" s="48">
        <v>7.66188756E8</v>
      </c>
      <c r="C2489" s="10" t="s">
        <v>2589</v>
      </c>
      <c r="D2489" s="10" t="s">
        <v>50</v>
      </c>
      <c r="E2489" s="13">
        <v>46230.0</v>
      </c>
      <c r="F2489" s="10" t="s">
        <v>35</v>
      </c>
      <c r="G2489" s="10">
        <v>6.0</v>
      </c>
      <c r="H2489" s="10" t="s">
        <v>622</v>
      </c>
      <c r="I2489" s="10" t="s">
        <v>22</v>
      </c>
      <c r="J2489" s="9" t="str">
        <f t="shared" si="39"/>
        <v>No</v>
      </c>
      <c r="K2489" s="9" t="str">
        <f t="shared" si="40"/>
        <v/>
      </c>
      <c r="L2489" s="9" t="str">
        <f t="shared" si="41"/>
        <v/>
      </c>
      <c r="M2489" s="9"/>
      <c r="O2489" s="9"/>
    </row>
    <row r="2490" ht="15.75" customHeight="1">
      <c r="A2490" s="9" t="str">
        <f>IFERROR(__xludf.DUMMYFUNCTION("IF(B2490="""","""",RIGHT(REGEXREPLACE(B2490&amp;"""",""[^0-9]"",""""),9))"),"752560846")</f>
        <v>752560846</v>
      </c>
      <c r="B2490" s="48">
        <v>7.52560846E8</v>
      </c>
      <c r="C2490" s="10" t="s">
        <v>2590</v>
      </c>
      <c r="D2490" s="10" t="s">
        <v>69</v>
      </c>
      <c r="E2490" s="13">
        <v>46230.0</v>
      </c>
      <c r="F2490" s="10" t="s">
        <v>198</v>
      </c>
      <c r="I2490" s="10" t="s">
        <v>22</v>
      </c>
      <c r="J2490" s="9" t="str">
        <f t="shared" si="39"/>
        <v>No</v>
      </c>
      <c r="K2490" s="9" t="str">
        <f t="shared" si="40"/>
        <v/>
      </c>
      <c r="L2490" s="9" t="str">
        <f t="shared" si="41"/>
        <v/>
      </c>
      <c r="M2490" s="9"/>
      <c r="O2490" s="9"/>
    </row>
    <row r="2491" ht="15.75" customHeight="1">
      <c r="A2491" s="9" t="str">
        <f>IFERROR(__xludf.DUMMYFUNCTION("IF(B2491="""","""",RIGHT(REGEXREPLACE(B2491&amp;"""",""[^0-9]"",""""),9))"),"719739170")</f>
        <v>719739170</v>
      </c>
      <c r="B2491" s="48">
        <v>7.1973917E8</v>
      </c>
      <c r="C2491" s="10" t="s">
        <v>2591</v>
      </c>
      <c r="D2491" s="10" t="s">
        <v>120</v>
      </c>
      <c r="E2491" s="13">
        <v>46230.0</v>
      </c>
      <c r="F2491" s="10" t="s">
        <v>35</v>
      </c>
      <c r="G2491" s="71">
        <v>46306.0</v>
      </c>
      <c r="H2491" s="10" t="s">
        <v>2592</v>
      </c>
      <c r="I2491" s="10" t="s">
        <v>22</v>
      </c>
      <c r="J2491" s="9" t="str">
        <f t="shared" si="39"/>
        <v>No</v>
      </c>
      <c r="K2491" s="9" t="str">
        <f t="shared" si="40"/>
        <v/>
      </c>
      <c r="L2491" s="9" t="str">
        <f t="shared" si="41"/>
        <v/>
      </c>
      <c r="M2491" s="9"/>
      <c r="O2491" s="9"/>
    </row>
    <row r="2492" ht="15.75" customHeight="1">
      <c r="A2492" s="9" t="str">
        <f>IFERROR(__xludf.DUMMYFUNCTION("IF(B2492="""","""",RIGHT(REGEXREPLACE(B2492&amp;"""",""[^0-9]"",""""),9))"),"775091171")</f>
        <v>775091171</v>
      </c>
      <c r="B2492" s="48">
        <v>7.75091171E8</v>
      </c>
      <c r="C2492" s="10" t="s">
        <v>2593</v>
      </c>
      <c r="D2492" s="10" t="s">
        <v>69</v>
      </c>
      <c r="E2492" s="13">
        <v>46230.0</v>
      </c>
      <c r="F2492" s="10" t="s">
        <v>35</v>
      </c>
      <c r="G2492" s="10">
        <v>11.0</v>
      </c>
      <c r="I2492" s="10" t="s">
        <v>22</v>
      </c>
      <c r="J2492" s="9" t="str">
        <f t="shared" si="39"/>
        <v>No</v>
      </c>
      <c r="K2492" s="9" t="str">
        <f t="shared" si="40"/>
        <v/>
      </c>
      <c r="L2492" s="9" t="str">
        <f t="shared" si="41"/>
        <v/>
      </c>
      <c r="M2492" s="9"/>
      <c r="O2492" s="9"/>
    </row>
    <row r="2493" ht="15.75" customHeight="1">
      <c r="A2493" s="9" t="str">
        <f>IFERROR(__xludf.DUMMYFUNCTION("IF(B2493="""","""",RIGHT(REGEXREPLACE(B2493&amp;"""",""[^0-9]"",""""),9))"),"761744185")</f>
        <v>761744185</v>
      </c>
      <c r="B2493" s="48">
        <v>7.61744185E8</v>
      </c>
      <c r="C2493" s="10" t="s">
        <v>2594</v>
      </c>
      <c r="D2493" s="10" t="s">
        <v>50</v>
      </c>
      <c r="E2493" s="13">
        <v>46230.0</v>
      </c>
      <c r="F2493" s="10" t="s">
        <v>35</v>
      </c>
      <c r="G2493" s="10">
        <v>10.0</v>
      </c>
      <c r="H2493" s="10" t="s">
        <v>622</v>
      </c>
      <c r="I2493" s="10" t="s">
        <v>22</v>
      </c>
      <c r="J2493" s="9" t="str">
        <f t="shared" si="39"/>
        <v>No</v>
      </c>
      <c r="K2493" s="9" t="str">
        <f t="shared" si="40"/>
        <v/>
      </c>
      <c r="L2493" s="9" t="str">
        <f t="shared" si="41"/>
        <v/>
      </c>
      <c r="M2493" s="9"/>
      <c r="O2493" s="9"/>
    </row>
    <row r="2494" ht="15.75" customHeight="1">
      <c r="A2494" s="9" t="str">
        <f>IFERROR(__xludf.DUMMYFUNCTION("IF(B2494="""","""",RIGHT(REGEXREPLACE(B2494&amp;"""",""[^0-9]"",""""),9))"),"718149136")</f>
        <v>718149136</v>
      </c>
      <c r="B2494" s="48">
        <v>7.18149136E8</v>
      </c>
      <c r="C2494" s="10" t="s">
        <v>2595</v>
      </c>
      <c r="D2494" s="10" t="s">
        <v>97</v>
      </c>
      <c r="E2494" s="13">
        <v>46230.0</v>
      </c>
      <c r="F2494" s="10" t="s">
        <v>35</v>
      </c>
      <c r="G2494" s="10">
        <v>10.0</v>
      </c>
      <c r="I2494" s="10" t="s">
        <v>22</v>
      </c>
      <c r="J2494" s="9" t="str">
        <f t="shared" si="39"/>
        <v>No</v>
      </c>
      <c r="K2494" s="9" t="str">
        <f t="shared" si="40"/>
        <v/>
      </c>
      <c r="L2494" s="9" t="str">
        <f t="shared" si="41"/>
        <v/>
      </c>
      <c r="M2494" s="9"/>
      <c r="O2494" s="9"/>
    </row>
    <row r="2495" ht="15.75" customHeight="1">
      <c r="A2495" s="9" t="str">
        <f>IFERROR(__xludf.DUMMYFUNCTION("IF(B2495="""","""",RIGHT(REGEXREPLACE(B2495&amp;"""",""[^0-9]"",""""),9))"),"769396467")</f>
        <v>769396467</v>
      </c>
      <c r="B2495" s="48">
        <v>7.69396467E8</v>
      </c>
      <c r="C2495" s="10" t="s">
        <v>2596</v>
      </c>
      <c r="D2495" s="10" t="s">
        <v>69</v>
      </c>
      <c r="E2495" s="13">
        <v>46230.0</v>
      </c>
      <c r="F2495" s="10" t="s">
        <v>35</v>
      </c>
      <c r="G2495" s="10">
        <v>11.0</v>
      </c>
      <c r="H2495" s="10" t="s">
        <v>1570</v>
      </c>
      <c r="I2495" s="10" t="s">
        <v>22</v>
      </c>
      <c r="J2495" s="9" t="str">
        <f t="shared" si="39"/>
        <v>No</v>
      </c>
      <c r="K2495" s="9" t="str">
        <f t="shared" si="40"/>
        <v/>
      </c>
      <c r="L2495" s="9" t="str">
        <f t="shared" si="41"/>
        <v/>
      </c>
      <c r="M2495" s="9"/>
      <c r="O2495" s="9"/>
    </row>
    <row r="2496" ht="15.75" customHeight="1">
      <c r="A2496" s="9" t="str">
        <f>IFERROR(__xludf.DUMMYFUNCTION("IF(B2496="""","""",RIGHT(REGEXREPLACE(B2496&amp;"""",""[^0-9]"",""""),9))"),"788570574")</f>
        <v>788570574</v>
      </c>
      <c r="B2496" s="48">
        <v>7.88570574E8</v>
      </c>
      <c r="C2496" s="10" t="s">
        <v>2597</v>
      </c>
      <c r="D2496" s="10" t="s">
        <v>34</v>
      </c>
      <c r="E2496" s="13">
        <v>46230.0</v>
      </c>
      <c r="F2496" s="10" t="s">
        <v>198</v>
      </c>
      <c r="H2496" s="10" t="s">
        <v>2526</v>
      </c>
      <c r="I2496" s="10" t="s">
        <v>22</v>
      </c>
      <c r="J2496" s="9" t="str">
        <f t="shared" si="39"/>
        <v>No</v>
      </c>
      <c r="K2496" s="9" t="str">
        <f t="shared" si="40"/>
        <v/>
      </c>
      <c r="L2496" s="9" t="str">
        <f t="shared" si="41"/>
        <v/>
      </c>
      <c r="M2496" s="9"/>
      <c r="O2496" s="9"/>
    </row>
    <row r="2497" ht="15.75" customHeight="1">
      <c r="A2497" s="9" t="str">
        <f>IFERROR(__xludf.DUMMYFUNCTION("IF(B2497="""","""",RIGHT(REGEXREPLACE(B2497&amp;"""",""[^0-9]"",""""),9))"),"727393754")</f>
        <v>727393754</v>
      </c>
      <c r="B2497" s="48">
        <v>7.27393754E8</v>
      </c>
      <c r="C2497" s="10" t="s">
        <v>2598</v>
      </c>
      <c r="D2497" s="10" t="s">
        <v>50</v>
      </c>
      <c r="E2497" s="13">
        <v>46230.0</v>
      </c>
      <c r="F2497" s="10" t="s">
        <v>35</v>
      </c>
      <c r="G2497" s="10">
        <v>10.0</v>
      </c>
      <c r="I2497" s="10" t="s">
        <v>22</v>
      </c>
      <c r="J2497" s="9" t="str">
        <f t="shared" si="39"/>
        <v>No</v>
      </c>
      <c r="K2497" s="9" t="str">
        <f t="shared" si="40"/>
        <v/>
      </c>
      <c r="L2497" s="9" t="str">
        <f t="shared" si="41"/>
        <v/>
      </c>
      <c r="M2497" s="9"/>
      <c r="O2497" s="9"/>
    </row>
    <row r="2498" ht="15.75" customHeight="1">
      <c r="A2498" s="9" t="str">
        <f>IFERROR(__xludf.DUMMYFUNCTION("IF(B2498="""","""",RIGHT(REGEXREPLACE(B2498&amp;"""",""[^0-9]"",""""),9))"),"765650130")</f>
        <v>765650130</v>
      </c>
      <c r="B2498" s="48">
        <v>7.6565013E8</v>
      </c>
      <c r="C2498" s="10" t="s">
        <v>2598</v>
      </c>
      <c r="D2498" s="10" t="s">
        <v>34</v>
      </c>
      <c r="E2498" s="13">
        <v>46230.0</v>
      </c>
      <c r="F2498" s="10" t="s">
        <v>35</v>
      </c>
      <c r="G2498" s="10" t="s">
        <v>1970</v>
      </c>
      <c r="I2498" s="10" t="s">
        <v>22</v>
      </c>
      <c r="J2498" s="9" t="str">
        <f t="shared" si="39"/>
        <v>No</v>
      </c>
      <c r="K2498" s="9" t="str">
        <f t="shared" si="40"/>
        <v/>
      </c>
      <c r="L2498" s="9" t="str">
        <f t="shared" si="41"/>
        <v/>
      </c>
      <c r="M2498" s="9"/>
      <c r="O2498" s="9"/>
    </row>
    <row r="2499" ht="15.75" customHeight="1">
      <c r="A2499" s="9" t="str">
        <f>IFERROR(__xludf.DUMMYFUNCTION("IF(B2499="""","""",RIGHT(REGEXREPLACE(B2499&amp;"""",""[^0-9]"",""""),9))"),"702922510")</f>
        <v>702922510</v>
      </c>
      <c r="B2499" s="48">
        <v>7.0292251E8</v>
      </c>
      <c r="C2499" s="10" t="s">
        <v>2599</v>
      </c>
      <c r="D2499" s="10" t="s">
        <v>97</v>
      </c>
      <c r="E2499" s="13">
        <v>46230.0</v>
      </c>
      <c r="F2499" s="10" t="s">
        <v>21</v>
      </c>
      <c r="I2499" s="10" t="s">
        <v>22</v>
      </c>
      <c r="J2499" s="9" t="str">
        <f t="shared" si="39"/>
        <v>No</v>
      </c>
      <c r="K2499" s="9" t="str">
        <f t="shared" si="40"/>
        <v/>
      </c>
      <c r="L2499" s="9" t="str">
        <f t="shared" si="41"/>
        <v/>
      </c>
      <c r="M2499" s="9"/>
      <c r="O2499" s="9"/>
    </row>
    <row r="2500" ht="15.75" customHeight="1">
      <c r="A2500" s="9" t="str">
        <f>IFERROR(__xludf.DUMMYFUNCTION("IF(B2500="""","""",RIGHT(REGEXREPLACE(B2500&amp;"""",""[^0-9]"",""""),9))"),"764593120")</f>
        <v>764593120</v>
      </c>
      <c r="B2500" s="48">
        <v>7.6459312E8</v>
      </c>
      <c r="C2500" s="10" t="s">
        <v>2600</v>
      </c>
      <c r="D2500" s="10" t="s">
        <v>120</v>
      </c>
      <c r="E2500" s="13">
        <v>46230.0</v>
      </c>
      <c r="F2500" s="10" t="s">
        <v>113</v>
      </c>
      <c r="H2500" s="10" t="s">
        <v>2592</v>
      </c>
      <c r="I2500" s="10" t="s">
        <v>22</v>
      </c>
      <c r="J2500" s="9" t="str">
        <f t="shared" si="39"/>
        <v>No</v>
      </c>
      <c r="K2500" s="9" t="str">
        <f t="shared" si="40"/>
        <v/>
      </c>
      <c r="L2500" s="9" t="str">
        <f t="shared" si="41"/>
        <v/>
      </c>
      <c r="M2500" s="9"/>
      <c r="O2500" s="9"/>
    </row>
    <row r="2501" ht="15.75" customHeight="1">
      <c r="A2501" s="9" t="str">
        <f>IFERROR(__xludf.DUMMYFUNCTION("IF(B2501="""","""",RIGHT(REGEXREPLACE(B2501&amp;"""",""[^0-9]"",""""),9))"),"764115171")</f>
        <v>764115171</v>
      </c>
      <c r="B2501" s="48">
        <v>7.64115171E8</v>
      </c>
      <c r="C2501" s="10" t="s">
        <v>2601</v>
      </c>
      <c r="D2501" s="10" t="s">
        <v>50</v>
      </c>
      <c r="E2501" s="13">
        <v>46230.0</v>
      </c>
      <c r="F2501" s="10" t="s">
        <v>21</v>
      </c>
      <c r="G2501" s="10">
        <v>10.0</v>
      </c>
      <c r="I2501" s="10" t="s">
        <v>22</v>
      </c>
      <c r="J2501" s="9" t="str">
        <f t="shared" si="39"/>
        <v>No</v>
      </c>
      <c r="K2501" s="9" t="str">
        <f t="shared" si="40"/>
        <v/>
      </c>
      <c r="L2501" s="9" t="str">
        <f t="shared" si="41"/>
        <v/>
      </c>
      <c r="M2501" s="9"/>
      <c r="O2501" s="9"/>
    </row>
    <row r="2502" ht="15.75" customHeight="1">
      <c r="A2502" s="9" t="str">
        <f>IFERROR(__xludf.DUMMYFUNCTION("IF(B2502="""","""",RIGHT(REGEXREPLACE(B2502&amp;"""",""[^0-9]"",""""),9))"),"765750944")</f>
        <v>765750944</v>
      </c>
      <c r="B2502" s="48">
        <v>7.65750944E8</v>
      </c>
      <c r="C2502" s="10" t="s">
        <v>2602</v>
      </c>
      <c r="D2502" s="10" t="s">
        <v>120</v>
      </c>
      <c r="E2502" s="13">
        <v>46230.0</v>
      </c>
      <c r="F2502" s="10" t="s">
        <v>145</v>
      </c>
      <c r="G2502" s="10">
        <v>11.0</v>
      </c>
      <c r="H2502" s="10" t="s">
        <v>2603</v>
      </c>
      <c r="I2502" s="10" t="s">
        <v>22</v>
      </c>
      <c r="J2502" s="9" t="str">
        <f t="shared" si="39"/>
        <v>No</v>
      </c>
      <c r="K2502" s="9" t="str">
        <f t="shared" si="40"/>
        <v/>
      </c>
      <c r="L2502" s="9" t="str">
        <f t="shared" si="41"/>
        <v/>
      </c>
      <c r="M2502" s="9"/>
      <c r="O2502" s="9"/>
    </row>
    <row r="2503" ht="15.75" customHeight="1">
      <c r="A2503" s="9" t="str">
        <f>IFERROR(__xludf.DUMMYFUNCTION("IF(B2503="""","""",RIGHT(REGEXREPLACE(B2503&amp;"""",""[^0-9]"",""""),9))"),"704686741")</f>
        <v>704686741</v>
      </c>
      <c r="B2503" s="48">
        <v>7.04686741E8</v>
      </c>
      <c r="C2503" s="10" t="s">
        <v>2604</v>
      </c>
      <c r="D2503" s="10" t="s">
        <v>69</v>
      </c>
      <c r="E2503" s="13">
        <v>46230.0</v>
      </c>
      <c r="F2503" s="10" t="s">
        <v>35</v>
      </c>
      <c r="G2503" s="10">
        <v>7.0</v>
      </c>
      <c r="H2503" s="10" t="s">
        <v>716</v>
      </c>
      <c r="I2503" s="10" t="s">
        <v>22</v>
      </c>
      <c r="J2503" s="9" t="str">
        <f t="shared" si="39"/>
        <v>No</v>
      </c>
      <c r="K2503" s="9" t="str">
        <f t="shared" si="40"/>
        <v/>
      </c>
      <c r="L2503" s="9" t="str">
        <f t="shared" si="41"/>
        <v/>
      </c>
      <c r="M2503" s="9"/>
      <c r="O2503" s="9"/>
    </row>
    <row r="2504" ht="15.75" customHeight="1">
      <c r="A2504" s="9" t="str">
        <f>IFERROR(__xludf.DUMMYFUNCTION("IF(B2504="""","""",RIGHT(REGEXREPLACE(B2504&amp;"""",""[^0-9]"",""""),9))"),"772578785")</f>
        <v>772578785</v>
      </c>
      <c r="B2504" s="48">
        <v>7.72578785E8</v>
      </c>
      <c r="C2504" s="10" t="s">
        <v>2605</v>
      </c>
      <c r="D2504" s="10" t="s">
        <v>97</v>
      </c>
      <c r="E2504" s="13">
        <v>46230.0</v>
      </c>
      <c r="F2504" s="10" t="s">
        <v>21</v>
      </c>
      <c r="G2504" s="10">
        <v>10.0</v>
      </c>
      <c r="I2504" s="10" t="s">
        <v>22</v>
      </c>
      <c r="J2504" s="9" t="str">
        <f t="shared" si="39"/>
        <v>No</v>
      </c>
      <c r="K2504" s="9" t="str">
        <f t="shared" si="40"/>
        <v/>
      </c>
      <c r="L2504" s="9" t="str">
        <f t="shared" si="41"/>
        <v/>
      </c>
      <c r="M2504" s="9"/>
      <c r="O2504" s="9"/>
    </row>
    <row r="2505" ht="15.75" customHeight="1">
      <c r="A2505" s="9" t="str">
        <f>IFERROR(__xludf.DUMMYFUNCTION("IF(B2505="""","""",RIGHT(REGEXREPLACE(B2505&amp;"""",""[^0-9]"",""""),9))"),"741342370")</f>
        <v>741342370</v>
      </c>
      <c r="B2505" s="48">
        <v>7.4134237E8</v>
      </c>
      <c r="C2505" s="10" t="s">
        <v>2606</v>
      </c>
      <c r="D2505" s="10" t="s">
        <v>34</v>
      </c>
      <c r="E2505" s="13">
        <v>46230.0</v>
      </c>
      <c r="F2505" s="10" t="s">
        <v>21</v>
      </c>
      <c r="H2505" s="10" t="s">
        <v>2526</v>
      </c>
      <c r="I2505" s="10" t="s">
        <v>22</v>
      </c>
      <c r="J2505" s="9" t="str">
        <f t="shared" si="39"/>
        <v>No</v>
      </c>
      <c r="K2505" s="9" t="str">
        <f t="shared" si="40"/>
        <v/>
      </c>
      <c r="L2505" s="9" t="str">
        <f t="shared" si="41"/>
        <v/>
      </c>
      <c r="M2505" s="9"/>
      <c r="O2505" s="9"/>
    </row>
    <row r="2506" ht="15.75" customHeight="1">
      <c r="A2506" s="9" t="str">
        <f>IFERROR(__xludf.DUMMYFUNCTION("IF(B2506="""","""",RIGHT(REGEXREPLACE(B2506&amp;"""",""[^0-9]"",""""),9))"),"778301625")</f>
        <v>778301625</v>
      </c>
      <c r="B2506" s="48">
        <v>7.78301625E8</v>
      </c>
      <c r="C2506" s="10" t="s">
        <v>2607</v>
      </c>
      <c r="D2506" s="10" t="s">
        <v>50</v>
      </c>
      <c r="E2506" s="13">
        <v>46230.0</v>
      </c>
      <c r="F2506" s="10" t="s">
        <v>35</v>
      </c>
      <c r="G2506" s="10">
        <v>11.0</v>
      </c>
      <c r="H2506" s="10" t="s">
        <v>622</v>
      </c>
      <c r="I2506" s="10" t="s">
        <v>22</v>
      </c>
      <c r="J2506" s="9" t="str">
        <f t="shared" si="39"/>
        <v>No</v>
      </c>
      <c r="K2506" s="9" t="str">
        <f t="shared" si="40"/>
        <v/>
      </c>
      <c r="L2506" s="9" t="str">
        <f t="shared" si="41"/>
        <v/>
      </c>
      <c r="M2506" s="9"/>
      <c r="O2506" s="9"/>
    </row>
    <row r="2507" ht="15.75" customHeight="1">
      <c r="A2507" s="9" t="str">
        <f>IFERROR(__xludf.DUMMYFUNCTION("IF(B2507="""","""",RIGHT(REGEXREPLACE(B2507&amp;"""",""[^0-9]"",""""),9))"),"718215337")</f>
        <v>718215337</v>
      </c>
      <c r="B2507" s="48">
        <v>7.18215337E8</v>
      </c>
      <c r="C2507" s="10" t="s">
        <v>2608</v>
      </c>
      <c r="D2507" s="10" t="s">
        <v>120</v>
      </c>
      <c r="E2507" s="13">
        <v>46230.0</v>
      </c>
      <c r="F2507" s="10" t="s">
        <v>35</v>
      </c>
      <c r="G2507" s="10">
        <v>10.0</v>
      </c>
      <c r="H2507" s="10" t="s">
        <v>2592</v>
      </c>
      <c r="I2507" s="10" t="s">
        <v>22</v>
      </c>
      <c r="J2507" s="9" t="str">
        <f t="shared" si="39"/>
        <v>No</v>
      </c>
      <c r="K2507" s="9" t="str">
        <f t="shared" si="40"/>
        <v/>
      </c>
      <c r="L2507" s="9" t="str">
        <f t="shared" si="41"/>
        <v/>
      </c>
      <c r="M2507" s="9"/>
      <c r="O2507" s="9"/>
    </row>
    <row r="2508" ht="15.75" customHeight="1">
      <c r="A2508" s="9" t="str">
        <f>IFERROR(__xludf.DUMMYFUNCTION("IF(B2508="""","""",RIGHT(REGEXREPLACE(B2508&amp;"""",""[^0-9]"",""""),9))"),"787346554")</f>
        <v>787346554</v>
      </c>
      <c r="B2508" s="48">
        <v>7.87346554E8</v>
      </c>
      <c r="C2508" s="10" t="s">
        <v>2609</v>
      </c>
      <c r="D2508" s="10" t="s">
        <v>97</v>
      </c>
      <c r="E2508" s="13">
        <v>46230.0</v>
      </c>
      <c r="F2508" s="10" t="s">
        <v>604</v>
      </c>
      <c r="I2508" s="10" t="s">
        <v>22</v>
      </c>
      <c r="J2508" s="9" t="str">
        <f t="shared" si="39"/>
        <v>No</v>
      </c>
      <c r="K2508" s="9" t="str">
        <f t="shared" si="40"/>
        <v/>
      </c>
      <c r="L2508" s="9" t="str">
        <f t="shared" si="41"/>
        <v/>
      </c>
      <c r="M2508" s="9"/>
      <c r="O2508" s="9"/>
    </row>
    <row r="2509" ht="15.75" customHeight="1">
      <c r="A2509" s="9" t="str">
        <f>IFERROR(__xludf.DUMMYFUNCTION("IF(B2509="""","""",RIGHT(REGEXREPLACE(B2509&amp;"""",""[^0-9]"",""""),9))"),"777214756")</f>
        <v>777214756</v>
      </c>
      <c r="B2509" s="48">
        <v>7.77214756E8</v>
      </c>
      <c r="C2509" s="10" t="s">
        <v>2610</v>
      </c>
      <c r="D2509" s="10" t="s">
        <v>69</v>
      </c>
      <c r="E2509" s="13">
        <v>46230.0</v>
      </c>
      <c r="F2509" s="10" t="s">
        <v>604</v>
      </c>
      <c r="H2509" s="10" t="s">
        <v>737</v>
      </c>
      <c r="I2509" s="10" t="s">
        <v>22</v>
      </c>
      <c r="J2509" s="9" t="str">
        <f t="shared" si="39"/>
        <v>No</v>
      </c>
      <c r="K2509" s="9" t="str">
        <f t="shared" si="40"/>
        <v/>
      </c>
      <c r="L2509" s="9" t="str">
        <f t="shared" si="41"/>
        <v/>
      </c>
      <c r="M2509" s="9"/>
      <c r="O2509" s="9"/>
    </row>
    <row r="2510" ht="15.75" customHeight="1">
      <c r="A2510" s="9" t="str">
        <f>IFERROR(__xludf.DUMMYFUNCTION("IF(B2510="""","""",RIGHT(REGEXREPLACE(B2510&amp;"""",""[^0-9]"",""""),9))"),"769396467")</f>
        <v>769396467</v>
      </c>
      <c r="B2510" s="48">
        <v>7.69396467E8</v>
      </c>
      <c r="C2510" s="10" t="s">
        <v>2596</v>
      </c>
      <c r="D2510" s="10" t="s">
        <v>97</v>
      </c>
      <c r="E2510" s="13">
        <v>46230.0</v>
      </c>
      <c r="F2510" s="10" t="s">
        <v>35</v>
      </c>
      <c r="G2510" s="10">
        <v>11.0</v>
      </c>
      <c r="I2510" s="10" t="s">
        <v>22</v>
      </c>
      <c r="J2510" s="9" t="str">
        <f t="shared" si="39"/>
        <v>Yes - see Previous F-Code</v>
      </c>
      <c r="K2510" s="9" t="str">
        <f t="shared" si="40"/>
        <v>DUPLICATE - CHECK</v>
      </c>
      <c r="L2510" s="9" t="str">
        <f t="shared" si="41"/>
        <v>F72363</v>
      </c>
      <c r="M2510" s="9"/>
      <c r="O2510" s="9"/>
    </row>
    <row r="2511" ht="15.75" customHeight="1">
      <c r="A2511" s="9" t="str">
        <f>IFERROR(__xludf.DUMMYFUNCTION("IF(B2511="""","""",RIGHT(REGEXREPLACE(B2511&amp;"""",""[^0-9]"",""""),9))"),"762864620")</f>
        <v>762864620</v>
      </c>
      <c r="B2511" s="48">
        <v>7.6286462E8</v>
      </c>
      <c r="C2511" s="10" t="s">
        <v>2611</v>
      </c>
      <c r="D2511" s="10" t="s">
        <v>69</v>
      </c>
      <c r="E2511" s="13">
        <v>46230.0</v>
      </c>
      <c r="F2511" s="10" t="s">
        <v>21</v>
      </c>
      <c r="H2511" s="10" t="s">
        <v>737</v>
      </c>
      <c r="I2511" s="10" t="s">
        <v>22</v>
      </c>
      <c r="J2511" s="9" t="str">
        <f t="shared" si="39"/>
        <v>No</v>
      </c>
      <c r="K2511" s="9" t="str">
        <f t="shared" si="40"/>
        <v/>
      </c>
      <c r="L2511" s="9" t="str">
        <f t="shared" si="41"/>
        <v/>
      </c>
      <c r="M2511" s="9"/>
      <c r="O2511" s="9"/>
    </row>
    <row r="2512" ht="15.75" customHeight="1">
      <c r="A2512" s="9" t="str">
        <f>IFERROR(__xludf.DUMMYFUNCTION("IF(B2512="""","""",RIGHT(REGEXREPLACE(B2512&amp;"""",""[^0-9]"",""""),9))"),"763699569")</f>
        <v>763699569</v>
      </c>
      <c r="B2512" s="48">
        <v>7.63699569E8</v>
      </c>
      <c r="C2512" s="10" t="s">
        <v>1248</v>
      </c>
      <c r="D2512" s="10" t="s">
        <v>34</v>
      </c>
      <c r="E2512" s="13">
        <v>46230.0</v>
      </c>
      <c r="F2512" s="10" t="s">
        <v>21</v>
      </c>
      <c r="H2512" s="10" t="s">
        <v>2526</v>
      </c>
      <c r="I2512" s="10" t="s">
        <v>22</v>
      </c>
      <c r="J2512" s="9" t="str">
        <f t="shared" si="39"/>
        <v>Yes - see Previous F-Code</v>
      </c>
      <c r="K2512" s="9" t="str">
        <f t="shared" si="40"/>
        <v>DUPLICATE - CHECK</v>
      </c>
      <c r="L2512" s="9" t="str">
        <f t="shared" si="41"/>
        <v>F71057</v>
      </c>
      <c r="M2512" s="9"/>
      <c r="O2512" s="9"/>
    </row>
    <row r="2513" ht="15.75" customHeight="1">
      <c r="A2513" s="9" t="str">
        <f>IFERROR(__xludf.DUMMYFUNCTION("IF(B2513="""","""",RIGHT(REGEXREPLACE(B2513&amp;"""",""[^0-9]"",""""),9))"),"764543058")</f>
        <v>764543058</v>
      </c>
      <c r="B2513" s="48">
        <v>7.64543058E8</v>
      </c>
      <c r="C2513" s="10" t="s">
        <v>2612</v>
      </c>
      <c r="D2513" s="10" t="s">
        <v>97</v>
      </c>
      <c r="E2513" s="13">
        <v>46230.0</v>
      </c>
      <c r="F2513" s="10" t="s">
        <v>648</v>
      </c>
      <c r="I2513" s="10" t="s">
        <v>22</v>
      </c>
      <c r="J2513" s="9" t="str">
        <f t="shared" si="39"/>
        <v>No</v>
      </c>
      <c r="K2513" s="9" t="str">
        <f t="shared" si="40"/>
        <v/>
      </c>
      <c r="L2513" s="9" t="str">
        <f t="shared" si="41"/>
        <v/>
      </c>
      <c r="M2513" s="9"/>
      <c r="O2513" s="9"/>
    </row>
    <row r="2514" ht="15.75" customHeight="1">
      <c r="A2514" s="9" t="str">
        <f>IFERROR(__xludf.DUMMYFUNCTION("IF(B2514="""","""",RIGHT(REGEXREPLACE(B2514&amp;"""",""[^0-9]"",""""),9))"),"710120346")</f>
        <v>710120346</v>
      </c>
      <c r="B2514" s="48">
        <v>7.10120346E8</v>
      </c>
      <c r="C2514" s="10" t="s">
        <v>2613</v>
      </c>
      <c r="D2514" s="10" t="s">
        <v>34</v>
      </c>
      <c r="E2514" s="13">
        <v>46230.0</v>
      </c>
      <c r="F2514" s="10" t="s">
        <v>648</v>
      </c>
      <c r="H2514" s="10" t="s">
        <v>2526</v>
      </c>
      <c r="I2514" s="10" t="s">
        <v>22</v>
      </c>
      <c r="J2514" s="9" t="str">
        <f t="shared" si="39"/>
        <v>No</v>
      </c>
      <c r="K2514" s="9" t="str">
        <f t="shared" si="40"/>
        <v/>
      </c>
      <c r="L2514" s="9" t="str">
        <f t="shared" si="41"/>
        <v/>
      </c>
      <c r="M2514" s="9"/>
      <c r="O2514" s="9"/>
    </row>
    <row r="2515" ht="15.75" customHeight="1">
      <c r="A2515" s="9" t="str">
        <f>IFERROR(__xludf.DUMMYFUNCTION("IF(B2515="""","""",RIGHT(REGEXREPLACE(B2515&amp;"""",""[^0-9]"",""""),9))"),"752885983")</f>
        <v>752885983</v>
      </c>
      <c r="B2515" s="48">
        <v>7.52885983E8</v>
      </c>
      <c r="C2515" s="10" t="s">
        <v>2614</v>
      </c>
      <c r="D2515" s="10" t="s">
        <v>50</v>
      </c>
      <c r="E2515" s="13">
        <v>46230.0</v>
      </c>
      <c r="F2515" s="10" t="s">
        <v>35</v>
      </c>
      <c r="G2515" s="10">
        <v>10.0</v>
      </c>
      <c r="H2515" s="10" t="s">
        <v>622</v>
      </c>
      <c r="I2515" s="10" t="s">
        <v>22</v>
      </c>
      <c r="J2515" s="9" t="str">
        <f t="shared" si="39"/>
        <v>No</v>
      </c>
      <c r="K2515" s="9" t="str">
        <f t="shared" si="40"/>
        <v/>
      </c>
      <c r="L2515" s="9" t="str">
        <f t="shared" si="41"/>
        <v/>
      </c>
      <c r="M2515" s="9"/>
      <c r="O2515" s="9"/>
    </row>
    <row r="2516" ht="15.75" customHeight="1">
      <c r="A2516" s="9" t="str">
        <f>IFERROR(__xludf.DUMMYFUNCTION("IF(B2516="""","""",RIGHT(REGEXREPLACE(B2516&amp;"""",""[^0-9]"",""""),9))"),"775358375")</f>
        <v>775358375</v>
      </c>
      <c r="B2516" s="48">
        <v>7.75358375E8</v>
      </c>
      <c r="C2516" s="10" t="s">
        <v>2615</v>
      </c>
      <c r="D2516" s="10" t="s">
        <v>34</v>
      </c>
      <c r="E2516" s="13">
        <v>46230.0</v>
      </c>
      <c r="F2516" s="10" t="s">
        <v>35</v>
      </c>
      <c r="G2516" s="10">
        <v>10.0</v>
      </c>
      <c r="H2516" s="10" t="s">
        <v>2526</v>
      </c>
      <c r="I2516" s="10" t="s">
        <v>22</v>
      </c>
      <c r="J2516" s="9" t="str">
        <f t="shared" si="39"/>
        <v>No</v>
      </c>
      <c r="K2516" s="9" t="str">
        <f t="shared" si="40"/>
        <v/>
      </c>
      <c r="L2516" s="9" t="str">
        <f t="shared" si="41"/>
        <v/>
      </c>
      <c r="M2516" s="9"/>
      <c r="O2516" s="9"/>
    </row>
    <row r="2517" ht="15.75" customHeight="1">
      <c r="A2517" s="9" t="str">
        <f>IFERROR(__xludf.DUMMYFUNCTION("IF(B2517="""","""",RIGHT(REGEXREPLACE(B2517&amp;"""",""[^0-9]"",""""),9))"),"761193608")</f>
        <v>761193608</v>
      </c>
      <c r="B2517" s="48">
        <v>7.61193608E8</v>
      </c>
      <c r="C2517" s="10" t="s">
        <v>2616</v>
      </c>
      <c r="D2517" s="10" t="s">
        <v>69</v>
      </c>
      <c r="E2517" s="13">
        <v>46230.0</v>
      </c>
      <c r="F2517" s="10" t="s">
        <v>21</v>
      </c>
      <c r="H2517" s="10" t="s">
        <v>737</v>
      </c>
      <c r="I2517" s="10" t="s">
        <v>22</v>
      </c>
      <c r="J2517" s="9" t="str">
        <f t="shared" si="39"/>
        <v>No</v>
      </c>
      <c r="K2517" s="9" t="str">
        <f t="shared" si="40"/>
        <v/>
      </c>
      <c r="L2517" s="9" t="str">
        <f t="shared" si="41"/>
        <v/>
      </c>
      <c r="M2517" s="9"/>
      <c r="O2517" s="9"/>
    </row>
    <row r="2518" ht="15.75" customHeight="1">
      <c r="A2518" s="9" t="str">
        <f>IFERROR(__xludf.DUMMYFUNCTION("IF(B2518="""","""",RIGHT(REGEXREPLACE(B2518&amp;"""",""[^0-9]"",""""),9))"),"701393369")</f>
        <v>701393369</v>
      </c>
      <c r="B2518" s="48">
        <v>7.01393369E8</v>
      </c>
      <c r="C2518" s="10" t="s">
        <v>2617</v>
      </c>
      <c r="D2518" s="10" t="s">
        <v>69</v>
      </c>
      <c r="E2518" s="13">
        <v>46230.0</v>
      </c>
      <c r="F2518" s="10" t="s">
        <v>35</v>
      </c>
      <c r="G2518" s="10">
        <v>10.0</v>
      </c>
      <c r="I2518" s="10" t="s">
        <v>22</v>
      </c>
      <c r="J2518" s="9" t="str">
        <f t="shared" si="39"/>
        <v>No</v>
      </c>
      <c r="K2518" s="9" t="str">
        <f t="shared" si="40"/>
        <v/>
      </c>
      <c r="L2518" s="9" t="str">
        <f t="shared" si="41"/>
        <v/>
      </c>
      <c r="M2518" s="9"/>
      <c r="O2518" s="9"/>
    </row>
    <row r="2519" ht="15.75" customHeight="1">
      <c r="A2519" s="9" t="str">
        <f>IFERROR(__xludf.DUMMYFUNCTION("IF(B2519="""","""",RIGHT(REGEXREPLACE(B2519&amp;"""",""[^0-9]"",""""),9))"),"712949661")</f>
        <v>712949661</v>
      </c>
      <c r="B2519" s="48">
        <v>7.12949661E8</v>
      </c>
      <c r="C2519" s="10" t="s">
        <v>2618</v>
      </c>
      <c r="D2519" s="10" t="s">
        <v>34</v>
      </c>
      <c r="E2519" s="13">
        <v>46230.0</v>
      </c>
      <c r="F2519" s="10" t="s">
        <v>21</v>
      </c>
      <c r="H2519" s="10" t="s">
        <v>2526</v>
      </c>
      <c r="I2519" s="10" t="s">
        <v>22</v>
      </c>
      <c r="J2519" s="9" t="str">
        <f t="shared" si="39"/>
        <v>No</v>
      </c>
      <c r="K2519" s="9" t="str">
        <f t="shared" si="40"/>
        <v/>
      </c>
      <c r="L2519" s="9" t="str">
        <f t="shared" si="41"/>
        <v/>
      </c>
      <c r="M2519" s="9"/>
      <c r="O2519" s="9"/>
    </row>
    <row r="2520" ht="15.75" customHeight="1">
      <c r="A2520" s="9" t="str">
        <f>IFERROR(__xludf.DUMMYFUNCTION("IF(B2520="""","""",RIGHT(REGEXREPLACE(B2520&amp;"""",""[^0-9]"",""""),9))"),"755382712")</f>
        <v>755382712</v>
      </c>
      <c r="B2520" s="48">
        <v>7.55382712E8</v>
      </c>
      <c r="C2520" s="10" t="s">
        <v>2619</v>
      </c>
      <c r="D2520" s="10" t="s">
        <v>50</v>
      </c>
      <c r="E2520" s="13">
        <v>46230.0</v>
      </c>
      <c r="F2520" s="10" t="s">
        <v>21</v>
      </c>
      <c r="I2520" s="10" t="s">
        <v>22</v>
      </c>
      <c r="J2520" s="9" t="str">
        <f t="shared" si="39"/>
        <v>No</v>
      </c>
      <c r="K2520" s="9" t="str">
        <f t="shared" si="40"/>
        <v/>
      </c>
      <c r="L2520" s="9" t="str">
        <f t="shared" si="41"/>
        <v/>
      </c>
      <c r="M2520" s="9"/>
      <c r="O2520" s="9"/>
    </row>
    <row r="2521" ht="15.75" customHeight="1">
      <c r="A2521" s="9" t="str">
        <f>IFERROR(__xludf.DUMMYFUNCTION("IF(B2521="""","""",RIGHT(REGEXREPLACE(B2521&amp;"""",""[^0-9]"",""""),9))"),"701581778")</f>
        <v>701581778</v>
      </c>
      <c r="B2521" s="48">
        <v>7.01581778E8</v>
      </c>
      <c r="C2521" s="10" t="s">
        <v>2620</v>
      </c>
      <c r="D2521" s="10" t="s">
        <v>120</v>
      </c>
      <c r="E2521" s="13">
        <v>46230.0</v>
      </c>
      <c r="F2521" s="10" t="s">
        <v>145</v>
      </c>
      <c r="G2521" s="10">
        <v>11.0</v>
      </c>
      <c r="H2521" s="10" t="s">
        <v>2621</v>
      </c>
      <c r="I2521" s="10" t="s">
        <v>22</v>
      </c>
      <c r="J2521" s="9" t="str">
        <f t="shared" si="39"/>
        <v>No</v>
      </c>
      <c r="K2521" s="9" t="str">
        <f t="shared" si="40"/>
        <v/>
      </c>
      <c r="L2521" s="9" t="str">
        <f t="shared" si="41"/>
        <v/>
      </c>
      <c r="M2521" s="9"/>
      <c r="O2521" s="9"/>
    </row>
    <row r="2522" ht="15.75" customHeight="1">
      <c r="A2522" s="9" t="str">
        <f>IFERROR(__xludf.DUMMYFUNCTION("IF(B2522="""","""",RIGHT(REGEXREPLACE(B2522&amp;"""",""[^0-9]"",""""),9))"),"764044506")</f>
        <v>764044506</v>
      </c>
      <c r="B2522" s="48">
        <v>7.64044506E8</v>
      </c>
      <c r="C2522" s="10" t="s">
        <v>2622</v>
      </c>
      <c r="D2522" s="10" t="s">
        <v>69</v>
      </c>
      <c r="E2522" s="13">
        <v>46230.0</v>
      </c>
      <c r="F2522" s="10" t="s">
        <v>21</v>
      </c>
      <c r="H2522" s="10" t="s">
        <v>737</v>
      </c>
      <c r="I2522" s="10" t="s">
        <v>22</v>
      </c>
      <c r="J2522" s="9" t="str">
        <f t="shared" si="39"/>
        <v>No</v>
      </c>
      <c r="K2522" s="9" t="str">
        <f t="shared" si="40"/>
        <v/>
      </c>
      <c r="L2522" s="9" t="str">
        <f t="shared" si="41"/>
        <v/>
      </c>
      <c r="M2522" s="9"/>
      <c r="O2522" s="9"/>
    </row>
    <row r="2523" ht="15.75" customHeight="1">
      <c r="A2523" s="9" t="str">
        <f>IFERROR(__xludf.DUMMYFUNCTION("IF(B2523="""","""",RIGHT(REGEXREPLACE(B2523&amp;"""",""[^0-9]"",""""),9))"),"766951669")</f>
        <v>766951669</v>
      </c>
      <c r="B2523" s="48">
        <v>7.66951669E8</v>
      </c>
      <c r="C2523" s="10" t="s">
        <v>675</v>
      </c>
      <c r="D2523" s="10" t="s">
        <v>34</v>
      </c>
      <c r="E2523" s="13">
        <v>46230.0</v>
      </c>
      <c r="F2523" s="10" t="s">
        <v>198</v>
      </c>
      <c r="H2523" s="10" t="s">
        <v>2526</v>
      </c>
      <c r="I2523" s="10" t="s">
        <v>22</v>
      </c>
      <c r="J2523" s="9" t="str">
        <f t="shared" si="39"/>
        <v>Yes - see Previous F-Code</v>
      </c>
      <c r="K2523" s="9" t="str">
        <f t="shared" si="40"/>
        <v>DUPLICATE - CHECK</v>
      </c>
      <c r="L2523" s="9" t="str">
        <f t="shared" si="41"/>
        <v>F70517</v>
      </c>
      <c r="M2523" s="9"/>
      <c r="O2523" s="9"/>
    </row>
    <row r="2524" ht="15.75" customHeight="1">
      <c r="A2524" s="9" t="str">
        <f>IFERROR(__xludf.DUMMYFUNCTION("IF(B2524="""","""",RIGHT(REGEXREPLACE(B2524&amp;"""",""[^0-9]"",""""),9))"),"760565756")</f>
        <v>760565756</v>
      </c>
      <c r="B2524" s="48">
        <v>7.60565756E8</v>
      </c>
      <c r="C2524" s="10" t="s">
        <v>2623</v>
      </c>
      <c r="D2524" s="10" t="s">
        <v>50</v>
      </c>
      <c r="E2524" s="13">
        <v>46230.0</v>
      </c>
      <c r="F2524" s="10" t="s">
        <v>198</v>
      </c>
      <c r="I2524" s="10" t="s">
        <v>22</v>
      </c>
      <c r="J2524" s="9" t="str">
        <f t="shared" si="39"/>
        <v>No</v>
      </c>
      <c r="K2524" s="9" t="str">
        <f t="shared" si="40"/>
        <v/>
      </c>
      <c r="L2524" s="9" t="str">
        <f t="shared" si="41"/>
        <v/>
      </c>
      <c r="M2524" s="9"/>
      <c r="O2524" s="9"/>
    </row>
    <row r="2525" ht="15.75" customHeight="1">
      <c r="A2525" s="9" t="str">
        <f>IFERROR(__xludf.DUMMYFUNCTION("IF(B2525="""","""",RIGHT(REGEXREPLACE(B2525&amp;"""",""[^0-9]"",""""),9))"),"724779398")</f>
        <v>724779398</v>
      </c>
      <c r="B2525" s="48">
        <v>7.24779398E8</v>
      </c>
      <c r="C2525" s="10" t="s">
        <v>2624</v>
      </c>
      <c r="D2525" s="10" t="s">
        <v>34</v>
      </c>
      <c r="E2525" s="13">
        <v>46230.0</v>
      </c>
      <c r="F2525" s="10" t="s">
        <v>145</v>
      </c>
      <c r="H2525" s="10" t="s">
        <v>2526</v>
      </c>
      <c r="I2525" s="10" t="s">
        <v>22</v>
      </c>
      <c r="J2525" s="9" t="str">
        <f t="shared" si="39"/>
        <v>No</v>
      </c>
      <c r="K2525" s="9" t="str">
        <f t="shared" si="40"/>
        <v/>
      </c>
      <c r="L2525" s="9" t="str">
        <f t="shared" si="41"/>
        <v/>
      </c>
      <c r="M2525" s="9"/>
      <c r="O2525" s="9"/>
    </row>
    <row r="2526" ht="15.75" customHeight="1">
      <c r="A2526" s="9" t="str">
        <f>IFERROR(__xludf.DUMMYFUNCTION("IF(B2526="""","""",RIGHT(REGEXREPLACE(B2526&amp;"""",""[^0-9]"",""""),9))"),"771489255")</f>
        <v>771489255</v>
      </c>
      <c r="B2526" s="48">
        <v>7.71489255E8</v>
      </c>
      <c r="C2526" s="10" t="s">
        <v>2625</v>
      </c>
      <c r="D2526" s="10" t="s">
        <v>69</v>
      </c>
      <c r="E2526" s="13">
        <v>46230.0</v>
      </c>
      <c r="F2526" s="10" t="s">
        <v>113</v>
      </c>
      <c r="H2526" s="10" t="s">
        <v>737</v>
      </c>
      <c r="I2526" s="10" t="s">
        <v>22</v>
      </c>
      <c r="J2526" s="9" t="str">
        <f t="shared" si="39"/>
        <v>No</v>
      </c>
      <c r="K2526" s="9" t="str">
        <f t="shared" si="40"/>
        <v/>
      </c>
      <c r="L2526" s="9" t="str">
        <f t="shared" si="41"/>
        <v/>
      </c>
      <c r="M2526" s="9"/>
      <c r="O2526" s="9"/>
    </row>
    <row r="2527" ht="15.75" customHeight="1">
      <c r="A2527" s="9" t="str">
        <f>IFERROR(__xludf.DUMMYFUNCTION("IF(B2527="""","""",RIGHT(REGEXREPLACE(B2527&amp;"""",""[^0-9]"",""""),9))"),"774823980")</f>
        <v>774823980</v>
      </c>
      <c r="B2527" s="48">
        <v>7.7482398E8</v>
      </c>
      <c r="C2527" s="10" t="s">
        <v>2626</v>
      </c>
      <c r="D2527" s="10" t="s">
        <v>50</v>
      </c>
      <c r="E2527" s="13">
        <v>46230.0</v>
      </c>
      <c r="F2527" s="10" t="s">
        <v>35</v>
      </c>
      <c r="G2527" s="10">
        <v>11.0</v>
      </c>
      <c r="I2527" s="10" t="s">
        <v>22</v>
      </c>
      <c r="J2527" s="9" t="str">
        <f t="shared" si="39"/>
        <v>No</v>
      </c>
      <c r="K2527" s="9" t="str">
        <f t="shared" si="40"/>
        <v/>
      </c>
      <c r="L2527" s="9" t="str">
        <f t="shared" si="41"/>
        <v/>
      </c>
      <c r="M2527" s="9"/>
      <c r="O2527" s="9"/>
    </row>
    <row r="2528" ht="15.75" customHeight="1">
      <c r="A2528" s="9" t="str">
        <f>IFERROR(__xludf.DUMMYFUNCTION("IF(B2528="""","""",RIGHT(REGEXREPLACE(B2528&amp;"""",""[^0-9]"",""""),9))"),"")</f>
        <v/>
      </c>
      <c r="B2528" s="9"/>
      <c r="C2528" s="10" t="s">
        <v>2601</v>
      </c>
      <c r="D2528" s="10" t="s">
        <v>105</v>
      </c>
      <c r="E2528" s="13">
        <v>46230.0</v>
      </c>
      <c r="F2528" s="9"/>
      <c r="G2528" s="9"/>
      <c r="H2528" s="9"/>
      <c r="I2528" s="10" t="s">
        <v>22</v>
      </c>
      <c r="J2528" s="9" t="str">
        <f t="shared" si="39"/>
        <v>Yes - see Previous F-Code</v>
      </c>
      <c r="K2528" s="9" t="str">
        <f t="shared" si="40"/>
        <v>DUPLICATE - CHECK</v>
      </c>
      <c r="L2528" s="9" t="str">
        <f t="shared" si="41"/>
        <v/>
      </c>
      <c r="M2528" s="9"/>
      <c r="N2528" s="9"/>
      <c r="O2528" s="9"/>
      <c r="P2528" s="9"/>
    </row>
    <row r="2529" ht="15.75" customHeight="1">
      <c r="A2529" s="9" t="str">
        <f>IFERROR(__xludf.DUMMYFUNCTION("IF(B2529="""","""",RIGHT(REGEXREPLACE(B2529&amp;"""",""[^0-9]"",""""),9))"),"702748950")</f>
        <v>702748950</v>
      </c>
      <c r="B2529" s="48">
        <v>7.0274895E8</v>
      </c>
      <c r="C2529" s="10" t="s">
        <v>2627</v>
      </c>
      <c r="D2529" s="10" t="s">
        <v>97</v>
      </c>
      <c r="E2529" s="13">
        <v>46230.0</v>
      </c>
      <c r="F2529" s="10" t="s">
        <v>35</v>
      </c>
      <c r="G2529" s="10">
        <v>11.0</v>
      </c>
      <c r="I2529" s="10" t="s">
        <v>22</v>
      </c>
      <c r="J2529" s="9" t="str">
        <f t="shared" si="39"/>
        <v>No</v>
      </c>
      <c r="K2529" s="9" t="str">
        <f t="shared" si="40"/>
        <v/>
      </c>
      <c r="L2529" s="9" t="str">
        <f t="shared" si="41"/>
        <v/>
      </c>
      <c r="M2529" s="9"/>
      <c r="O2529" s="9"/>
    </row>
    <row r="2530" ht="15.75" customHeight="1">
      <c r="A2530" s="9" t="str">
        <f>IFERROR(__xludf.DUMMYFUNCTION("IF(B2530="""","""",RIGHT(REGEXREPLACE(B2530&amp;"""",""[^0-9]"",""""),9))"),"743669820")</f>
        <v>743669820</v>
      </c>
      <c r="B2530" s="48">
        <v>7.4366982E8</v>
      </c>
      <c r="C2530" s="10" t="s">
        <v>2628</v>
      </c>
      <c r="D2530" s="10" t="s">
        <v>34</v>
      </c>
      <c r="E2530" s="13">
        <v>46230.0</v>
      </c>
      <c r="F2530" s="10" t="s">
        <v>171</v>
      </c>
      <c r="H2530" s="10" t="s">
        <v>2526</v>
      </c>
      <c r="I2530" s="10" t="s">
        <v>22</v>
      </c>
      <c r="J2530" s="9" t="str">
        <f t="shared" si="39"/>
        <v>No</v>
      </c>
      <c r="K2530" s="9" t="str">
        <f t="shared" si="40"/>
        <v/>
      </c>
      <c r="L2530" s="9" t="str">
        <f t="shared" si="41"/>
        <v/>
      </c>
      <c r="M2530" s="9"/>
      <c r="O2530" s="9"/>
    </row>
    <row r="2531" ht="15.75" customHeight="1">
      <c r="A2531" s="9" t="str">
        <f>IFERROR(__xludf.DUMMYFUNCTION("IF(B2531="""","""",RIGHT(REGEXREPLACE(B2531&amp;"""",""[^0-9]"",""""),9))"),"772317773")</f>
        <v>772317773</v>
      </c>
      <c r="B2531" s="48">
        <v>7.72317773E8</v>
      </c>
      <c r="C2531" s="10" t="s">
        <v>2629</v>
      </c>
      <c r="D2531" s="10" t="s">
        <v>50</v>
      </c>
      <c r="E2531" s="13">
        <v>46230.0</v>
      </c>
      <c r="F2531" s="10" t="s">
        <v>35</v>
      </c>
      <c r="G2531" s="10">
        <v>11.0</v>
      </c>
      <c r="H2531" s="10" t="s">
        <v>622</v>
      </c>
      <c r="I2531" s="10" t="s">
        <v>22</v>
      </c>
      <c r="J2531" s="9" t="str">
        <f t="shared" si="39"/>
        <v>No</v>
      </c>
      <c r="K2531" s="9" t="str">
        <f t="shared" si="40"/>
        <v/>
      </c>
      <c r="L2531" s="9" t="str">
        <f t="shared" si="41"/>
        <v/>
      </c>
      <c r="M2531" s="9"/>
      <c r="O2531" s="9"/>
    </row>
    <row r="2532" ht="15.75" customHeight="1">
      <c r="A2532" s="9" t="str">
        <f>IFERROR(__xludf.DUMMYFUNCTION("IF(B2532="""","""",RIGHT(REGEXREPLACE(B2532&amp;"""",""[^0-9]"",""""),9))"),"777684570")</f>
        <v>777684570</v>
      </c>
      <c r="B2532" s="48">
        <v>7.7768457E8</v>
      </c>
      <c r="C2532" s="10" t="s">
        <v>2630</v>
      </c>
      <c r="D2532" s="10" t="s">
        <v>34</v>
      </c>
      <c r="E2532" s="13">
        <v>46230.0</v>
      </c>
      <c r="F2532" s="10" t="s">
        <v>35</v>
      </c>
      <c r="G2532" s="10">
        <v>10.0</v>
      </c>
      <c r="H2532" s="10" t="s">
        <v>2526</v>
      </c>
      <c r="I2532" s="10" t="s">
        <v>22</v>
      </c>
      <c r="J2532" s="9" t="str">
        <f t="shared" si="39"/>
        <v>No</v>
      </c>
      <c r="K2532" s="9" t="str">
        <f t="shared" si="40"/>
        <v/>
      </c>
      <c r="L2532" s="9" t="str">
        <f t="shared" si="41"/>
        <v/>
      </c>
      <c r="M2532" s="9"/>
      <c r="O2532" s="9"/>
    </row>
    <row r="2533" ht="15.75" customHeight="1">
      <c r="A2533" s="9" t="str">
        <f>IFERROR(__xludf.DUMMYFUNCTION("IF(B2533="""","""",RIGHT(REGEXREPLACE(B2533&amp;"""",""[^0-9]"",""""),9))"),"723011118")</f>
        <v>723011118</v>
      </c>
      <c r="B2533" s="48">
        <v>7.23011118E8</v>
      </c>
      <c r="C2533" s="10" t="s">
        <v>2631</v>
      </c>
      <c r="D2533" s="10" t="s">
        <v>120</v>
      </c>
      <c r="E2533" s="13">
        <v>46230.0</v>
      </c>
      <c r="F2533" s="10" t="s">
        <v>35</v>
      </c>
      <c r="G2533" s="10">
        <v>10.0</v>
      </c>
      <c r="H2533" s="10" t="s">
        <v>2592</v>
      </c>
      <c r="I2533" s="10" t="s">
        <v>22</v>
      </c>
      <c r="J2533" s="9" t="str">
        <f t="shared" si="39"/>
        <v>No</v>
      </c>
      <c r="K2533" s="9" t="str">
        <f t="shared" si="40"/>
        <v/>
      </c>
      <c r="L2533" s="9" t="str">
        <f t="shared" si="41"/>
        <v/>
      </c>
      <c r="M2533" s="9"/>
      <c r="O2533" s="9"/>
    </row>
    <row r="2534" ht="15.75" customHeight="1">
      <c r="A2534" s="9" t="str">
        <f>IFERROR(__xludf.DUMMYFUNCTION("IF(B2534="""","""",RIGHT(REGEXREPLACE(B2534&amp;"""",""[^0-9]"",""""),9))"),"783611611")</f>
        <v>783611611</v>
      </c>
      <c r="B2534" s="48">
        <v>7.83611611E8</v>
      </c>
      <c r="C2534" s="10" t="s">
        <v>2632</v>
      </c>
      <c r="D2534" s="10" t="s">
        <v>97</v>
      </c>
      <c r="E2534" s="13">
        <v>46230.0</v>
      </c>
      <c r="F2534" s="10" t="s">
        <v>35</v>
      </c>
      <c r="G2534" s="10">
        <v>10.0</v>
      </c>
      <c r="I2534" s="10" t="s">
        <v>22</v>
      </c>
      <c r="J2534" s="9" t="str">
        <f t="shared" si="39"/>
        <v>No</v>
      </c>
      <c r="K2534" s="9" t="str">
        <f t="shared" si="40"/>
        <v/>
      </c>
      <c r="L2534" s="9" t="str">
        <f t="shared" si="41"/>
        <v/>
      </c>
      <c r="M2534" s="9"/>
      <c r="O2534" s="9"/>
    </row>
    <row r="2535" ht="15.75" customHeight="1">
      <c r="A2535" s="9" t="str">
        <f>IFERROR(__xludf.DUMMYFUNCTION("IF(B2535="""","""",RIGHT(REGEXREPLACE(B2535&amp;"""",""[^0-9]"",""""),9))"),"761939191")</f>
        <v>761939191</v>
      </c>
      <c r="B2535" s="48">
        <v>7.61939191E8</v>
      </c>
      <c r="C2535" s="10" t="s">
        <v>2633</v>
      </c>
      <c r="D2535" s="10" t="s">
        <v>69</v>
      </c>
      <c r="E2535" s="13">
        <v>46230.0</v>
      </c>
      <c r="F2535" s="10" t="s">
        <v>145</v>
      </c>
      <c r="H2535" s="10" t="s">
        <v>2634</v>
      </c>
      <c r="I2535" s="10" t="s">
        <v>22</v>
      </c>
      <c r="J2535" s="9" t="str">
        <f t="shared" si="39"/>
        <v>No</v>
      </c>
      <c r="K2535" s="9" t="str">
        <f t="shared" si="40"/>
        <v/>
      </c>
      <c r="L2535" s="9" t="str">
        <f t="shared" si="41"/>
        <v/>
      </c>
      <c r="M2535" s="9"/>
      <c r="O2535" s="9"/>
    </row>
    <row r="2536" ht="15.75" customHeight="1">
      <c r="A2536" s="9" t="str">
        <f>IFERROR(__xludf.DUMMYFUNCTION("IF(B2536="""","""",RIGHT(REGEXREPLACE(B2536&amp;"""",""[^0-9]"",""""),9))"),"775752157")</f>
        <v>775752157</v>
      </c>
      <c r="B2536" s="48">
        <v>7.75752157E8</v>
      </c>
      <c r="C2536" s="10" t="s">
        <v>2635</v>
      </c>
      <c r="D2536" s="10" t="s">
        <v>120</v>
      </c>
      <c r="E2536" s="13">
        <v>46230.0</v>
      </c>
      <c r="F2536" s="10" t="s">
        <v>145</v>
      </c>
      <c r="G2536" s="10">
        <v>10.0</v>
      </c>
      <c r="H2536" s="10" t="s">
        <v>2636</v>
      </c>
      <c r="I2536" s="10" t="s">
        <v>22</v>
      </c>
      <c r="J2536" s="9" t="str">
        <f t="shared" si="39"/>
        <v>No</v>
      </c>
      <c r="K2536" s="9" t="str">
        <f t="shared" si="40"/>
        <v/>
      </c>
      <c r="L2536" s="9" t="str">
        <f t="shared" si="41"/>
        <v/>
      </c>
      <c r="M2536" s="9"/>
      <c r="O2536" s="9"/>
    </row>
    <row r="2537" ht="15.75" customHeight="1">
      <c r="A2537" s="9" t="str">
        <f>IFERROR(__xludf.DUMMYFUNCTION("IF(B2537="""","""",RIGHT(REGEXREPLACE(B2537&amp;"""",""[^0-9]"",""""),9))"),"711212028")</f>
        <v>711212028</v>
      </c>
      <c r="B2537" s="48">
        <v>7.11212028E8</v>
      </c>
      <c r="C2537" s="10" t="s">
        <v>2637</v>
      </c>
      <c r="D2537" s="10" t="s">
        <v>50</v>
      </c>
      <c r="E2537" s="13">
        <v>46230.0</v>
      </c>
      <c r="F2537" s="10" t="s">
        <v>35</v>
      </c>
      <c r="H2537" s="10" t="s">
        <v>1291</v>
      </c>
      <c r="I2537" s="10" t="s">
        <v>22</v>
      </c>
      <c r="J2537" s="9" t="str">
        <f t="shared" si="39"/>
        <v>No</v>
      </c>
      <c r="K2537" s="9" t="str">
        <f t="shared" si="40"/>
        <v/>
      </c>
      <c r="L2537" s="9" t="str">
        <f t="shared" si="41"/>
        <v/>
      </c>
      <c r="M2537" s="9"/>
      <c r="O2537" s="9"/>
    </row>
    <row r="2538" ht="15.75" customHeight="1">
      <c r="A2538" s="9" t="str">
        <f>IFERROR(__xludf.DUMMYFUNCTION("IF(B2538="""","""",RIGHT(REGEXREPLACE(B2538&amp;"""",""[^0-9]"",""""),9))"),"767919105")</f>
        <v>767919105</v>
      </c>
      <c r="B2538" s="48">
        <v>7.67919105E8</v>
      </c>
      <c r="C2538" s="10" t="s">
        <v>2638</v>
      </c>
      <c r="D2538" s="10" t="s">
        <v>34</v>
      </c>
      <c r="E2538" s="13">
        <v>46230.0</v>
      </c>
      <c r="F2538" s="10" t="s">
        <v>35</v>
      </c>
      <c r="G2538" s="10">
        <v>11.0</v>
      </c>
      <c r="H2538" s="10" t="s">
        <v>2526</v>
      </c>
      <c r="I2538" s="10" t="s">
        <v>22</v>
      </c>
      <c r="J2538" s="9" t="str">
        <f t="shared" si="39"/>
        <v>No</v>
      </c>
      <c r="K2538" s="9" t="str">
        <f t="shared" si="40"/>
        <v/>
      </c>
      <c r="L2538" s="9" t="str">
        <f t="shared" si="41"/>
        <v/>
      </c>
      <c r="M2538" s="9"/>
      <c r="O2538" s="9"/>
    </row>
    <row r="2539" ht="15.75" customHeight="1">
      <c r="A2539" s="9" t="str">
        <f>IFERROR(__xludf.DUMMYFUNCTION("IF(B2539="""","""",RIGHT(REGEXREPLACE(B2539&amp;"""",""[^0-9]"",""""),9))"),"743362284")</f>
        <v>743362284</v>
      </c>
      <c r="B2539" s="48">
        <v>7.43362284E8</v>
      </c>
      <c r="C2539" s="10" t="s">
        <v>2639</v>
      </c>
      <c r="D2539" s="10" t="s">
        <v>97</v>
      </c>
      <c r="E2539" s="13">
        <v>46230.0</v>
      </c>
      <c r="F2539" s="10" t="s">
        <v>35</v>
      </c>
      <c r="G2539" s="10">
        <v>11.0</v>
      </c>
      <c r="I2539" s="10" t="s">
        <v>22</v>
      </c>
      <c r="J2539" s="9" t="str">
        <f t="shared" si="39"/>
        <v>No</v>
      </c>
      <c r="K2539" s="9" t="str">
        <f t="shared" si="40"/>
        <v/>
      </c>
      <c r="L2539" s="9" t="str">
        <f t="shared" si="41"/>
        <v/>
      </c>
      <c r="M2539" s="9"/>
      <c r="O2539" s="9"/>
    </row>
    <row r="2540" ht="15.75" customHeight="1">
      <c r="A2540" s="9" t="str">
        <f>IFERROR(__xludf.DUMMYFUNCTION("IF(B2540="""","""",RIGHT(REGEXREPLACE(B2540&amp;"""",""[^0-9]"",""""),9))"),"779308452")</f>
        <v>779308452</v>
      </c>
      <c r="B2540" s="48">
        <v>7.79308452E8</v>
      </c>
      <c r="C2540" s="10" t="s">
        <v>2640</v>
      </c>
      <c r="D2540" s="10" t="s">
        <v>69</v>
      </c>
      <c r="E2540" s="13">
        <v>46230.0</v>
      </c>
      <c r="F2540" s="10" t="s">
        <v>21</v>
      </c>
      <c r="H2540" s="10" t="s">
        <v>737</v>
      </c>
      <c r="I2540" s="10" t="s">
        <v>22</v>
      </c>
      <c r="J2540" s="9" t="str">
        <f t="shared" si="39"/>
        <v>No</v>
      </c>
      <c r="K2540" s="9" t="str">
        <f t="shared" si="40"/>
        <v/>
      </c>
      <c r="L2540" s="9" t="str">
        <f t="shared" si="41"/>
        <v/>
      </c>
      <c r="M2540" s="9"/>
      <c r="O2540" s="9"/>
    </row>
    <row r="2541" ht="15.75" customHeight="1">
      <c r="A2541" s="9" t="str">
        <f>IFERROR(__xludf.DUMMYFUNCTION("IF(B2541="""","""",RIGHT(REGEXREPLACE(B2541&amp;"""",""[^0-9]"",""""),9))"),"771018531")</f>
        <v>771018531</v>
      </c>
      <c r="B2541" s="48">
        <v>7.71018531E8</v>
      </c>
      <c r="C2541" s="10" t="s">
        <v>2641</v>
      </c>
      <c r="D2541" s="10" t="s">
        <v>50</v>
      </c>
      <c r="E2541" s="13">
        <v>46230.0</v>
      </c>
      <c r="F2541" s="10" t="s">
        <v>35</v>
      </c>
      <c r="G2541" s="10">
        <v>10.0</v>
      </c>
      <c r="H2541" s="10" t="s">
        <v>622</v>
      </c>
      <c r="I2541" s="10" t="s">
        <v>22</v>
      </c>
      <c r="J2541" s="9" t="str">
        <f t="shared" si="39"/>
        <v>No</v>
      </c>
      <c r="K2541" s="9" t="str">
        <f t="shared" si="40"/>
        <v/>
      </c>
      <c r="L2541" s="9" t="str">
        <f t="shared" si="41"/>
        <v/>
      </c>
      <c r="M2541" s="9"/>
      <c r="O2541" s="9"/>
    </row>
    <row r="2542" ht="15.75" customHeight="1">
      <c r="A2542" s="9" t="str">
        <f>IFERROR(__xludf.DUMMYFUNCTION("IF(B2542="""","""",RIGHT(REGEXREPLACE(B2542&amp;"""",""[^0-9]"",""""),9))"),"714152676")</f>
        <v>714152676</v>
      </c>
      <c r="B2542" s="48">
        <v>7.14152676E8</v>
      </c>
      <c r="C2542" s="10" t="s">
        <v>2642</v>
      </c>
      <c r="D2542" s="10" t="s">
        <v>34</v>
      </c>
      <c r="E2542" s="13">
        <v>46230.0</v>
      </c>
      <c r="F2542" s="10" t="s">
        <v>35</v>
      </c>
      <c r="G2542" s="10">
        <v>11.0</v>
      </c>
      <c r="I2542" s="10" t="s">
        <v>22</v>
      </c>
      <c r="J2542" s="9" t="str">
        <f t="shared" si="39"/>
        <v>No</v>
      </c>
      <c r="K2542" s="9" t="str">
        <f t="shared" si="40"/>
        <v/>
      </c>
      <c r="L2542" s="9" t="str">
        <f t="shared" si="41"/>
        <v/>
      </c>
      <c r="M2542" s="9"/>
      <c r="O2542" s="9"/>
    </row>
    <row r="2543" ht="15.75" customHeight="1">
      <c r="A2543" s="9" t="str">
        <f>IFERROR(__xludf.DUMMYFUNCTION("IF(B2543="""","""",RIGHT(REGEXREPLACE(B2543&amp;"""",""[^0-9]"",""""),9))"),"767578624")</f>
        <v>767578624</v>
      </c>
      <c r="B2543" s="48">
        <v>7.67578624E8</v>
      </c>
      <c r="C2543" s="10" t="s">
        <v>2643</v>
      </c>
      <c r="D2543" s="10" t="s">
        <v>97</v>
      </c>
      <c r="E2543" s="13">
        <v>46230.0</v>
      </c>
      <c r="F2543" s="10" t="s">
        <v>21</v>
      </c>
      <c r="I2543" s="10" t="s">
        <v>22</v>
      </c>
      <c r="J2543" s="9" t="str">
        <f t="shared" si="39"/>
        <v>No</v>
      </c>
      <c r="K2543" s="9" t="str">
        <f t="shared" si="40"/>
        <v/>
      </c>
      <c r="L2543" s="9" t="str">
        <f t="shared" si="41"/>
        <v/>
      </c>
      <c r="M2543" s="9"/>
      <c r="O2543" s="9"/>
    </row>
    <row r="2544" ht="15.75" customHeight="1">
      <c r="A2544" s="9" t="str">
        <f>IFERROR(__xludf.DUMMYFUNCTION("IF(B2544="""","""",RIGHT(REGEXREPLACE(B2544&amp;"""",""[^0-9]"",""""),9))"),"769267468")</f>
        <v>769267468</v>
      </c>
      <c r="B2544" s="48">
        <v>7.69267468E8</v>
      </c>
      <c r="C2544" s="10" t="s">
        <v>2644</v>
      </c>
      <c r="D2544" s="10" t="s">
        <v>120</v>
      </c>
      <c r="E2544" s="13">
        <v>46230.0</v>
      </c>
      <c r="F2544" s="10" t="s">
        <v>21</v>
      </c>
      <c r="H2544" s="10" t="s">
        <v>2526</v>
      </c>
      <c r="I2544" s="10" t="s">
        <v>22</v>
      </c>
      <c r="J2544" s="9" t="str">
        <f t="shared" si="39"/>
        <v>No</v>
      </c>
      <c r="K2544" s="9" t="str">
        <f t="shared" si="40"/>
        <v/>
      </c>
      <c r="L2544" s="9" t="str">
        <f t="shared" si="41"/>
        <v/>
      </c>
      <c r="M2544" s="9"/>
      <c r="O2544" s="9"/>
    </row>
    <row r="2545" ht="15.75" customHeight="1">
      <c r="A2545" s="9" t="str">
        <f>IFERROR(__xludf.DUMMYFUNCTION("IF(B2545="""","""",RIGHT(REGEXREPLACE(B2545&amp;"""",""[^0-9]"",""""),9))"),"717518645")</f>
        <v>717518645</v>
      </c>
      <c r="B2545" s="48">
        <v>7.17518645E8</v>
      </c>
      <c r="C2545" s="10" t="s">
        <v>2645</v>
      </c>
      <c r="D2545" s="10" t="s">
        <v>69</v>
      </c>
      <c r="E2545" s="13">
        <v>46230.0</v>
      </c>
      <c r="F2545" s="9"/>
      <c r="G2545" s="10">
        <v>10.0</v>
      </c>
      <c r="H2545" s="10" t="s">
        <v>716</v>
      </c>
      <c r="I2545" s="10" t="s">
        <v>22</v>
      </c>
      <c r="J2545" s="9" t="str">
        <f t="shared" si="39"/>
        <v>No</v>
      </c>
      <c r="K2545" s="9" t="str">
        <f t="shared" si="40"/>
        <v/>
      </c>
      <c r="L2545" s="9" t="str">
        <f t="shared" si="41"/>
        <v/>
      </c>
      <c r="M2545" s="9"/>
      <c r="N2545" s="9"/>
      <c r="O2545" s="9"/>
      <c r="P2545" s="9"/>
    </row>
    <row r="2546" ht="15.75" customHeight="1">
      <c r="A2546" s="9" t="str">
        <f>IFERROR(__xludf.DUMMYFUNCTION("IF(B2546="""","""",RIGHT(REGEXREPLACE(B2546&amp;"""",""[^0-9]"",""""),9))"),"774050681")</f>
        <v>774050681</v>
      </c>
      <c r="B2546" s="48">
        <v>7.74050681E8</v>
      </c>
      <c r="C2546" s="10" t="s">
        <v>2646</v>
      </c>
      <c r="D2546" s="10" t="s">
        <v>50</v>
      </c>
      <c r="E2546" s="13">
        <v>46230.0</v>
      </c>
      <c r="F2546" s="10" t="s">
        <v>35</v>
      </c>
      <c r="G2546" s="10">
        <v>11.0</v>
      </c>
      <c r="H2546" s="10" t="s">
        <v>622</v>
      </c>
      <c r="I2546" s="10" t="s">
        <v>22</v>
      </c>
      <c r="J2546" s="9" t="str">
        <f t="shared" si="39"/>
        <v>No</v>
      </c>
      <c r="K2546" s="9" t="str">
        <f t="shared" si="40"/>
        <v/>
      </c>
      <c r="L2546" s="9" t="str">
        <f t="shared" si="41"/>
        <v/>
      </c>
      <c r="M2546" s="9"/>
      <c r="O2546" s="9"/>
    </row>
    <row r="2547" ht="15.75" customHeight="1">
      <c r="A2547" s="9" t="str">
        <f>IFERROR(__xludf.DUMMYFUNCTION("IF(B2547="""","""",RIGHT(REGEXREPLACE(B2547&amp;"""",""[^0-9]"",""""),9))"),"714442720")</f>
        <v>714442720</v>
      </c>
      <c r="B2547" s="48">
        <v>7.1444272E8</v>
      </c>
      <c r="C2547" s="10" t="s">
        <v>2647</v>
      </c>
      <c r="D2547" s="10" t="s">
        <v>34</v>
      </c>
      <c r="E2547" s="13">
        <v>46230.0</v>
      </c>
      <c r="F2547" s="10" t="s">
        <v>35</v>
      </c>
      <c r="G2547" s="10">
        <v>11.0</v>
      </c>
      <c r="H2547" s="10" t="s">
        <v>2526</v>
      </c>
      <c r="I2547" s="10" t="s">
        <v>22</v>
      </c>
      <c r="J2547" s="9" t="str">
        <f t="shared" si="39"/>
        <v>No</v>
      </c>
      <c r="K2547" s="9" t="str">
        <f t="shared" si="40"/>
        <v/>
      </c>
      <c r="L2547" s="9" t="str">
        <f t="shared" si="41"/>
        <v/>
      </c>
      <c r="M2547" s="9"/>
      <c r="O2547" s="9"/>
    </row>
    <row r="2548" ht="15.75" customHeight="1">
      <c r="A2548" s="9" t="str">
        <f>IFERROR(__xludf.DUMMYFUNCTION("IF(B2548="""","""",RIGHT(REGEXREPLACE(B2548&amp;"""",""[^0-9]"",""""),9))"),"774286382")</f>
        <v>774286382</v>
      </c>
      <c r="B2548" s="48">
        <v>7.74286382E8</v>
      </c>
      <c r="C2548" s="10" t="s">
        <v>2648</v>
      </c>
      <c r="D2548" s="10" t="s">
        <v>120</v>
      </c>
      <c r="E2548" s="13">
        <v>46230.0</v>
      </c>
      <c r="F2548" s="10" t="s">
        <v>145</v>
      </c>
      <c r="H2548" s="10" t="s">
        <v>2526</v>
      </c>
      <c r="I2548" s="10" t="s">
        <v>22</v>
      </c>
      <c r="J2548" s="9" t="str">
        <f t="shared" si="39"/>
        <v>No</v>
      </c>
      <c r="K2548" s="9" t="str">
        <f t="shared" si="40"/>
        <v/>
      </c>
      <c r="L2548" s="9" t="str">
        <f t="shared" si="41"/>
        <v/>
      </c>
      <c r="M2548" s="9"/>
      <c r="O2548" s="9"/>
    </row>
    <row r="2549" ht="15.75" customHeight="1">
      <c r="D2549" s="9"/>
      <c r="F2549" s="9"/>
      <c r="I2549" s="10" t="s">
        <v>22</v>
      </c>
      <c r="M2549" s="9"/>
      <c r="O2549" s="9"/>
    </row>
    <row r="2550" ht="15.75" customHeight="1">
      <c r="A2550" s="9" t="str">
        <f>IFERROR(__xludf.DUMMYFUNCTION("IF(B2550="""","""",RIGHT(REGEXREPLACE(B2550&amp;"""",""[^0-9]"",""""),9))"),"706588934")</f>
        <v>706588934</v>
      </c>
      <c r="B2550" s="48">
        <v>7.06588934E8</v>
      </c>
      <c r="C2550" s="10" t="s">
        <v>2649</v>
      </c>
      <c r="D2550" s="10" t="s">
        <v>120</v>
      </c>
      <c r="E2550" s="13">
        <v>46230.0</v>
      </c>
      <c r="F2550" s="10" t="s">
        <v>35</v>
      </c>
      <c r="G2550" s="10">
        <v>11.0</v>
      </c>
      <c r="H2550" s="10" t="s">
        <v>737</v>
      </c>
      <c r="I2550" s="10" t="s">
        <v>22</v>
      </c>
      <c r="J2550" s="9" t="str">
        <f t="shared" ref="J2550:J3033" si="42">IF(COUNTIF($A$2:A2549,A2550)&gt;0,"Yes - see Previous F-Code","No")</f>
        <v>No</v>
      </c>
      <c r="K2550" s="9" t="str">
        <f t="shared" ref="K2550:K3033" si="43">IF(COUNTIFS($A$2:A2550,A2550,$I$2:I2550,I2550)&gt;1,"DUPLICATE - CHECK","")</f>
        <v/>
      </c>
      <c r="L2550" s="9" t="str">
        <f t="shared" ref="L2550:L3033" si="44">IF(COUNTIF($A$2:A2549,A2550)&gt;0,INDEX($C$2:C2549,MATCH(A2550,$A$2:A2549,0)),"")</f>
        <v/>
      </c>
      <c r="M2550" s="9"/>
      <c r="O2550" s="9"/>
    </row>
    <row r="2551" ht="15.75" customHeight="1">
      <c r="A2551" s="9" t="str">
        <f>IFERROR(__xludf.DUMMYFUNCTION("IF(B2551="""","""",RIGHT(REGEXREPLACE(B2551&amp;"""",""[^0-9]"",""""),9))"),"759984192")</f>
        <v>759984192</v>
      </c>
      <c r="B2551" s="48">
        <v>7.59984192E8</v>
      </c>
      <c r="C2551" s="10" t="s">
        <v>2650</v>
      </c>
      <c r="D2551" s="10" t="s">
        <v>50</v>
      </c>
      <c r="E2551" s="13">
        <v>46230.0</v>
      </c>
      <c r="F2551" s="10" t="s">
        <v>35</v>
      </c>
      <c r="G2551" s="10">
        <v>11.0</v>
      </c>
      <c r="H2551" s="10" t="s">
        <v>622</v>
      </c>
      <c r="I2551" s="10" t="s">
        <v>22</v>
      </c>
      <c r="J2551" s="9" t="str">
        <f t="shared" si="42"/>
        <v>No</v>
      </c>
      <c r="K2551" s="9" t="str">
        <f t="shared" si="43"/>
        <v/>
      </c>
      <c r="L2551" s="9" t="str">
        <f t="shared" si="44"/>
        <v/>
      </c>
      <c r="M2551" s="9"/>
      <c r="O2551" s="9"/>
    </row>
    <row r="2552" ht="15.75" customHeight="1">
      <c r="A2552" s="9" t="str">
        <f>IFERROR(__xludf.DUMMYFUNCTION("IF(B2552="""","""",RIGHT(REGEXREPLACE(B2552&amp;"""",""[^0-9]"",""""),9))"),"775075119")</f>
        <v>775075119</v>
      </c>
      <c r="B2552" s="48">
        <v>7.75075119E8</v>
      </c>
      <c r="C2552" s="10" t="s">
        <v>2651</v>
      </c>
      <c r="D2552" s="10" t="s">
        <v>69</v>
      </c>
      <c r="E2552" s="13">
        <v>46230.0</v>
      </c>
      <c r="F2552" s="10" t="s">
        <v>21</v>
      </c>
      <c r="H2552" s="10" t="s">
        <v>737</v>
      </c>
      <c r="I2552" s="10" t="s">
        <v>22</v>
      </c>
      <c r="J2552" s="9" t="str">
        <f t="shared" si="42"/>
        <v>No</v>
      </c>
      <c r="K2552" s="9" t="str">
        <f t="shared" si="43"/>
        <v/>
      </c>
      <c r="L2552" s="9" t="str">
        <f t="shared" si="44"/>
        <v/>
      </c>
      <c r="M2552" s="9"/>
      <c r="O2552" s="9"/>
    </row>
    <row r="2553" ht="15.75" customHeight="1">
      <c r="A2553" s="9" t="str">
        <f>IFERROR(__xludf.DUMMYFUNCTION("IF(B2553="""","""",RIGHT(REGEXREPLACE(B2553&amp;"""",""[^0-9]"",""""),9))"),"762359795")</f>
        <v>762359795</v>
      </c>
      <c r="B2553" s="48">
        <v>7.62359795E8</v>
      </c>
      <c r="C2553" s="10" t="s">
        <v>2652</v>
      </c>
      <c r="D2553" s="10" t="s">
        <v>97</v>
      </c>
      <c r="E2553" s="13">
        <v>46230.0</v>
      </c>
      <c r="F2553" s="10" t="s">
        <v>35</v>
      </c>
      <c r="G2553" s="10">
        <v>11.0</v>
      </c>
      <c r="H2553" s="10" t="s">
        <v>737</v>
      </c>
      <c r="I2553" s="10" t="s">
        <v>22</v>
      </c>
      <c r="J2553" s="9" t="str">
        <f t="shared" si="42"/>
        <v>No</v>
      </c>
      <c r="K2553" s="9" t="str">
        <f t="shared" si="43"/>
        <v/>
      </c>
      <c r="L2553" s="9" t="str">
        <f t="shared" si="44"/>
        <v/>
      </c>
      <c r="M2553" s="9"/>
      <c r="O2553" s="9"/>
    </row>
    <row r="2554" ht="15.75" customHeight="1">
      <c r="A2554" s="9" t="str">
        <f>IFERROR(__xludf.DUMMYFUNCTION("IF(B2554="""","""",RIGHT(REGEXREPLACE(B2554&amp;"""",""[^0-9]"",""""),9))"),"")</f>
        <v/>
      </c>
      <c r="B2554" s="49"/>
      <c r="D2554" s="9"/>
      <c r="E2554" s="13">
        <v>46230.0</v>
      </c>
      <c r="F2554" s="9"/>
      <c r="I2554" s="10" t="s">
        <v>22</v>
      </c>
      <c r="J2554" s="9" t="str">
        <f t="shared" si="42"/>
        <v>Yes - see Previous F-Code</v>
      </c>
      <c r="K2554" s="9" t="str">
        <f t="shared" si="43"/>
        <v>DUPLICATE - CHECK</v>
      </c>
      <c r="L2554" s="9" t="str">
        <f t="shared" si="44"/>
        <v/>
      </c>
      <c r="M2554" s="9"/>
      <c r="O2554" s="9"/>
    </row>
    <row r="2555" ht="15.75" customHeight="1">
      <c r="A2555" s="9" t="str">
        <f>IFERROR(__xludf.DUMMYFUNCTION("IF(B2555="""","""",RIGHT(REGEXREPLACE(B2555&amp;"""",""[^0-9]"",""""),9))"),"771950410")</f>
        <v>771950410</v>
      </c>
      <c r="B2555" s="48">
        <v>7.7195041E8</v>
      </c>
      <c r="C2555" s="10" t="s">
        <v>2653</v>
      </c>
      <c r="D2555" s="10" t="s">
        <v>50</v>
      </c>
      <c r="E2555" s="13">
        <v>46230.0</v>
      </c>
      <c r="F2555" s="10" t="s">
        <v>35</v>
      </c>
      <c r="H2555" s="10" t="s">
        <v>1099</v>
      </c>
      <c r="I2555" s="10" t="s">
        <v>22</v>
      </c>
      <c r="J2555" s="9" t="str">
        <f t="shared" si="42"/>
        <v>No</v>
      </c>
      <c r="K2555" s="9" t="str">
        <f t="shared" si="43"/>
        <v/>
      </c>
      <c r="L2555" s="9" t="str">
        <f t="shared" si="44"/>
        <v/>
      </c>
      <c r="M2555" s="9"/>
      <c r="O2555" s="9"/>
    </row>
    <row r="2556" ht="15.75" customHeight="1">
      <c r="A2556" s="9" t="str">
        <f>IFERROR(__xludf.DUMMYFUNCTION("IF(B2556="""","""",RIGHT(REGEXREPLACE(B2556&amp;"""",""[^0-9]"",""""),9))"),"718016407")</f>
        <v>718016407</v>
      </c>
      <c r="B2556" s="48">
        <v>7.18016407E8</v>
      </c>
      <c r="C2556" s="10" t="s">
        <v>2654</v>
      </c>
      <c r="D2556" s="10" t="s">
        <v>97</v>
      </c>
      <c r="E2556" s="13">
        <v>46230.0</v>
      </c>
      <c r="F2556" s="10" t="s">
        <v>35</v>
      </c>
      <c r="H2556" s="10" t="s">
        <v>2655</v>
      </c>
      <c r="I2556" s="10" t="s">
        <v>22</v>
      </c>
      <c r="J2556" s="9" t="str">
        <f t="shared" si="42"/>
        <v>No</v>
      </c>
      <c r="K2556" s="9" t="str">
        <f t="shared" si="43"/>
        <v/>
      </c>
      <c r="L2556" s="9" t="str">
        <f t="shared" si="44"/>
        <v/>
      </c>
      <c r="M2556" s="9"/>
      <c r="O2556" s="9"/>
    </row>
    <row r="2557" ht="15.75" customHeight="1">
      <c r="A2557" s="9" t="str">
        <f>IFERROR(__xludf.DUMMYFUNCTION("IF(B2557="""","""",RIGHT(REGEXREPLACE(B2557&amp;"""",""[^0-9]"",""""),9))"),"767816637")</f>
        <v>767816637</v>
      </c>
      <c r="B2557" s="48">
        <v>7.67816637E8</v>
      </c>
      <c r="C2557" s="10" t="s">
        <v>2656</v>
      </c>
      <c r="D2557" s="10" t="s">
        <v>69</v>
      </c>
      <c r="E2557" s="13">
        <v>46230.0</v>
      </c>
      <c r="F2557" s="10" t="s">
        <v>198</v>
      </c>
      <c r="H2557" s="10" t="s">
        <v>737</v>
      </c>
      <c r="I2557" s="10" t="s">
        <v>22</v>
      </c>
      <c r="J2557" s="9" t="str">
        <f t="shared" si="42"/>
        <v>No</v>
      </c>
      <c r="K2557" s="9" t="str">
        <f t="shared" si="43"/>
        <v/>
      </c>
      <c r="L2557" s="9" t="str">
        <f t="shared" si="44"/>
        <v/>
      </c>
      <c r="M2557" s="9"/>
      <c r="O2557" s="9"/>
    </row>
    <row r="2558" ht="15.75" customHeight="1">
      <c r="A2558" s="9" t="str">
        <f>IFERROR(__xludf.DUMMYFUNCTION("IF(B2558="""","""",RIGHT(REGEXREPLACE(B2558&amp;"""",""[^0-9]"",""""),9))"),"766336718")</f>
        <v>766336718</v>
      </c>
      <c r="B2558" s="48">
        <v>7.66336718E8</v>
      </c>
      <c r="C2558" s="10" t="s">
        <v>2657</v>
      </c>
      <c r="D2558" s="10" t="s">
        <v>120</v>
      </c>
      <c r="E2558" s="13">
        <v>46230.0</v>
      </c>
      <c r="F2558" s="10" t="s">
        <v>35</v>
      </c>
      <c r="G2558" s="10">
        <v>11.0</v>
      </c>
      <c r="H2558" s="10" t="s">
        <v>2526</v>
      </c>
      <c r="I2558" s="10" t="s">
        <v>22</v>
      </c>
      <c r="J2558" s="9" t="str">
        <f t="shared" si="42"/>
        <v>No</v>
      </c>
      <c r="K2558" s="9" t="str">
        <f t="shared" si="43"/>
        <v/>
      </c>
      <c r="L2558" s="9" t="str">
        <f t="shared" si="44"/>
        <v/>
      </c>
      <c r="M2558" s="9"/>
      <c r="O2558" s="9"/>
    </row>
    <row r="2559" ht="15.75" customHeight="1">
      <c r="A2559" s="9" t="str">
        <f>IFERROR(__xludf.DUMMYFUNCTION("IF(B2559="""","""",RIGHT(REGEXREPLACE(B2559&amp;"""",""[^0-9]"",""""),9))"),"754940321")</f>
        <v>754940321</v>
      </c>
      <c r="B2559" s="48">
        <v>7.54940321E8</v>
      </c>
      <c r="C2559" s="10" t="s">
        <v>1168</v>
      </c>
      <c r="D2559" s="10" t="s">
        <v>105</v>
      </c>
      <c r="E2559" s="13">
        <v>46230.0</v>
      </c>
      <c r="F2559" s="10" t="s">
        <v>35</v>
      </c>
      <c r="G2559" s="10">
        <v>11.0</v>
      </c>
      <c r="I2559" s="10" t="s">
        <v>22</v>
      </c>
      <c r="J2559" s="9" t="str">
        <f t="shared" si="42"/>
        <v>No</v>
      </c>
      <c r="K2559" s="9" t="str">
        <f t="shared" si="43"/>
        <v/>
      </c>
      <c r="L2559" s="9" t="str">
        <f t="shared" si="44"/>
        <v/>
      </c>
      <c r="M2559" s="9"/>
      <c r="O2559" s="9"/>
    </row>
    <row r="2560" ht="15.75" customHeight="1">
      <c r="A2560" s="9" t="str">
        <f>IFERROR(__xludf.DUMMYFUNCTION("IF(B2560="""","""",RIGHT(REGEXREPLACE(B2560&amp;"""",""[^0-9]"",""""),9))"),"775803664")</f>
        <v>775803664</v>
      </c>
      <c r="B2560" s="48">
        <v>7.75803664E8</v>
      </c>
      <c r="C2560" s="10" t="s">
        <v>2658</v>
      </c>
      <c r="D2560" s="10" t="s">
        <v>50</v>
      </c>
      <c r="E2560" s="13">
        <v>46230.0</v>
      </c>
      <c r="F2560" s="10" t="s">
        <v>35</v>
      </c>
      <c r="I2560" s="10" t="s">
        <v>22</v>
      </c>
      <c r="J2560" s="9" t="str">
        <f t="shared" si="42"/>
        <v>No</v>
      </c>
      <c r="K2560" s="9" t="str">
        <f t="shared" si="43"/>
        <v/>
      </c>
      <c r="L2560" s="9" t="str">
        <f t="shared" si="44"/>
        <v/>
      </c>
      <c r="M2560" s="9"/>
      <c r="O2560" s="9"/>
    </row>
    <row r="2561" ht="15.75" customHeight="1">
      <c r="A2561" s="9" t="str">
        <f>IFERROR(__xludf.DUMMYFUNCTION("IF(B2561="""","""",RIGHT(REGEXREPLACE(B2561&amp;"""",""[^0-9]"",""""),9))"),"767808416")</f>
        <v>767808416</v>
      </c>
      <c r="B2561" s="48">
        <v>7.67808416E8</v>
      </c>
      <c r="C2561" s="10" t="s">
        <v>2659</v>
      </c>
      <c r="D2561" s="10" t="s">
        <v>50</v>
      </c>
      <c r="E2561" s="13">
        <v>46230.0</v>
      </c>
      <c r="F2561" s="10" t="s">
        <v>198</v>
      </c>
      <c r="G2561" s="10">
        <v>9.0</v>
      </c>
      <c r="H2561" s="10" t="s">
        <v>622</v>
      </c>
      <c r="I2561" s="10" t="s">
        <v>22</v>
      </c>
      <c r="J2561" s="9" t="str">
        <f t="shared" si="42"/>
        <v>No</v>
      </c>
      <c r="K2561" s="9" t="str">
        <f t="shared" si="43"/>
        <v/>
      </c>
      <c r="L2561" s="9" t="str">
        <f t="shared" si="44"/>
        <v/>
      </c>
      <c r="M2561" s="9"/>
      <c r="O2561" s="9"/>
    </row>
    <row r="2562" ht="15.75" customHeight="1">
      <c r="A2562" s="9" t="str">
        <f>IFERROR(__xludf.DUMMYFUNCTION("IF(B2562="""","""",RIGHT(REGEXREPLACE(B2562&amp;"""",""[^0-9]"",""""),9))"),"785301052")</f>
        <v>785301052</v>
      </c>
      <c r="B2562" s="48">
        <v>7.85301052E8</v>
      </c>
      <c r="C2562" s="10" t="s">
        <v>2660</v>
      </c>
      <c r="D2562" s="10" t="s">
        <v>120</v>
      </c>
      <c r="E2562" s="13">
        <v>46230.0</v>
      </c>
      <c r="F2562" s="10" t="s">
        <v>35</v>
      </c>
      <c r="G2562" s="71">
        <v>46306.0</v>
      </c>
      <c r="H2562" s="10" t="s">
        <v>2636</v>
      </c>
      <c r="I2562" s="10" t="s">
        <v>22</v>
      </c>
      <c r="J2562" s="9" t="str">
        <f t="shared" si="42"/>
        <v>No</v>
      </c>
      <c r="K2562" s="9" t="str">
        <f t="shared" si="43"/>
        <v/>
      </c>
      <c r="L2562" s="9" t="str">
        <f t="shared" si="44"/>
        <v/>
      </c>
      <c r="M2562" s="9"/>
      <c r="O2562" s="9"/>
    </row>
    <row r="2563" ht="15.75" customHeight="1">
      <c r="A2563" s="9" t="str">
        <f>IFERROR(__xludf.DUMMYFUNCTION("IF(B2563="""","""",RIGHT(REGEXREPLACE(B2563&amp;"""",""[^0-9]"",""""),9))"),"711657390")</f>
        <v>711657390</v>
      </c>
      <c r="B2563" s="48">
        <v>7.1165739E8</v>
      </c>
      <c r="C2563" s="10" t="s">
        <v>2661</v>
      </c>
      <c r="D2563" s="10" t="s">
        <v>97</v>
      </c>
      <c r="E2563" s="13">
        <v>46230.0</v>
      </c>
      <c r="F2563" s="10" t="s">
        <v>648</v>
      </c>
      <c r="H2563" s="10" t="s">
        <v>2662</v>
      </c>
      <c r="I2563" s="10" t="s">
        <v>22</v>
      </c>
      <c r="J2563" s="9" t="str">
        <f t="shared" si="42"/>
        <v>No</v>
      </c>
      <c r="K2563" s="9" t="str">
        <f t="shared" si="43"/>
        <v/>
      </c>
      <c r="L2563" s="9" t="str">
        <f t="shared" si="44"/>
        <v/>
      </c>
      <c r="M2563" s="9"/>
      <c r="O2563" s="9"/>
    </row>
    <row r="2564" ht="15.75" customHeight="1">
      <c r="A2564" s="9" t="str">
        <f>IFERROR(__xludf.DUMMYFUNCTION("IF(B2564="""","""",RIGHT(REGEXREPLACE(B2564&amp;"""",""[^0-9]"",""""),9))"),"706160901")</f>
        <v>706160901</v>
      </c>
      <c r="B2564" s="48">
        <v>7.06160901E8</v>
      </c>
      <c r="C2564" s="10" t="s">
        <v>2663</v>
      </c>
      <c r="D2564" s="10" t="s">
        <v>97</v>
      </c>
      <c r="E2564" s="13">
        <v>46230.0</v>
      </c>
      <c r="F2564" s="10" t="s">
        <v>198</v>
      </c>
      <c r="I2564" s="10" t="s">
        <v>22</v>
      </c>
      <c r="J2564" s="9" t="str">
        <f t="shared" si="42"/>
        <v>No</v>
      </c>
      <c r="K2564" s="9" t="str">
        <f t="shared" si="43"/>
        <v/>
      </c>
      <c r="L2564" s="9" t="str">
        <f t="shared" si="44"/>
        <v/>
      </c>
      <c r="M2564" s="9"/>
      <c r="O2564" s="9"/>
    </row>
    <row r="2565" ht="15.75" customHeight="1">
      <c r="A2565" s="9" t="str">
        <f>IFERROR(__xludf.DUMMYFUNCTION("IF(B2565="""","""",RIGHT(REGEXREPLACE(B2565&amp;"""",""[^0-9]"",""""),9))"),"728631377")</f>
        <v>728631377</v>
      </c>
      <c r="B2565" s="48">
        <v>7.28631377E8</v>
      </c>
      <c r="C2565" s="10" t="s">
        <v>2664</v>
      </c>
      <c r="D2565" s="10" t="s">
        <v>50</v>
      </c>
      <c r="E2565" s="13">
        <v>46230.0</v>
      </c>
      <c r="F2565" s="10" t="s">
        <v>35</v>
      </c>
      <c r="G2565" s="10" t="s">
        <v>1749</v>
      </c>
      <c r="H2565" s="10" t="s">
        <v>622</v>
      </c>
      <c r="I2565" s="10" t="s">
        <v>22</v>
      </c>
      <c r="J2565" s="9" t="str">
        <f t="shared" si="42"/>
        <v>No</v>
      </c>
      <c r="K2565" s="9" t="str">
        <f t="shared" si="43"/>
        <v/>
      </c>
      <c r="L2565" s="9" t="str">
        <f t="shared" si="44"/>
        <v/>
      </c>
      <c r="M2565" s="9"/>
      <c r="O2565" s="9"/>
    </row>
    <row r="2566" ht="15.75" customHeight="1">
      <c r="A2566" s="9" t="str">
        <f>IFERROR(__xludf.DUMMYFUNCTION("IF(B2566="""","""",RIGHT(REGEXREPLACE(B2566&amp;"""",""[^0-9]"",""""),9))"),"778251852")</f>
        <v>778251852</v>
      </c>
      <c r="B2566" s="48">
        <v>7.78251852E8</v>
      </c>
      <c r="C2566" s="10" t="s">
        <v>2665</v>
      </c>
      <c r="D2566" s="10" t="s">
        <v>69</v>
      </c>
      <c r="E2566" s="13">
        <v>46230.0</v>
      </c>
      <c r="F2566" s="10" t="s">
        <v>35</v>
      </c>
      <c r="G2566" s="10">
        <v>11.0</v>
      </c>
      <c r="H2566" s="10" t="s">
        <v>708</v>
      </c>
      <c r="I2566" s="10" t="s">
        <v>22</v>
      </c>
      <c r="J2566" s="9" t="str">
        <f t="shared" si="42"/>
        <v>No</v>
      </c>
      <c r="K2566" s="9" t="str">
        <f t="shared" si="43"/>
        <v/>
      </c>
      <c r="L2566" s="9" t="str">
        <f t="shared" si="44"/>
        <v/>
      </c>
      <c r="M2566" s="9"/>
      <c r="O2566" s="9"/>
    </row>
    <row r="2567" ht="15.75" customHeight="1">
      <c r="A2567" s="9" t="str">
        <f>IFERROR(__xludf.DUMMYFUNCTION("IF(B2567="""","""",RIGHT(REGEXREPLACE(B2567&amp;"""",""[^0-9]"",""""),9))"),"768350691")</f>
        <v>768350691</v>
      </c>
      <c r="B2567" s="48">
        <v>7.68350691E8</v>
      </c>
      <c r="C2567" s="10" t="s">
        <v>2666</v>
      </c>
      <c r="D2567" s="10" t="s">
        <v>97</v>
      </c>
      <c r="E2567" s="13">
        <v>46230.0</v>
      </c>
      <c r="F2567" s="10" t="s">
        <v>35</v>
      </c>
      <c r="G2567" s="10">
        <v>9.0</v>
      </c>
      <c r="H2567" s="10" t="s">
        <v>1448</v>
      </c>
      <c r="I2567" s="10" t="s">
        <v>22</v>
      </c>
      <c r="J2567" s="9" t="str">
        <f t="shared" si="42"/>
        <v>No</v>
      </c>
      <c r="K2567" s="9" t="str">
        <f t="shared" si="43"/>
        <v/>
      </c>
      <c r="L2567" s="9" t="str">
        <f t="shared" si="44"/>
        <v/>
      </c>
      <c r="M2567" s="9"/>
      <c r="O2567" s="9"/>
    </row>
    <row r="2568" ht="15.75" customHeight="1">
      <c r="A2568" s="9" t="str">
        <f>IFERROR(__xludf.DUMMYFUNCTION("IF(B2568="""","""",RIGHT(REGEXREPLACE(B2568&amp;"""",""[^0-9]"",""""),9))"),"713953489")</f>
        <v>713953489</v>
      </c>
      <c r="B2568" s="48">
        <v>7.13953489E8</v>
      </c>
      <c r="C2568" s="10" t="s">
        <v>2667</v>
      </c>
      <c r="D2568" s="10" t="s">
        <v>120</v>
      </c>
      <c r="E2568" s="13">
        <v>46230.0</v>
      </c>
      <c r="F2568" s="10" t="s">
        <v>35</v>
      </c>
      <c r="G2568" s="10">
        <v>9.0</v>
      </c>
      <c r="H2568" s="10" t="s">
        <v>1448</v>
      </c>
      <c r="I2568" s="10" t="s">
        <v>22</v>
      </c>
      <c r="J2568" s="9" t="str">
        <f t="shared" si="42"/>
        <v>No</v>
      </c>
      <c r="K2568" s="9" t="str">
        <f t="shared" si="43"/>
        <v/>
      </c>
      <c r="L2568" s="9" t="str">
        <f t="shared" si="44"/>
        <v/>
      </c>
      <c r="M2568" s="9"/>
      <c r="O2568" s="9"/>
    </row>
    <row r="2569" ht="15.75" customHeight="1">
      <c r="A2569" s="9" t="str">
        <f>IFERROR(__xludf.DUMMYFUNCTION("IF(B2569="""","""",RIGHT(REGEXREPLACE(B2569&amp;"""",""[^0-9]"",""""),9))"),"704978324")</f>
        <v>704978324</v>
      </c>
      <c r="B2569" s="48">
        <v>7.04978324E8</v>
      </c>
      <c r="C2569" s="10" t="s">
        <v>2208</v>
      </c>
      <c r="D2569" s="10" t="s">
        <v>105</v>
      </c>
      <c r="E2569" s="13">
        <v>46230.0</v>
      </c>
      <c r="F2569" s="10" t="s">
        <v>198</v>
      </c>
      <c r="I2569" s="10" t="s">
        <v>22</v>
      </c>
      <c r="J2569" s="9" t="str">
        <f t="shared" si="42"/>
        <v>No</v>
      </c>
      <c r="K2569" s="9" t="str">
        <f t="shared" si="43"/>
        <v/>
      </c>
      <c r="L2569" s="9" t="str">
        <f t="shared" si="44"/>
        <v/>
      </c>
      <c r="M2569" s="9"/>
      <c r="O2569" s="9"/>
    </row>
    <row r="2570" ht="15.75" customHeight="1">
      <c r="A2570" s="9" t="str">
        <f>IFERROR(__xludf.DUMMYFUNCTION("IF(B2570="""","""",RIGHT(REGEXREPLACE(B2570&amp;"""",""[^0-9]"",""""),9))"),"742088963")</f>
        <v>742088963</v>
      </c>
      <c r="B2570" s="48">
        <v>7.42088963E8</v>
      </c>
      <c r="C2570" s="10" t="s">
        <v>2668</v>
      </c>
      <c r="D2570" s="10" t="s">
        <v>69</v>
      </c>
      <c r="E2570" s="13">
        <v>46230.0</v>
      </c>
      <c r="F2570" s="10" t="s">
        <v>21</v>
      </c>
      <c r="H2570" s="10" t="s">
        <v>737</v>
      </c>
      <c r="I2570" s="10" t="s">
        <v>22</v>
      </c>
      <c r="J2570" s="9" t="str">
        <f t="shared" si="42"/>
        <v>No</v>
      </c>
      <c r="K2570" s="9" t="str">
        <f t="shared" si="43"/>
        <v/>
      </c>
      <c r="L2570" s="9" t="str">
        <f t="shared" si="44"/>
        <v/>
      </c>
      <c r="M2570" s="9"/>
      <c r="O2570" s="9"/>
    </row>
    <row r="2571" ht="15.75" customHeight="1">
      <c r="A2571" s="9" t="str">
        <f>IFERROR(__xludf.DUMMYFUNCTION("IF(B2571="""","""",RIGHT(REGEXREPLACE(B2571&amp;"""",""[^0-9]"",""""),9))"),"713945958")</f>
        <v>713945958</v>
      </c>
      <c r="B2571" s="48">
        <v>7.13945958E8</v>
      </c>
      <c r="C2571" s="10" t="s">
        <v>2669</v>
      </c>
      <c r="D2571" s="10" t="s">
        <v>97</v>
      </c>
      <c r="E2571" s="13">
        <v>46230.0</v>
      </c>
      <c r="F2571" s="10" t="s">
        <v>35</v>
      </c>
      <c r="G2571" s="10">
        <v>11.0</v>
      </c>
      <c r="H2571" s="10" t="s">
        <v>1448</v>
      </c>
      <c r="I2571" s="10" t="s">
        <v>22</v>
      </c>
      <c r="J2571" s="9" t="str">
        <f t="shared" si="42"/>
        <v>No</v>
      </c>
      <c r="K2571" s="9" t="str">
        <f t="shared" si="43"/>
        <v/>
      </c>
      <c r="L2571" s="9" t="str">
        <f t="shared" si="44"/>
        <v/>
      </c>
      <c r="M2571" s="9"/>
      <c r="O2571" s="9"/>
    </row>
    <row r="2572" ht="15.75" customHeight="1">
      <c r="A2572" s="9" t="str">
        <f>IFERROR(__xludf.DUMMYFUNCTION("IF(B2572="""","""",RIGHT(REGEXREPLACE(B2572&amp;"""",""[^0-9]"",""""),9))"),"776967080")</f>
        <v>776967080</v>
      </c>
      <c r="B2572" s="48">
        <v>7.7696708E8</v>
      </c>
      <c r="C2572" s="10" t="s">
        <v>2670</v>
      </c>
      <c r="D2572" s="10" t="s">
        <v>50</v>
      </c>
      <c r="E2572" s="13">
        <v>46230.0</v>
      </c>
      <c r="F2572" s="10" t="s">
        <v>21</v>
      </c>
      <c r="I2572" s="10" t="s">
        <v>22</v>
      </c>
      <c r="J2572" s="9" t="str">
        <f t="shared" si="42"/>
        <v>No</v>
      </c>
      <c r="K2572" s="9" t="str">
        <f t="shared" si="43"/>
        <v/>
      </c>
      <c r="L2572" s="9" t="str">
        <f t="shared" si="44"/>
        <v/>
      </c>
      <c r="M2572" s="9"/>
      <c r="O2572" s="9"/>
    </row>
    <row r="2573" ht="15.75" customHeight="1">
      <c r="A2573" s="9" t="str">
        <f>IFERROR(__xludf.DUMMYFUNCTION("IF(B2573="""","""",RIGHT(REGEXREPLACE(B2573&amp;"""",""[^0-9]"",""""),9))"),"743353643")</f>
        <v>743353643</v>
      </c>
      <c r="B2573" s="48">
        <v>7.43353643E8</v>
      </c>
      <c r="C2573" s="10" t="s">
        <v>2671</v>
      </c>
      <c r="D2573" s="10" t="s">
        <v>120</v>
      </c>
      <c r="E2573" s="13">
        <v>46230.0</v>
      </c>
      <c r="F2573" s="10" t="s">
        <v>604</v>
      </c>
      <c r="H2573" s="10" t="s">
        <v>2526</v>
      </c>
      <c r="I2573" s="10" t="s">
        <v>22</v>
      </c>
      <c r="J2573" s="9" t="str">
        <f t="shared" si="42"/>
        <v>No</v>
      </c>
      <c r="K2573" s="9" t="str">
        <f t="shared" si="43"/>
        <v/>
      </c>
      <c r="L2573" s="9" t="str">
        <f t="shared" si="44"/>
        <v/>
      </c>
      <c r="M2573" s="9"/>
      <c r="O2573" s="9"/>
    </row>
    <row r="2574" ht="15.75" customHeight="1">
      <c r="A2574" s="9" t="str">
        <f>IFERROR(__xludf.DUMMYFUNCTION("IF(B2574="""","""",RIGHT(REGEXREPLACE(B2574&amp;"""",""[^0-9]"",""""),9))"),"717637524")</f>
        <v>717637524</v>
      </c>
      <c r="B2574" s="48">
        <v>7.17637524E8</v>
      </c>
      <c r="C2574" s="10" t="s">
        <v>2672</v>
      </c>
      <c r="D2574" s="10" t="s">
        <v>50</v>
      </c>
      <c r="E2574" s="13">
        <v>46230.0</v>
      </c>
      <c r="F2574" s="10" t="s">
        <v>21</v>
      </c>
      <c r="G2574" s="10">
        <v>10.0</v>
      </c>
      <c r="I2574" s="10" t="s">
        <v>22</v>
      </c>
      <c r="J2574" s="9" t="str">
        <f t="shared" si="42"/>
        <v>No</v>
      </c>
      <c r="K2574" s="9" t="str">
        <f t="shared" si="43"/>
        <v/>
      </c>
      <c r="L2574" s="9" t="str">
        <f t="shared" si="44"/>
        <v/>
      </c>
      <c r="M2574" s="9"/>
      <c r="O2574" s="9"/>
    </row>
    <row r="2575" ht="15.75" customHeight="1">
      <c r="A2575" s="9" t="str">
        <f>IFERROR(__xludf.DUMMYFUNCTION("IF(B2575="""","""",RIGHT(REGEXREPLACE(B2575&amp;"""",""[^0-9]"",""""),9))"),"770701367")</f>
        <v>770701367</v>
      </c>
      <c r="B2575" s="48">
        <v>7.70701367E8</v>
      </c>
      <c r="C2575" s="10" t="s">
        <v>2673</v>
      </c>
      <c r="D2575" s="10" t="s">
        <v>120</v>
      </c>
      <c r="E2575" s="13">
        <v>46230.0</v>
      </c>
      <c r="F2575" s="10" t="s">
        <v>113</v>
      </c>
      <c r="I2575" s="10" t="s">
        <v>22</v>
      </c>
      <c r="J2575" s="9" t="str">
        <f t="shared" si="42"/>
        <v>No</v>
      </c>
      <c r="K2575" s="9" t="str">
        <f t="shared" si="43"/>
        <v/>
      </c>
      <c r="L2575" s="9" t="str">
        <f t="shared" si="44"/>
        <v/>
      </c>
      <c r="M2575" s="9"/>
      <c r="O2575" s="9"/>
    </row>
    <row r="2576" ht="15.75" customHeight="1">
      <c r="A2576" s="9" t="str">
        <f>IFERROR(__xludf.DUMMYFUNCTION("IF(B2576="""","""",RIGHT(REGEXREPLACE(B2576&amp;"""",""[^0-9]"",""""),9))"),"706633503")</f>
        <v>706633503</v>
      </c>
      <c r="B2576" s="48">
        <v>7.06633503E8</v>
      </c>
      <c r="C2576" s="10" t="s">
        <v>2674</v>
      </c>
      <c r="D2576" s="10" t="s">
        <v>97</v>
      </c>
      <c r="E2576" s="13">
        <v>46230.0</v>
      </c>
      <c r="F2576" s="10" t="s">
        <v>35</v>
      </c>
      <c r="G2576" s="10">
        <v>11.0</v>
      </c>
      <c r="H2576" s="10" t="s">
        <v>1448</v>
      </c>
      <c r="I2576" s="10" t="s">
        <v>22</v>
      </c>
      <c r="J2576" s="9" t="str">
        <f t="shared" si="42"/>
        <v>No</v>
      </c>
      <c r="K2576" s="9" t="str">
        <f t="shared" si="43"/>
        <v/>
      </c>
      <c r="L2576" s="9" t="str">
        <f t="shared" si="44"/>
        <v/>
      </c>
      <c r="M2576" s="9"/>
      <c r="O2576" s="9"/>
    </row>
    <row r="2577" ht="15.75" customHeight="1">
      <c r="A2577" s="9" t="str">
        <f>IFERROR(__xludf.DUMMYFUNCTION("IF(B2577="""","""",RIGHT(REGEXREPLACE(B2577&amp;"""",""[^0-9]"",""""),9))"),"740343503")</f>
        <v>740343503</v>
      </c>
      <c r="B2577" s="48">
        <v>7.40343503E8</v>
      </c>
      <c r="C2577" s="10" t="s">
        <v>2675</v>
      </c>
      <c r="D2577" s="10" t="s">
        <v>97</v>
      </c>
      <c r="E2577" s="13">
        <v>46230.0</v>
      </c>
      <c r="F2577" s="10" t="s">
        <v>35</v>
      </c>
      <c r="G2577" s="10">
        <v>11.0</v>
      </c>
      <c r="H2577" s="10" t="s">
        <v>1448</v>
      </c>
      <c r="I2577" s="10" t="s">
        <v>22</v>
      </c>
      <c r="J2577" s="9" t="str">
        <f t="shared" si="42"/>
        <v>No</v>
      </c>
      <c r="K2577" s="9" t="str">
        <f t="shared" si="43"/>
        <v/>
      </c>
      <c r="L2577" s="9" t="str">
        <f t="shared" si="44"/>
        <v/>
      </c>
      <c r="M2577" s="9"/>
      <c r="O2577" s="9"/>
    </row>
    <row r="2578" ht="15.75" customHeight="1">
      <c r="A2578" s="9" t="str">
        <f>IFERROR(__xludf.DUMMYFUNCTION("IF(B2578="""","""",RIGHT(REGEXREPLACE(B2578&amp;"""",""[^0-9]"",""""),9))"),"755046255")</f>
        <v>755046255</v>
      </c>
      <c r="B2578" s="48">
        <v>7.55046255E8</v>
      </c>
      <c r="C2578" s="10" t="s">
        <v>2676</v>
      </c>
      <c r="D2578" s="10" t="s">
        <v>50</v>
      </c>
      <c r="E2578" s="13">
        <v>46230.0</v>
      </c>
      <c r="F2578" s="10" t="s">
        <v>21</v>
      </c>
      <c r="I2578" s="10" t="s">
        <v>22</v>
      </c>
      <c r="J2578" s="9" t="str">
        <f t="shared" si="42"/>
        <v>No</v>
      </c>
      <c r="K2578" s="9" t="str">
        <f t="shared" si="43"/>
        <v/>
      </c>
      <c r="L2578" s="9" t="str">
        <f t="shared" si="44"/>
        <v/>
      </c>
      <c r="M2578" s="9"/>
      <c r="O2578" s="9"/>
    </row>
    <row r="2579" ht="15.75" customHeight="1">
      <c r="A2579" s="9" t="str">
        <f>IFERROR(__xludf.DUMMYFUNCTION("IF(B2579="""","""",RIGHT(REGEXREPLACE(B2579&amp;"""",""[^0-9]"",""""),9))"),"724395285")</f>
        <v>724395285</v>
      </c>
      <c r="B2579" s="48">
        <v>7.24395285E8</v>
      </c>
      <c r="C2579" s="10" t="s">
        <v>2677</v>
      </c>
      <c r="D2579" s="10" t="s">
        <v>69</v>
      </c>
      <c r="E2579" s="13">
        <v>46230.0</v>
      </c>
      <c r="F2579" s="10" t="s">
        <v>198</v>
      </c>
      <c r="I2579" s="10" t="s">
        <v>22</v>
      </c>
      <c r="J2579" s="9" t="str">
        <f t="shared" si="42"/>
        <v>No</v>
      </c>
      <c r="K2579" s="9" t="str">
        <f t="shared" si="43"/>
        <v/>
      </c>
      <c r="L2579" s="9" t="str">
        <f t="shared" si="44"/>
        <v/>
      </c>
      <c r="M2579" s="9"/>
      <c r="O2579" s="9"/>
    </row>
    <row r="2580" ht="15.75" customHeight="1">
      <c r="A2580" s="9" t="str">
        <f>IFERROR(__xludf.DUMMYFUNCTION("IF(B2580="""","""",RIGHT(REGEXREPLACE(B2580&amp;"""",""[^0-9]"",""""),9))"),"717004547")</f>
        <v>717004547</v>
      </c>
      <c r="B2580" s="48">
        <v>7.17004547E8</v>
      </c>
      <c r="C2580" s="10" t="s">
        <v>2678</v>
      </c>
      <c r="D2580" s="10" t="s">
        <v>50</v>
      </c>
      <c r="E2580" s="13">
        <v>46230.0</v>
      </c>
      <c r="F2580" s="10" t="s">
        <v>35</v>
      </c>
      <c r="I2580" s="10" t="s">
        <v>22</v>
      </c>
      <c r="J2580" s="9" t="str">
        <f t="shared" si="42"/>
        <v>No</v>
      </c>
      <c r="K2580" s="9" t="str">
        <f t="shared" si="43"/>
        <v/>
      </c>
      <c r="L2580" s="9" t="str">
        <f t="shared" si="44"/>
        <v/>
      </c>
      <c r="M2580" s="9"/>
      <c r="O2580" s="9"/>
    </row>
    <row r="2581" ht="15.75" customHeight="1">
      <c r="A2581" s="9" t="str">
        <f>IFERROR(__xludf.DUMMYFUNCTION("IF(B2581="""","""",RIGHT(REGEXREPLACE(B2581&amp;"""",""[^0-9]"",""""),9))"),"766590711")</f>
        <v>766590711</v>
      </c>
      <c r="B2581" s="48">
        <v>7.66590711E8</v>
      </c>
      <c r="C2581" s="10" t="s">
        <v>2679</v>
      </c>
      <c r="D2581" s="10" t="s">
        <v>97</v>
      </c>
      <c r="E2581" s="13">
        <v>46230.0</v>
      </c>
      <c r="F2581" s="10" t="s">
        <v>21</v>
      </c>
      <c r="H2581" s="10" t="s">
        <v>1448</v>
      </c>
      <c r="I2581" s="10" t="s">
        <v>22</v>
      </c>
      <c r="J2581" s="9" t="str">
        <f t="shared" si="42"/>
        <v>No</v>
      </c>
      <c r="K2581" s="9" t="str">
        <f t="shared" si="43"/>
        <v/>
      </c>
      <c r="L2581" s="9" t="str">
        <f t="shared" si="44"/>
        <v/>
      </c>
      <c r="M2581" s="9"/>
      <c r="O2581" s="9"/>
    </row>
    <row r="2582" ht="15.75" customHeight="1">
      <c r="A2582" s="9" t="str">
        <f>IFERROR(__xludf.DUMMYFUNCTION("IF(B2582="""","""",RIGHT(REGEXREPLACE(B2582&amp;"""",""[^0-9]"",""""),9))"),"712978192")</f>
        <v>712978192</v>
      </c>
      <c r="B2582" s="48">
        <v>7.12978192E8</v>
      </c>
      <c r="C2582" s="10" t="s">
        <v>2680</v>
      </c>
      <c r="D2582" s="10" t="s">
        <v>69</v>
      </c>
      <c r="E2582" s="13">
        <v>46230.0</v>
      </c>
      <c r="F2582" s="10" t="s">
        <v>21</v>
      </c>
      <c r="I2582" s="10" t="s">
        <v>22</v>
      </c>
      <c r="J2582" s="9" t="str">
        <f t="shared" si="42"/>
        <v>No</v>
      </c>
      <c r="K2582" s="9" t="str">
        <f t="shared" si="43"/>
        <v/>
      </c>
      <c r="L2582" s="9" t="str">
        <f t="shared" si="44"/>
        <v/>
      </c>
      <c r="M2582" s="9"/>
      <c r="O2582" s="9"/>
    </row>
    <row r="2583" ht="15.75" customHeight="1">
      <c r="A2583" s="9" t="str">
        <f>IFERROR(__xludf.DUMMYFUNCTION("IF(B2583="""","""",RIGHT(REGEXREPLACE(B2583&amp;"""",""[^0-9]"",""""),9))"),"785129155")</f>
        <v>785129155</v>
      </c>
      <c r="B2583" s="48">
        <v>7.85129155E8</v>
      </c>
      <c r="C2583" s="10" t="s">
        <v>2681</v>
      </c>
      <c r="D2583" s="10" t="s">
        <v>50</v>
      </c>
      <c r="E2583" s="13">
        <v>46230.0</v>
      </c>
      <c r="F2583" s="10" t="s">
        <v>35</v>
      </c>
      <c r="G2583" s="10">
        <v>11.0</v>
      </c>
      <c r="H2583" s="10" t="s">
        <v>622</v>
      </c>
      <c r="I2583" s="10" t="s">
        <v>22</v>
      </c>
      <c r="J2583" s="9" t="str">
        <f t="shared" si="42"/>
        <v>No</v>
      </c>
      <c r="K2583" s="9" t="str">
        <f t="shared" si="43"/>
        <v/>
      </c>
      <c r="L2583" s="9" t="str">
        <f t="shared" si="44"/>
        <v/>
      </c>
      <c r="M2583" s="9"/>
      <c r="O2583" s="9"/>
    </row>
    <row r="2584" ht="15.75" customHeight="1">
      <c r="A2584" s="9" t="str">
        <f>IFERROR(__xludf.DUMMYFUNCTION("IF(B2584="""","""",RIGHT(REGEXREPLACE(B2584&amp;"""",""[^0-9]"",""""),9))"),"779600500")</f>
        <v>779600500</v>
      </c>
      <c r="B2584" s="48">
        <v>7.796005E8</v>
      </c>
      <c r="C2584" s="10" t="s">
        <v>2682</v>
      </c>
      <c r="D2584" s="10" t="s">
        <v>97</v>
      </c>
      <c r="E2584" s="13">
        <v>46230.0</v>
      </c>
      <c r="F2584" s="10" t="s">
        <v>35</v>
      </c>
      <c r="H2584" s="10" t="s">
        <v>1448</v>
      </c>
      <c r="I2584" s="10" t="s">
        <v>22</v>
      </c>
      <c r="J2584" s="9" t="str">
        <f t="shared" si="42"/>
        <v>No</v>
      </c>
      <c r="K2584" s="9" t="str">
        <f t="shared" si="43"/>
        <v/>
      </c>
      <c r="L2584" s="9" t="str">
        <f t="shared" si="44"/>
        <v/>
      </c>
      <c r="M2584" s="9"/>
      <c r="O2584" s="9"/>
    </row>
    <row r="2585" ht="15.75" customHeight="1">
      <c r="A2585" s="9" t="str">
        <f>IFERROR(__xludf.DUMMYFUNCTION("IF(B2585="""","""",RIGHT(REGEXREPLACE(B2585&amp;"""",""[^0-9]"",""""),9))"),"777663600")</f>
        <v>777663600</v>
      </c>
      <c r="B2585" s="48">
        <v>7.776636E8</v>
      </c>
      <c r="C2585" s="10" t="s">
        <v>2683</v>
      </c>
      <c r="D2585" s="10" t="s">
        <v>69</v>
      </c>
      <c r="E2585" s="13">
        <v>46230.0</v>
      </c>
      <c r="F2585" s="10" t="s">
        <v>35</v>
      </c>
      <c r="G2585" s="10">
        <v>10.0</v>
      </c>
      <c r="H2585" s="10" t="s">
        <v>1570</v>
      </c>
      <c r="I2585" s="10" t="s">
        <v>22</v>
      </c>
      <c r="J2585" s="9" t="str">
        <f t="shared" si="42"/>
        <v>No</v>
      </c>
      <c r="K2585" s="9" t="str">
        <f t="shared" si="43"/>
        <v/>
      </c>
      <c r="L2585" s="9" t="str">
        <f t="shared" si="44"/>
        <v/>
      </c>
      <c r="M2585" s="9"/>
      <c r="O2585" s="9"/>
    </row>
    <row r="2586" ht="15.75" customHeight="1">
      <c r="A2586" s="9" t="str">
        <f>IFERROR(__xludf.DUMMYFUNCTION("IF(B2586="""","""",RIGHT(REGEXREPLACE(B2586&amp;"""",""[^0-9]"",""""),9))"),"719989510")</f>
        <v>719989510</v>
      </c>
      <c r="B2586" s="48">
        <v>7.1998951E8</v>
      </c>
      <c r="C2586" s="10" t="s">
        <v>2684</v>
      </c>
      <c r="D2586" s="10" t="s">
        <v>97</v>
      </c>
      <c r="E2586" s="13">
        <v>46230.0</v>
      </c>
      <c r="F2586" s="10" t="s">
        <v>35</v>
      </c>
      <c r="G2586" s="10">
        <v>11.0</v>
      </c>
      <c r="H2586" s="10" t="s">
        <v>1448</v>
      </c>
      <c r="I2586" s="10" t="s">
        <v>22</v>
      </c>
      <c r="J2586" s="9" t="str">
        <f t="shared" si="42"/>
        <v>No</v>
      </c>
      <c r="K2586" s="9" t="str">
        <f t="shared" si="43"/>
        <v/>
      </c>
      <c r="L2586" s="9" t="str">
        <f t="shared" si="44"/>
        <v/>
      </c>
      <c r="M2586" s="9"/>
      <c r="O2586" s="9"/>
    </row>
    <row r="2587" ht="15.75" customHeight="1">
      <c r="A2587" s="9" t="str">
        <f>IFERROR(__xludf.DUMMYFUNCTION("IF(B2587="""","""",RIGHT(REGEXREPLACE(B2587&amp;"""",""[^0-9]"",""""),9))"),"762221102")</f>
        <v>762221102</v>
      </c>
      <c r="B2587" s="48">
        <v>7.62221102E8</v>
      </c>
      <c r="C2587" s="10" t="s">
        <v>2685</v>
      </c>
      <c r="D2587" s="10" t="s">
        <v>120</v>
      </c>
      <c r="E2587" s="13">
        <v>46230.0</v>
      </c>
      <c r="F2587" s="10" t="s">
        <v>35</v>
      </c>
      <c r="G2587" s="106">
        <v>46214.0</v>
      </c>
      <c r="I2587" s="10" t="s">
        <v>22</v>
      </c>
      <c r="J2587" s="9" t="str">
        <f t="shared" si="42"/>
        <v>No</v>
      </c>
      <c r="K2587" s="9" t="str">
        <f t="shared" si="43"/>
        <v/>
      </c>
      <c r="L2587" s="9" t="str">
        <f t="shared" si="44"/>
        <v/>
      </c>
      <c r="M2587" s="9"/>
      <c r="O2587" s="9"/>
    </row>
    <row r="2588" ht="15.75" customHeight="1">
      <c r="A2588" s="9" t="str">
        <f>IFERROR(__xludf.DUMMYFUNCTION("IF(B2588="""","""",RIGHT(REGEXREPLACE(B2588&amp;"""",""[^0-9]"",""""),9))"),"718322173")</f>
        <v>718322173</v>
      </c>
      <c r="B2588" s="48">
        <v>7.18322173E8</v>
      </c>
      <c r="C2588" s="10" t="s">
        <v>2686</v>
      </c>
      <c r="D2588" s="10" t="s">
        <v>97</v>
      </c>
      <c r="E2588" s="13">
        <v>46230.0</v>
      </c>
      <c r="F2588" s="10" t="s">
        <v>35</v>
      </c>
      <c r="G2588" s="10">
        <v>11.0</v>
      </c>
      <c r="H2588" s="10" t="s">
        <v>1448</v>
      </c>
      <c r="I2588" s="10" t="s">
        <v>22</v>
      </c>
      <c r="J2588" s="9" t="str">
        <f t="shared" si="42"/>
        <v>No</v>
      </c>
      <c r="K2588" s="9" t="str">
        <f t="shared" si="43"/>
        <v/>
      </c>
      <c r="L2588" s="9" t="str">
        <f t="shared" si="44"/>
        <v/>
      </c>
      <c r="M2588" s="9"/>
      <c r="O2588" s="9"/>
    </row>
    <row r="2589" ht="15.75" customHeight="1">
      <c r="A2589" s="9" t="str">
        <f>IFERROR(__xludf.DUMMYFUNCTION("IF(B2589="""","""",RIGHT(REGEXREPLACE(B2589&amp;"""",""[^0-9]"",""""),9))"),"782903946")</f>
        <v>782903946</v>
      </c>
      <c r="B2589" s="48">
        <v>7.82903946E8</v>
      </c>
      <c r="C2589" s="10" t="s">
        <v>2687</v>
      </c>
      <c r="D2589" s="10" t="s">
        <v>105</v>
      </c>
      <c r="E2589" s="13">
        <v>46230.0</v>
      </c>
      <c r="F2589" s="10" t="s">
        <v>35</v>
      </c>
      <c r="G2589" s="10">
        <v>11.0</v>
      </c>
      <c r="H2589" s="10" t="s">
        <v>622</v>
      </c>
      <c r="I2589" s="10" t="s">
        <v>22</v>
      </c>
      <c r="J2589" s="9" t="str">
        <f t="shared" si="42"/>
        <v>No</v>
      </c>
      <c r="K2589" s="9" t="str">
        <f t="shared" si="43"/>
        <v/>
      </c>
      <c r="L2589" s="9" t="str">
        <f t="shared" si="44"/>
        <v/>
      </c>
      <c r="M2589" s="9"/>
      <c r="O2589" s="9"/>
    </row>
    <row r="2590" ht="15.75" customHeight="1">
      <c r="A2590" s="9" t="str">
        <f>IFERROR(__xludf.DUMMYFUNCTION("IF(B2590="""","""",RIGHT(REGEXREPLACE(B2590&amp;"""",""[^0-9]"",""""),9))"),"757834007")</f>
        <v>757834007</v>
      </c>
      <c r="B2590" s="48">
        <v>7.57834007E8</v>
      </c>
      <c r="C2590" s="10" t="s">
        <v>2688</v>
      </c>
      <c r="D2590" s="10" t="s">
        <v>50</v>
      </c>
      <c r="E2590" s="13">
        <v>46230.0</v>
      </c>
      <c r="F2590" s="10" t="s">
        <v>35</v>
      </c>
      <c r="G2590" s="10">
        <v>10.0</v>
      </c>
      <c r="H2590" s="10" t="s">
        <v>622</v>
      </c>
      <c r="I2590" s="10" t="s">
        <v>22</v>
      </c>
      <c r="J2590" s="9" t="str">
        <f t="shared" si="42"/>
        <v>No</v>
      </c>
      <c r="K2590" s="9" t="str">
        <f t="shared" si="43"/>
        <v/>
      </c>
      <c r="L2590" s="9" t="str">
        <f t="shared" si="44"/>
        <v/>
      </c>
      <c r="M2590" s="9"/>
      <c r="O2590" s="9"/>
    </row>
    <row r="2591" ht="15.75" customHeight="1">
      <c r="A2591" s="9" t="str">
        <f>IFERROR(__xludf.DUMMYFUNCTION("IF(B2591="""","""",RIGHT(REGEXREPLACE(B2591&amp;"""",""[^0-9]"",""""),9))"),"772276870")</f>
        <v>772276870</v>
      </c>
      <c r="B2591" s="48">
        <v>7.7227687E8</v>
      </c>
      <c r="C2591" s="10" t="s">
        <v>2689</v>
      </c>
      <c r="D2591" s="10" t="s">
        <v>69</v>
      </c>
      <c r="E2591" s="13">
        <v>46230.0</v>
      </c>
      <c r="F2591" s="10" t="s">
        <v>21</v>
      </c>
      <c r="H2591" s="10" t="s">
        <v>737</v>
      </c>
      <c r="I2591" s="10" t="s">
        <v>22</v>
      </c>
      <c r="J2591" s="9" t="str">
        <f t="shared" si="42"/>
        <v>No</v>
      </c>
      <c r="K2591" s="9" t="str">
        <f t="shared" si="43"/>
        <v/>
      </c>
      <c r="L2591" s="9" t="str">
        <f t="shared" si="44"/>
        <v/>
      </c>
      <c r="M2591" s="9"/>
      <c r="O2591" s="9"/>
    </row>
    <row r="2592" ht="15.75" customHeight="1">
      <c r="A2592" s="9" t="str">
        <f>IFERROR(__xludf.DUMMYFUNCTION("IF(B2592="""","""",RIGHT(REGEXREPLACE(B2592&amp;"""",""[^0-9]"",""""),9))"),"773611752")</f>
        <v>773611752</v>
      </c>
      <c r="B2592" s="48">
        <v>7.73611752E8</v>
      </c>
      <c r="C2592" s="10" t="s">
        <v>2690</v>
      </c>
      <c r="D2592" s="10" t="s">
        <v>34</v>
      </c>
      <c r="E2592" s="13">
        <v>46230.0</v>
      </c>
      <c r="F2592" s="10" t="s">
        <v>21</v>
      </c>
      <c r="G2592" s="10">
        <v>11.0</v>
      </c>
      <c r="I2592" s="10" t="s">
        <v>22</v>
      </c>
      <c r="J2592" s="9" t="str">
        <f t="shared" si="42"/>
        <v>No</v>
      </c>
      <c r="K2592" s="9" t="str">
        <f t="shared" si="43"/>
        <v/>
      </c>
      <c r="L2592" s="9" t="str">
        <f t="shared" si="44"/>
        <v/>
      </c>
      <c r="M2592" s="9"/>
      <c r="O2592" s="9"/>
    </row>
    <row r="2593" ht="15.75" customHeight="1">
      <c r="A2593" s="9" t="str">
        <f>IFERROR(__xludf.DUMMYFUNCTION("IF(B2593="""","""",RIGHT(REGEXREPLACE(B2593&amp;"""",""[^0-9]"",""""),9))"),"722387523")</f>
        <v>722387523</v>
      </c>
      <c r="B2593" s="48">
        <v>7.22387523E8</v>
      </c>
      <c r="C2593" s="10" t="s">
        <v>2691</v>
      </c>
      <c r="D2593" s="10" t="s">
        <v>120</v>
      </c>
      <c r="E2593" s="13">
        <v>46230.0</v>
      </c>
      <c r="F2593" s="9"/>
      <c r="G2593" s="9"/>
      <c r="H2593" s="9"/>
      <c r="I2593" s="10" t="s">
        <v>22</v>
      </c>
      <c r="J2593" s="9" t="str">
        <f t="shared" si="42"/>
        <v>No</v>
      </c>
      <c r="K2593" s="9" t="str">
        <f t="shared" si="43"/>
        <v/>
      </c>
      <c r="L2593" s="9" t="str">
        <f t="shared" si="44"/>
        <v/>
      </c>
      <c r="M2593" s="9"/>
      <c r="N2593" s="9"/>
      <c r="O2593" s="9"/>
      <c r="P2593" s="9"/>
    </row>
    <row r="2594" ht="15.75" customHeight="1">
      <c r="A2594" s="9" t="str">
        <f>IFERROR(__xludf.DUMMYFUNCTION("IF(B2594="""","""",RIGHT(REGEXREPLACE(B2594&amp;"""",""[^0-9]"",""""),9))"),"771612436")</f>
        <v>771612436</v>
      </c>
      <c r="B2594" s="48">
        <v>7.71612436E8</v>
      </c>
      <c r="C2594" s="10" t="s">
        <v>2692</v>
      </c>
      <c r="D2594" s="10" t="s">
        <v>69</v>
      </c>
      <c r="E2594" s="13">
        <v>46230.0</v>
      </c>
      <c r="F2594" s="10" t="s">
        <v>145</v>
      </c>
      <c r="H2594" s="10" t="s">
        <v>737</v>
      </c>
      <c r="I2594" s="10" t="s">
        <v>22</v>
      </c>
      <c r="J2594" s="9" t="str">
        <f t="shared" si="42"/>
        <v>No</v>
      </c>
      <c r="K2594" s="9" t="str">
        <f t="shared" si="43"/>
        <v/>
      </c>
      <c r="L2594" s="9" t="str">
        <f t="shared" si="44"/>
        <v/>
      </c>
      <c r="M2594" s="9"/>
      <c r="O2594" s="9"/>
    </row>
    <row r="2595" ht="15.75" customHeight="1">
      <c r="A2595" s="9" t="str">
        <f>IFERROR(__xludf.DUMMYFUNCTION("IF(B2595="""","""",RIGHT(REGEXREPLACE(B2595&amp;"""",""[^0-9]"",""""),9))"),"774537975")</f>
        <v>774537975</v>
      </c>
      <c r="B2595" s="48">
        <v>7.74537975E8</v>
      </c>
      <c r="C2595" s="10" t="s">
        <v>2692</v>
      </c>
      <c r="D2595" s="10" t="s">
        <v>97</v>
      </c>
      <c r="E2595" s="13">
        <v>46230.0</v>
      </c>
      <c r="F2595" s="10" t="s">
        <v>35</v>
      </c>
      <c r="G2595" s="10">
        <v>11.0</v>
      </c>
      <c r="H2595" s="10" t="s">
        <v>737</v>
      </c>
      <c r="I2595" s="10" t="s">
        <v>22</v>
      </c>
      <c r="J2595" s="9" t="str">
        <f t="shared" si="42"/>
        <v>No</v>
      </c>
      <c r="K2595" s="9" t="str">
        <f t="shared" si="43"/>
        <v/>
      </c>
      <c r="L2595" s="9" t="str">
        <f t="shared" si="44"/>
        <v/>
      </c>
      <c r="M2595" s="9"/>
      <c r="O2595" s="9"/>
    </row>
    <row r="2596" ht="15.75" customHeight="1">
      <c r="A2596" s="9" t="str">
        <f>IFERROR(__xludf.DUMMYFUNCTION("IF(B2596="""","""",RIGHT(REGEXREPLACE(B2596&amp;"""",""[^0-9]"",""""),9))"),"768545498")</f>
        <v>768545498</v>
      </c>
      <c r="B2596" s="48">
        <v>7.68545498E8</v>
      </c>
      <c r="C2596" s="10" t="s">
        <v>2693</v>
      </c>
      <c r="D2596" s="10" t="s">
        <v>69</v>
      </c>
      <c r="E2596" s="13">
        <v>46230.0</v>
      </c>
      <c r="F2596" s="10" t="s">
        <v>755</v>
      </c>
      <c r="G2596" s="10">
        <v>11.0</v>
      </c>
      <c r="I2596" s="10" t="s">
        <v>22</v>
      </c>
      <c r="J2596" s="9" t="str">
        <f t="shared" si="42"/>
        <v>No</v>
      </c>
      <c r="K2596" s="9" t="str">
        <f t="shared" si="43"/>
        <v/>
      </c>
      <c r="L2596" s="9" t="str">
        <f t="shared" si="44"/>
        <v/>
      </c>
      <c r="M2596" s="9"/>
      <c r="O2596" s="9"/>
    </row>
    <row r="2597" ht="15.75" customHeight="1">
      <c r="A2597" s="9" t="str">
        <f>IFERROR(__xludf.DUMMYFUNCTION("IF(B2597="""","""",RIGHT(REGEXREPLACE(B2597&amp;"""",""[^0-9]"",""""),9))"),"715127713")</f>
        <v>715127713</v>
      </c>
      <c r="B2597" s="48">
        <v>7.15127713E8</v>
      </c>
      <c r="C2597" s="10" t="s">
        <v>2694</v>
      </c>
      <c r="D2597" s="10" t="s">
        <v>120</v>
      </c>
      <c r="E2597" s="13">
        <v>46230.0</v>
      </c>
      <c r="F2597" s="10" t="s">
        <v>21</v>
      </c>
      <c r="G2597" s="10">
        <v>11.0</v>
      </c>
      <c r="I2597" s="10" t="s">
        <v>22</v>
      </c>
      <c r="J2597" s="9" t="str">
        <f t="shared" si="42"/>
        <v>No</v>
      </c>
      <c r="K2597" s="9" t="str">
        <f t="shared" si="43"/>
        <v/>
      </c>
      <c r="L2597" s="9" t="str">
        <f t="shared" si="44"/>
        <v/>
      </c>
      <c r="M2597" s="9"/>
      <c r="O2597" s="9"/>
    </row>
    <row r="2598" ht="15.75" customHeight="1">
      <c r="A2598" s="9" t="str">
        <f>IFERROR(__xludf.DUMMYFUNCTION("IF(B2598="""","""",RIGHT(REGEXREPLACE(B2598&amp;"""",""[^0-9]"",""""),9))"),"702453470")</f>
        <v>702453470</v>
      </c>
      <c r="B2598" s="48">
        <v>7.0245347E8</v>
      </c>
      <c r="C2598" s="10" t="s">
        <v>2695</v>
      </c>
      <c r="D2598" s="10" t="s">
        <v>97</v>
      </c>
      <c r="E2598" s="13">
        <v>46230.0</v>
      </c>
      <c r="F2598" s="10" t="s">
        <v>21</v>
      </c>
      <c r="H2598" s="10" t="s">
        <v>2696</v>
      </c>
      <c r="I2598" s="10" t="s">
        <v>22</v>
      </c>
      <c r="J2598" s="9" t="str">
        <f t="shared" si="42"/>
        <v>No</v>
      </c>
      <c r="K2598" s="9" t="str">
        <f t="shared" si="43"/>
        <v/>
      </c>
      <c r="L2598" s="9" t="str">
        <f t="shared" si="44"/>
        <v/>
      </c>
      <c r="M2598" s="9"/>
      <c r="O2598" s="9"/>
    </row>
    <row r="2599" ht="15.75" customHeight="1">
      <c r="A2599" s="9" t="str">
        <f>IFERROR(__xludf.DUMMYFUNCTION("IF(B2599="""","""",RIGHT(REGEXREPLACE(B2599&amp;"""",""[^0-9]"",""""),9))"),"767738834")</f>
        <v>767738834</v>
      </c>
      <c r="B2599" s="48">
        <v>7.67738834E8</v>
      </c>
      <c r="C2599" s="10" t="s">
        <v>2697</v>
      </c>
      <c r="D2599" s="10" t="s">
        <v>34</v>
      </c>
      <c r="E2599" s="13">
        <v>46230.0</v>
      </c>
      <c r="F2599" s="10" t="s">
        <v>35</v>
      </c>
      <c r="G2599" s="10">
        <v>11.0</v>
      </c>
      <c r="I2599" s="10" t="s">
        <v>22</v>
      </c>
      <c r="J2599" s="9" t="str">
        <f t="shared" si="42"/>
        <v>No</v>
      </c>
      <c r="K2599" s="9" t="str">
        <f t="shared" si="43"/>
        <v/>
      </c>
      <c r="L2599" s="9" t="str">
        <f t="shared" si="44"/>
        <v/>
      </c>
      <c r="M2599" s="9"/>
      <c r="O2599" s="9"/>
    </row>
    <row r="2600" ht="15.75" customHeight="1">
      <c r="A2600" s="9" t="str">
        <f>IFERROR(__xludf.DUMMYFUNCTION("IF(B2600="""","""",RIGHT(REGEXREPLACE(B2600&amp;"""",""[^0-9]"",""""),9))"),"764984526")</f>
        <v>764984526</v>
      </c>
      <c r="B2600" s="48">
        <v>7.64984526E8</v>
      </c>
      <c r="C2600" s="10" t="s">
        <v>2698</v>
      </c>
      <c r="D2600" s="10" t="s">
        <v>50</v>
      </c>
      <c r="E2600" s="13">
        <v>46230.0</v>
      </c>
      <c r="F2600" s="10" t="s">
        <v>35</v>
      </c>
      <c r="G2600" s="10">
        <v>10.0</v>
      </c>
      <c r="I2600" s="10" t="s">
        <v>22</v>
      </c>
      <c r="J2600" s="9" t="str">
        <f t="shared" si="42"/>
        <v>No</v>
      </c>
      <c r="K2600" s="9" t="str">
        <f t="shared" si="43"/>
        <v/>
      </c>
      <c r="L2600" s="9" t="str">
        <f t="shared" si="44"/>
        <v/>
      </c>
      <c r="M2600" s="9"/>
      <c r="O2600" s="9"/>
    </row>
    <row r="2601" ht="15.75" customHeight="1">
      <c r="A2601" s="9" t="str">
        <f>IFERROR(__xludf.DUMMYFUNCTION("IF(B2601="""","""",RIGHT(REGEXREPLACE(B2601&amp;"""",""[^0-9]"",""""),9))"),"767820799")</f>
        <v>767820799</v>
      </c>
      <c r="B2601" s="48">
        <v>7.67820799E8</v>
      </c>
      <c r="C2601" s="10" t="s">
        <v>2699</v>
      </c>
      <c r="D2601" s="10" t="s">
        <v>105</v>
      </c>
      <c r="E2601" s="13">
        <v>46230.0</v>
      </c>
      <c r="F2601" s="10" t="s">
        <v>35</v>
      </c>
      <c r="G2601" s="10">
        <v>11.0</v>
      </c>
      <c r="I2601" s="10" t="s">
        <v>22</v>
      </c>
      <c r="J2601" s="9" t="str">
        <f t="shared" si="42"/>
        <v>No</v>
      </c>
      <c r="K2601" s="9" t="str">
        <f t="shared" si="43"/>
        <v/>
      </c>
      <c r="L2601" s="9" t="str">
        <f t="shared" si="44"/>
        <v/>
      </c>
      <c r="M2601" s="9"/>
      <c r="O2601" s="9"/>
    </row>
    <row r="2602" ht="15.75" customHeight="1">
      <c r="A2602" s="9" t="str">
        <f>IFERROR(__xludf.DUMMYFUNCTION("IF(B2602="""","""",RIGHT(REGEXREPLACE(B2602&amp;"""",""[^0-9]"",""""),9))"),"719137393")</f>
        <v>719137393</v>
      </c>
      <c r="B2602" s="10">
        <v>7.19137393E8</v>
      </c>
      <c r="C2602" s="10" t="s">
        <v>2700</v>
      </c>
      <c r="D2602" s="10" t="s">
        <v>69</v>
      </c>
      <c r="E2602" s="13">
        <v>46230.0</v>
      </c>
      <c r="F2602" s="10" t="s">
        <v>604</v>
      </c>
      <c r="H2602" s="10" t="s">
        <v>737</v>
      </c>
      <c r="I2602" s="10" t="s">
        <v>22</v>
      </c>
      <c r="J2602" s="9" t="str">
        <f t="shared" si="42"/>
        <v>No</v>
      </c>
      <c r="K2602" s="9" t="str">
        <f t="shared" si="43"/>
        <v/>
      </c>
      <c r="L2602" s="9" t="str">
        <f t="shared" si="44"/>
        <v/>
      </c>
      <c r="M2602" s="9"/>
      <c r="O2602" s="9"/>
    </row>
    <row r="2603" ht="15.75" customHeight="1">
      <c r="A2603" s="9" t="str">
        <f>IFERROR(__xludf.DUMMYFUNCTION("IF(B2603="""","""",RIGHT(REGEXREPLACE(B2603&amp;"""",""[^0-9]"",""""),9))"),"761636985")</f>
        <v>761636985</v>
      </c>
      <c r="B2603" s="48">
        <v>7.61636985E8</v>
      </c>
      <c r="C2603" s="10" t="s">
        <v>2701</v>
      </c>
      <c r="D2603" s="10" t="s">
        <v>97</v>
      </c>
      <c r="E2603" s="13">
        <v>46230.0</v>
      </c>
      <c r="F2603" s="10" t="s">
        <v>35</v>
      </c>
      <c r="G2603" s="10">
        <v>11.0</v>
      </c>
      <c r="H2603" s="10" t="s">
        <v>737</v>
      </c>
      <c r="I2603" s="10" t="s">
        <v>22</v>
      </c>
      <c r="J2603" s="9" t="str">
        <f t="shared" si="42"/>
        <v>No</v>
      </c>
      <c r="K2603" s="9" t="str">
        <f t="shared" si="43"/>
        <v/>
      </c>
      <c r="L2603" s="9" t="str">
        <f t="shared" si="44"/>
        <v/>
      </c>
      <c r="M2603" s="9"/>
      <c r="O2603" s="9"/>
    </row>
    <row r="2604" ht="15.75" customHeight="1">
      <c r="A2604" s="9" t="str">
        <f>IFERROR(__xludf.DUMMYFUNCTION("IF(B2604="""","""",RIGHT(REGEXREPLACE(B2604&amp;"""",""[^0-9]"",""""),9))"),"774165467")</f>
        <v>774165467</v>
      </c>
      <c r="B2604" s="48">
        <v>7.74165467E8</v>
      </c>
      <c r="C2604" s="10" t="s">
        <v>2702</v>
      </c>
      <c r="D2604" s="10" t="s">
        <v>120</v>
      </c>
      <c r="E2604" s="13">
        <v>46230.0</v>
      </c>
      <c r="F2604" s="10" t="s">
        <v>35</v>
      </c>
      <c r="G2604" s="10">
        <v>9.0</v>
      </c>
      <c r="I2604" s="10" t="s">
        <v>22</v>
      </c>
      <c r="J2604" s="9" t="str">
        <f t="shared" si="42"/>
        <v>No</v>
      </c>
      <c r="K2604" s="9" t="str">
        <f t="shared" si="43"/>
        <v/>
      </c>
      <c r="L2604" s="9" t="str">
        <f t="shared" si="44"/>
        <v/>
      </c>
      <c r="M2604" s="9"/>
      <c r="O2604" s="9"/>
    </row>
    <row r="2605" ht="15.75" customHeight="1">
      <c r="A2605" s="9" t="str">
        <f>IFERROR(__xludf.DUMMYFUNCTION("IF(B2605="""","""",RIGHT(REGEXREPLACE(B2605&amp;"""",""[^0-9]"",""""),9))"),"703721107")</f>
        <v>703721107</v>
      </c>
      <c r="B2605" s="48">
        <v>7.03721107E8</v>
      </c>
      <c r="C2605" s="10" t="s">
        <v>2703</v>
      </c>
      <c r="D2605" s="10" t="s">
        <v>97</v>
      </c>
      <c r="E2605" s="13">
        <v>46230.0</v>
      </c>
      <c r="F2605" s="10" t="s">
        <v>21</v>
      </c>
      <c r="H2605" s="10" t="s">
        <v>737</v>
      </c>
      <c r="I2605" s="10" t="s">
        <v>22</v>
      </c>
      <c r="J2605" s="9" t="str">
        <f t="shared" si="42"/>
        <v>No</v>
      </c>
      <c r="K2605" s="9" t="str">
        <f t="shared" si="43"/>
        <v/>
      </c>
      <c r="L2605" s="9" t="str">
        <f t="shared" si="44"/>
        <v/>
      </c>
      <c r="M2605" s="9"/>
      <c r="O2605" s="9"/>
    </row>
    <row r="2606" ht="15.75" customHeight="1">
      <c r="A2606" s="9" t="str">
        <f>IFERROR(__xludf.DUMMYFUNCTION("IF(B2606="""","""",RIGHT(REGEXREPLACE(B2606&amp;"""",""[^0-9]"",""""),9))"),"788518816")</f>
        <v>788518816</v>
      </c>
      <c r="B2606" s="48">
        <v>7.88518816E8</v>
      </c>
      <c r="C2606" s="10" t="s">
        <v>2704</v>
      </c>
      <c r="D2606" s="10" t="s">
        <v>105</v>
      </c>
      <c r="E2606" s="13">
        <v>46230.0</v>
      </c>
      <c r="F2606" s="10" t="s">
        <v>198</v>
      </c>
      <c r="I2606" s="10" t="s">
        <v>22</v>
      </c>
      <c r="J2606" s="9" t="str">
        <f t="shared" si="42"/>
        <v>No</v>
      </c>
      <c r="K2606" s="9" t="str">
        <f t="shared" si="43"/>
        <v/>
      </c>
      <c r="L2606" s="9" t="str">
        <f t="shared" si="44"/>
        <v/>
      </c>
      <c r="M2606" s="9"/>
      <c r="O2606" s="9"/>
    </row>
    <row r="2607" ht="15.75" customHeight="1">
      <c r="A2607" s="9" t="str">
        <f>IFERROR(__xludf.DUMMYFUNCTION("IF(B2607="""","""",RIGHT(REGEXREPLACE(B2607&amp;"""",""[^0-9]"",""""),9))"),"775754077")</f>
        <v>775754077</v>
      </c>
      <c r="B2607" s="48">
        <v>7.75754077E8</v>
      </c>
      <c r="C2607" s="10" t="s">
        <v>2705</v>
      </c>
      <c r="D2607" s="10" t="s">
        <v>50</v>
      </c>
      <c r="E2607" s="13">
        <v>46230.0</v>
      </c>
      <c r="F2607" s="10" t="s">
        <v>35</v>
      </c>
      <c r="G2607" s="10">
        <v>11.0</v>
      </c>
      <c r="H2607" s="10" t="s">
        <v>1291</v>
      </c>
      <c r="I2607" s="10" t="s">
        <v>22</v>
      </c>
      <c r="J2607" s="9" t="str">
        <f t="shared" si="42"/>
        <v>No</v>
      </c>
      <c r="K2607" s="9" t="str">
        <f t="shared" si="43"/>
        <v/>
      </c>
      <c r="L2607" s="9" t="str">
        <f t="shared" si="44"/>
        <v/>
      </c>
      <c r="M2607" s="9"/>
      <c r="O2607" s="9"/>
    </row>
    <row r="2608" ht="15.75" customHeight="1">
      <c r="A2608" s="9" t="str">
        <f>IFERROR(__xludf.DUMMYFUNCTION("IF(B2608="""","""",RIGHT(REGEXREPLACE(B2608&amp;"""",""[^0-9]"",""""),9))"),"774082559")</f>
        <v>774082559</v>
      </c>
      <c r="B2608" s="48">
        <v>7.74082559E8</v>
      </c>
      <c r="C2608" s="10" t="s">
        <v>2706</v>
      </c>
      <c r="D2608" s="10" t="s">
        <v>120</v>
      </c>
      <c r="E2608" s="13">
        <v>46230.0</v>
      </c>
      <c r="F2608" s="10" t="s">
        <v>35</v>
      </c>
      <c r="G2608" s="106">
        <v>46182.0</v>
      </c>
      <c r="I2608" s="10" t="s">
        <v>22</v>
      </c>
      <c r="J2608" s="9" t="str">
        <f t="shared" si="42"/>
        <v>No</v>
      </c>
      <c r="K2608" s="9" t="str">
        <f t="shared" si="43"/>
        <v/>
      </c>
      <c r="L2608" s="9" t="str">
        <f t="shared" si="44"/>
        <v/>
      </c>
      <c r="M2608" s="9"/>
      <c r="O2608" s="9"/>
    </row>
    <row r="2609" ht="15.75" customHeight="1">
      <c r="A2609" s="9" t="str">
        <f>IFERROR(__xludf.DUMMYFUNCTION("IF(B2609="""","""",RIGHT(REGEXREPLACE(B2609&amp;"""",""[^0-9]"",""""),9))"),"778327242")</f>
        <v>778327242</v>
      </c>
      <c r="B2609" s="48">
        <v>7.78327242E8</v>
      </c>
      <c r="C2609" s="10" t="s">
        <v>2707</v>
      </c>
      <c r="D2609" s="10" t="s">
        <v>34</v>
      </c>
      <c r="E2609" s="13">
        <v>46230.0</v>
      </c>
      <c r="F2609" s="10" t="s">
        <v>604</v>
      </c>
      <c r="H2609" s="10" t="s">
        <v>2526</v>
      </c>
      <c r="I2609" s="10" t="s">
        <v>22</v>
      </c>
      <c r="J2609" s="9" t="str">
        <f t="shared" si="42"/>
        <v>No</v>
      </c>
      <c r="K2609" s="9" t="str">
        <f t="shared" si="43"/>
        <v/>
      </c>
      <c r="L2609" s="9" t="str">
        <f t="shared" si="44"/>
        <v/>
      </c>
      <c r="M2609" s="9"/>
      <c r="O2609" s="9"/>
    </row>
    <row r="2610" ht="15.75" customHeight="1">
      <c r="A2610" s="9" t="str">
        <f>IFERROR(__xludf.DUMMYFUNCTION("IF(B2610="""","""",RIGHT(REGEXREPLACE(B2610&amp;"""",""[^0-9]"",""""),9))"),"766246433")</f>
        <v>766246433</v>
      </c>
      <c r="B2610" s="48">
        <v>7.66246433E8</v>
      </c>
      <c r="C2610" s="10" t="s">
        <v>2708</v>
      </c>
      <c r="D2610" s="10" t="s">
        <v>120</v>
      </c>
      <c r="E2610" s="13">
        <v>46230.0</v>
      </c>
      <c r="F2610" s="9"/>
      <c r="G2610" s="106">
        <v>46276.0</v>
      </c>
      <c r="H2610" s="10" t="s">
        <v>2526</v>
      </c>
      <c r="I2610" s="10" t="s">
        <v>22</v>
      </c>
      <c r="J2610" s="9" t="str">
        <f t="shared" si="42"/>
        <v>No</v>
      </c>
      <c r="K2610" s="9" t="str">
        <f t="shared" si="43"/>
        <v/>
      </c>
      <c r="L2610" s="9" t="str">
        <f t="shared" si="44"/>
        <v/>
      </c>
      <c r="M2610" s="9"/>
      <c r="N2610" s="9"/>
      <c r="O2610" s="9"/>
      <c r="P2610" s="9"/>
    </row>
    <row r="2611" ht="15.75" customHeight="1">
      <c r="A2611" s="9" t="str">
        <f>IFERROR(__xludf.DUMMYFUNCTION("IF(B2611="""","""",RIGHT(REGEXREPLACE(B2611&amp;"""",""[^0-9]"",""""),9))"),"779386112")</f>
        <v>779386112</v>
      </c>
      <c r="B2611" s="48">
        <v>7.79386112E8</v>
      </c>
      <c r="C2611" s="10" t="s">
        <v>2709</v>
      </c>
      <c r="D2611" s="10" t="s">
        <v>97</v>
      </c>
      <c r="E2611" s="13">
        <v>46230.0</v>
      </c>
      <c r="F2611" s="10" t="s">
        <v>173</v>
      </c>
      <c r="G2611" s="10">
        <v>11.0</v>
      </c>
      <c r="H2611" s="10" t="s">
        <v>737</v>
      </c>
      <c r="I2611" s="10" t="s">
        <v>22</v>
      </c>
      <c r="J2611" s="9" t="str">
        <f t="shared" si="42"/>
        <v>No</v>
      </c>
      <c r="K2611" s="9" t="str">
        <f t="shared" si="43"/>
        <v/>
      </c>
      <c r="L2611" s="9" t="str">
        <f t="shared" si="44"/>
        <v/>
      </c>
      <c r="M2611" s="9"/>
      <c r="O2611" s="9"/>
    </row>
    <row r="2612" ht="15.75" customHeight="1">
      <c r="A2612" s="9" t="str">
        <f>IFERROR(__xludf.DUMMYFUNCTION("IF(B2612="""","""",RIGHT(REGEXREPLACE(B2612&amp;"""",""[^0-9]"",""""),9))"),"760705338")</f>
        <v>760705338</v>
      </c>
      <c r="B2612" s="48">
        <v>7.60705338E8</v>
      </c>
      <c r="C2612" s="10" t="s">
        <v>2710</v>
      </c>
      <c r="D2612" s="10" t="s">
        <v>69</v>
      </c>
      <c r="E2612" s="13">
        <v>46230.0</v>
      </c>
      <c r="F2612" s="10" t="s">
        <v>21</v>
      </c>
      <c r="H2612" s="10" t="s">
        <v>737</v>
      </c>
      <c r="I2612" s="10" t="s">
        <v>22</v>
      </c>
      <c r="J2612" s="9" t="str">
        <f t="shared" si="42"/>
        <v>No</v>
      </c>
      <c r="K2612" s="9" t="str">
        <f t="shared" si="43"/>
        <v/>
      </c>
      <c r="L2612" s="9" t="str">
        <f t="shared" si="44"/>
        <v/>
      </c>
      <c r="M2612" s="9"/>
      <c r="O2612" s="9"/>
    </row>
    <row r="2613" ht="15.75" customHeight="1">
      <c r="A2613" s="9" t="str">
        <f>IFERROR(__xludf.DUMMYFUNCTION("IF(B2613="""","""",RIGHT(REGEXREPLACE(B2613&amp;"""",""[^0-9]"",""""),9))"),"770207984")</f>
        <v>770207984</v>
      </c>
      <c r="B2613" s="48">
        <v>7.70207984E8</v>
      </c>
      <c r="C2613" s="10" t="s">
        <v>478</v>
      </c>
      <c r="D2613" s="10" t="s">
        <v>34</v>
      </c>
      <c r="E2613" s="13">
        <v>46230.0</v>
      </c>
      <c r="F2613" s="10" t="s">
        <v>21</v>
      </c>
      <c r="H2613" s="10" t="s">
        <v>2526</v>
      </c>
      <c r="I2613" s="10" t="s">
        <v>22</v>
      </c>
      <c r="J2613" s="9" t="str">
        <f t="shared" si="42"/>
        <v>Yes - see Previous F-Code</v>
      </c>
      <c r="K2613" s="9" t="str">
        <f t="shared" si="43"/>
        <v>DUPLICATE - CHECK</v>
      </c>
      <c r="L2613" s="9" t="str">
        <f t="shared" si="44"/>
        <v>F70349</v>
      </c>
      <c r="M2613" s="9"/>
      <c r="O2613" s="9"/>
    </row>
    <row r="2614" ht="15.75" customHeight="1">
      <c r="A2614" s="9" t="str">
        <f>IFERROR(__xludf.DUMMYFUNCTION("IF(B2614="""","""",RIGHT(REGEXREPLACE(B2614&amp;"""",""[^0-9]"",""""),9))"),"707777220")</f>
        <v>707777220</v>
      </c>
      <c r="B2614" s="48">
        <v>7.0777722E8</v>
      </c>
      <c r="C2614" s="10" t="s">
        <v>2711</v>
      </c>
      <c r="D2614" s="10" t="s">
        <v>34</v>
      </c>
      <c r="E2614" s="13">
        <v>46230.0</v>
      </c>
      <c r="F2614" s="10" t="s">
        <v>21</v>
      </c>
      <c r="H2614" s="10" t="s">
        <v>2526</v>
      </c>
      <c r="I2614" s="10" t="s">
        <v>22</v>
      </c>
      <c r="J2614" s="9" t="str">
        <f t="shared" si="42"/>
        <v>No</v>
      </c>
      <c r="K2614" s="9" t="str">
        <f t="shared" si="43"/>
        <v/>
      </c>
      <c r="L2614" s="9" t="str">
        <f t="shared" si="44"/>
        <v/>
      </c>
      <c r="M2614" s="9"/>
      <c r="O2614" s="9"/>
    </row>
    <row r="2615" ht="15.75" customHeight="1">
      <c r="A2615" s="9" t="str">
        <f>IFERROR(__xludf.DUMMYFUNCTION("IF(B2615="""","""",RIGHT(REGEXREPLACE(B2615&amp;"""",""[^0-9]"",""""),9))"),"773220476")</f>
        <v>773220476</v>
      </c>
      <c r="B2615" s="48">
        <v>7.73220476E8</v>
      </c>
      <c r="C2615" s="10" t="s">
        <v>2712</v>
      </c>
      <c r="D2615" s="10" t="s">
        <v>69</v>
      </c>
      <c r="E2615" s="13">
        <v>46230.0</v>
      </c>
      <c r="F2615" s="10" t="s">
        <v>21</v>
      </c>
      <c r="H2615" s="10" t="s">
        <v>737</v>
      </c>
      <c r="I2615" s="10" t="s">
        <v>22</v>
      </c>
      <c r="J2615" s="9" t="str">
        <f t="shared" si="42"/>
        <v>No</v>
      </c>
      <c r="K2615" s="9" t="str">
        <f t="shared" si="43"/>
        <v/>
      </c>
      <c r="L2615" s="9" t="str">
        <f t="shared" si="44"/>
        <v/>
      </c>
      <c r="M2615" s="9"/>
      <c r="O2615" s="9"/>
    </row>
    <row r="2616" ht="15.75" customHeight="1">
      <c r="A2616" s="9" t="str">
        <f>IFERROR(__xludf.DUMMYFUNCTION("IF(B2616="""","""",RIGHT(REGEXREPLACE(B2616&amp;"""",""[^0-9]"",""""),9))"),"703974190")</f>
        <v>703974190</v>
      </c>
      <c r="B2616" s="48">
        <v>7.0397419E8</v>
      </c>
      <c r="C2616" s="10" t="s">
        <v>2713</v>
      </c>
      <c r="D2616" s="10" t="s">
        <v>34</v>
      </c>
      <c r="E2616" s="13">
        <v>46230.0</v>
      </c>
      <c r="F2616" s="10" t="s">
        <v>35</v>
      </c>
      <c r="H2616" s="10" t="s">
        <v>2714</v>
      </c>
      <c r="I2616" s="10" t="s">
        <v>22</v>
      </c>
      <c r="J2616" s="9" t="str">
        <f t="shared" si="42"/>
        <v>No</v>
      </c>
      <c r="K2616" s="9" t="str">
        <f t="shared" si="43"/>
        <v/>
      </c>
      <c r="L2616" s="9" t="str">
        <f t="shared" si="44"/>
        <v/>
      </c>
      <c r="M2616" s="9"/>
      <c r="O2616" s="9"/>
    </row>
    <row r="2617" ht="15.75" customHeight="1">
      <c r="A2617" s="9" t="str">
        <f>IFERROR(__xludf.DUMMYFUNCTION("IF(B2617="""","""",RIGHT(REGEXREPLACE(B2617&amp;"""",""[^0-9]"",""""),9))"),"712051952")</f>
        <v>712051952</v>
      </c>
      <c r="B2617" s="48">
        <v>7.12051952E8</v>
      </c>
      <c r="C2617" s="10" t="s">
        <v>2715</v>
      </c>
      <c r="D2617" s="10" t="s">
        <v>105</v>
      </c>
      <c r="E2617" s="13">
        <v>46230.0</v>
      </c>
      <c r="F2617" s="10" t="s">
        <v>35</v>
      </c>
      <c r="G2617" s="10">
        <v>11.0</v>
      </c>
      <c r="I2617" s="10" t="s">
        <v>22</v>
      </c>
      <c r="J2617" s="9" t="str">
        <f t="shared" si="42"/>
        <v>No</v>
      </c>
      <c r="K2617" s="9" t="str">
        <f t="shared" si="43"/>
        <v/>
      </c>
      <c r="L2617" s="9" t="str">
        <f t="shared" si="44"/>
        <v/>
      </c>
      <c r="M2617" s="9"/>
      <c r="O2617" s="9"/>
    </row>
    <row r="2618" ht="15.75" customHeight="1">
      <c r="A2618" s="9" t="str">
        <f>IFERROR(__xludf.DUMMYFUNCTION("IF(B2618="""","""",RIGHT(REGEXREPLACE(B2618&amp;"""",""[^0-9]"",""""),9))"),"740103227")</f>
        <v>740103227</v>
      </c>
      <c r="B2618" s="48">
        <v>7.40103227E8</v>
      </c>
      <c r="C2618" s="10" t="s">
        <v>2716</v>
      </c>
      <c r="D2618" s="10" t="s">
        <v>50</v>
      </c>
      <c r="E2618" s="13">
        <v>46230.0</v>
      </c>
      <c r="F2618" s="10" t="s">
        <v>35</v>
      </c>
      <c r="G2618" s="10">
        <v>11.0</v>
      </c>
      <c r="I2618" s="10" t="s">
        <v>22</v>
      </c>
      <c r="J2618" s="9" t="str">
        <f t="shared" si="42"/>
        <v>No</v>
      </c>
      <c r="K2618" s="9" t="str">
        <f t="shared" si="43"/>
        <v/>
      </c>
      <c r="L2618" s="9" t="str">
        <f t="shared" si="44"/>
        <v/>
      </c>
      <c r="M2618" s="9"/>
      <c r="O2618" s="9"/>
    </row>
    <row r="2619" ht="15.75" customHeight="1">
      <c r="A2619" s="9" t="str">
        <f>IFERROR(__xludf.DUMMYFUNCTION("IF(B2619="""","""",RIGHT(REGEXREPLACE(B2619&amp;"""",""[^0-9]"",""""),9))"),"769401872")</f>
        <v>769401872</v>
      </c>
      <c r="B2619" s="48">
        <v>7.69401872E8</v>
      </c>
      <c r="C2619" s="10" t="s">
        <v>2717</v>
      </c>
      <c r="D2619" s="10" t="s">
        <v>34</v>
      </c>
      <c r="E2619" s="13">
        <v>46230.0</v>
      </c>
      <c r="F2619" s="10" t="s">
        <v>35</v>
      </c>
      <c r="G2619" s="10">
        <v>10.0</v>
      </c>
      <c r="I2619" s="10" t="s">
        <v>22</v>
      </c>
      <c r="J2619" s="9" t="str">
        <f t="shared" si="42"/>
        <v>No</v>
      </c>
      <c r="K2619" s="9" t="str">
        <f t="shared" si="43"/>
        <v/>
      </c>
      <c r="L2619" s="9" t="str">
        <f t="shared" si="44"/>
        <v/>
      </c>
      <c r="M2619" s="9"/>
      <c r="O2619" s="9"/>
    </row>
    <row r="2620" ht="15.75" customHeight="1">
      <c r="A2620" s="9" t="str">
        <f>IFERROR(__xludf.DUMMYFUNCTION("IF(B2620="""","""",RIGHT(REGEXREPLACE(B2620&amp;"""",""[^0-9]"",""""),9))"),"717704069")</f>
        <v>717704069</v>
      </c>
      <c r="B2620" s="48">
        <v>7.17704069E8</v>
      </c>
      <c r="C2620" s="10" t="s">
        <v>2701</v>
      </c>
      <c r="D2620" s="10" t="s">
        <v>97</v>
      </c>
      <c r="E2620" s="13">
        <v>46230.0</v>
      </c>
      <c r="F2620" s="10" t="s">
        <v>21</v>
      </c>
      <c r="H2620" s="10" t="s">
        <v>737</v>
      </c>
      <c r="I2620" s="10" t="s">
        <v>22</v>
      </c>
      <c r="J2620" s="9" t="str">
        <f t="shared" si="42"/>
        <v>No</v>
      </c>
      <c r="K2620" s="9" t="str">
        <f t="shared" si="43"/>
        <v/>
      </c>
      <c r="L2620" s="9" t="str">
        <f t="shared" si="44"/>
        <v/>
      </c>
      <c r="M2620" s="9"/>
      <c r="O2620" s="9"/>
    </row>
    <row r="2621" ht="15.75" customHeight="1">
      <c r="A2621" s="9" t="str">
        <f>IFERROR(__xludf.DUMMYFUNCTION("IF(B2621="""","""",RIGHT(REGEXREPLACE(B2621&amp;"""",""[^0-9]"",""""),9))"),"761398551")</f>
        <v>761398551</v>
      </c>
      <c r="B2621" s="48">
        <v>7.61398551E8</v>
      </c>
      <c r="C2621" s="10" t="s">
        <v>2718</v>
      </c>
      <c r="D2621" s="10" t="s">
        <v>69</v>
      </c>
      <c r="E2621" s="13">
        <v>46230.0</v>
      </c>
      <c r="F2621" s="10" t="s">
        <v>21</v>
      </c>
      <c r="H2621" s="10" t="s">
        <v>737</v>
      </c>
      <c r="I2621" s="10" t="s">
        <v>22</v>
      </c>
      <c r="J2621" s="9" t="str">
        <f t="shared" si="42"/>
        <v>No</v>
      </c>
      <c r="K2621" s="9" t="str">
        <f t="shared" si="43"/>
        <v/>
      </c>
      <c r="L2621" s="9" t="str">
        <f t="shared" si="44"/>
        <v/>
      </c>
      <c r="M2621" s="9"/>
      <c r="O2621" s="9"/>
    </row>
    <row r="2622" ht="15.75" customHeight="1">
      <c r="A2622" s="9" t="str">
        <f>IFERROR(__xludf.DUMMYFUNCTION("IF(B2622="""","""",RIGHT(REGEXREPLACE(B2622&amp;"""",""[^0-9]"",""""),9))"),"771332533")</f>
        <v>771332533</v>
      </c>
      <c r="B2622" s="48">
        <v>7.71332533E8</v>
      </c>
      <c r="C2622" s="10" t="s">
        <v>2719</v>
      </c>
      <c r="D2622" s="10" t="s">
        <v>34</v>
      </c>
      <c r="E2622" s="13">
        <v>46230.0</v>
      </c>
      <c r="F2622" s="10" t="s">
        <v>35</v>
      </c>
      <c r="G2622" s="10">
        <v>11.0</v>
      </c>
      <c r="H2622" s="10" t="s">
        <v>737</v>
      </c>
      <c r="I2622" s="10" t="s">
        <v>22</v>
      </c>
      <c r="J2622" s="9" t="str">
        <f t="shared" si="42"/>
        <v>No</v>
      </c>
      <c r="K2622" s="9" t="str">
        <f t="shared" si="43"/>
        <v/>
      </c>
      <c r="L2622" s="9" t="str">
        <f t="shared" si="44"/>
        <v/>
      </c>
      <c r="M2622" s="9"/>
      <c r="O2622" s="9"/>
    </row>
    <row r="2623" ht="15.75" customHeight="1">
      <c r="A2623" s="9" t="str">
        <f>IFERROR(__xludf.DUMMYFUNCTION("IF(B2623="""","""",RIGHT(REGEXREPLACE(B2623&amp;"""",""[^0-9]"",""""),9))"),"762632146")</f>
        <v>762632146</v>
      </c>
      <c r="B2623" s="48">
        <v>7.62632146E8</v>
      </c>
      <c r="C2623" s="10" t="s">
        <v>2720</v>
      </c>
      <c r="D2623" s="10" t="s">
        <v>97</v>
      </c>
      <c r="E2623" s="13">
        <v>46230.0</v>
      </c>
      <c r="F2623" s="10" t="s">
        <v>35</v>
      </c>
      <c r="G2623" s="10">
        <v>11.0</v>
      </c>
      <c r="H2623" s="10" t="s">
        <v>737</v>
      </c>
      <c r="I2623" s="10" t="s">
        <v>22</v>
      </c>
      <c r="J2623" s="9" t="str">
        <f t="shared" si="42"/>
        <v>No</v>
      </c>
      <c r="K2623" s="9" t="str">
        <f t="shared" si="43"/>
        <v/>
      </c>
      <c r="L2623" s="9" t="str">
        <f t="shared" si="44"/>
        <v/>
      </c>
      <c r="M2623" s="9"/>
      <c r="O2623" s="9"/>
    </row>
    <row r="2624" ht="15.75" customHeight="1">
      <c r="A2624" s="9" t="str">
        <f>IFERROR(__xludf.DUMMYFUNCTION("IF(B2624="""","""",RIGHT(REGEXREPLACE(B2624&amp;"""",""[^0-9]"",""""),9))"),"752918880")</f>
        <v>752918880</v>
      </c>
      <c r="B2624" s="48">
        <v>7.5291888E8</v>
      </c>
      <c r="C2624" s="10" t="s">
        <v>2721</v>
      </c>
      <c r="D2624" s="10" t="s">
        <v>34</v>
      </c>
      <c r="E2624" s="13">
        <v>46230.0</v>
      </c>
      <c r="F2624" s="10" t="s">
        <v>21</v>
      </c>
      <c r="H2624" s="10" t="s">
        <v>737</v>
      </c>
      <c r="I2624" s="10" t="s">
        <v>22</v>
      </c>
      <c r="J2624" s="9" t="str">
        <f t="shared" si="42"/>
        <v>No</v>
      </c>
      <c r="K2624" s="9" t="str">
        <f t="shared" si="43"/>
        <v/>
      </c>
      <c r="L2624" s="9" t="str">
        <f t="shared" si="44"/>
        <v/>
      </c>
      <c r="M2624" s="9"/>
      <c r="O2624" s="9"/>
    </row>
    <row r="2625" ht="15.75" customHeight="1">
      <c r="A2625" s="9" t="str">
        <f>IFERROR(__xludf.DUMMYFUNCTION("IF(B2625="""","""",RIGHT(REGEXREPLACE(B2625&amp;"""",""[^0-9]"",""""),9))"),"714250525")</f>
        <v>714250525</v>
      </c>
      <c r="B2625" s="48">
        <v>7.14250525E8</v>
      </c>
      <c r="C2625" s="10" t="s">
        <v>2722</v>
      </c>
      <c r="D2625" s="10" t="s">
        <v>69</v>
      </c>
      <c r="E2625" s="13">
        <v>46230.0</v>
      </c>
      <c r="F2625" s="10" t="s">
        <v>35</v>
      </c>
      <c r="G2625" s="10">
        <v>11.0</v>
      </c>
      <c r="H2625" s="10" t="s">
        <v>708</v>
      </c>
      <c r="I2625" s="10" t="s">
        <v>22</v>
      </c>
      <c r="J2625" s="9" t="str">
        <f t="shared" si="42"/>
        <v>No</v>
      </c>
      <c r="K2625" s="9" t="str">
        <f t="shared" si="43"/>
        <v/>
      </c>
      <c r="L2625" s="9" t="str">
        <f t="shared" si="44"/>
        <v/>
      </c>
      <c r="M2625" s="9"/>
      <c r="O2625" s="9"/>
    </row>
    <row r="2626" ht="15.75" customHeight="1">
      <c r="A2626" s="9" t="str">
        <f>IFERROR(__xludf.DUMMYFUNCTION("IF(B2626="""","""",RIGHT(REGEXREPLACE(B2626&amp;"""",""[^0-9]"",""""),9))"),"704880216")</f>
        <v>704880216</v>
      </c>
      <c r="B2626" s="48">
        <v>7.04880216E8</v>
      </c>
      <c r="C2626" s="10" t="s">
        <v>2723</v>
      </c>
      <c r="D2626" s="10" t="s">
        <v>50</v>
      </c>
      <c r="E2626" s="13">
        <v>46230.0</v>
      </c>
      <c r="F2626" s="10" t="s">
        <v>198</v>
      </c>
      <c r="I2626" s="10" t="s">
        <v>22</v>
      </c>
      <c r="J2626" s="9" t="str">
        <f t="shared" si="42"/>
        <v>No</v>
      </c>
      <c r="K2626" s="9" t="str">
        <f t="shared" si="43"/>
        <v/>
      </c>
      <c r="L2626" s="9" t="str">
        <f t="shared" si="44"/>
        <v/>
      </c>
      <c r="M2626" s="9"/>
      <c r="O2626" s="9"/>
    </row>
    <row r="2627" ht="15.75" customHeight="1">
      <c r="A2627" s="9" t="str">
        <f>IFERROR(__xludf.DUMMYFUNCTION("IF(B2627="""","""",RIGHT(REGEXREPLACE(B2627&amp;"""",""[^0-9]"",""""),9))"),"704597320")</f>
        <v>704597320</v>
      </c>
      <c r="B2627" s="48">
        <v>7.0459732E8</v>
      </c>
      <c r="C2627" s="10" t="s">
        <v>2724</v>
      </c>
      <c r="D2627" s="10" t="s">
        <v>34</v>
      </c>
      <c r="E2627" s="13">
        <v>46230.0</v>
      </c>
      <c r="F2627" s="10" t="s">
        <v>35</v>
      </c>
      <c r="G2627" s="10">
        <v>11.0</v>
      </c>
      <c r="I2627" s="10" t="s">
        <v>22</v>
      </c>
      <c r="J2627" s="9" t="str">
        <f t="shared" si="42"/>
        <v>No</v>
      </c>
      <c r="K2627" s="9" t="str">
        <f t="shared" si="43"/>
        <v/>
      </c>
      <c r="L2627" s="9" t="str">
        <f t="shared" si="44"/>
        <v/>
      </c>
      <c r="M2627" s="9"/>
      <c r="O2627" s="9"/>
    </row>
    <row r="2628" ht="15.75" customHeight="1">
      <c r="A2628" s="9" t="str">
        <f>IFERROR(__xludf.DUMMYFUNCTION("IF(B2628="""","""",RIGHT(REGEXREPLACE(B2628&amp;"""",""[^0-9]"",""""),9))"),"772843266")</f>
        <v>772843266</v>
      </c>
      <c r="B2628" s="48">
        <v>7.72843266E8</v>
      </c>
      <c r="C2628" s="10" t="s">
        <v>2725</v>
      </c>
      <c r="D2628" s="10" t="s">
        <v>120</v>
      </c>
      <c r="E2628" s="13">
        <v>46230.0</v>
      </c>
      <c r="F2628" s="10" t="s">
        <v>145</v>
      </c>
      <c r="G2628" s="10">
        <v>11.0</v>
      </c>
      <c r="I2628" s="10" t="s">
        <v>22</v>
      </c>
      <c r="J2628" s="9" t="str">
        <f t="shared" si="42"/>
        <v>No</v>
      </c>
      <c r="K2628" s="9" t="str">
        <f t="shared" si="43"/>
        <v/>
      </c>
      <c r="L2628" s="9" t="str">
        <f t="shared" si="44"/>
        <v/>
      </c>
      <c r="M2628" s="9"/>
      <c r="O2628" s="9"/>
    </row>
    <row r="2629" ht="15.75" customHeight="1">
      <c r="A2629" s="9" t="str">
        <f>IFERROR(__xludf.DUMMYFUNCTION("IF(B2629="""","""",RIGHT(REGEXREPLACE(B2629&amp;"""",""[^0-9]"",""""),9))"),"783633170")</f>
        <v>783633170</v>
      </c>
      <c r="B2629" s="48">
        <v>7.8363317E8</v>
      </c>
      <c r="C2629" s="10" t="s">
        <v>2726</v>
      </c>
      <c r="D2629" s="10" t="s">
        <v>50</v>
      </c>
      <c r="E2629" s="13">
        <v>46230.0</v>
      </c>
      <c r="F2629" s="10" t="s">
        <v>35</v>
      </c>
      <c r="G2629" s="10">
        <v>11.0</v>
      </c>
      <c r="I2629" s="10" t="s">
        <v>22</v>
      </c>
      <c r="J2629" s="9" t="str">
        <f t="shared" si="42"/>
        <v>No</v>
      </c>
      <c r="K2629" s="9" t="str">
        <f t="shared" si="43"/>
        <v/>
      </c>
      <c r="L2629" s="9" t="str">
        <f t="shared" si="44"/>
        <v/>
      </c>
      <c r="M2629" s="9"/>
      <c r="O2629" s="9"/>
    </row>
    <row r="2630" ht="15.75" customHeight="1">
      <c r="A2630" s="9" t="str">
        <f>IFERROR(__xludf.DUMMYFUNCTION("IF(B2630="""","""",RIGHT(REGEXREPLACE(B2630&amp;"""",""[^0-9]"",""""),9))"),"717993080")</f>
        <v>717993080</v>
      </c>
      <c r="B2630" s="48">
        <v>7.1799308E8</v>
      </c>
      <c r="C2630" s="10" t="s">
        <v>2727</v>
      </c>
      <c r="D2630" s="10" t="s">
        <v>34</v>
      </c>
      <c r="E2630" s="13">
        <v>46230.0</v>
      </c>
      <c r="F2630" s="10" t="s">
        <v>35</v>
      </c>
      <c r="G2630" s="10">
        <v>8.0</v>
      </c>
      <c r="H2630" s="10" t="s">
        <v>2526</v>
      </c>
      <c r="I2630" s="10" t="s">
        <v>22</v>
      </c>
      <c r="J2630" s="9" t="str">
        <f t="shared" si="42"/>
        <v>No</v>
      </c>
      <c r="K2630" s="9" t="str">
        <f t="shared" si="43"/>
        <v/>
      </c>
      <c r="L2630" s="9" t="str">
        <f t="shared" si="44"/>
        <v/>
      </c>
      <c r="M2630" s="9"/>
      <c r="O2630" s="9"/>
    </row>
    <row r="2631" ht="15.75" customHeight="1">
      <c r="A2631" s="9" t="str">
        <f>IFERROR(__xludf.DUMMYFUNCTION("IF(B2631="""","""",RIGHT(REGEXREPLACE(B2631&amp;"""",""[^0-9]"",""""),9))"),"762345341")</f>
        <v>762345341</v>
      </c>
      <c r="B2631" s="48">
        <v>7.62345341E8</v>
      </c>
      <c r="C2631" s="10" t="s">
        <v>2728</v>
      </c>
      <c r="D2631" s="10" t="s">
        <v>69</v>
      </c>
      <c r="E2631" s="13">
        <v>46230.0</v>
      </c>
      <c r="F2631" s="10" t="s">
        <v>542</v>
      </c>
      <c r="G2631" s="10">
        <v>11.0</v>
      </c>
      <c r="H2631" s="10" t="s">
        <v>708</v>
      </c>
      <c r="I2631" s="10" t="s">
        <v>22</v>
      </c>
      <c r="J2631" s="9" t="str">
        <f t="shared" si="42"/>
        <v>No</v>
      </c>
      <c r="K2631" s="9" t="str">
        <f t="shared" si="43"/>
        <v/>
      </c>
      <c r="L2631" s="9" t="str">
        <f t="shared" si="44"/>
        <v/>
      </c>
      <c r="M2631" s="9"/>
      <c r="O2631" s="9"/>
    </row>
    <row r="2632" ht="15.75" customHeight="1">
      <c r="A2632" s="9" t="str">
        <f>IFERROR(__xludf.DUMMYFUNCTION("IF(B2632="""","""",RIGHT(REGEXREPLACE(B2632&amp;"""",""[^0-9]"",""""),9))"),"705634271")</f>
        <v>705634271</v>
      </c>
      <c r="B2632" s="48">
        <v>7.05634271E8</v>
      </c>
      <c r="C2632" s="10" t="s">
        <v>2729</v>
      </c>
      <c r="D2632" s="10" t="s">
        <v>105</v>
      </c>
      <c r="E2632" s="13">
        <v>46230.0</v>
      </c>
      <c r="F2632" s="9"/>
      <c r="G2632" s="10">
        <v>11.0</v>
      </c>
      <c r="H2632" s="9"/>
      <c r="I2632" s="10" t="s">
        <v>22</v>
      </c>
      <c r="J2632" s="9" t="str">
        <f t="shared" si="42"/>
        <v>No</v>
      </c>
      <c r="K2632" s="9" t="str">
        <f t="shared" si="43"/>
        <v/>
      </c>
      <c r="L2632" s="9" t="str">
        <f t="shared" si="44"/>
        <v/>
      </c>
      <c r="M2632" s="9"/>
      <c r="N2632" s="9"/>
      <c r="O2632" s="9"/>
      <c r="P2632" s="9"/>
    </row>
    <row r="2633" ht="15.75" customHeight="1">
      <c r="A2633" s="9" t="str">
        <f>IFERROR(__xludf.DUMMYFUNCTION("IF(B2633="""","""",RIGHT(REGEXREPLACE(B2633&amp;"""",""[^0-9]"",""""),9))"),"771742850")</f>
        <v>771742850</v>
      </c>
      <c r="B2633" s="48">
        <v>7.7174285E8</v>
      </c>
      <c r="C2633" s="10" t="s">
        <v>2730</v>
      </c>
      <c r="D2633" s="10" t="s">
        <v>97</v>
      </c>
      <c r="E2633" s="13">
        <v>46230.0</v>
      </c>
      <c r="F2633" s="10" t="s">
        <v>648</v>
      </c>
      <c r="H2633" s="10" t="s">
        <v>737</v>
      </c>
      <c r="I2633" s="10" t="s">
        <v>22</v>
      </c>
      <c r="J2633" s="9" t="str">
        <f t="shared" si="42"/>
        <v>No</v>
      </c>
      <c r="K2633" s="9" t="str">
        <f t="shared" si="43"/>
        <v/>
      </c>
      <c r="L2633" s="9" t="str">
        <f t="shared" si="44"/>
        <v/>
      </c>
      <c r="M2633" s="9"/>
      <c r="O2633" s="9"/>
    </row>
    <row r="2634" ht="15.75" customHeight="1">
      <c r="A2634" s="9" t="str">
        <f>IFERROR(__xludf.DUMMYFUNCTION("IF(B2634="""","""",RIGHT(REGEXREPLACE(B2634&amp;"""",""[^0-9]"",""""),9))"),"717341184")</f>
        <v>717341184</v>
      </c>
      <c r="B2634" s="48">
        <v>7.17341184E8</v>
      </c>
      <c r="C2634" s="10" t="s">
        <v>2730</v>
      </c>
      <c r="D2634" s="10" t="s">
        <v>120</v>
      </c>
      <c r="E2634" s="13">
        <v>46230.0</v>
      </c>
      <c r="F2634" s="10" t="s">
        <v>21</v>
      </c>
      <c r="I2634" s="10" t="s">
        <v>22</v>
      </c>
      <c r="J2634" s="9" t="str">
        <f t="shared" si="42"/>
        <v>No</v>
      </c>
      <c r="K2634" s="9" t="str">
        <f t="shared" si="43"/>
        <v/>
      </c>
      <c r="L2634" s="9" t="str">
        <f t="shared" si="44"/>
        <v/>
      </c>
      <c r="M2634" s="9"/>
      <c r="O2634" s="9"/>
    </row>
    <row r="2635" ht="15.75" customHeight="1">
      <c r="A2635" s="9" t="str">
        <f>IFERROR(__xludf.DUMMYFUNCTION("IF(B2635="""","""",RIGHT(REGEXREPLACE(B2635&amp;"""",""[^0-9]"",""""),9))"),"718743999")</f>
        <v>718743999</v>
      </c>
      <c r="B2635" s="48">
        <v>7.18743999E8</v>
      </c>
      <c r="C2635" s="10" t="s">
        <v>2731</v>
      </c>
      <c r="D2635" s="10" t="s">
        <v>50</v>
      </c>
      <c r="E2635" s="13">
        <v>46230.0</v>
      </c>
      <c r="F2635" s="10" t="s">
        <v>35</v>
      </c>
      <c r="G2635" s="10">
        <v>11.0</v>
      </c>
      <c r="H2635" s="10" t="s">
        <v>622</v>
      </c>
      <c r="I2635" s="10" t="s">
        <v>22</v>
      </c>
      <c r="J2635" s="9" t="str">
        <f t="shared" si="42"/>
        <v>No</v>
      </c>
      <c r="K2635" s="9" t="str">
        <f t="shared" si="43"/>
        <v/>
      </c>
      <c r="L2635" s="9" t="str">
        <f t="shared" si="44"/>
        <v/>
      </c>
      <c r="M2635" s="9"/>
      <c r="O2635" s="9"/>
    </row>
    <row r="2636" ht="15.75" customHeight="1">
      <c r="A2636" s="9" t="str">
        <f>IFERROR(__xludf.DUMMYFUNCTION("IF(B2636="""","""",RIGHT(REGEXREPLACE(B2636&amp;"""",""[^0-9]"",""""),9))"),"777848529")</f>
        <v>777848529</v>
      </c>
      <c r="B2636" s="48">
        <v>7.77848529E8</v>
      </c>
      <c r="C2636" s="10" t="s">
        <v>2720</v>
      </c>
      <c r="D2636" s="10" t="s">
        <v>97</v>
      </c>
      <c r="E2636" s="13">
        <v>46230.0</v>
      </c>
      <c r="F2636" s="10" t="s">
        <v>35</v>
      </c>
      <c r="G2636" s="10">
        <v>9.0</v>
      </c>
      <c r="H2636" s="10" t="s">
        <v>1448</v>
      </c>
      <c r="I2636" s="10" t="s">
        <v>22</v>
      </c>
      <c r="J2636" s="9" t="str">
        <f t="shared" si="42"/>
        <v>No</v>
      </c>
      <c r="K2636" s="9" t="str">
        <f t="shared" si="43"/>
        <v/>
      </c>
      <c r="L2636" s="9" t="str">
        <f t="shared" si="44"/>
        <v/>
      </c>
      <c r="M2636" s="9"/>
      <c r="O2636" s="9"/>
    </row>
    <row r="2637" ht="15.75" customHeight="1">
      <c r="A2637" s="9" t="str">
        <f>IFERROR(__xludf.DUMMYFUNCTION("IF(B2637="""","""",RIGHT(REGEXREPLACE(B2637&amp;"""",""[^0-9]"",""""),9))"),"777979083")</f>
        <v>777979083</v>
      </c>
      <c r="B2637" s="48">
        <v>7.77979083E8</v>
      </c>
      <c r="C2637" s="10" t="s">
        <v>2709</v>
      </c>
      <c r="D2637" s="10" t="s">
        <v>69</v>
      </c>
      <c r="E2637" s="13">
        <v>46230.0</v>
      </c>
      <c r="F2637" s="10" t="s">
        <v>35</v>
      </c>
      <c r="G2637" s="10">
        <v>11.0</v>
      </c>
      <c r="H2637" s="10" t="s">
        <v>716</v>
      </c>
      <c r="I2637" s="10" t="s">
        <v>22</v>
      </c>
      <c r="J2637" s="9" t="str">
        <f t="shared" si="42"/>
        <v>No</v>
      </c>
      <c r="K2637" s="9" t="str">
        <f t="shared" si="43"/>
        <v/>
      </c>
      <c r="L2637" s="9" t="str">
        <f t="shared" si="44"/>
        <v/>
      </c>
      <c r="M2637" s="9"/>
      <c r="O2637" s="9"/>
    </row>
    <row r="2638" ht="15.75" customHeight="1">
      <c r="A2638" s="9" t="str">
        <f>IFERROR(__xludf.DUMMYFUNCTION("IF(B2638="""","""",RIGHT(REGEXREPLACE(B2638&amp;"""",""[^0-9]"",""""),9))"),"711671811")</f>
        <v>711671811</v>
      </c>
      <c r="B2638" s="48">
        <v>7.11671811E8</v>
      </c>
      <c r="C2638" s="10" t="s">
        <v>2732</v>
      </c>
      <c r="D2638" s="10" t="s">
        <v>50</v>
      </c>
      <c r="E2638" s="13">
        <v>46230.0</v>
      </c>
      <c r="F2638" s="10" t="s">
        <v>21</v>
      </c>
      <c r="G2638" s="10">
        <v>11.0</v>
      </c>
      <c r="I2638" s="10" t="s">
        <v>22</v>
      </c>
      <c r="J2638" s="9" t="str">
        <f t="shared" si="42"/>
        <v>No</v>
      </c>
      <c r="K2638" s="9" t="str">
        <f t="shared" si="43"/>
        <v/>
      </c>
      <c r="L2638" s="9" t="str">
        <f t="shared" si="44"/>
        <v/>
      </c>
      <c r="M2638" s="9"/>
      <c r="O2638" s="9"/>
    </row>
    <row r="2639" ht="15.75" customHeight="1">
      <c r="A2639" s="9" t="str">
        <f>IFERROR(__xludf.DUMMYFUNCTION("IF(B2639="""","""",RIGHT(REGEXREPLACE(B2639&amp;"""",""[^0-9]"",""""),9))"),"704266589")</f>
        <v>704266589</v>
      </c>
      <c r="B2639" s="48">
        <v>7.04266589E8</v>
      </c>
      <c r="C2639" s="10" t="s">
        <v>2733</v>
      </c>
      <c r="D2639" s="10" t="s">
        <v>34</v>
      </c>
      <c r="E2639" s="13">
        <v>46230.0</v>
      </c>
      <c r="F2639" s="10" t="s">
        <v>21</v>
      </c>
      <c r="H2639" s="10" t="s">
        <v>2526</v>
      </c>
      <c r="I2639" s="10" t="s">
        <v>22</v>
      </c>
      <c r="J2639" s="9" t="str">
        <f t="shared" si="42"/>
        <v>No</v>
      </c>
      <c r="K2639" s="9" t="str">
        <f t="shared" si="43"/>
        <v/>
      </c>
      <c r="L2639" s="9" t="str">
        <f t="shared" si="44"/>
        <v/>
      </c>
      <c r="M2639" s="9"/>
      <c r="O2639" s="9"/>
    </row>
    <row r="2640" ht="15.75" customHeight="1">
      <c r="A2640" s="9" t="str">
        <f>IFERROR(__xludf.DUMMYFUNCTION("IF(B2640="""","""",RIGHT(REGEXREPLACE(B2640&amp;"""",""[^0-9]"",""""),9))"),"706060128")</f>
        <v>706060128</v>
      </c>
      <c r="B2640" s="48">
        <v>7.06060128E8</v>
      </c>
      <c r="C2640" s="10" t="s">
        <v>2734</v>
      </c>
      <c r="D2640" s="10" t="s">
        <v>50</v>
      </c>
      <c r="E2640" s="13">
        <v>46230.0</v>
      </c>
      <c r="F2640" s="10" t="s">
        <v>35</v>
      </c>
      <c r="G2640" s="10">
        <v>11.0</v>
      </c>
      <c r="H2640" s="10" t="s">
        <v>622</v>
      </c>
      <c r="I2640" s="10" t="s">
        <v>22</v>
      </c>
      <c r="J2640" s="9" t="str">
        <f t="shared" si="42"/>
        <v>No</v>
      </c>
      <c r="K2640" s="9" t="str">
        <f t="shared" si="43"/>
        <v/>
      </c>
      <c r="L2640" s="9" t="str">
        <f t="shared" si="44"/>
        <v/>
      </c>
      <c r="M2640" s="9"/>
      <c r="O2640" s="9"/>
    </row>
    <row r="2641" ht="15.75" customHeight="1">
      <c r="A2641" s="9" t="str">
        <f>IFERROR(__xludf.DUMMYFUNCTION("IF(B2641="""","""",RIGHT(REGEXREPLACE(B2641&amp;"""",""[^0-9]"",""""),9))"),"768471495")</f>
        <v>768471495</v>
      </c>
      <c r="B2641" s="48">
        <v>7.68471495E8</v>
      </c>
      <c r="C2641" s="10" t="s">
        <v>2735</v>
      </c>
      <c r="D2641" s="10" t="s">
        <v>105</v>
      </c>
      <c r="E2641" s="13">
        <v>46230.0</v>
      </c>
      <c r="F2641" s="10" t="s">
        <v>21</v>
      </c>
      <c r="G2641" s="10">
        <v>11.0</v>
      </c>
      <c r="I2641" s="10" t="s">
        <v>22</v>
      </c>
      <c r="J2641" s="9" t="str">
        <f t="shared" si="42"/>
        <v>No</v>
      </c>
      <c r="K2641" s="9" t="str">
        <f t="shared" si="43"/>
        <v/>
      </c>
      <c r="L2641" s="9" t="str">
        <f t="shared" si="44"/>
        <v/>
      </c>
      <c r="M2641" s="9"/>
      <c r="O2641" s="9"/>
    </row>
    <row r="2642" ht="15.75" customHeight="1">
      <c r="A2642" s="9" t="str">
        <f>IFERROR(__xludf.DUMMYFUNCTION("IF(B2642="""","""",RIGHT(REGEXREPLACE(B2642&amp;"""",""[^0-9]"",""""),9))"),"777436491")</f>
        <v>777436491</v>
      </c>
      <c r="B2642" s="48">
        <v>7.77436491E8</v>
      </c>
      <c r="C2642" s="10" t="s">
        <v>2736</v>
      </c>
      <c r="D2642" s="10" t="s">
        <v>34</v>
      </c>
      <c r="E2642" s="13">
        <v>46230.0</v>
      </c>
      <c r="F2642" s="10" t="s">
        <v>35</v>
      </c>
      <c r="G2642" s="10">
        <v>11.0</v>
      </c>
      <c r="H2642" s="10" t="s">
        <v>2526</v>
      </c>
      <c r="I2642" s="10" t="s">
        <v>22</v>
      </c>
      <c r="J2642" s="9" t="str">
        <f t="shared" si="42"/>
        <v>No</v>
      </c>
      <c r="K2642" s="9" t="str">
        <f t="shared" si="43"/>
        <v/>
      </c>
      <c r="L2642" s="9" t="str">
        <f t="shared" si="44"/>
        <v/>
      </c>
      <c r="M2642" s="9"/>
      <c r="O2642" s="9"/>
    </row>
    <row r="2643" ht="15.75" customHeight="1">
      <c r="A2643" s="10" t="s">
        <v>2737</v>
      </c>
      <c r="B2643" s="48">
        <v>7.75884406E8</v>
      </c>
      <c r="C2643" s="10" t="s">
        <v>2738</v>
      </c>
      <c r="D2643" s="10" t="s">
        <v>69</v>
      </c>
      <c r="E2643" s="13">
        <v>46230.0</v>
      </c>
      <c r="F2643" s="10" t="s">
        <v>35</v>
      </c>
      <c r="G2643" s="10">
        <v>10.0</v>
      </c>
      <c r="I2643" s="10" t="s">
        <v>22</v>
      </c>
      <c r="J2643" s="9" t="str">
        <f t="shared" si="42"/>
        <v>No</v>
      </c>
      <c r="K2643" s="9" t="str">
        <f t="shared" si="43"/>
        <v/>
      </c>
      <c r="L2643" s="9" t="str">
        <f t="shared" si="44"/>
        <v/>
      </c>
      <c r="M2643" s="9"/>
      <c r="O2643" s="9"/>
    </row>
    <row r="2644" ht="15.75" customHeight="1">
      <c r="A2644" s="9" t="str">
        <f>IFERROR(__xludf.DUMMYFUNCTION("IF(B2644="""","""",RIGHT(REGEXREPLACE(B2644&amp;"""",""[^0-9]"",""""),9))"),"772903645")</f>
        <v>772903645</v>
      </c>
      <c r="B2644" s="48">
        <v>7.72903645E8</v>
      </c>
      <c r="C2644" s="10" t="s">
        <v>2739</v>
      </c>
      <c r="D2644" s="10" t="s">
        <v>50</v>
      </c>
      <c r="E2644" s="13">
        <v>46230.0</v>
      </c>
      <c r="F2644" s="10" t="s">
        <v>21</v>
      </c>
      <c r="I2644" s="10" t="s">
        <v>22</v>
      </c>
      <c r="J2644" s="9" t="str">
        <f t="shared" si="42"/>
        <v>No</v>
      </c>
      <c r="K2644" s="9" t="str">
        <f t="shared" si="43"/>
        <v/>
      </c>
      <c r="L2644" s="9" t="str">
        <f t="shared" si="44"/>
        <v/>
      </c>
      <c r="M2644" s="9"/>
      <c r="O2644" s="9"/>
    </row>
    <row r="2645" ht="15.75" customHeight="1">
      <c r="A2645" s="9" t="str">
        <f>IFERROR(__xludf.DUMMYFUNCTION("IF(B2645="""","""",RIGHT(REGEXREPLACE(B2645&amp;"""",""[^0-9]"",""""),9))"),"767264787")</f>
        <v>767264787</v>
      </c>
      <c r="B2645" s="48">
        <v>7.67264787E8</v>
      </c>
      <c r="C2645" s="10" t="s">
        <v>2740</v>
      </c>
      <c r="D2645" s="10" t="s">
        <v>120</v>
      </c>
      <c r="E2645" s="13">
        <v>46230.0</v>
      </c>
      <c r="F2645" s="10" t="s">
        <v>21</v>
      </c>
      <c r="I2645" s="10" t="s">
        <v>22</v>
      </c>
      <c r="J2645" s="9" t="str">
        <f t="shared" si="42"/>
        <v>No</v>
      </c>
      <c r="K2645" s="9" t="str">
        <f t="shared" si="43"/>
        <v/>
      </c>
      <c r="L2645" s="9" t="str">
        <f t="shared" si="44"/>
        <v/>
      </c>
      <c r="M2645" s="9"/>
      <c r="O2645" s="9"/>
    </row>
    <row r="2646" ht="15.75" customHeight="1">
      <c r="A2646" s="9" t="str">
        <f>IFERROR(__xludf.DUMMYFUNCTION("IF(B2646="""","""",RIGHT(REGEXREPLACE(B2646&amp;"""",""[^0-9]"",""""),9))"),"740685688")</f>
        <v>740685688</v>
      </c>
      <c r="B2646" s="48">
        <v>7.40685688E8</v>
      </c>
      <c r="C2646" s="10" t="s">
        <v>2741</v>
      </c>
      <c r="D2646" s="10" t="s">
        <v>97</v>
      </c>
      <c r="E2646" s="13">
        <v>46230.0</v>
      </c>
      <c r="F2646" s="10" t="s">
        <v>648</v>
      </c>
      <c r="H2646" s="10" t="s">
        <v>1448</v>
      </c>
      <c r="I2646" s="10" t="s">
        <v>22</v>
      </c>
      <c r="J2646" s="9" t="str">
        <f t="shared" si="42"/>
        <v>No</v>
      </c>
      <c r="K2646" s="9" t="str">
        <f t="shared" si="43"/>
        <v/>
      </c>
      <c r="L2646" s="9" t="str">
        <f t="shared" si="44"/>
        <v/>
      </c>
      <c r="M2646" s="9"/>
      <c r="O2646" s="9"/>
    </row>
    <row r="2647" ht="15.75" customHeight="1">
      <c r="A2647" s="9" t="str">
        <f>IFERROR(__xludf.DUMMYFUNCTION("IF(B2647="""","""",RIGHT(REGEXREPLACE(B2647&amp;"""",""[^0-9]"",""""),9))"),"704474412")</f>
        <v>704474412</v>
      </c>
      <c r="B2647" s="48">
        <v>7.04474412E8</v>
      </c>
      <c r="C2647" s="10" t="s">
        <v>2742</v>
      </c>
      <c r="D2647" s="10" t="s">
        <v>34</v>
      </c>
      <c r="E2647" s="13">
        <v>46230.0</v>
      </c>
      <c r="F2647" s="10" t="s">
        <v>198</v>
      </c>
      <c r="H2647" s="10" t="s">
        <v>1448</v>
      </c>
      <c r="I2647" s="10" t="s">
        <v>22</v>
      </c>
      <c r="J2647" s="9" t="str">
        <f t="shared" si="42"/>
        <v>No</v>
      </c>
      <c r="K2647" s="9" t="str">
        <f t="shared" si="43"/>
        <v/>
      </c>
      <c r="L2647" s="9" t="str">
        <f t="shared" si="44"/>
        <v/>
      </c>
      <c r="M2647" s="9"/>
      <c r="O2647" s="9"/>
    </row>
    <row r="2648" ht="15.75" customHeight="1">
      <c r="A2648" s="9" t="str">
        <f>IFERROR(__xludf.DUMMYFUNCTION("IF(B2648="""","""",RIGHT(REGEXREPLACE(B2648&amp;"""",""[^0-9]"",""""),9))"),"770458027")</f>
        <v>770458027</v>
      </c>
      <c r="B2648" s="48">
        <v>7.70458027E8</v>
      </c>
      <c r="C2648" s="10" t="s">
        <v>2743</v>
      </c>
      <c r="D2648" s="10" t="s">
        <v>69</v>
      </c>
      <c r="E2648" s="13">
        <v>46230.0</v>
      </c>
      <c r="F2648" s="10" t="s">
        <v>145</v>
      </c>
      <c r="H2648" s="10" t="s">
        <v>737</v>
      </c>
      <c r="I2648" s="10" t="s">
        <v>22</v>
      </c>
      <c r="J2648" s="9" t="str">
        <f t="shared" si="42"/>
        <v>No</v>
      </c>
      <c r="K2648" s="9" t="str">
        <f t="shared" si="43"/>
        <v/>
      </c>
      <c r="L2648" s="9" t="str">
        <f t="shared" si="44"/>
        <v/>
      </c>
      <c r="M2648" s="9"/>
      <c r="O2648" s="9"/>
    </row>
    <row r="2649" ht="15.75" customHeight="1">
      <c r="A2649" s="9" t="str">
        <f>IFERROR(__xludf.DUMMYFUNCTION("IF(B2649="""","""",RIGHT(REGEXREPLACE(B2649&amp;"""",""[^0-9]"",""""),9))"),"762450410")</f>
        <v>762450410</v>
      </c>
      <c r="B2649" s="48">
        <v>7.6245041E8</v>
      </c>
      <c r="C2649" s="10" t="s">
        <v>2743</v>
      </c>
      <c r="D2649" s="10" t="s">
        <v>50</v>
      </c>
      <c r="E2649" s="13">
        <v>46230.0</v>
      </c>
      <c r="F2649" s="10" t="s">
        <v>35</v>
      </c>
      <c r="G2649" s="10">
        <v>11.0</v>
      </c>
      <c r="I2649" s="10" t="s">
        <v>22</v>
      </c>
      <c r="J2649" s="9" t="str">
        <f t="shared" si="42"/>
        <v>No</v>
      </c>
      <c r="K2649" s="9" t="str">
        <f t="shared" si="43"/>
        <v/>
      </c>
      <c r="L2649" s="9" t="str">
        <f t="shared" si="44"/>
        <v/>
      </c>
      <c r="M2649" s="9"/>
      <c r="O2649" s="9"/>
    </row>
    <row r="2650" ht="15.75" customHeight="1">
      <c r="A2650" s="9" t="str">
        <f>IFERROR(__xludf.DUMMYFUNCTION("IF(B2650="""","""",RIGHT(REGEXREPLACE(B2650&amp;"""",""[^0-9]"",""""),9))"),"714444925")</f>
        <v>714444925</v>
      </c>
      <c r="B2650" s="48">
        <v>7.14444925E8</v>
      </c>
      <c r="C2650" s="10" t="s">
        <v>2744</v>
      </c>
      <c r="D2650" s="10" t="s">
        <v>105</v>
      </c>
      <c r="E2650" s="13">
        <v>46230.0</v>
      </c>
      <c r="F2650" s="10" t="s">
        <v>35</v>
      </c>
      <c r="G2650" s="10">
        <v>11.0</v>
      </c>
      <c r="I2650" s="10" t="s">
        <v>22</v>
      </c>
      <c r="J2650" s="9" t="str">
        <f t="shared" si="42"/>
        <v>No</v>
      </c>
      <c r="K2650" s="9" t="str">
        <f t="shared" si="43"/>
        <v/>
      </c>
      <c r="L2650" s="9" t="str">
        <f t="shared" si="44"/>
        <v/>
      </c>
      <c r="M2650" s="9"/>
      <c r="O2650" s="9"/>
    </row>
    <row r="2651" ht="15.75" customHeight="1">
      <c r="A2651" s="9" t="str">
        <f>IFERROR(__xludf.DUMMYFUNCTION("IF(B2651="""","""",RIGHT(REGEXREPLACE(B2651&amp;"""",""[^0-9]"",""""),9))"),"712680472")</f>
        <v>712680472</v>
      </c>
      <c r="B2651" s="48">
        <v>7.12680472E8</v>
      </c>
      <c r="C2651" s="10" t="s">
        <v>2745</v>
      </c>
      <c r="D2651" s="10" t="s">
        <v>50</v>
      </c>
      <c r="E2651" s="13">
        <v>46230.0</v>
      </c>
      <c r="F2651" s="10" t="s">
        <v>35</v>
      </c>
      <c r="G2651" s="10">
        <v>11.0</v>
      </c>
      <c r="H2651" s="10" t="s">
        <v>238</v>
      </c>
      <c r="I2651" s="10" t="s">
        <v>22</v>
      </c>
      <c r="J2651" s="9" t="str">
        <f t="shared" si="42"/>
        <v>No</v>
      </c>
      <c r="K2651" s="9" t="str">
        <f t="shared" si="43"/>
        <v/>
      </c>
      <c r="L2651" s="9" t="str">
        <f t="shared" si="44"/>
        <v/>
      </c>
      <c r="M2651" s="9"/>
      <c r="O2651" s="9"/>
    </row>
    <row r="2652" ht="15.75" customHeight="1">
      <c r="A2652" s="9" t="str">
        <f>IFERROR(__xludf.DUMMYFUNCTION("IF(B2652="""","""",RIGHT(REGEXREPLACE(B2652&amp;"""",""[^0-9]"",""""),9))"),"717162674")</f>
        <v>717162674</v>
      </c>
      <c r="B2652" s="48">
        <v>7.17162674E8</v>
      </c>
      <c r="C2652" s="10" t="s">
        <v>2746</v>
      </c>
      <c r="D2652" s="10" t="s">
        <v>120</v>
      </c>
      <c r="E2652" s="13">
        <v>46230.0</v>
      </c>
      <c r="F2652" s="10" t="s">
        <v>21</v>
      </c>
      <c r="G2652" s="10">
        <v>11.0</v>
      </c>
      <c r="I2652" s="10" t="s">
        <v>22</v>
      </c>
      <c r="J2652" s="9" t="str">
        <f t="shared" si="42"/>
        <v>No</v>
      </c>
      <c r="K2652" s="9" t="str">
        <f t="shared" si="43"/>
        <v/>
      </c>
      <c r="L2652" s="9" t="str">
        <f t="shared" si="44"/>
        <v/>
      </c>
      <c r="M2652" s="9"/>
      <c r="O2652" s="9"/>
    </row>
    <row r="2653" ht="15.75" customHeight="1">
      <c r="A2653" s="9" t="str">
        <f>IFERROR(__xludf.DUMMYFUNCTION("IF(B2653="""","""",RIGHT(REGEXREPLACE(B2653&amp;"""",""[^0-9]"",""""),9))"),"767580637")</f>
        <v>767580637</v>
      </c>
      <c r="B2653" s="48">
        <v>7.67580637E8</v>
      </c>
      <c r="C2653" s="10" t="s">
        <v>2747</v>
      </c>
      <c r="D2653" s="10" t="s">
        <v>69</v>
      </c>
      <c r="E2653" s="13">
        <v>46230.0</v>
      </c>
      <c r="F2653" s="10" t="s">
        <v>542</v>
      </c>
      <c r="G2653" s="10">
        <v>10.0</v>
      </c>
      <c r="H2653" s="10" t="s">
        <v>716</v>
      </c>
      <c r="I2653" s="10" t="s">
        <v>22</v>
      </c>
      <c r="J2653" s="9" t="str">
        <f t="shared" si="42"/>
        <v>No</v>
      </c>
      <c r="K2653" s="9" t="str">
        <f t="shared" si="43"/>
        <v/>
      </c>
      <c r="L2653" s="9" t="str">
        <f t="shared" si="44"/>
        <v/>
      </c>
      <c r="M2653" s="9"/>
      <c r="O2653" s="9"/>
    </row>
    <row r="2654" ht="15.75" customHeight="1">
      <c r="A2654" s="9" t="str">
        <f>IFERROR(__xludf.DUMMYFUNCTION("IF(B2654="""","""",RIGHT(REGEXREPLACE(B2654&amp;"""",""[^0-9]"",""""),9))"),"717851532")</f>
        <v>717851532</v>
      </c>
      <c r="B2654" s="48">
        <v>7.17851532E8</v>
      </c>
      <c r="C2654" s="10" t="s">
        <v>2746</v>
      </c>
      <c r="D2654" s="10" t="s">
        <v>34</v>
      </c>
      <c r="E2654" s="13">
        <v>46230.0</v>
      </c>
      <c r="F2654" s="10" t="s">
        <v>21</v>
      </c>
      <c r="H2654" s="10" t="s">
        <v>2526</v>
      </c>
      <c r="I2654" s="10" t="s">
        <v>22</v>
      </c>
      <c r="J2654" s="9" t="str">
        <f t="shared" si="42"/>
        <v>No</v>
      </c>
      <c r="K2654" s="9" t="str">
        <f t="shared" si="43"/>
        <v/>
      </c>
      <c r="L2654" s="9" t="str">
        <f t="shared" si="44"/>
        <v/>
      </c>
      <c r="M2654" s="9"/>
      <c r="O2654" s="9"/>
    </row>
    <row r="2655" ht="15.75" customHeight="1">
      <c r="A2655" s="9" t="str">
        <f>IFERROR(__xludf.DUMMYFUNCTION("IF(B2655="""","""",RIGHT(REGEXREPLACE(B2655&amp;"""",""[^0-9]"",""""),9))"),"771654490")</f>
        <v>771654490</v>
      </c>
      <c r="B2655" s="48">
        <v>7.7165449E8</v>
      </c>
      <c r="C2655" s="10" t="s">
        <v>2748</v>
      </c>
      <c r="D2655" s="10" t="s">
        <v>50</v>
      </c>
      <c r="E2655" s="13">
        <v>46230.0</v>
      </c>
      <c r="F2655" s="10" t="s">
        <v>35</v>
      </c>
      <c r="G2655" s="10">
        <v>11.0</v>
      </c>
      <c r="I2655" s="10" t="s">
        <v>22</v>
      </c>
      <c r="J2655" s="9" t="str">
        <f t="shared" si="42"/>
        <v>No</v>
      </c>
      <c r="K2655" s="9" t="str">
        <f t="shared" si="43"/>
        <v/>
      </c>
      <c r="L2655" s="9" t="str">
        <f t="shared" si="44"/>
        <v/>
      </c>
      <c r="M2655" s="9"/>
      <c r="O2655" s="9"/>
    </row>
    <row r="2656" ht="15.75" customHeight="1">
      <c r="A2656" s="9" t="str">
        <f>IFERROR(__xludf.DUMMYFUNCTION("IF(B2656="""","""",RIGHT(REGEXREPLACE(B2656&amp;"""",""[^0-9]"",""""),9))"),"722688693")</f>
        <v>722688693</v>
      </c>
      <c r="B2656" s="48">
        <v>7.22688693E8</v>
      </c>
      <c r="C2656" s="10" t="s">
        <v>2749</v>
      </c>
      <c r="D2656" s="10" t="s">
        <v>34</v>
      </c>
      <c r="E2656" s="13">
        <v>46230.0</v>
      </c>
      <c r="F2656" s="10" t="s">
        <v>35</v>
      </c>
      <c r="G2656" s="10">
        <v>11.0</v>
      </c>
      <c r="I2656" s="10" t="s">
        <v>22</v>
      </c>
      <c r="J2656" s="9" t="str">
        <f t="shared" si="42"/>
        <v>No</v>
      </c>
      <c r="K2656" s="9" t="str">
        <f t="shared" si="43"/>
        <v/>
      </c>
      <c r="L2656" s="9" t="str">
        <f t="shared" si="44"/>
        <v/>
      </c>
      <c r="M2656" s="9"/>
      <c r="O2656" s="9"/>
    </row>
    <row r="2657" ht="15.75" customHeight="1">
      <c r="A2657" s="9" t="str">
        <f>IFERROR(__xludf.DUMMYFUNCTION("IF(B2657="""","""",RIGHT(REGEXREPLACE(B2657&amp;"""",""[^0-9]"",""""),9))"),"712143349")</f>
        <v>712143349</v>
      </c>
      <c r="B2657" s="48">
        <v>7.12143349E8</v>
      </c>
      <c r="C2657" s="10" t="s">
        <v>2750</v>
      </c>
      <c r="D2657" s="10" t="s">
        <v>105</v>
      </c>
      <c r="E2657" s="13">
        <v>46230.0</v>
      </c>
      <c r="F2657" s="10" t="s">
        <v>21</v>
      </c>
      <c r="G2657" s="10">
        <v>11.0</v>
      </c>
      <c r="I2657" s="10" t="s">
        <v>22</v>
      </c>
      <c r="J2657" s="9" t="str">
        <f t="shared" si="42"/>
        <v>No</v>
      </c>
      <c r="K2657" s="9" t="str">
        <f t="shared" si="43"/>
        <v/>
      </c>
      <c r="L2657" s="9" t="str">
        <f t="shared" si="44"/>
        <v/>
      </c>
      <c r="M2657" s="9"/>
      <c r="O2657" s="9"/>
    </row>
    <row r="2658" ht="15.75" customHeight="1">
      <c r="A2658" s="9" t="str">
        <f>IFERROR(__xludf.DUMMYFUNCTION("IF(B2658="""","""",RIGHT(REGEXREPLACE(B2658&amp;"""",""[^0-9]"",""""),9))"),"729618330")</f>
        <v>729618330</v>
      </c>
      <c r="B2658" s="48">
        <v>7.2961833E8</v>
      </c>
      <c r="C2658" s="10" t="s">
        <v>2751</v>
      </c>
      <c r="D2658" s="10" t="s">
        <v>97</v>
      </c>
      <c r="E2658" s="13">
        <v>46230.0</v>
      </c>
      <c r="F2658" s="10" t="s">
        <v>648</v>
      </c>
      <c r="H2658" s="10" t="s">
        <v>1448</v>
      </c>
      <c r="I2658" s="10" t="s">
        <v>22</v>
      </c>
      <c r="J2658" s="9" t="str">
        <f t="shared" si="42"/>
        <v>No</v>
      </c>
      <c r="K2658" s="9" t="str">
        <f t="shared" si="43"/>
        <v/>
      </c>
      <c r="L2658" s="9" t="str">
        <f t="shared" si="44"/>
        <v/>
      </c>
      <c r="M2658" s="9"/>
      <c r="O2658" s="9"/>
    </row>
    <row r="2659" ht="15.75" customHeight="1">
      <c r="A2659" s="9" t="str">
        <f>IFERROR(__xludf.DUMMYFUNCTION("IF(B2659="""","""",RIGHT(REGEXREPLACE(B2659&amp;"""",""[^0-9]"",""""),9))"),"769995453")</f>
        <v>769995453</v>
      </c>
      <c r="B2659" s="48">
        <v>7.69995453E8</v>
      </c>
      <c r="C2659" s="10" t="s">
        <v>2752</v>
      </c>
      <c r="D2659" s="10" t="s">
        <v>50</v>
      </c>
      <c r="E2659" s="13">
        <v>46230.0</v>
      </c>
      <c r="F2659" s="10" t="s">
        <v>35</v>
      </c>
      <c r="G2659" s="10">
        <v>11.0</v>
      </c>
      <c r="I2659" s="10" t="s">
        <v>22</v>
      </c>
      <c r="J2659" s="9" t="str">
        <f t="shared" si="42"/>
        <v>No</v>
      </c>
      <c r="K2659" s="9" t="str">
        <f t="shared" si="43"/>
        <v/>
      </c>
      <c r="L2659" s="9" t="str">
        <f t="shared" si="44"/>
        <v/>
      </c>
      <c r="M2659" s="9"/>
      <c r="O2659" s="9"/>
    </row>
    <row r="2660" ht="15.75" customHeight="1">
      <c r="A2660" s="9" t="str">
        <f>IFERROR(__xludf.DUMMYFUNCTION("IF(B2660="""","""",RIGHT(REGEXREPLACE(B2660&amp;"""",""[^0-9]"",""""),9))"),"770375177")</f>
        <v>770375177</v>
      </c>
      <c r="B2660" s="48">
        <v>7.70375177E8</v>
      </c>
      <c r="C2660" s="10" t="s">
        <v>2753</v>
      </c>
      <c r="D2660" s="10" t="s">
        <v>34</v>
      </c>
      <c r="E2660" s="13">
        <v>46230.0</v>
      </c>
      <c r="F2660" s="10" t="s">
        <v>21</v>
      </c>
      <c r="H2660" s="10" t="s">
        <v>2526</v>
      </c>
      <c r="I2660" s="10" t="s">
        <v>22</v>
      </c>
      <c r="J2660" s="9" t="str">
        <f t="shared" si="42"/>
        <v>No</v>
      </c>
      <c r="K2660" s="9" t="str">
        <f t="shared" si="43"/>
        <v/>
      </c>
      <c r="L2660" s="9" t="str">
        <f t="shared" si="44"/>
        <v/>
      </c>
      <c r="M2660" s="9"/>
      <c r="O2660" s="9"/>
    </row>
    <row r="2661" ht="15.75" customHeight="1">
      <c r="A2661" s="9" t="str">
        <f>IFERROR(__xludf.DUMMYFUNCTION("IF(B2661="""","""",RIGHT(REGEXREPLACE(B2661&amp;"""",""[^0-9]"",""""),9))"),"713488780")</f>
        <v>713488780</v>
      </c>
      <c r="B2661" s="48">
        <v>7.1348878E8</v>
      </c>
      <c r="C2661" s="10" t="s">
        <v>2754</v>
      </c>
      <c r="D2661" s="10" t="s">
        <v>120</v>
      </c>
      <c r="E2661" s="13">
        <v>46230.0</v>
      </c>
      <c r="F2661" s="10" t="s">
        <v>35</v>
      </c>
      <c r="G2661" s="10">
        <v>11.0</v>
      </c>
      <c r="I2661" s="10" t="s">
        <v>22</v>
      </c>
      <c r="J2661" s="9" t="str">
        <f t="shared" si="42"/>
        <v>No</v>
      </c>
      <c r="K2661" s="9" t="str">
        <f t="shared" si="43"/>
        <v/>
      </c>
      <c r="L2661" s="9" t="str">
        <f t="shared" si="44"/>
        <v/>
      </c>
      <c r="M2661" s="9"/>
      <c r="O2661" s="9"/>
    </row>
    <row r="2662" ht="15.75" customHeight="1">
      <c r="A2662" s="9" t="str">
        <f>IFERROR(__xludf.DUMMYFUNCTION("IF(B2662="""","""",RIGHT(REGEXREPLACE(B2662&amp;"""",""[^0-9]"",""""),9))"),"762472203")</f>
        <v>762472203</v>
      </c>
      <c r="B2662" s="48">
        <v>7.62472203E8</v>
      </c>
      <c r="C2662" s="10" t="s">
        <v>2755</v>
      </c>
      <c r="D2662" s="10" t="s">
        <v>105</v>
      </c>
      <c r="E2662" s="13">
        <v>46230.0</v>
      </c>
      <c r="F2662" s="10" t="s">
        <v>35</v>
      </c>
      <c r="G2662" s="10">
        <v>11.0</v>
      </c>
      <c r="I2662" s="10" t="s">
        <v>22</v>
      </c>
      <c r="J2662" s="9" t="str">
        <f t="shared" si="42"/>
        <v>No</v>
      </c>
      <c r="K2662" s="9" t="str">
        <f t="shared" si="43"/>
        <v/>
      </c>
      <c r="L2662" s="9" t="str">
        <f t="shared" si="44"/>
        <v/>
      </c>
      <c r="M2662" s="9"/>
      <c r="O2662" s="9"/>
    </row>
    <row r="2663" ht="15.75" customHeight="1">
      <c r="A2663" s="9" t="str">
        <f>IFERROR(__xludf.DUMMYFUNCTION("IF(B2663="""","""",RIGHT(REGEXREPLACE(B2663&amp;"""",""[^0-9]"",""""),9))"),"777260902")</f>
        <v>777260902</v>
      </c>
      <c r="B2663" s="48">
        <v>7.77260902E8</v>
      </c>
      <c r="C2663" s="10" t="s">
        <v>2756</v>
      </c>
      <c r="D2663" s="10" t="s">
        <v>50</v>
      </c>
      <c r="E2663" s="13">
        <v>46230.0</v>
      </c>
      <c r="F2663" s="10" t="s">
        <v>21</v>
      </c>
      <c r="G2663" s="10">
        <v>11.0</v>
      </c>
      <c r="I2663" s="10" t="s">
        <v>22</v>
      </c>
      <c r="J2663" s="9" t="str">
        <f t="shared" si="42"/>
        <v>No</v>
      </c>
      <c r="K2663" s="9" t="str">
        <f t="shared" si="43"/>
        <v/>
      </c>
      <c r="L2663" s="9" t="str">
        <f t="shared" si="44"/>
        <v/>
      </c>
      <c r="M2663" s="9"/>
      <c r="O2663" s="9"/>
    </row>
    <row r="2664" ht="15.75" customHeight="1">
      <c r="A2664" s="9" t="str">
        <f>IFERROR(__xludf.DUMMYFUNCTION("IF(B2664="""","""",RIGHT(REGEXREPLACE(B2664&amp;"""",""[^0-9]"",""""),9))"),"761859216")</f>
        <v>761859216</v>
      </c>
      <c r="B2664" s="48">
        <v>7.61859216E8</v>
      </c>
      <c r="C2664" s="10" t="s">
        <v>2757</v>
      </c>
      <c r="D2664" s="10" t="s">
        <v>69</v>
      </c>
      <c r="E2664" s="13">
        <v>46230.0</v>
      </c>
      <c r="F2664" s="10" t="s">
        <v>21</v>
      </c>
      <c r="H2664" s="10" t="s">
        <v>737</v>
      </c>
      <c r="I2664" s="10" t="s">
        <v>22</v>
      </c>
      <c r="J2664" s="9" t="str">
        <f t="shared" si="42"/>
        <v>No</v>
      </c>
      <c r="K2664" s="9" t="str">
        <f t="shared" si="43"/>
        <v/>
      </c>
      <c r="L2664" s="9" t="str">
        <f t="shared" si="44"/>
        <v/>
      </c>
      <c r="M2664" s="9"/>
      <c r="O2664" s="9"/>
    </row>
    <row r="2665" ht="15.75" customHeight="1">
      <c r="A2665" s="9" t="str">
        <f>IFERROR(__xludf.DUMMYFUNCTION("IF(B2665="""","""",RIGHT(REGEXREPLACE(B2665&amp;"""",""[^0-9]"",""""),9))"),"717734299")</f>
        <v>717734299</v>
      </c>
      <c r="B2665" s="48">
        <v>7.17734299E8</v>
      </c>
      <c r="C2665" s="10" t="s">
        <v>2758</v>
      </c>
      <c r="D2665" s="10" t="s">
        <v>50</v>
      </c>
      <c r="E2665" s="13">
        <v>46230.0</v>
      </c>
      <c r="F2665" s="10" t="s">
        <v>35</v>
      </c>
      <c r="G2665" s="10">
        <v>11.0</v>
      </c>
      <c r="I2665" s="10" t="s">
        <v>22</v>
      </c>
      <c r="J2665" s="9" t="str">
        <f t="shared" si="42"/>
        <v>No</v>
      </c>
      <c r="K2665" s="9" t="str">
        <f t="shared" si="43"/>
        <v/>
      </c>
      <c r="L2665" s="9" t="str">
        <f t="shared" si="44"/>
        <v/>
      </c>
      <c r="M2665" s="9"/>
      <c r="O2665" s="9"/>
    </row>
    <row r="2666" ht="15.75" customHeight="1">
      <c r="A2666" s="9" t="str">
        <f>IFERROR(__xludf.DUMMYFUNCTION("IF(B2666="""","""",RIGHT(REGEXREPLACE(B2666&amp;"""",""[^0-9]"",""""),9))"),"713331581")</f>
        <v>713331581</v>
      </c>
      <c r="B2666" s="48">
        <v>7.13331581E8</v>
      </c>
      <c r="C2666" s="10" t="s">
        <v>2759</v>
      </c>
      <c r="D2666" s="10" t="s">
        <v>97</v>
      </c>
      <c r="E2666" s="13">
        <v>46230.0</v>
      </c>
      <c r="F2666" s="10" t="s">
        <v>21</v>
      </c>
      <c r="H2666" s="10" t="s">
        <v>1448</v>
      </c>
      <c r="I2666" s="10" t="s">
        <v>22</v>
      </c>
      <c r="J2666" s="9" t="str">
        <f t="shared" si="42"/>
        <v>No</v>
      </c>
      <c r="K2666" s="9" t="str">
        <f t="shared" si="43"/>
        <v/>
      </c>
      <c r="L2666" s="9" t="str">
        <f t="shared" si="44"/>
        <v/>
      </c>
      <c r="M2666" s="9"/>
      <c r="O2666" s="9"/>
    </row>
    <row r="2667" ht="15.75" customHeight="1">
      <c r="A2667" s="9" t="str">
        <f>IFERROR(__xludf.DUMMYFUNCTION("IF(B2667="""","""",RIGHT(REGEXREPLACE(B2667&amp;"""",""[^0-9]"",""""),9))"),"786341728")</f>
        <v>786341728</v>
      </c>
      <c r="B2667" s="48">
        <v>7.86341728E8</v>
      </c>
      <c r="C2667" s="10" t="s">
        <v>2760</v>
      </c>
      <c r="D2667" s="10" t="s">
        <v>105</v>
      </c>
      <c r="E2667" s="13">
        <v>46230.0</v>
      </c>
      <c r="F2667" s="10" t="s">
        <v>21</v>
      </c>
      <c r="G2667" s="10">
        <v>11.0</v>
      </c>
      <c r="I2667" s="10" t="s">
        <v>22</v>
      </c>
      <c r="J2667" s="9" t="str">
        <f t="shared" si="42"/>
        <v>No</v>
      </c>
      <c r="K2667" s="9" t="str">
        <f t="shared" si="43"/>
        <v/>
      </c>
      <c r="L2667" s="9" t="str">
        <f t="shared" si="44"/>
        <v/>
      </c>
      <c r="M2667" s="9"/>
      <c r="O2667" s="9"/>
    </row>
    <row r="2668" ht="15.75" customHeight="1">
      <c r="A2668" s="9" t="str">
        <f>IFERROR(__xludf.DUMMYFUNCTION("IF(B2668="""","""",RIGHT(REGEXREPLACE(B2668&amp;"""",""[^0-9]"",""""),9))"),"711229941")</f>
        <v>711229941</v>
      </c>
      <c r="B2668" s="48">
        <v>7.11229941E8</v>
      </c>
      <c r="C2668" s="10" t="s">
        <v>2759</v>
      </c>
      <c r="D2668" s="10" t="s">
        <v>69</v>
      </c>
      <c r="E2668" s="13">
        <v>46230.0</v>
      </c>
      <c r="F2668" s="10" t="s">
        <v>542</v>
      </c>
      <c r="G2668" s="10">
        <v>11.0</v>
      </c>
      <c r="H2668" s="10" t="s">
        <v>600</v>
      </c>
      <c r="I2668" s="10" t="s">
        <v>22</v>
      </c>
      <c r="J2668" s="9" t="str">
        <f t="shared" si="42"/>
        <v>No</v>
      </c>
      <c r="K2668" s="9" t="str">
        <f t="shared" si="43"/>
        <v/>
      </c>
      <c r="L2668" s="9" t="str">
        <f t="shared" si="44"/>
        <v/>
      </c>
      <c r="M2668" s="9"/>
      <c r="O2668" s="9"/>
    </row>
    <row r="2669" ht="15.75" customHeight="1">
      <c r="A2669" s="9" t="str">
        <f>IFERROR(__xludf.DUMMYFUNCTION("IF(B2669="""","""",RIGHT(REGEXREPLACE(B2669&amp;"""",""[^0-9]"",""""),9))"),"728220797")</f>
        <v>728220797</v>
      </c>
      <c r="B2669" s="48">
        <v>7.28220797E8</v>
      </c>
      <c r="C2669" s="10" t="s">
        <v>2761</v>
      </c>
      <c r="D2669" s="10" t="s">
        <v>120</v>
      </c>
      <c r="E2669" s="13">
        <v>46230.0</v>
      </c>
      <c r="F2669" s="10" t="s">
        <v>35</v>
      </c>
      <c r="G2669" s="10">
        <v>11.0</v>
      </c>
      <c r="I2669" s="10" t="s">
        <v>22</v>
      </c>
      <c r="J2669" s="9" t="str">
        <f t="shared" si="42"/>
        <v>No</v>
      </c>
      <c r="K2669" s="9" t="str">
        <f t="shared" si="43"/>
        <v/>
      </c>
      <c r="L2669" s="9" t="str">
        <f t="shared" si="44"/>
        <v/>
      </c>
      <c r="M2669" s="9"/>
      <c r="O2669" s="9"/>
    </row>
    <row r="2670" ht="15.75" customHeight="1">
      <c r="A2670" s="9" t="str">
        <f>IFERROR(__xludf.DUMMYFUNCTION("IF(B2670="""","""",RIGHT(REGEXREPLACE(B2670&amp;"""",""[^0-9]"",""""),9))"),"703895535")</f>
        <v>703895535</v>
      </c>
      <c r="B2670" s="10">
        <v>7.03895535E8</v>
      </c>
      <c r="C2670" s="10" t="s">
        <v>2762</v>
      </c>
      <c r="D2670" s="10" t="s">
        <v>20</v>
      </c>
      <c r="E2670" s="13">
        <v>46230.0</v>
      </c>
      <c r="F2670" s="10" t="s">
        <v>21</v>
      </c>
      <c r="G2670" s="10">
        <v>6.0</v>
      </c>
      <c r="I2670" s="10" t="s">
        <v>816</v>
      </c>
      <c r="J2670" s="9" t="str">
        <f t="shared" si="42"/>
        <v>No</v>
      </c>
      <c r="K2670" s="9" t="str">
        <f t="shared" si="43"/>
        <v/>
      </c>
      <c r="L2670" s="9" t="str">
        <f t="shared" si="44"/>
        <v/>
      </c>
      <c r="M2670" s="9"/>
      <c r="O2670" s="9"/>
    </row>
    <row r="2671" ht="15.75" customHeight="1">
      <c r="A2671" s="9" t="str">
        <f>IFERROR(__xludf.DUMMYFUNCTION("IF(B2671="""","""",RIGHT(REGEXREPLACE(B2671&amp;"""",""[^0-9]"",""""),9))"),"764211970")</f>
        <v>764211970</v>
      </c>
      <c r="B2671" s="10">
        <v>7.6421197E8</v>
      </c>
      <c r="C2671" s="10" t="s">
        <v>2763</v>
      </c>
      <c r="D2671" s="10" t="s">
        <v>20</v>
      </c>
      <c r="E2671" s="13">
        <v>46230.0</v>
      </c>
      <c r="F2671" s="10" t="s">
        <v>35</v>
      </c>
      <c r="G2671" s="10">
        <v>10.0</v>
      </c>
      <c r="H2671" s="10" t="s">
        <v>2764</v>
      </c>
      <c r="I2671" s="10" t="s">
        <v>816</v>
      </c>
      <c r="J2671" s="9" t="str">
        <f t="shared" si="42"/>
        <v>No</v>
      </c>
      <c r="K2671" s="9" t="str">
        <f t="shared" si="43"/>
        <v/>
      </c>
      <c r="L2671" s="9" t="str">
        <f t="shared" si="44"/>
        <v/>
      </c>
      <c r="M2671" s="9"/>
      <c r="O2671" s="9"/>
    </row>
    <row r="2672" ht="15.75" customHeight="1">
      <c r="A2672" s="9" t="str">
        <f>IFERROR(__xludf.DUMMYFUNCTION("IF(B2672="""","""",RIGHT(REGEXREPLACE(B2672&amp;"""",""[^0-9]"",""""),9))"),"772899790")</f>
        <v>772899790</v>
      </c>
      <c r="B2672" s="10">
        <v>7.7289979E8</v>
      </c>
      <c r="C2672" s="10" t="s">
        <v>2765</v>
      </c>
      <c r="D2672" s="10" t="s">
        <v>20</v>
      </c>
      <c r="E2672" s="13">
        <v>46230.0</v>
      </c>
      <c r="F2672" s="10" t="s">
        <v>35</v>
      </c>
      <c r="G2672" s="10">
        <v>7.0</v>
      </c>
      <c r="I2672" s="10" t="s">
        <v>816</v>
      </c>
      <c r="J2672" s="9" t="str">
        <f t="shared" si="42"/>
        <v>No</v>
      </c>
      <c r="K2672" s="9" t="str">
        <f t="shared" si="43"/>
        <v/>
      </c>
      <c r="L2672" s="9" t="str">
        <f t="shared" si="44"/>
        <v/>
      </c>
      <c r="M2672" s="9"/>
      <c r="O2672" s="9"/>
    </row>
    <row r="2673" ht="15.75" customHeight="1">
      <c r="A2673" s="9" t="str">
        <f>IFERROR(__xludf.DUMMYFUNCTION("IF(B2673="""","""",RIGHT(REGEXREPLACE(B2673&amp;"""",""[^0-9]"",""""),9))"),"719468285")</f>
        <v>719468285</v>
      </c>
      <c r="B2673" s="10">
        <v>7.19468285E8</v>
      </c>
      <c r="C2673" s="10" t="s">
        <v>2766</v>
      </c>
      <c r="D2673" s="10" t="s">
        <v>20</v>
      </c>
      <c r="E2673" s="13">
        <v>46230.0</v>
      </c>
      <c r="F2673" s="10" t="s">
        <v>35</v>
      </c>
      <c r="G2673" s="10">
        <v>10.0</v>
      </c>
      <c r="I2673" s="10" t="s">
        <v>816</v>
      </c>
      <c r="J2673" s="9" t="str">
        <f t="shared" si="42"/>
        <v>No</v>
      </c>
      <c r="K2673" s="9" t="str">
        <f t="shared" si="43"/>
        <v/>
      </c>
      <c r="L2673" s="9" t="str">
        <f t="shared" si="44"/>
        <v/>
      </c>
      <c r="M2673" s="9"/>
      <c r="O2673" s="9"/>
    </row>
    <row r="2674" ht="15.75" customHeight="1">
      <c r="A2674" s="9" t="str">
        <f>IFERROR(__xludf.DUMMYFUNCTION("IF(B2674="""","""",RIGHT(REGEXREPLACE(B2674&amp;"""",""[^0-9]"",""""),9))"),"710614784")</f>
        <v>710614784</v>
      </c>
      <c r="B2674" s="10">
        <v>7.10614784E8</v>
      </c>
      <c r="C2674" s="10" t="s">
        <v>2767</v>
      </c>
      <c r="D2674" s="10" t="s">
        <v>20</v>
      </c>
      <c r="E2674" s="13">
        <v>46230.0</v>
      </c>
      <c r="F2674" s="10" t="s">
        <v>35</v>
      </c>
      <c r="H2674" s="10" t="s">
        <v>2768</v>
      </c>
      <c r="I2674" s="10" t="s">
        <v>816</v>
      </c>
      <c r="J2674" s="9" t="str">
        <f t="shared" si="42"/>
        <v>No</v>
      </c>
      <c r="K2674" s="9" t="str">
        <f t="shared" si="43"/>
        <v/>
      </c>
      <c r="L2674" s="9" t="str">
        <f t="shared" si="44"/>
        <v/>
      </c>
      <c r="M2674" s="9"/>
      <c r="O2674" s="9"/>
    </row>
    <row r="2675" ht="15.75" customHeight="1">
      <c r="A2675" s="9" t="str">
        <f>IFERROR(__xludf.DUMMYFUNCTION("IF(B2675="""","""",RIGHT(REGEXREPLACE(B2675&amp;"""",""[^0-9]"",""""),9))"),"764014388")</f>
        <v>764014388</v>
      </c>
      <c r="B2675" s="10">
        <v>7.64014388E8</v>
      </c>
      <c r="C2675" s="10" t="s">
        <v>2769</v>
      </c>
      <c r="D2675" s="10" t="s">
        <v>20</v>
      </c>
      <c r="E2675" s="13">
        <v>46230.0</v>
      </c>
      <c r="F2675" s="10" t="s">
        <v>113</v>
      </c>
      <c r="G2675" s="10">
        <v>6.0</v>
      </c>
      <c r="I2675" s="10" t="s">
        <v>816</v>
      </c>
      <c r="J2675" s="9" t="str">
        <f t="shared" si="42"/>
        <v>No</v>
      </c>
      <c r="K2675" s="9" t="str">
        <f t="shared" si="43"/>
        <v/>
      </c>
      <c r="L2675" s="9" t="str">
        <f t="shared" si="44"/>
        <v/>
      </c>
      <c r="M2675" s="9"/>
      <c r="O2675" s="9"/>
    </row>
    <row r="2676" ht="15.75" customHeight="1">
      <c r="A2676" s="9" t="str">
        <f>IFERROR(__xludf.DUMMYFUNCTION("IF(B2676="""","""",RIGHT(REGEXREPLACE(B2676&amp;"""",""[^0-9]"",""""),9))"),"721694935")</f>
        <v>721694935</v>
      </c>
      <c r="B2676" s="10">
        <v>7.21694935E8</v>
      </c>
      <c r="C2676" s="10" t="s">
        <v>2770</v>
      </c>
      <c r="D2676" s="10" t="s">
        <v>20</v>
      </c>
      <c r="E2676" s="13">
        <v>46230.0</v>
      </c>
      <c r="F2676" s="10" t="s">
        <v>21</v>
      </c>
      <c r="I2676" s="10" t="s">
        <v>816</v>
      </c>
      <c r="J2676" s="9" t="str">
        <f t="shared" si="42"/>
        <v>No</v>
      </c>
      <c r="K2676" s="9" t="str">
        <f t="shared" si="43"/>
        <v/>
      </c>
      <c r="L2676" s="9" t="str">
        <f t="shared" si="44"/>
        <v/>
      </c>
      <c r="M2676" s="9"/>
      <c r="O2676" s="9"/>
    </row>
    <row r="2677" ht="15.75" customHeight="1">
      <c r="A2677" s="9" t="str">
        <f>IFERROR(__xludf.DUMMYFUNCTION("IF(B2677="""","""",RIGHT(REGEXREPLACE(B2677&amp;"""",""[^0-9]"",""""),9))"),"706696499")</f>
        <v>706696499</v>
      </c>
      <c r="B2677" s="10">
        <v>7.06696499E8</v>
      </c>
      <c r="C2677" s="10" t="s">
        <v>2771</v>
      </c>
      <c r="D2677" s="10" t="s">
        <v>20</v>
      </c>
      <c r="E2677" s="13">
        <v>46230.0</v>
      </c>
      <c r="F2677" s="10" t="s">
        <v>35</v>
      </c>
      <c r="G2677" s="10">
        <v>7.0</v>
      </c>
      <c r="H2677" s="10" t="s">
        <v>2772</v>
      </c>
      <c r="I2677" s="10" t="s">
        <v>816</v>
      </c>
      <c r="J2677" s="9" t="str">
        <f t="shared" si="42"/>
        <v>No</v>
      </c>
      <c r="K2677" s="9" t="str">
        <f t="shared" si="43"/>
        <v/>
      </c>
      <c r="L2677" s="9" t="str">
        <f t="shared" si="44"/>
        <v/>
      </c>
      <c r="M2677" s="9"/>
      <c r="O2677" s="9"/>
    </row>
    <row r="2678" ht="15.75" customHeight="1">
      <c r="A2678" s="9" t="str">
        <f>IFERROR(__xludf.DUMMYFUNCTION("IF(B2678="""","""",RIGHT(REGEXREPLACE(B2678&amp;"""",""[^0-9]"",""""),9))"),"777247985")</f>
        <v>777247985</v>
      </c>
      <c r="B2678" s="10">
        <v>7.77247985E8</v>
      </c>
      <c r="C2678" s="10" t="s">
        <v>2773</v>
      </c>
      <c r="D2678" s="10" t="s">
        <v>20</v>
      </c>
      <c r="E2678" s="13">
        <v>46230.0</v>
      </c>
      <c r="F2678" s="10" t="s">
        <v>21</v>
      </c>
      <c r="G2678" s="10">
        <v>11.0</v>
      </c>
      <c r="I2678" s="10" t="s">
        <v>816</v>
      </c>
      <c r="J2678" s="9" t="str">
        <f t="shared" si="42"/>
        <v>No</v>
      </c>
      <c r="K2678" s="9" t="str">
        <f t="shared" si="43"/>
        <v/>
      </c>
      <c r="L2678" s="9" t="str">
        <f t="shared" si="44"/>
        <v/>
      </c>
      <c r="M2678" s="9"/>
      <c r="O2678" s="9"/>
    </row>
    <row r="2679" ht="15.75" customHeight="1">
      <c r="A2679" s="9" t="str">
        <f>IFERROR(__xludf.DUMMYFUNCTION("IF(B2679="""","""",RIGHT(REGEXREPLACE(B2679&amp;"""",""[^0-9]"",""""),9))"),"774108896")</f>
        <v>774108896</v>
      </c>
      <c r="B2679" s="10">
        <v>7.74108896E8</v>
      </c>
      <c r="C2679" s="10" t="s">
        <v>2774</v>
      </c>
      <c r="D2679" s="10" t="s">
        <v>20</v>
      </c>
      <c r="E2679" s="13">
        <v>46230.0</v>
      </c>
      <c r="F2679" s="10" t="s">
        <v>113</v>
      </c>
      <c r="G2679" s="10">
        <v>6.0</v>
      </c>
      <c r="H2679" s="10" t="s">
        <v>2775</v>
      </c>
      <c r="I2679" s="10" t="s">
        <v>816</v>
      </c>
      <c r="J2679" s="9" t="str">
        <f t="shared" si="42"/>
        <v>No</v>
      </c>
      <c r="K2679" s="9" t="str">
        <f t="shared" si="43"/>
        <v/>
      </c>
      <c r="L2679" s="9" t="str">
        <f t="shared" si="44"/>
        <v/>
      </c>
      <c r="M2679" s="9"/>
      <c r="O2679" s="9"/>
    </row>
    <row r="2680" ht="15.75" customHeight="1">
      <c r="A2680" s="9" t="str">
        <f>IFERROR(__xludf.DUMMYFUNCTION("IF(B2680="""","""",RIGHT(REGEXREPLACE(B2680&amp;"""",""[^0-9]"",""""),9))"),"776772904")</f>
        <v>776772904</v>
      </c>
      <c r="B2680" s="10">
        <v>7.76772904E8</v>
      </c>
      <c r="C2680" s="10" t="s">
        <v>2776</v>
      </c>
      <c r="D2680" s="10" t="s">
        <v>20</v>
      </c>
      <c r="E2680" s="13">
        <v>46230.0</v>
      </c>
      <c r="F2680" s="10" t="s">
        <v>35</v>
      </c>
      <c r="G2680" s="10">
        <v>6.0</v>
      </c>
      <c r="I2680" s="10" t="s">
        <v>816</v>
      </c>
      <c r="J2680" s="9" t="str">
        <f t="shared" si="42"/>
        <v>No</v>
      </c>
      <c r="K2680" s="9" t="str">
        <f t="shared" si="43"/>
        <v/>
      </c>
      <c r="L2680" s="9" t="str">
        <f t="shared" si="44"/>
        <v/>
      </c>
      <c r="M2680" s="9"/>
      <c r="O2680" s="9"/>
    </row>
    <row r="2681" ht="15.75" customHeight="1">
      <c r="A2681" s="9" t="str">
        <f>IFERROR(__xludf.DUMMYFUNCTION("IF(B2681="""","""",RIGHT(REGEXREPLACE(B2681&amp;"""",""[^0-9]"",""""),9))"),"710614251")</f>
        <v>710614251</v>
      </c>
      <c r="B2681" s="10">
        <v>7.10614251E8</v>
      </c>
      <c r="C2681" s="10" t="s">
        <v>2777</v>
      </c>
      <c r="D2681" s="10" t="s">
        <v>20</v>
      </c>
      <c r="E2681" s="13">
        <v>46230.0</v>
      </c>
      <c r="F2681" s="10" t="s">
        <v>35</v>
      </c>
      <c r="G2681" s="10">
        <v>8.0</v>
      </c>
      <c r="I2681" s="10" t="s">
        <v>816</v>
      </c>
      <c r="J2681" s="9" t="str">
        <f t="shared" si="42"/>
        <v>No</v>
      </c>
      <c r="K2681" s="9" t="str">
        <f t="shared" si="43"/>
        <v/>
      </c>
      <c r="L2681" s="9" t="str">
        <f t="shared" si="44"/>
        <v/>
      </c>
      <c r="M2681" s="9"/>
      <c r="O2681" s="9"/>
    </row>
    <row r="2682" ht="15.75" customHeight="1">
      <c r="A2682" s="9" t="str">
        <f>IFERROR(__xludf.DUMMYFUNCTION("IF(B2682="""","""",RIGHT(REGEXREPLACE(B2682&amp;"""",""[^0-9]"",""""),9))"),"774739628")</f>
        <v>774739628</v>
      </c>
      <c r="B2682" s="10">
        <v>7.74739628E8</v>
      </c>
      <c r="C2682" s="10" t="s">
        <v>2778</v>
      </c>
      <c r="D2682" s="10" t="s">
        <v>20</v>
      </c>
      <c r="E2682" s="13">
        <v>46230.0</v>
      </c>
      <c r="F2682" s="10" t="s">
        <v>35</v>
      </c>
      <c r="G2682" s="10">
        <v>5.0</v>
      </c>
      <c r="H2682" s="10" t="s">
        <v>2779</v>
      </c>
      <c r="I2682" s="10" t="s">
        <v>816</v>
      </c>
      <c r="J2682" s="9" t="str">
        <f t="shared" si="42"/>
        <v>No</v>
      </c>
      <c r="K2682" s="9" t="str">
        <f t="shared" si="43"/>
        <v/>
      </c>
      <c r="L2682" s="9" t="str">
        <f t="shared" si="44"/>
        <v/>
      </c>
      <c r="M2682" s="9"/>
      <c r="O2682" s="9"/>
    </row>
    <row r="2683" ht="15.75" customHeight="1">
      <c r="A2683" s="9" t="str">
        <f>IFERROR(__xludf.DUMMYFUNCTION("IF(B2683="""","""",RIGHT(REGEXREPLACE(B2683&amp;"""",""[^0-9]"",""""),9))"),"703015651")</f>
        <v>703015651</v>
      </c>
      <c r="B2683" s="10">
        <v>7.03015651E8</v>
      </c>
      <c r="C2683" s="10" t="s">
        <v>2780</v>
      </c>
      <c r="D2683" s="10" t="s">
        <v>20</v>
      </c>
      <c r="E2683" s="13">
        <v>46230.0</v>
      </c>
      <c r="F2683" s="10" t="s">
        <v>35</v>
      </c>
      <c r="G2683" s="10">
        <v>6.0</v>
      </c>
      <c r="I2683" s="10" t="s">
        <v>816</v>
      </c>
      <c r="J2683" s="9" t="str">
        <f t="shared" si="42"/>
        <v>No</v>
      </c>
      <c r="K2683" s="9" t="str">
        <f t="shared" si="43"/>
        <v/>
      </c>
      <c r="L2683" s="9" t="str">
        <f t="shared" si="44"/>
        <v/>
      </c>
      <c r="M2683" s="9"/>
      <c r="O2683" s="9"/>
    </row>
    <row r="2684" ht="15.75" customHeight="1">
      <c r="A2684" s="9" t="str">
        <f>IFERROR(__xludf.DUMMYFUNCTION("IF(B2684="""","""",RIGHT(REGEXREPLACE(B2684&amp;"""",""[^0-9]"",""""),9))"),"718205102")</f>
        <v>718205102</v>
      </c>
      <c r="B2684" s="10">
        <v>7.18205102E8</v>
      </c>
      <c r="C2684" s="10" t="s">
        <v>2781</v>
      </c>
      <c r="D2684" s="10" t="s">
        <v>20</v>
      </c>
      <c r="E2684" s="13">
        <v>46230.0</v>
      </c>
      <c r="F2684" s="10" t="s">
        <v>35</v>
      </c>
      <c r="G2684" s="10">
        <v>6.0</v>
      </c>
      <c r="H2684" s="10" t="s">
        <v>2477</v>
      </c>
      <c r="I2684" s="10" t="s">
        <v>816</v>
      </c>
      <c r="J2684" s="9" t="str">
        <f t="shared" si="42"/>
        <v>No</v>
      </c>
      <c r="K2684" s="9" t="str">
        <f t="shared" si="43"/>
        <v/>
      </c>
      <c r="L2684" s="9" t="str">
        <f t="shared" si="44"/>
        <v/>
      </c>
      <c r="M2684" s="9"/>
      <c r="O2684" s="9"/>
    </row>
    <row r="2685" ht="15.75" customHeight="1">
      <c r="A2685" s="9" t="str">
        <f>IFERROR(__xludf.DUMMYFUNCTION("IF(B2685="""","""",RIGHT(REGEXREPLACE(B2685&amp;"""",""[^0-9]"",""""),9))"),"774862890")</f>
        <v>774862890</v>
      </c>
      <c r="B2685" s="10">
        <v>7.7486289E8</v>
      </c>
      <c r="C2685" s="10" t="s">
        <v>2782</v>
      </c>
      <c r="D2685" s="10" t="s">
        <v>20</v>
      </c>
      <c r="E2685" s="13">
        <v>46230.0</v>
      </c>
      <c r="F2685" s="10" t="s">
        <v>604</v>
      </c>
      <c r="G2685" s="10">
        <v>7.0</v>
      </c>
      <c r="I2685" s="10" t="s">
        <v>816</v>
      </c>
      <c r="J2685" s="9" t="str">
        <f t="shared" si="42"/>
        <v>No</v>
      </c>
      <c r="K2685" s="9" t="str">
        <f t="shared" si="43"/>
        <v/>
      </c>
      <c r="L2685" s="9" t="str">
        <f t="shared" si="44"/>
        <v/>
      </c>
      <c r="M2685" s="9"/>
      <c r="O2685" s="9"/>
    </row>
    <row r="2686" ht="15.75" customHeight="1">
      <c r="A2686" s="9" t="str">
        <f>IFERROR(__xludf.DUMMYFUNCTION("IF(B2686="""","""",RIGHT(REGEXREPLACE(B2686&amp;"""",""[^0-9]"",""""),9))"),"704811625")</f>
        <v>704811625</v>
      </c>
      <c r="B2686" s="10">
        <v>7.04811625E8</v>
      </c>
      <c r="C2686" s="10" t="s">
        <v>2783</v>
      </c>
      <c r="D2686" s="10" t="s">
        <v>20</v>
      </c>
      <c r="E2686" s="13">
        <v>46230.0</v>
      </c>
      <c r="F2686" s="10" t="s">
        <v>198</v>
      </c>
      <c r="I2686" s="10" t="s">
        <v>816</v>
      </c>
      <c r="J2686" s="9" t="str">
        <f t="shared" si="42"/>
        <v>No</v>
      </c>
      <c r="K2686" s="9" t="str">
        <f t="shared" si="43"/>
        <v/>
      </c>
      <c r="L2686" s="9" t="str">
        <f t="shared" si="44"/>
        <v/>
      </c>
      <c r="M2686" s="9"/>
      <c r="O2686" s="9"/>
    </row>
    <row r="2687" ht="15.75" customHeight="1">
      <c r="A2687" s="9" t="str">
        <f>IFERROR(__xludf.DUMMYFUNCTION("IF(B2687="""","""",RIGHT(REGEXREPLACE(B2687&amp;"""",""[^0-9]"",""""),9))"),"704297087")</f>
        <v>704297087</v>
      </c>
      <c r="B2687" s="10">
        <v>7.04297087E8</v>
      </c>
      <c r="C2687" s="10" t="s">
        <v>2784</v>
      </c>
      <c r="D2687" s="10" t="s">
        <v>20</v>
      </c>
      <c r="E2687" s="13">
        <v>46230.0</v>
      </c>
      <c r="F2687" s="10" t="s">
        <v>35</v>
      </c>
      <c r="G2687" s="10">
        <v>6.0</v>
      </c>
      <c r="I2687" s="10" t="s">
        <v>816</v>
      </c>
      <c r="J2687" s="9" t="str">
        <f t="shared" si="42"/>
        <v>No</v>
      </c>
      <c r="K2687" s="9" t="str">
        <f t="shared" si="43"/>
        <v/>
      </c>
      <c r="L2687" s="9" t="str">
        <f t="shared" si="44"/>
        <v/>
      </c>
      <c r="M2687" s="9"/>
      <c r="O2687" s="9"/>
    </row>
    <row r="2688" ht="15.75" customHeight="1">
      <c r="A2688" s="9" t="str">
        <f>IFERROR(__xludf.DUMMYFUNCTION("IF(B2688="""","""",RIGHT(REGEXREPLACE(B2688&amp;"""",""[^0-9]"",""""),9))"),"774007038")</f>
        <v>774007038</v>
      </c>
      <c r="B2688" s="10">
        <v>7.74007038E8</v>
      </c>
      <c r="C2688" s="10" t="s">
        <v>2785</v>
      </c>
      <c r="D2688" s="10" t="s">
        <v>20</v>
      </c>
      <c r="E2688" s="13">
        <v>46230.0</v>
      </c>
      <c r="F2688" s="10" t="s">
        <v>145</v>
      </c>
      <c r="G2688" s="10">
        <v>6.0</v>
      </c>
      <c r="I2688" s="10" t="s">
        <v>816</v>
      </c>
      <c r="J2688" s="9" t="str">
        <f t="shared" si="42"/>
        <v>No</v>
      </c>
      <c r="K2688" s="9" t="str">
        <f t="shared" si="43"/>
        <v/>
      </c>
      <c r="L2688" s="9" t="str">
        <f t="shared" si="44"/>
        <v/>
      </c>
      <c r="M2688" s="9"/>
      <c r="O2688" s="9"/>
    </row>
    <row r="2689" ht="15.75" customHeight="1">
      <c r="A2689" s="9" t="str">
        <f>IFERROR(__xludf.DUMMYFUNCTION("IF(B2689="""","""",RIGHT(REGEXREPLACE(B2689&amp;"""",""[^0-9]"",""""),9))"),"767666451")</f>
        <v>767666451</v>
      </c>
      <c r="B2689" s="10">
        <v>7.67666451E8</v>
      </c>
      <c r="C2689" s="10" t="s">
        <v>2786</v>
      </c>
      <c r="D2689" s="10" t="s">
        <v>20</v>
      </c>
      <c r="E2689" s="13">
        <v>46230.0</v>
      </c>
      <c r="F2689" s="10" t="s">
        <v>21</v>
      </c>
      <c r="I2689" s="10" t="s">
        <v>816</v>
      </c>
      <c r="J2689" s="9" t="str">
        <f t="shared" si="42"/>
        <v>No</v>
      </c>
      <c r="K2689" s="9" t="str">
        <f t="shared" si="43"/>
        <v/>
      </c>
      <c r="L2689" s="9" t="str">
        <f t="shared" si="44"/>
        <v/>
      </c>
      <c r="M2689" s="9"/>
      <c r="O2689" s="9"/>
    </row>
    <row r="2690" ht="15.75" customHeight="1">
      <c r="A2690" s="9" t="str">
        <f>IFERROR(__xludf.DUMMYFUNCTION("IF(B2690="""","""",RIGHT(REGEXREPLACE(B2690&amp;"""",""[^0-9]"",""""),9))"),"762869141")</f>
        <v>762869141</v>
      </c>
      <c r="B2690" s="10">
        <v>7.62869141E8</v>
      </c>
      <c r="C2690" s="10" t="s">
        <v>2787</v>
      </c>
      <c r="D2690" s="10" t="s">
        <v>20</v>
      </c>
      <c r="E2690" s="13">
        <v>46230.0</v>
      </c>
      <c r="F2690" s="10" t="s">
        <v>21</v>
      </c>
      <c r="G2690" s="10">
        <v>6.0</v>
      </c>
      <c r="I2690" s="10" t="s">
        <v>816</v>
      </c>
      <c r="J2690" s="9" t="str">
        <f t="shared" si="42"/>
        <v>No</v>
      </c>
      <c r="K2690" s="9" t="str">
        <f t="shared" si="43"/>
        <v/>
      </c>
      <c r="L2690" s="9" t="str">
        <f t="shared" si="44"/>
        <v/>
      </c>
      <c r="M2690" s="9"/>
      <c r="O2690" s="9"/>
    </row>
    <row r="2691" ht="15.75" customHeight="1">
      <c r="A2691" s="9" t="str">
        <f>IFERROR(__xludf.DUMMYFUNCTION("IF(B2691="""","""",RIGHT(REGEXREPLACE(B2691&amp;"""",""[^0-9]"",""""),9))"),"760506412")</f>
        <v>760506412</v>
      </c>
      <c r="B2691" s="10">
        <v>7.60506412E8</v>
      </c>
      <c r="C2691" s="10" t="s">
        <v>2739</v>
      </c>
      <c r="D2691" s="10" t="s">
        <v>20</v>
      </c>
      <c r="E2691" s="13">
        <v>46230.0</v>
      </c>
      <c r="F2691" s="10" t="s">
        <v>21</v>
      </c>
      <c r="I2691" s="10" t="s">
        <v>816</v>
      </c>
      <c r="J2691" s="9" t="str">
        <f t="shared" si="42"/>
        <v>No</v>
      </c>
      <c r="K2691" s="9" t="str">
        <f t="shared" si="43"/>
        <v/>
      </c>
      <c r="L2691" s="9" t="str">
        <f t="shared" si="44"/>
        <v/>
      </c>
      <c r="M2691" s="9"/>
      <c r="O2691" s="9"/>
    </row>
    <row r="2692" ht="15.75" customHeight="1">
      <c r="A2692" s="9" t="str">
        <f>IFERROR(__xludf.DUMMYFUNCTION("IF(B2692="""","""",RIGHT(REGEXREPLACE(B2692&amp;"""",""[^0-9]"",""""),9))"),"772451810")</f>
        <v>772451810</v>
      </c>
      <c r="B2692" s="10">
        <v>7.7245181E8</v>
      </c>
      <c r="C2692" s="10" t="s">
        <v>2743</v>
      </c>
      <c r="D2692" s="10" t="s">
        <v>20</v>
      </c>
      <c r="E2692" s="13">
        <v>46230.0</v>
      </c>
      <c r="F2692" s="10" t="s">
        <v>113</v>
      </c>
      <c r="G2692" s="10">
        <v>9.0</v>
      </c>
      <c r="I2692" s="10" t="s">
        <v>816</v>
      </c>
      <c r="J2692" s="9" t="str">
        <f t="shared" si="42"/>
        <v>No</v>
      </c>
      <c r="K2692" s="9" t="str">
        <f t="shared" si="43"/>
        <v/>
      </c>
      <c r="L2692" s="9" t="str">
        <f t="shared" si="44"/>
        <v/>
      </c>
      <c r="M2692" s="9"/>
      <c r="O2692" s="9"/>
    </row>
    <row r="2693" ht="15.75" customHeight="1">
      <c r="A2693" s="9" t="str">
        <f>IFERROR(__xludf.DUMMYFUNCTION("IF(B2693="""","""",RIGHT(REGEXREPLACE(B2693&amp;"""",""[^0-9]"",""""),9))"),"714158189")</f>
        <v>714158189</v>
      </c>
      <c r="B2693" s="10">
        <v>7.14158189E8</v>
      </c>
      <c r="C2693" s="10" t="s">
        <v>2788</v>
      </c>
      <c r="D2693" s="10" t="s">
        <v>20</v>
      </c>
      <c r="E2693" s="13">
        <v>46230.0</v>
      </c>
      <c r="F2693" s="10" t="s">
        <v>35</v>
      </c>
      <c r="G2693" s="10">
        <v>7.0</v>
      </c>
      <c r="I2693" s="10" t="s">
        <v>816</v>
      </c>
      <c r="J2693" s="9" t="str">
        <f t="shared" si="42"/>
        <v>No</v>
      </c>
      <c r="K2693" s="9" t="str">
        <f t="shared" si="43"/>
        <v/>
      </c>
      <c r="L2693" s="9" t="str">
        <f t="shared" si="44"/>
        <v/>
      </c>
      <c r="M2693" s="9"/>
      <c r="O2693" s="9"/>
    </row>
    <row r="2694" ht="15.75" customHeight="1">
      <c r="A2694" s="9" t="str">
        <f>IFERROR(__xludf.DUMMYFUNCTION("IF(B2694="""","""",RIGHT(REGEXREPLACE(B2694&amp;"""",""[^0-9]"",""""),9))"),"764117425")</f>
        <v>764117425</v>
      </c>
      <c r="B2694" s="10">
        <v>7.64117425E8</v>
      </c>
      <c r="C2694" s="10" t="s">
        <v>2789</v>
      </c>
      <c r="D2694" s="10" t="s">
        <v>20</v>
      </c>
      <c r="E2694" s="13">
        <v>46230.0</v>
      </c>
      <c r="F2694" s="10" t="s">
        <v>35</v>
      </c>
      <c r="G2694" s="10">
        <v>8.0</v>
      </c>
      <c r="H2694" s="10" t="s">
        <v>573</v>
      </c>
      <c r="I2694" s="10" t="s">
        <v>816</v>
      </c>
      <c r="J2694" s="9" t="str">
        <f t="shared" si="42"/>
        <v>No</v>
      </c>
      <c r="K2694" s="9" t="str">
        <f t="shared" si="43"/>
        <v/>
      </c>
      <c r="L2694" s="9" t="str">
        <f t="shared" si="44"/>
        <v/>
      </c>
      <c r="M2694" s="9"/>
      <c r="O2694" s="9"/>
    </row>
    <row r="2695" ht="15.75" customHeight="1">
      <c r="A2695" s="9" t="str">
        <f>IFERROR(__xludf.DUMMYFUNCTION("IF(B2695="""","""",RIGHT(REGEXREPLACE(B2695&amp;"""",""[^0-9]"",""""),9))"),"715960775")</f>
        <v>715960775</v>
      </c>
      <c r="B2695" s="10">
        <v>7.15960775E8</v>
      </c>
      <c r="C2695" s="10" t="s">
        <v>2790</v>
      </c>
      <c r="D2695" s="10" t="s">
        <v>20</v>
      </c>
      <c r="E2695" s="13">
        <v>46230.0</v>
      </c>
      <c r="F2695" s="10" t="s">
        <v>35</v>
      </c>
      <c r="G2695" s="10">
        <v>6.0</v>
      </c>
      <c r="I2695" s="10" t="s">
        <v>816</v>
      </c>
      <c r="J2695" s="9" t="str">
        <f t="shared" si="42"/>
        <v>No</v>
      </c>
      <c r="K2695" s="9" t="str">
        <f t="shared" si="43"/>
        <v/>
      </c>
      <c r="L2695" s="9" t="str">
        <f t="shared" si="44"/>
        <v/>
      </c>
      <c r="M2695" s="9"/>
      <c r="O2695" s="9"/>
    </row>
    <row r="2696" ht="15.75" customHeight="1">
      <c r="A2696" s="9" t="str">
        <f>IFERROR(__xludf.DUMMYFUNCTION("IF(B2696="""","""",RIGHT(REGEXREPLACE(B2696&amp;"""",""[^0-9]"",""""),9))"),"714198296")</f>
        <v>714198296</v>
      </c>
      <c r="B2696" s="10">
        <v>7.14198296E8</v>
      </c>
      <c r="C2696" s="10" t="s">
        <v>2791</v>
      </c>
      <c r="D2696" s="10" t="s">
        <v>20</v>
      </c>
      <c r="E2696" s="13">
        <v>46230.0</v>
      </c>
      <c r="F2696" s="10" t="s">
        <v>21</v>
      </c>
      <c r="I2696" s="10" t="s">
        <v>816</v>
      </c>
      <c r="J2696" s="9" t="str">
        <f t="shared" si="42"/>
        <v>No</v>
      </c>
      <c r="K2696" s="9" t="str">
        <f t="shared" si="43"/>
        <v/>
      </c>
      <c r="L2696" s="9" t="str">
        <f t="shared" si="44"/>
        <v/>
      </c>
      <c r="M2696" s="9"/>
      <c r="O2696" s="9"/>
    </row>
    <row r="2697" ht="15.75" customHeight="1">
      <c r="A2697" s="9" t="str">
        <f>IFERROR(__xludf.DUMMYFUNCTION("IF(B2697="""","""",RIGHT(REGEXREPLACE(B2697&amp;"""",""[^0-9]"",""""),9))"),"784477634")</f>
        <v>784477634</v>
      </c>
      <c r="B2697" s="48">
        <v>7.84477634E8</v>
      </c>
      <c r="C2697" s="10" t="s">
        <v>2792</v>
      </c>
      <c r="D2697" s="10" t="s">
        <v>50</v>
      </c>
      <c r="E2697" s="13">
        <v>46230.0</v>
      </c>
      <c r="F2697" s="10" t="s">
        <v>198</v>
      </c>
      <c r="G2697" s="10">
        <v>11.0</v>
      </c>
      <c r="I2697" s="10" t="s">
        <v>22</v>
      </c>
      <c r="J2697" s="9" t="str">
        <f t="shared" si="42"/>
        <v>No</v>
      </c>
      <c r="K2697" s="9" t="str">
        <f t="shared" si="43"/>
        <v/>
      </c>
      <c r="L2697" s="9" t="str">
        <f t="shared" si="44"/>
        <v/>
      </c>
      <c r="M2697" s="9"/>
      <c r="O2697" s="9"/>
    </row>
    <row r="2698" ht="15.75" customHeight="1">
      <c r="A2698" s="9" t="str">
        <f>IFERROR(__xludf.DUMMYFUNCTION("IF(B2698="""","""",RIGHT(REGEXREPLACE(B2698&amp;"""",""[^0-9]"",""""),9))"),"752794966")</f>
        <v>752794966</v>
      </c>
      <c r="B2698" s="48">
        <v>7.52794966E8</v>
      </c>
      <c r="C2698" s="10" t="s">
        <v>2793</v>
      </c>
      <c r="D2698" s="10" t="s">
        <v>50</v>
      </c>
      <c r="E2698" s="13">
        <v>46230.0</v>
      </c>
      <c r="F2698" s="10" t="s">
        <v>35</v>
      </c>
      <c r="G2698" s="10">
        <v>11.0</v>
      </c>
      <c r="I2698" s="10" t="s">
        <v>22</v>
      </c>
      <c r="J2698" s="9" t="str">
        <f t="shared" si="42"/>
        <v>No</v>
      </c>
      <c r="K2698" s="9" t="str">
        <f t="shared" si="43"/>
        <v/>
      </c>
      <c r="L2698" s="9" t="str">
        <f t="shared" si="44"/>
        <v/>
      </c>
      <c r="M2698" s="9"/>
      <c r="O2698" s="9"/>
    </row>
    <row r="2699" ht="15.75" customHeight="1">
      <c r="A2699" s="9" t="str">
        <f>IFERROR(__xludf.DUMMYFUNCTION("IF(B2699="""","""",RIGHT(REGEXREPLACE(B2699&amp;"""",""[^0-9]"",""""),9))"),"705376055")</f>
        <v>705376055</v>
      </c>
      <c r="B2699" s="10">
        <v>7.05376055E8</v>
      </c>
      <c r="C2699" s="10" t="s">
        <v>367</v>
      </c>
      <c r="D2699" s="10" t="s">
        <v>20</v>
      </c>
      <c r="E2699" s="13">
        <v>46230.0</v>
      </c>
      <c r="F2699" s="10" t="s">
        <v>35</v>
      </c>
      <c r="G2699" s="10">
        <v>8.0</v>
      </c>
      <c r="H2699" s="10" t="s">
        <v>2794</v>
      </c>
      <c r="I2699" s="10" t="s">
        <v>816</v>
      </c>
      <c r="J2699" s="9" t="str">
        <f t="shared" si="42"/>
        <v>No</v>
      </c>
      <c r="K2699" s="9" t="str">
        <f t="shared" si="43"/>
        <v/>
      </c>
      <c r="L2699" s="9" t="str">
        <f t="shared" si="44"/>
        <v/>
      </c>
      <c r="M2699" s="9"/>
      <c r="O2699" s="9"/>
    </row>
    <row r="2700" ht="15.75" customHeight="1">
      <c r="A2700" s="9" t="str">
        <f>IFERROR(__xludf.DUMMYFUNCTION("IF(B2700="""","""",RIGHT(REGEXREPLACE(B2700&amp;"""",""[^0-9]"",""""),9))"),"703012899")</f>
        <v>703012899</v>
      </c>
      <c r="B2700" s="10">
        <v>7.03012899E8</v>
      </c>
      <c r="C2700" s="10" t="s">
        <v>2795</v>
      </c>
      <c r="D2700" s="10" t="s">
        <v>20</v>
      </c>
      <c r="E2700" s="13">
        <v>46230.0</v>
      </c>
      <c r="F2700" s="10" t="s">
        <v>198</v>
      </c>
      <c r="I2700" s="10" t="s">
        <v>816</v>
      </c>
      <c r="J2700" s="9" t="str">
        <f t="shared" si="42"/>
        <v>No</v>
      </c>
      <c r="K2700" s="9" t="str">
        <f t="shared" si="43"/>
        <v/>
      </c>
      <c r="L2700" s="9" t="str">
        <f t="shared" si="44"/>
        <v/>
      </c>
      <c r="M2700" s="9"/>
      <c r="O2700" s="9"/>
    </row>
    <row r="2701" ht="15.75" customHeight="1">
      <c r="A2701" s="9" t="str">
        <f>IFERROR(__xludf.DUMMYFUNCTION("IF(B2701="""","""",RIGHT(REGEXREPLACE(B2701&amp;"""",""[^0-9]"",""""),9))"),"719472883")</f>
        <v>719472883</v>
      </c>
      <c r="B2701" s="10">
        <v>7.19472883E8</v>
      </c>
      <c r="C2701" s="10" t="s">
        <v>2796</v>
      </c>
      <c r="D2701" s="10" t="s">
        <v>20</v>
      </c>
      <c r="E2701" s="13">
        <v>46230.0</v>
      </c>
      <c r="F2701" s="10" t="s">
        <v>35</v>
      </c>
      <c r="G2701" s="10">
        <v>6.0</v>
      </c>
      <c r="I2701" s="10" t="s">
        <v>816</v>
      </c>
      <c r="J2701" s="9" t="str">
        <f t="shared" si="42"/>
        <v>No</v>
      </c>
      <c r="K2701" s="9" t="str">
        <f t="shared" si="43"/>
        <v/>
      </c>
      <c r="L2701" s="9" t="str">
        <f t="shared" si="44"/>
        <v/>
      </c>
      <c r="M2701" s="9"/>
      <c r="O2701" s="9"/>
    </row>
    <row r="2702" ht="15.75" customHeight="1">
      <c r="A2702" s="9" t="str">
        <f>IFERROR(__xludf.DUMMYFUNCTION("IF(B2702="""","""",RIGHT(REGEXREPLACE(B2702&amp;"""",""[^0-9]"",""""),9))"),"743895608")</f>
        <v>743895608</v>
      </c>
      <c r="B2702" s="10">
        <v>7.43895608E8</v>
      </c>
      <c r="C2702" s="10" t="s">
        <v>2797</v>
      </c>
      <c r="D2702" s="10" t="s">
        <v>20</v>
      </c>
      <c r="E2702" s="13">
        <v>46230.0</v>
      </c>
      <c r="F2702" s="10" t="s">
        <v>21</v>
      </c>
      <c r="G2702" s="10">
        <v>9.0</v>
      </c>
      <c r="I2702" s="10" t="s">
        <v>816</v>
      </c>
      <c r="J2702" s="9" t="str">
        <f t="shared" si="42"/>
        <v>No</v>
      </c>
      <c r="K2702" s="9" t="str">
        <f t="shared" si="43"/>
        <v/>
      </c>
      <c r="L2702" s="9" t="str">
        <f t="shared" si="44"/>
        <v/>
      </c>
      <c r="M2702" s="9"/>
      <c r="O2702" s="9"/>
    </row>
    <row r="2703" ht="15.75" customHeight="1">
      <c r="A2703" s="9" t="str">
        <f>IFERROR(__xludf.DUMMYFUNCTION("IF(B2703="""","""",RIGHT(REGEXREPLACE(B2703&amp;"""",""[^0-9]"",""""),9))"),"760888095")</f>
        <v>760888095</v>
      </c>
      <c r="B2703" s="10">
        <v>7.60888095E8</v>
      </c>
      <c r="C2703" s="10" t="s">
        <v>2798</v>
      </c>
      <c r="D2703" s="10" t="s">
        <v>20</v>
      </c>
      <c r="E2703" s="13">
        <v>46230.0</v>
      </c>
      <c r="F2703" s="10" t="s">
        <v>604</v>
      </c>
      <c r="G2703" s="10">
        <v>6.0</v>
      </c>
      <c r="H2703" s="10" t="s">
        <v>238</v>
      </c>
      <c r="I2703" s="10" t="s">
        <v>816</v>
      </c>
      <c r="J2703" s="9" t="str">
        <f t="shared" si="42"/>
        <v>No</v>
      </c>
      <c r="K2703" s="9" t="str">
        <f t="shared" si="43"/>
        <v/>
      </c>
      <c r="L2703" s="9" t="str">
        <f t="shared" si="44"/>
        <v/>
      </c>
      <c r="M2703" s="9"/>
      <c r="O2703" s="9"/>
    </row>
    <row r="2704" ht="15.75" customHeight="1">
      <c r="A2704" s="9" t="str">
        <f>IFERROR(__xludf.DUMMYFUNCTION("IF(B2704="""","""",RIGHT(REGEXREPLACE(B2704&amp;"""",""[^0-9]"",""""),9))"),"705828756")</f>
        <v>705828756</v>
      </c>
      <c r="B2704" s="10">
        <v>7.05828756E8</v>
      </c>
      <c r="C2704" s="10" t="s">
        <v>2799</v>
      </c>
      <c r="D2704" s="10" t="s">
        <v>20</v>
      </c>
      <c r="E2704" s="13">
        <v>46230.0</v>
      </c>
      <c r="F2704" s="10" t="s">
        <v>21</v>
      </c>
      <c r="G2704" s="10">
        <v>6.0</v>
      </c>
      <c r="I2704" s="10" t="s">
        <v>816</v>
      </c>
      <c r="J2704" s="9" t="str">
        <f t="shared" si="42"/>
        <v>No</v>
      </c>
      <c r="K2704" s="9" t="str">
        <f t="shared" si="43"/>
        <v/>
      </c>
      <c r="L2704" s="9" t="str">
        <f t="shared" si="44"/>
        <v/>
      </c>
      <c r="M2704" s="9"/>
      <c r="O2704" s="9"/>
    </row>
    <row r="2705" ht="15.75" customHeight="1">
      <c r="A2705" s="9" t="str">
        <f>IFERROR(__xludf.DUMMYFUNCTION("IF(B2705="""","""",RIGHT(REGEXREPLACE(B2705&amp;"""",""[^0-9]"",""""),9))"),"741963668")</f>
        <v>741963668</v>
      </c>
      <c r="B2705" s="10">
        <v>7.41963668E8</v>
      </c>
      <c r="C2705" s="10" t="s">
        <v>2800</v>
      </c>
      <c r="D2705" s="10" t="s">
        <v>20</v>
      </c>
      <c r="E2705" s="13">
        <v>46230.0</v>
      </c>
      <c r="F2705" s="10" t="s">
        <v>21</v>
      </c>
      <c r="I2705" s="10" t="s">
        <v>816</v>
      </c>
      <c r="J2705" s="9" t="str">
        <f t="shared" si="42"/>
        <v>No</v>
      </c>
      <c r="K2705" s="9" t="str">
        <f t="shared" si="43"/>
        <v/>
      </c>
      <c r="L2705" s="9" t="str">
        <f t="shared" si="44"/>
        <v/>
      </c>
      <c r="M2705" s="9"/>
      <c r="O2705" s="9"/>
    </row>
    <row r="2706" ht="15.75" customHeight="1">
      <c r="A2706" s="9" t="str">
        <f>IFERROR(__xludf.DUMMYFUNCTION("IF(B2706="""","""",RIGHT(REGEXREPLACE(B2706&amp;"""",""[^0-9]"",""""),9))"),"760183738")</f>
        <v>760183738</v>
      </c>
      <c r="B2706" s="10">
        <v>7.60183738E8</v>
      </c>
      <c r="C2706" s="10" t="s">
        <v>2801</v>
      </c>
      <c r="D2706" s="10" t="s">
        <v>20</v>
      </c>
      <c r="E2706" s="13">
        <v>46230.0</v>
      </c>
      <c r="F2706" s="10" t="s">
        <v>35</v>
      </c>
      <c r="G2706" s="10">
        <v>6.0</v>
      </c>
      <c r="H2706" s="10" t="s">
        <v>2772</v>
      </c>
      <c r="I2706" s="10" t="s">
        <v>816</v>
      </c>
      <c r="J2706" s="9" t="str">
        <f t="shared" si="42"/>
        <v>No</v>
      </c>
      <c r="K2706" s="9" t="str">
        <f t="shared" si="43"/>
        <v/>
      </c>
      <c r="L2706" s="9" t="str">
        <f t="shared" si="44"/>
        <v/>
      </c>
      <c r="M2706" s="9"/>
      <c r="O2706" s="9"/>
    </row>
    <row r="2707" ht="15.75" customHeight="1">
      <c r="A2707" s="9" t="str">
        <f>IFERROR(__xludf.DUMMYFUNCTION("IF(B2707="""","""",RIGHT(REGEXREPLACE(B2707&amp;"""",""[^0-9]"",""""),9))"),"717925829")</f>
        <v>717925829</v>
      </c>
      <c r="B2707" s="10">
        <v>7.17925829E8</v>
      </c>
      <c r="C2707" s="10" t="s">
        <v>2802</v>
      </c>
      <c r="D2707" s="10" t="s">
        <v>20</v>
      </c>
      <c r="E2707" s="13">
        <v>46230.0</v>
      </c>
      <c r="F2707" s="10" t="s">
        <v>35</v>
      </c>
      <c r="G2707" s="10">
        <v>7.0</v>
      </c>
      <c r="H2707" s="10" t="s">
        <v>2772</v>
      </c>
      <c r="I2707" s="10" t="s">
        <v>816</v>
      </c>
      <c r="J2707" s="9" t="str">
        <f t="shared" si="42"/>
        <v>No</v>
      </c>
      <c r="K2707" s="9" t="str">
        <f t="shared" si="43"/>
        <v/>
      </c>
      <c r="L2707" s="9" t="str">
        <f t="shared" si="44"/>
        <v/>
      </c>
      <c r="M2707" s="9"/>
      <c r="O2707" s="9"/>
    </row>
    <row r="2708" ht="15.75" customHeight="1">
      <c r="A2708" s="9" t="str">
        <f>IFERROR(__xludf.DUMMYFUNCTION("IF(B2708="""","""",RIGHT(REGEXREPLACE(B2708&amp;"""",""[^0-9]"",""""),9))"),"775424504")</f>
        <v>775424504</v>
      </c>
      <c r="B2708" s="10">
        <v>7.75424504E8</v>
      </c>
      <c r="C2708" s="10" t="s">
        <v>2803</v>
      </c>
      <c r="D2708" s="10" t="s">
        <v>20</v>
      </c>
      <c r="E2708" s="13">
        <v>46230.0</v>
      </c>
      <c r="F2708" s="10" t="s">
        <v>21</v>
      </c>
      <c r="G2708" s="10">
        <v>8.0</v>
      </c>
      <c r="I2708" s="10" t="s">
        <v>816</v>
      </c>
      <c r="J2708" s="9" t="str">
        <f t="shared" si="42"/>
        <v>No</v>
      </c>
      <c r="K2708" s="9" t="str">
        <f t="shared" si="43"/>
        <v/>
      </c>
      <c r="L2708" s="9" t="str">
        <f t="shared" si="44"/>
        <v/>
      </c>
      <c r="M2708" s="9"/>
      <c r="O2708" s="9"/>
    </row>
    <row r="2709" ht="15.75" customHeight="1">
      <c r="A2709" s="9" t="str">
        <f>IFERROR(__xludf.DUMMYFUNCTION("IF(B2709="""","""",RIGHT(REGEXREPLACE(B2709&amp;"""",""[^0-9]"",""""),9))"),"768078922")</f>
        <v>768078922</v>
      </c>
      <c r="B2709" s="10">
        <v>7.68078922E8</v>
      </c>
      <c r="C2709" s="10" t="s">
        <v>2804</v>
      </c>
      <c r="D2709" s="10" t="s">
        <v>20</v>
      </c>
      <c r="E2709" s="13">
        <v>46230.0</v>
      </c>
      <c r="F2709" s="10" t="s">
        <v>198</v>
      </c>
      <c r="G2709" s="10">
        <v>6.0</v>
      </c>
      <c r="I2709" s="10" t="s">
        <v>816</v>
      </c>
      <c r="J2709" s="9" t="str">
        <f t="shared" si="42"/>
        <v>No</v>
      </c>
      <c r="K2709" s="9" t="str">
        <f t="shared" si="43"/>
        <v/>
      </c>
      <c r="L2709" s="9" t="str">
        <f t="shared" si="44"/>
        <v/>
      </c>
      <c r="M2709" s="9"/>
      <c r="O2709" s="9"/>
    </row>
    <row r="2710" ht="15.75" customHeight="1">
      <c r="A2710" s="9" t="str">
        <f>IFERROR(__xludf.DUMMYFUNCTION("IF(B2710="""","""",RIGHT(REGEXREPLACE(B2710&amp;"""",""[^0-9]"",""""),9))"),"712097516")</f>
        <v>712097516</v>
      </c>
      <c r="B2710" s="10">
        <v>7.12097516E8</v>
      </c>
      <c r="C2710" s="10" t="s">
        <v>2805</v>
      </c>
      <c r="D2710" s="10" t="s">
        <v>20</v>
      </c>
      <c r="E2710" s="13">
        <v>46230.0</v>
      </c>
      <c r="F2710" s="10" t="s">
        <v>171</v>
      </c>
      <c r="G2710" s="10">
        <v>6.0</v>
      </c>
      <c r="I2710" s="10" t="s">
        <v>816</v>
      </c>
      <c r="J2710" s="9" t="str">
        <f t="shared" si="42"/>
        <v>No</v>
      </c>
      <c r="K2710" s="9" t="str">
        <f t="shared" si="43"/>
        <v/>
      </c>
      <c r="L2710" s="9" t="str">
        <f t="shared" si="44"/>
        <v/>
      </c>
      <c r="M2710" s="9"/>
      <c r="O2710" s="9"/>
    </row>
    <row r="2711" ht="15.75" customHeight="1">
      <c r="A2711" s="9" t="str">
        <f>IFERROR(__xludf.DUMMYFUNCTION("IF(B2711="""","""",RIGHT(REGEXREPLACE(B2711&amp;"""",""[^0-9]"",""""),9))"),"785155715")</f>
        <v>785155715</v>
      </c>
      <c r="B2711" s="10">
        <v>7.85155715E8</v>
      </c>
      <c r="C2711" s="10" t="s">
        <v>2806</v>
      </c>
      <c r="D2711" s="10" t="s">
        <v>20</v>
      </c>
      <c r="E2711" s="13">
        <v>46230.0</v>
      </c>
      <c r="F2711" s="10" t="s">
        <v>35</v>
      </c>
      <c r="G2711" s="10">
        <v>6.0</v>
      </c>
      <c r="H2711" s="10" t="s">
        <v>2772</v>
      </c>
      <c r="I2711" s="10" t="s">
        <v>816</v>
      </c>
      <c r="J2711" s="9" t="str">
        <f t="shared" si="42"/>
        <v>No</v>
      </c>
      <c r="K2711" s="9" t="str">
        <f t="shared" si="43"/>
        <v/>
      </c>
      <c r="L2711" s="9" t="str">
        <f t="shared" si="44"/>
        <v/>
      </c>
      <c r="M2711" s="9"/>
      <c r="O2711" s="9"/>
    </row>
    <row r="2712" ht="15.75" customHeight="1">
      <c r="A2712" s="9" t="str">
        <f>IFERROR(__xludf.DUMMYFUNCTION("IF(B2712="""","""",RIGHT(REGEXREPLACE(B2712&amp;"""",""[^0-9]"",""""),9))"),"703554833")</f>
        <v>703554833</v>
      </c>
      <c r="B2712" s="10">
        <v>7.03554833E8</v>
      </c>
      <c r="C2712" s="10" t="s">
        <v>2807</v>
      </c>
      <c r="D2712" s="10" t="s">
        <v>20</v>
      </c>
      <c r="E2712" s="13">
        <v>46230.0</v>
      </c>
      <c r="F2712" s="10" t="s">
        <v>35</v>
      </c>
      <c r="G2712" s="10">
        <v>6.0</v>
      </c>
      <c r="H2712" s="10" t="s">
        <v>2772</v>
      </c>
      <c r="I2712" s="10" t="s">
        <v>816</v>
      </c>
      <c r="J2712" s="9" t="str">
        <f t="shared" si="42"/>
        <v>No</v>
      </c>
      <c r="K2712" s="9" t="str">
        <f t="shared" si="43"/>
        <v/>
      </c>
      <c r="L2712" s="9" t="str">
        <f t="shared" si="44"/>
        <v/>
      </c>
      <c r="M2712" s="9"/>
      <c r="O2712" s="9"/>
    </row>
    <row r="2713" ht="15.75" customHeight="1">
      <c r="A2713" s="9" t="str">
        <f>IFERROR(__xludf.DUMMYFUNCTION("IF(B2713="""","""",RIGHT(REGEXREPLACE(B2713&amp;"""",""[^0-9]"",""""),9))"),"778295062")</f>
        <v>778295062</v>
      </c>
      <c r="B2713" s="10">
        <v>7.78295062E8</v>
      </c>
      <c r="C2713" s="10" t="s">
        <v>2808</v>
      </c>
      <c r="D2713" s="10" t="s">
        <v>20</v>
      </c>
      <c r="E2713" s="13">
        <v>46230.0</v>
      </c>
      <c r="F2713" s="10" t="s">
        <v>21</v>
      </c>
      <c r="G2713" s="10">
        <v>8.0</v>
      </c>
      <c r="I2713" s="10" t="s">
        <v>816</v>
      </c>
      <c r="J2713" s="9" t="str">
        <f t="shared" si="42"/>
        <v>No</v>
      </c>
      <c r="K2713" s="9" t="str">
        <f t="shared" si="43"/>
        <v/>
      </c>
      <c r="L2713" s="9" t="str">
        <f t="shared" si="44"/>
        <v/>
      </c>
      <c r="M2713" s="9"/>
      <c r="O2713" s="9"/>
    </row>
    <row r="2714" ht="15.75" customHeight="1">
      <c r="A2714" s="9" t="str">
        <f>IFERROR(__xludf.DUMMYFUNCTION("IF(B2714="""","""",RIGHT(REGEXREPLACE(B2714&amp;"""",""[^0-9]"",""""),9))"),"762074113")</f>
        <v>762074113</v>
      </c>
      <c r="B2714" s="10">
        <v>7.62074113E8</v>
      </c>
      <c r="C2714" s="10" t="s">
        <v>2809</v>
      </c>
      <c r="D2714" s="10" t="s">
        <v>20</v>
      </c>
      <c r="E2714" s="13">
        <v>46230.0</v>
      </c>
      <c r="F2714" s="10" t="s">
        <v>113</v>
      </c>
      <c r="G2714" s="10">
        <v>6.0</v>
      </c>
      <c r="I2714" s="10" t="s">
        <v>816</v>
      </c>
      <c r="J2714" s="9" t="str">
        <f t="shared" si="42"/>
        <v>No</v>
      </c>
      <c r="K2714" s="9" t="str">
        <f t="shared" si="43"/>
        <v/>
      </c>
      <c r="L2714" s="9" t="str">
        <f t="shared" si="44"/>
        <v/>
      </c>
      <c r="M2714" s="9"/>
      <c r="O2714" s="9"/>
    </row>
    <row r="2715" ht="15.75" customHeight="1">
      <c r="A2715" s="9" t="str">
        <f>IFERROR(__xludf.DUMMYFUNCTION("IF(B2715="""","""",RIGHT(REGEXREPLACE(B2715&amp;"""",""[^0-9]"",""""),9))"),"711959444")</f>
        <v>711959444</v>
      </c>
      <c r="B2715" s="10">
        <v>7.11959444E8</v>
      </c>
      <c r="C2715" s="10" t="s">
        <v>2810</v>
      </c>
      <c r="D2715" s="10" t="s">
        <v>20</v>
      </c>
      <c r="E2715" s="13">
        <v>46230.0</v>
      </c>
      <c r="F2715" s="10" t="s">
        <v>21</v>
      </c>
      <c r="I2715" s="10" t="s">
        <v>816</v>
      </c>
      <c r="J2715" s="9" t="str">
        <f t="shared" si="42"/>
        <v>No</v>
      </c>
      <c r="K2715" s="9" t="str">
        <f t="shared" si="43"/>
        <v/>
      </c>
      <c r="L2715" s="9" t="str">
        <f t="shared" si="44"/>
        <v/>
      </c>
      <c r="M2715" s="9"/>
      <c r="O2715" s="9"/>
    </row>
    <row r="2716" ht="15.75" customHeight="1">
      <c r="A2716" s="9" t="str">
        <f>IFERROR(__xludf.DUMMYFUNCTION("IF(B2716="""","""",RIGHT(REGEXREPLACE(B2716&amp;"""",""[^0-9]"",""""),9))"),"704482262")</f>
        <v>704482262</v>
      </c>
      <c r="B2716" s="10">
        <v>7.04482262E8</v>
      </c>
      <c r="C2716" s="10" t="s">
        <v>2811</v>
      </c>
      <c r="D2716" s="10" t="s">
        <v>20</v>
      </c>
      <c r="E2716" s="13">
        <v>46230.0</v>
      </c>
      <c r="F2716" s="10" t="s">
        <v>35</v>
      </c>
      <c r="G2716" s="10">
        <v>7.0</v>
      </c>
      <c r="I2716" s="10" t="s">
        <v>816</v>
      </c>
      <c r="J2716" s="9" t="str">
        <f t="shared" si="42"/>
        <v>No</v>
      </c>
      <c r="K2716" s="9" t="str">
        <f t="shared" si="43"/>
        <v/>
      </c>
      <c r="L2716" s="9" t="str">
        <f t="shared" si="44"/>
        <v/>
      </c>
      <c r="M2716" s="9"/>
      <c r="O2716" s="9"/>
    </row>
    <row r="2717" ht="15.75" customHeight="1">
      <c r="A2717" s="9" t="str">
        <f>IFERROR(__xludf.DUMMYFUNCTION("IF(B2717="""","""",RIGHT(REGEXREPLACE(B2717&amp;"""",""[^0-9]"",""""),9))"),"755606462")</f>
        <v>755606462</v>
      </c>
      <c r="B2717" s="10">
        <v>7.55606462E8</v>
      </c>
      <c r="C2717" s="10" t="s">
        <v>2812</v>
      </c>
      <c r="D2717" s="10" t="s">
        <v>20</v>
      </c>
      <c r="E2717" s="13">
        <v>46230.0</v>
      </c>
      <c r="F2717" s="10" t="s">
        <v>35</v>
      </c>
      <c r="G2717" s="10">
        <v>6.0</v>
      </c>
      <c r="I2717" s="10" t="s">
        <v>816</v>
      </c>
      <c r="J2717" s="9" t="str">
        <f t="shared" si="42"/>
        <v>No</v>
      </c>
      <c r="K2717" s="9" t="str">
        <f t="shared" si="43"/>
        <v/>
      </c>
      <c r="L2717" s="9" t="str">
        <f t="shared" si="44"/>
        <v/>
      </c>
      <c r="M2717" s="9"/>
      <c r="O2717" s="9"/>
    </row>
    <row r="2718" ht="15.75" customHeight="1">
      <c r="A2718" s="9" t="str">
        <f>IFERROR(__xludf.DUMMYFUNCTION("IF(B2718="""","""",RIGHT(REGEXREPLACE(B2718&amp;"""",""[^0-9]"",""""),9))"),"715793902")</f>
        <v>715793902</v>
      </c>
      <c r="B2718" s="10">
        <v>7.15793902E8</v>
      </c>
      <c r="C2718" s="10" t="s">
        <v>2813</v>
      </c>
      <c r="D2718" s="10" t="s">
        <v>20</v>
      </c>
      <c r="E2718" s="13">
        <v>46230.0</v>
      </c>
      <c r="F2718" s="10" t="s">
        <v>35</v>
      </c>
      <c r="G2718" s="10">
        <v>6.0</v>
      </c>
      <c r="H2718" s="10" t="s">
        <v>2814</v>
      </c>
      <c r="I2718" s="10" t="s">
        <v>816</v>
      </c>
      <c r="J2718" s="9" t="str">
        <f t="shared" si="42"/>
        <v>No</v>
      </c>
      <c r="K2718" s="9" t="str">
        <f t="shared" si="43"/>
        <v/>
      </c>
      <c r="L2718" s="9" t="str">
        <f t="shared" si="44"/>
        <v/>
      </c>
      <c r="M2718" s="9"/>
      <c r="O2718" s="9"/>
    </row>
    <row r="2719" ht="15.75" customHeight="1">
      <c r="A2719" s="9" t="str">
        <f>IFERROR(__xludf.DUMMYFUNCTION("IF(B2719="""","""",RIGHT(REGEXREPLACE(B2719&amp;"""",""[^0-9]"",""""),9))"),"763830256")</f>
        <v>763830256</v>
      </c>
      <c r="B2719" s="10">
        <v>7.63830256E8</v>
      </c>
      <c r="C2719" s="10" t="s">
        <v>2815</v>
      </c>
      <c r="D2719" s="10" t="s">
        <v>20</v>
      </c>
      <c r="E2719" s="13">
        <v>46230.0</v>
      </c>
      <c r="F2719" s="10" t="s">
        <v>113</v>
      </c>
      <c r="G2719" s="10">
        <v>11.0</v>
      </c>
      <c r="I2719" s="10" t="s">
        <v>816</v>
      </c>
      <c r="J2719" s="9" t="str">
        <f t="shared" si="42"/>
        <v>No</v>
      </c>
      <c r="K2719" s="9" t="str">
        <f t="shared" si="43"/>
        <v/>
      </c>
      <c r="L2719" s="9" t="str">
        <f t="shared" si="44"/>
        <v/>
      </c>
      <c r="M2719" s="9"/>
      <c r="O2719" s="9"/>
    </row>
    <row r="2720" ht="15.75" customHeight="1">
      <c r="A2720" s="9" t="str">
        <f>IFERROR(__xludf.DUMMYFUNCTION("IF(B2720="""","""",RIGHT(REGEXREPLACE(B2720&amp;"""",""[^0-9]"",""""),9))"),"768300625")</f>
        <v>768300625</v>
      </c>
      <c r="B2720" s="10">
        <v>7.68300625E8</v>
      </c>
      <c r="C2720" s="10" t="s">
        <v>2816</v>
      </c>
      <c r="D2720" s="10" t="s">
        <v>20</v>
      </c>
      <c r="E2720" s="13">
        <v>46230.0</v>
      </c>
      <c r="F2720" s="10" t="s">
        <v>648</v>
      </c>
      <c r="I2720" s="10" t="s">
        <v>816</v>
      </c>
      <c r="J2720" s="9" t="str">
        <f t="shared" si="42"/>
        <v>No</v>
      </c>
      <c r="K2720" s="9" t="str">
        <f t="shared" si="43"/>
        <v/>
      </c>
      <c r="L2720" s="9" t="str">
        <f t="shared" si="44"/>
        <v/>
      </c>
      <c r="M2720" s="9"/>
      <c r="O2720" s="9"/>
    </row>
    <row r="2721" ht="15.75" customHeight="1">
      <c r="A2721" s="9" t="str">
        <f>IFERROR(__xludf.DUMMYFUNCTION("IF(B2721="""","""",RIGHT(REGEXREPLACE(B2721&amp;"""",""[^0-9]"",""""),9))"),"767226790")</f>
        <v>767226790</v>
      </c>
      <c r="B2721" s="10">
        <v>7.6722679E8</v>
      </c>
      <c r="C2721" s="10" t="s">
        <v>2817</v>
      </c>
      <c r="D2721" s="10" t="s">
        <v>20</v>
      </c>
      <c r="E2721" s="13">
        <v>46230.0</v>
      </c>
      <c r="F2721" s="10" t="s">
        <v>604</v>
      </c>
      <c r="I2721" s="10" t="s">
        <v>816</v>
      </c>
      <c r="J2721" s="9" t="str">
        <f t="shared" si="42"/>
        <v>No</v>
      </c>
      <c r="K2721" s="9" t="str">
        <f t="shared" si="43"/>
        <v/>
      </c>
      <c r="L2721" s="9" t="str">
        <f t="shared" si="44"/>
        <v/>
      </c>
      <c r="M2721" s="9"/>
      <c r="O2721" s="9"/>
    </row>
    <row r="2722" ht="15.75" customHeight="1">
      <c r="A2722" s="9" t="str">
        <f>IFERROR(__xludf.DUMMYFUNCTION("IF(B2722="""","""",RIGHT(REGEXREPLACE(B2722&amp;"""",""[^0-9]"",""""),9))"),"750842407")</f>
        <v>750842407</v>
      </c>
      <c r="B2722" s="10">
        <v>7.50842407E8</v>
      </c>
      <c r="C2722" s="10" t="s">
        <v>2818</v>
      </c>
      <c r="D2722" s="10" t="s">
        <v>20</v>
      </c>
      <c r="E2722" s="13">
        <v>46230.0</v>
      </c>
      <c r="F2722" s="10" t="s">
        <v>604</v>
      </c>
      <c r="G2722" s="10">
        <v>6.0</v>
      </c>
      <c r="I2722" s="10" t="s">
        <v>816</v>
      </c>
      <c r="J2722" s="9" t="str">
        <f t="shared" si="42"/>
        <v>No</v>
      </c>
      <c r="K2722" s="9" t="str">
        <f t="shared" si="43"/>
        <v/>
      </c>
      <c r="L2722" s="9" t="str">
        <f t="shared" si="44"/>
        <v/>
      </c>
      <c r="M2722" s="9"/>
      <c r="O2722" s="9"/>
    </row>
    <row r="2723" ht="15.75" customHeight="1">
      <c r="A2723" s="9" t="str">
        <f>IFERROR(__xludf.DUMMYFUNCTION("IF(B2723="""","""",RIGHT(REGEXREPLACE(B2723&amp;"""",""[^0-9]"",""""),9))"),"772400908")</f>
        <v>772400908</v>
      </c>
      <c r="B2723" s="10">
        <v>7.72400908E8</v>
      </c>
      <c r="C2723" s="10" t="s">
        <v>2819</v>
      </c>
      <c r="D2723" s="10" t="s">
        <v>20</v>
      </c>
      <c r="E2723" s="13">
        <v>46230.0</v>
      </c>
      <c r="F2723" s="10" t="s">
        <v>21</v>
      </c>
      <c r="I2723" s="10" t="s">
        <v>816</v>
      </c>
      <c r="J2723" s="9" t="str">
        <f t="shared" si="42"/>
        <v>No</v>
      </c>
      <c r="K2723" s="9" t="str">
        <f t="shared" si="43"/>
        <v/>
      </c>
      <c r="L2723" s="9" t="str">
        <f t="shared" si="44"/>
        <v/>
      </c>
      <c r="M2723" s="9"/>
      <c r="O2723" s="9"/>
    </row>
    <row r="2724" ht="15.75" customHeight="1">
      <c r="A2724" s="9" t="str">
        <f>IFERROR(__xludf.DUMMYFUNCTION("IF(B2724="""","""",RIGHT(REGEXREPLACE(B2724&amp;"""",""[^0-9]"",""""),9))"),"765844958")</f>
        <v>765844958</v>
      </c>
      <c r="B2724" s="10">
        <v>7.65844958E8</v>
      </c>
      <c r="C2724" s="10" t="s">
        <v>2820</v>
      </c>
      <c r="D2724" s="10" t="s">
        <v>20</v>
      </c>
      <c r="E2724" s="13">
        <v>46230.0</v>
      </c>
      <c r="F2724" s="10" t="s">
        <v>35</v>
      </c>
      <c r="G2724" s="10">
        <v>9.0</v>
      </c>
      <c r="H2724" s="10" t="s">
        <v>1602</v>
      </c>
      <c r="I2724" s="10" t="s">
        <v>816</v>
      </c>
      <c r="J2724" s="9" t="str">
        <f t="shared" si="42"/>
        <v>No</v>
      </c>
      <c r="K2724" s="9" t="str">
        <f t="shared" si="43"/>
        <v/>
      </c>
      <c r="L2724" s="9" t="str">
        <f t="shared" si="44"/>
        <v/>
      </c>
      <c r="M2724" s="9"/>
      <c r="O2724" s="9"/>
    </row>
    <row r="2725" ht="15.75" customHeight="1">
      <c r="A2725" s="9" t="str">
        <f>IFERROR(__xludf.DUMMYFUNCTION("IF(B2725="""","""",RIGHT(REGEXREPLACE(B2725&amp;"""",""[^0-9]"",""""),9))"),"760011499")</f>
        <v>760011499</v>
      </c>
      <c r="B2725" s="10">
        <v>7.60011499E8</v>
      </c>
      <c r="C2725" s="10" t="s">
        <v>2821</v>
      </c>
      <c r="D2725" s="10" t="s">
        <v>20</v>
      </c>
      <c r="E2725" s="13">
        <v>46230.0</v>
      </c>
      <c r="F2725" s="10" t="s">
        <v>21</v>
      </c>
      <c r="G2725" s="10">
        <v>6.0</v>
      </c>
      <c r="I2725" s="10" t="s">
        <v>816</v>
      </c>
      <c r="J2725" s="9" t="str">
        <f t="shared" si="42"/>
        <v>No</v>
      </c>
      <c r="K2725" s="9" t="str">
        <f t="shared" si="43"/>
        <v/>
      </c>
      <c r="L2725" s="9" t="str">
        <f t="shared" si="44"/>
        <v/>
      </c>
      <c r="M2725" s="9"/>
      <c r="O2725" s="9"/>
    </row>
    <row r="2726" ht="15.75" customHeight="1">
      <c r="A2726" s="9" t="str">
        <f>IFERROR(__xludf.DUMMYFUNCTION("IF(B2726="""","""",RIGHT(REGEXREPLACE(B2726&amp;"""",""[^0-9]"",""""),9))"),"705260820")</f>
        <v>705260820</v>
      </c>
      <c r="B2726" s="10">
        <v>7.0526082E8</v>
      </c>
      <c r="C2726" s="10" t="s">
        <v>2822</v>
      </c>
      <c r="D2726" s="10" t="s">
        <v>20</v>
      </c>
      <c r="E2726" s="13">
        <v>46230.0</v>
      </c>
      <c r="F2726" s="10" t="s">
        <v>35</v>
      </c>
      <c r="G2726" s="10">
        <v>10.0</v>
      </c>
      <c r="I2726" s="10" t="s">
        <v>816</v>
      </c>
      <c r="J2726" s="9" t="str">
        <f t="shared" si="42"/>
        <v>No</v>
      </c>
      <c r="K2726" s="9" t="str">
        <f t="shared" si="43"/>
        <v/>
      </c>
      <c r="L2726" s="9" t="str">
        <f t="shared" si="44"/>
        <v/>
      </c>
      <c r="M2726" s="9"/>
      <c r="O2726" s="9"/>
    </row>
    <row r="2727" ht="15.75" customHeight="1">
      <c r="A2727" s="9" t="str">
        <f>IFERROR(__xludf.DUMMYFUNCTION("IF(B2727="""","""",RIGHT(REGEXREPLACE(B2727&amp;"""",""[^0-9]"",""""),9))"),"772885694")</f>
        <v>772885694</v>
      </c>
      <c r="B2727" s="10">
        <v>7.72885694E8</v>
      </c>
      <c r="C2727" s="10" t="s">
        <v>2823</v>
      </c>
      <c r="D2727" s="10" t="s">
        <v>20</v>
      </c>
      <c r="E2727" s="13">
        <v>46230.0</v>
      </c>
      <c r="F2727" s="10" t="s">
        <v>35</v>
      </c>
      <c r="G2727" s="10">
        <v>7.0</v>
      </c>
      <c r="I2727" s="10" t="s">
        <v>816</v>
      </c>
      <c r="J2727" s="9" t="str">
        <f t="shared" si="42"/>
        <v>No</v>
      </c>
      <c r="K2727" s="9" t="str">
        <f t="shared" si="43"/>
        <v/>
      </c>
      <c r="L2727" s="9" t="str">
        <f t="shared" si="44"/>
        <v/>
      </c>
      <c r="M2727" s="9"/>
      <c r="O2727" s="9"/>
    </row>
    <row r="2728" ht="15.75" customHeight="1">
      <c r="A2728" s="9" t="str">
        <f>IFERROR(__xludf.DUMMYFUNCTION("IF(B2728="""","""",RIGHT(REGEXREPLACE(B2728&amp;"""",""[^0-9]"",""""),9))"),"742619550")</f>
        <v>742619550</v>
      </c>
      <c r="B2728" s="10">
        <v>7.4261955E8</v>
      </c>
      <c r="C2728" s="10" t="s">
        <v>2824</v>
      </c>
      <c r="D2728" s="10" t="s">
        <v>20</v>
      </c>
      <c r="E2728" s="13">
        <v>46230.0</v>
      </c>
      <c r="F2728" s="10" t="s">
        <v>604</v>
      </c>
      <c r="I2728" s="10" t="s">
        <v>816</v>
      </c>
      <c r="J2728" s="9" t="str">
        <f t="shared" si="42"/>
        <v>No</v>
      </c>
      <c r="K2728" s="9" t="str">
        <f t="shared" si="43"/>
        <v/>
      </c>
      <c r="L2728" s="9" t="str">
        <f t="shared" si="44"/>
        <v/>
      </c>
      <c r="M2728" s="9"/>
      <c r="O2728" s="9"/>
    </row>
    <row r="2729" ht="15.75" customHeight="1">
      <c r="A2729" s="9" t="str">
        <f>IFERROR(__xludf.DUMMYFUNCTION("IF(B2729="""","""",RIGHT(REGEXREPLACE(B2729&amp;"""",""[^0-9]"",""""),9))"),"765998589")</f>
        <v>765998589</v>
      </c>
      <c r="B2729" s="10">
        <v>7.65998589E8</v>
      </c>
      <c r="C2729" s="10" t="s">
        <v>2825</v>
      </c>
      <c r="D2729" s="10" t="s">
        <v>20</v>
      </c>
      <c r="E2729" s="13">
        <v>46230.0</v>
      </c>
      <c r="F2729" s="10" t="s">
        <v>113</v>
      </c>
      <c r="G2729" s="10">
        <v>7.0</v>
      </c>
      <c r="I2729" s="10" t="s">
        <v>816</v>
      </c>
      <c r="J2729" s="9" t="str">
        <f t="shared" si="42"/>
        <v>No</v>
      </c>
      <c r="K2729" s="9" t="str">
        <f t="shared" si="43"/>
        <v/>
      </c>
      <c r="L2729" s="9" t="str">
        <f t="shared" si="44"/>
        <v/>
      </c>
      <c r="M2729" s="9"/>
      <c r="O2729" s="9"/>
    </row>
    <row r="2730" ht="15.75" customHeight="1">
      <c r="A2730" s="9" t="str">
        <f>IFERROR(__xludf.DUMMYFUNCTION("IF(B2730="""","""",RIGHT(REGEXREPLACE(B2730&amp;"""",""[^0-9]"",""""),9))"),"774475855")</f>
        <v>774475855</v>
      </c>
      <c r="B2730" s="10">
        <v>7.74475855E8</v>
      </c>
      <c r="C2730" s="10" t="s">
        <v>2826</v>
      </c>
      <c r="D2730" s="10" t="s">
        <v>20</v>
      </c>
      <c r="E2730" s="13">
        <v>46230.0</v>
      </c>
      <c r="F2730" s="10" t="s">
        <v>35</v>
      </c>
      <c r="G2730" s="10">
        <v>6.0</v>
      </c>
      <c r="I2730" s="10" t="s">
        <v>816</v>
      </c>
      <c r="J2730" s="9" t="str">
        <f t="shared" si="42"/>
        <v>No</v>
      </c>
      <c r="K2730" s="9" t="str">
        <f t="shared" si="43"/>
        <v/>
      </c>
      <c r="L2730" s="9" t="str">
        <f t="shared" si="44"/>
        <v/>
      </c>
      <c r="M2730" s="9"/>
      <c r="O2730" s="9"/>
    </row>
    <row r="2731" ht="15.75" customHeight="1">
      <c r="A2731" s="9" t="str">
        <f>IFERROR(__xludf.DUMMYFUNCTION("IF(B2731="""","""",RIGHT(REGEXREPLACE(B2731&amp;"""",""[^0-9]"",""""),9))"),"772249282")</f>
        <v>772249282</v>
      </c>
      <c r="B2731" s="10">
        <v>7.72249282E8</v>
      </c>
      <c r="C2731" s="10" t="s">
        <v>2827</v>
      </c>
      <c r="D2731" s="10" t="s">
        <v>20</v>
      </c>
      <c r="E2731" s="13">
        <v>46230.0</v>
      </c>
      <c r="F2731" s="10" t="s">
        <v>21</v>
      </c>
      <c r="G2731" s="10">
        <v>7.0</v>
      </c>
      <c r="I2731" s="10" t="s">
        <v>816</v>
      </c>
      <c r="J2731" s="9" t="str">
        <f t="shared" si="42"/>
        <v>No</v>
      </c>
      <c r="K2731" s="9" t="str">
        <f t="shared" si="43"/>
        <v/>
      </c>
      <c r="L2731" s="9" t="str">
        <f t="shared" si="44"/>
        <v/>
      </c>
      <c r="M2731" s="9"/>
      <c r="O2731" s="9"/>
    </row>
    <row r="2732" ht="15.75" customHeight="1">
      <c r="A2732" s="9" t="str">
        <f>IFERROR(__xludf.DUMMYFUNCTION("IF(B2732="""","""",RIGHT(REGEXREPLACE(B2732&amp;"""",""[^0-9]"",""""),9))"),"770288408")</f>
        <v>770288408</v>
      </c>
      <c r="B2732" s="10">
        <v>7.70288408E8</v>
      </c>
      <c r="C2732" s="10" t="s">
        <v>2828</v>
      </c>
      <c r="D2732" s="10" t="s">
        <v>20</v>
      </c>
      <c r="E2732" s="13">
        <v>46230.0</v>
      </c>
      <c r="F2732" s="10" t="s">
        <v>35</v>
      </c>
      <c r="G2732" s="10">
        <v>8.0</v>
      </c>
      <c r="H2732" s="10" t="s">
        <v>2170</v>
      </c>
      <c r="I2732" s="10" t="s">
        <v>816</v>
      </c>
      <c r="J2732" s="9" t="str">
        <f t="shared" si="42"/>
        <v>No</v>
      </c>
      <c r="K2732" s="9" t="str">
        <f t="shared" si="43"/>
        <v/>
      </c>
      <c r="L2732" s="9" t="str">
        <f t="shared" si="44"/>
        <v/>
      </c>
      <c r="M2732" s="9"/>
      <c r="O2732" s="9"/>
    </row>
    <row r="2733" ht="15.75" customHeight="1">
      <c r="A2733" s="9" t="str">
        <f>IFERROR(__xludf.DUMMYFUNCTION("IF(B2733="""","""",RIGHT(REGEXREPLACE(B2733&amp;"""",""[^0-9]"",""""),9))"),"774797312")</f>
        <v>774797312</v>
      </c>
      <c r="B2733" s="10">
        <v>7.74797312E8</v>
      </c>
      <c r="C2733" s="10" t="s">
        <v>2829</v>
      </c>
      <c r="D2733" s="10" t="s">
        <v>20</v>
      </c>
      <c r="E2733" s="13">
        <v>46230.0</v>
      </c>
      <c r="F2733" s="10" t="s">
        <v>35</v>
      </c>
      <c r="G2733" s="10">
        <v>6.0</v>
      </c>
      <c r="I2733" s="10" t="s">
        <v>816</v>
      </c>
      <c r="J2733" s="9" t="str">
        <f t="shared" si="42"/>
        <v>No</v>
      </c>
      <c r="K2733" s="9" t="str">
        <f t="shared" si="43"/>
        <v/>
      </c>
      <c r="L2733" s="9" t="str">
        <f t="shared" si="44"/>
        <v/>
      </c>
      <c r="M2733" s="9"/>
      <c r="O2733" s="9"/>
    </row>
    <row r="2734" ht="15.75" customHeight="1">
      <c r="A2734" s="9" t="str">
        <f>IFERROR(__xludf.DUMMYFUNCTION("IF(B2734="""","""",RIGHT(REGEXREPLACE(B2734&amp;"""",""[^0-9]"",""""),9))"),"717003606")</f>
        <v>717003606</v>
      </c>
      <c r="B2734" s="10">
        <v>7.17003606E8</v>
      </c>
      <c r="C2734" s="10" t="s">
        <v>2830</v>
      </c>
      <c r="D2734" s="10" t="s">
        <v>20</v>
      </c>
      <c r="E2734" s="13">
        <v>46230.0</v>
      </c>
      <c r="F2734" s="10" t="s">
        <v>35</v>
      </c>
      <c r="G2734" s="10">
        <v>7.0</v>
      </c>
      <c r="H2734" s="10" t="s">
        <v>1291</v>
      </c>
      <c r="I2734" s="10" t="s">
        <v>816</v>
      </c>
      <c r="J2734" s="9" t="str">
        <f t="shared" si="42"/>
        <v>No</v>
      </c>
      <c r="K2734" s="9" t="str">
        <f t="shared" si="43"/>
        <v/>
      </c>
      <c r="L2734" s="9" t="str">
        <f t="shared" si="44"/>
        <v/>
      </c>
      <c r="M2734" s="9"/>
      <c r="O2734" s="9"/>
    </row>
    <row r="2735" ht="15.75" customHeight="1">
      <c r="A2735" s="9" t="str">
        <f>IFERROR(__xludf.DUMMYFUNCTION("IF(B2735="""","""",RIGHT(REGEXREPLACE(B2735&amp;"""",""[^0-9]"",""""),9))"),"769255952")</f>
        <v>769255952</v>
      </c>
      <c r="B2735" s="10">
        <v>7.69255952E8</v>
      </c>
      <c r="C2735" s="10" t="s">
        <v>2831</v>
      </c>
      <c r="D2735" s="10" t="s">
        <v>20</v>
      </c>
      <c r="E2735" s="13">
        <v>46230.0</v>
      </c>
      <c r="F2735" s="10" t="s">
        <v>35</v>
      </c>
      <c r="G2735" s="10" t="s">
        <v>2027</v>
      </c>
      <c r="I2735" s="10" t="s">
        <v>816</v>
      </c>
      <c r="J2735" s="9" t="str">
        <f t="shared" si="42"/>
        <v>No</v>
      </c>
      <c r="K2735" s="9" t="str">
        <f t="shared" si="43"/>
        <v/>
      </c>
      <c r="L2735" s="9" t="str">
        <f t="shared" si="44"/>
        <v/>
      </c>
      <c r="M2735" s="9"/>
      <c r="O2735" s="9"/>
    </row>
    <row r="2736" ht="15.75" customHeight="1">
      <c r="A2736" s="9" t="str">
        <f>IFERROR(__xludf.DUMMYFUNCTION("IF(B2736="""","""",RIGHT(REGEXREPLACE(B2736&amp;"""",""[^0-9]"",""""),9))"),"784907133")</f>
        <v>784907133</v>
      </c>
      <c r="B2736" s="10">
        <v>7.84907133E8</v>
      </c>
      <c r="C2736" s="10" t="s">
        <v>2832</v>
      </c>
      <c r="D2736" s="10" t="s">
        <v>20</v>
      </c>
      <c r="E2736" s="13">
        <v>46230.0</v>
      </c>
      <c r="F2736" s="10" t="s">
        <v>35</v>
      </c>
      <c r="G2736" s="10">
        <v>7.0</v>
      </c>
      <c r="I2736" s="10" t="s">
        <v>816</v>
      </c>
      <c r="J2736" s="9" t="str">
        <f t="shared" si="42"/>
        <v>No</v>
      </c>
      <c r="K2736" s="9" t="str">
        <f t="shared" si="43"/>
        <v/>
      </c>
      <c r="L2736" s="9" t="str">
        <f t="shared" si="44"/>
        <v/>
      </c>
      <c r="M2736" s="9"/>
      <c r="O2736" s="9"/>
    </row>
    <row r="2737" ht="15.75" customHeight="1">
      <c r="A2737" s="9" t="str">
        <f>IFERROR(__xludf.DUMMYFUNCTION("IF(B2737="""","""",RIGHT(REGEXREPLACE(B2737&amp;"""",""[^0-9]"",""""),9))"),"763951300")</f>
        <v>763951300</v>
      </c>
      <c r="B2737" s="10">
        <v>7.639513E8</v>
      </c>
      <c r="C2737" s="10" t="s">
        <v>2833</v>
      </c>
      <c r="D2737" s="10" t="s">
        <v>20</v>
      </c>
      <c r="E2737" s="13">
        <v>46230.0</v>
      </c>
      <c r="F2737" s="10" t="s">
        <v>21</v>
      </c>
      <c r="G2737" s="10">
        <v>10.0</v>
      </c>
      <c r="I2737" s="10" t="s">
        <v>816</v>
      </c>
      <c r="J2737" s="9" t="str">
        <f t="shared" si="42"/>
        <v>No</v>
      </c>
      <c r="K2737" s="9" t="str">
        <f t="shared" si="43"/>
        <v/>
      </c>
      <c r="L2737" s="9" t="str">
        <f t="shared" si="44"/>
        <v/>
      </c>
      <c r="M2737" s="9"/>
      <c r="O2737" s="9"/>
    </row>
    <row r="2738" ht="15.75" customHeight="1">
      <c r="A2738" s="9" t="str">
        <f>IFERROR(__xludf.DUMMYFUNCTION("IF(B2738="""","""",RIGHT(REGEXREPLACE(B2738&amp;"""",""[^0-9]"",""""),9))"),"775176267")</f>
        <v>775176267</v>
      </c>
      <c r="B2738" s="10">
        <v>7.75176267E8</v>
      </c>
      <c r="C2738" s="10" t="s">
        <v>2834</v>
      </c>
      <c r="D2738" s="10" t="s">
        <v>20</v>
      </c>
      <c r="E2738" s="13">
        <v>46230.0</v>
      </c>
      <c r="F2738" s="10" t="s">
        <v>35</v>
      </c>
      <c r="G2738" s="10">
        <v>6.0</v>
      </c>
      <c r="I2738" s="10" t="s">
        <v>816</v>
      </c>
      <c r="J2738" s="9" t="str">
        <f t="shared" si="42"/>
        <v>No</v>
      </c>
      <c r="K2738" s="9" t="str">
        <f t="shared" si="43"/>
        <v/>
      </c>
      <c r="L2738" s="9" t="str">
        <f t="shared" si="44"/>
        <v/>
      </c>
      <c r="M2738" s="9"/>
      <c r="O2738" s="9"/>
    </row>
    <row r="2739" ht="15.75" customHeight="1">
      <c r="A2739" s="9" t="str">
        <f>IFERROR(__xludf.DUMMYFUNCTION("IF(B2739="""","""",RIGHT(REGEXREPLACE(B2739&amp;"""",""[^0-9]"",""""),9))"),"722547547")</f>
        <v>722547547</v>
      </c>
      <c r="B2739" s="10">
        <v>7.22547547E8</v>
      </c>
      <c r="C2739" s="10" t="s">
        <v>2835</v>
      </c>
      <c r="D2739" s="10" t="s">
        <v>20</v>
      </c>
      <c r="E2739" s="13">
        <v>46230.0</v>
      </c>
      <c r="F2739" s="10" t="s">
        <v>198</v>
      </c>
      <c r="I2739" s="10" t="s">
        <v>816</v>
      </c>
      <c r="J2739" s="9" t="str">
        <f t="shared" si="42"/>
        <v>No</v>
      </c>
      <c r="K2739" s="9" t="str">
        <f t="shared" si="43"/>
        <v/>
      </c>
      <c r="L2739" s="9" t="str">
        <f t="shared" si="44"/>
        <v/>
      </c>
      <c r="M2739" s="9"/>
      <c r="O2739" s="9"/>
    </row>
    <row r="2740" ht="15.75" customHeight="1">
      <c r="A2740" s="9" t="str">
        <f>IFERROR(__xludf.DUMMYFUNCTION("IF(B2740="""","""",RIGHT(REGEXREPLACE(B2740&amp;"""",""[^0-9]"",""""),9))"),"725282078")</f>
        <v>725282078</v>
      </c>
      <c r="B2740" s="10">
        <v>7.25282078E8</v>
      </c>
      <c r="C2740" s="10" t="s">
        <v>2836</v>
      </c>
      <c r="D2740" s="10" t="s">
        <v>20</v>
      </c>
      <c r="E2740" s="13">
        <v>46230.0</v>
      </c>
      <c r="F2740" s="10" t="s">
        <v>171</v>
      </c>
      <c r="G2740" s="10">
        <v>6.0</v>
      </c>
      <c r="I2740" s="10" t="s">
        <v>816</v>
      </c>
      <c r="J2740" s="9" t="str">
        <f t="shared" si="42"/>
        <v>No</v>
      </c>
      <c r="K2740" s="9" t="str">
        <f t="shared" si="43"/>
        <v/>
      </c>
      <c r="L2740" s="9" t="str">
        <f t="shared" si="44"/>
        <v/>
      </c>
      <c r="M2740" s="9"/>
      <c r="O2740" s="9"/>
    </row>
    <row r="2741" ht="15.75" customHeight="1">
      <c r="A2741" s="9" t="str">
        <f>IFERROR(__xludf.DUMMYFUNCTION("IF(B2741="""","""",RIGHT(REGEXREPLACE(B2741&amp;"""",""[^0-9]"",""""),9))"),"703237937")</f>
        <v>703237937</v>
      </c>
      <c r="B2741" s="10">
        <v>7.03237937E8</v>
      </c>
      <c r="C2741" s="10" t="s">
        <v>2837</v>
      </c>
      <c r="D2741" s="10" t="s">
        <v>20</v>
      </c>
      <c r="E2741" s="13">
        <v>46230.0</v>
      </c>
      <c r="F2741" s="10" t="s">
        <v>21</v>
      </c>
      <c r="I2741" s="10" t="s">
        <v>816</v>
      </c>
      <c r="J2741" s="9" t="str">
        <f t="shared" si="42"/>
        <v>No</v>
      </c>
      <c r="K2741" s="9" t="str">
        <f t="shared" si="43"/>
        <v/>
      </c>
      <c r="L2741" s="9" t="str">
        <f t="shared" si="44"/>
        <v/>
      </c>
      <c r="M2741" s="9"/>
      <c r="O2741" s="9"/>
    </row>
    <row r="2742" ht="15.75" customHeight="1">
      <c r="A2742" s="9" t="str">
        <f>IFERROR(__xludf.DUMMYFUNCTION("IF(B2742="""","""",RIGHT(REGEXREPLACE(B2742&amp;"""",""[^0-9]"",""""),9))"),"714501245")</f>
        <v>714501245</v>
      </c>
      <c r="B2742" s="10">
        <v>7.14501245E8</v>
      </c>
      <c r="C2742" s="10" t="s">
        <v>2838</v>
      </c>
      <c r="D2742" s="10" t="s">
        <v>20</v>
      </c>
      <c r="E2742" s="13">
        <v>46230.0</v>
      </c>
      <c r="F2742" s="10" t="s">
        <v>35</v>
      </c>
      <c r="G2742" s="10">
        <v>6.0</v>
      </c>
      <c r="H2742" s="10" t="s">
        <v>2839</v>
      </c>
      <c r="I2742" s="10" t="s">
        <v>816</v>
      </c>
      <c r="J2742" s="9" t="str">
        <f t="shared" si="42"/>
        <v>No</v>
      </c>
      <c r="K2742" s="9" t="str">
        <f t="shared" si="43"/>
        <v/>
      </c>
      <c r="L2742" s="9" t="str">
        <f t="shared" si="44"/>
        <v/>
      </c>
      <c r="M2742" s="9"/>
      <c r="O2742" s="9"/>
    </row>
    <row r="2743" ht="15.75" customHeight="1">
      <c r="A2743" s="9" t="str">
        <f>IFERROR(__xludf.DUMMYFUNCTION("IF(B2743="""","""",RIGHT(REGEXREPLACE(B2743&amp;"""",""[^0-9]"",""""),9))"),"761010473")</f>
        <v>761010473</v>
      </c>
      <c r="B2743" s="10">
        <v>7.61010473E8</v>
      </c>
      <c r="C2743" s="10" t="s">
        <v>2840</v>
      </c>
      <c r="D2743" s="10" t="s">
        <v>20</v>
      </c>
      <c r="E2743" s="13">
        <v>46230.0</v>
      </c>
      <c r="F2743" s="10" t="s">
        <v>171</v>
      </c>
      <c r="G2743" s="10">
        <v>6.0</v>
      </c>
      <c r="I2743" s="10" t="s">
        <v>816</v>
      </c>
      <c r="J2743" s="9" t="str">
        <f t="shared" si="42"/>
        <v>No</v>
      </c>
      <c r="K2743" s="9" t="str">
        <f t="shared" si="43"/>
        <v/>
      </c>
      <c r="L2743" s="9" t="str">
        <f t="shared" si="44"/>
        <v/>
      </c>
      <c r="M2743" s="9"/>
      <c r="O2743" s="9"/>
    </row>
    <row r="2744" ht="15.75" customHeight="1">
      <c r="A2744" s="9" t="str">
        <f>IFERROR(__xludf.DUMMYFUNCTION("IF(B2744="""","""",RIGHT(REGEXREPLACE(B2744&amp;"""",""[^0-9]"",""""),9))"),"717837937")</f>
        <v>717837937</v>
      </c>
      <c r="B2744" s="10">
        <v>7.17837937E8</v>
      </c>
      <c r="C2744" s="10" t="s">
        <v>2841</v>
      </c>
      <c r="D2744" s="10" t="s">
        <v>20</v>
      </c>
      <c r="E2744" s="13">
        <v>46230.0</v>
      </c>
      <c r="F2744" s="10" t="s">
        <v>35</v>
      </c>
      <c r="G2744" s="10">
        <v>6.0</v>
      </c>
      <c r="H2744" s="10" t="s">
        <v>1764</v>
      </c>
      <c r="I2744" s="10" t="s">
        <v>816</v>
      </c>
      <c r="J2744" s="9" t="str">
        <f t="shared" si="42"/>
        <v>No</v>
      </c>
      <c r="K2744" s="9" t="str">
        <f t="shared" si="43"/>
        <v/>
      </c>
      <c r="L2744" s="9" t="str">
        <f t="shared" si="44"/>
        <v/>
      </c>
      <c r="M2744" s="9"/>
      <c r="O2744" s="9"/>
    </row>
    <row r="2745" ht="15.75" customHeight="1">
      <c r="A2745" s="9" t="str">
        <f>IFERROR(__xludf.DUMMYFUNCTION("IF(B2745="""","""",RIGHT(REGEXREPLACE(B2745&amp;"""",""[^0-9]"",""""),9))"),"762142128")</f>
        <v>762142128</v>
      </c>
      <c r="B2745" s="10">
        <v>7.62142128E8</v>
      </c>
      <c r="C2745" s="10" t="s">
        <v>2842</v>
      </c>
      <c r="D2745" s="10" t="s">
        <v>20</v>
      </c>
      <c r="E2745" s="13">
        <v>46230.0</v>
      </c>
      <c r="F2745" s="10" t="s">
        <v>35</v>
      </c>
      <c r="G2745" s="10">
        <v>8.0</v>
      </c>
      <c r="I2745" s="10" t="s">
        <v>816</v>
      </c>
      <c r="J2745" s="9" t="str">
        <f t="shared" si="42"/>
        <v>No</v>
      </c>
      <c r="K2745" s="9" t="str">
        <f t="shared" si="43"/>
        <v/>
      </c>
      <c r="L2745" s="9" t="str">
        <f t="shared" si="44"/>
        <v/>
      </c>
      <c r="M2745" s="9"/>
      <c r="O2745" s="9"/>
    </row>
    <row r="2746" ht="15.75" customHeight="1">
      <c r="A2746" s="9" t="str">
        <f>IFERROR(__xludf.DUMMYFUNCTION("IF(B2746="""","""",RIGHT(REGEXREPLACE(B2746&amp;"""",""[^0-9]"",""""),9))"),"773774582")</f>
        <v>773774582</v>
      </c>
      <c r="B2746" s="10">
        <v>7.73774582E8</v>
      </c>
      <c r="C2746" s="10" t="s">
        <v>2843</v>
      </c>
      <c r="D2746" s="10" t="s">
        <v>20</v>
      </c>
      <c r="E2746" s="13">
        <v>46230.0</v>
      </c>
      <c r="F2746" s="10" t="s">
        <v>35</v>
      </c>
      <c r="G2746" s="10">
        <v>6.0</v>
      </c>
      <c r="H2746" s="10" t="s">
        <v>238</v>
      </c>
      <c r="I2746" s="10" t="s">
        <v>816</v>
      </c>
      <c r="J2746" s="9" t="str">
        <f t="shared" si="42"/>
        <v>No</v>
      </c>
      <c r="K2746" s="9" t="str">
        <f t="shared" si="43"/>
        <v/>
      </c>
      <c r="L2746" s="9" t="str">
        <f t="shared" si="44"/>
        <v/>
      </c>
      <c r="M2746" s="9"/>
      <c r="O2746" s="9"/>
    </row>
    <row r="2747" ht="15.75" customHeight="1">
      <c r="A2747" s="9" t="str">
        <f>IFERROR(__xludf.DUMMYFUNCTION("IF(B2747="""","""",RIGHT(REGEXREPLACE(B2747&amp;"""",""[^0-9]"",""""),9))"),"711246085")</f>
        <v>711246085</v>
      </c>
      <c r="B2747" s="10">
        <v>7.11246085E8</v>
      </c>
      <c r="C2747" s="10" t="s">
        <v>2844</v>
      </c>
      <c r="D2747" s="10" t="s">
        <v>20</v>
      </c>
      <c r="E2747" s="13">
        <v>46230.0</v>
      </c>
      <c r="F2747" s="10" t="s">
        <v>21</v>
      </c>
      <c r="G2747" s="10">
        <v>6.0</v>
      </c>
      <c r="I2747" s="10" t="s">
        <v>816</v>
      </c>
      <c r="J2747" s="9" t="str">
        <f t="shared" si="42"/>
        <v>No</v>
      </c>
      <c r="K2747" s="9" t="str">
        <f t="shared" si="43"/>
        <v/>
      </c>
      <c r="L2747" s="9" t="str">
        <f t="shared" si="44"/>
        <v/>
      </c>
      <c r="M2747" s="9"/>
      <c r="O2747" s="9"/>
    </row>
    <row r="2748" ht="15.75" customHeight="1">
      <c r="A2748" s="9" t="str">
        <f>IFERROR(__xludf.DUMMYFUNCTION("IF(B2748="""","""",RIGHT(REGEXREPLACE(B2748&amp;"""",""[^0-9]"",""""),9))"),"717656125")</f>
        <v>717656125</v>
      </c>
      <c r="B2748" s="10">
        <v>7.17656125E8</v>
      </c>
      <c r="C2748" s="10" t="s">
        <v>2845</v>
      </c>
      <c r="D2748" s="10" t="s">
        <v>20</v>
      </c>
      <c r="E2748" s="13">
        <v>46230.0</v>
      </c>
      <c r="F2748" s="10" t="s">
        <v>21</v>
      </c>
      <c r="G2748" s="10">
        <v>6.0</v>
      </c>
      <c r="I2748" s="10" t="s">
        <v>816</v>
      </c>
      <c r="J2748" s="9" t="str">
        <f t="shared" si="42"/>
        <v>No</v>
      </c>
      <c r="K2748" s="9" t="str">
        <f t="shared" si="43"/>
        <v/>
      </c>
      <c r="L2748" s="9" t="str">
        <f t="shared" si="44"/>
        <v/>
      </c>
      <c r="M2748" s="9"/>
      <c r="O2748" s="9"/>
    </row>
    <row r="2749" ht="15.75" customHeight="1">
      <c r="A2749" s="9" t="str">
        <f>IFERROR(__xludf.DUMMYFUNCTION("IF(B2749="""","""",RIGHT(REGEXREPLACE(B2749&amp;"""",""[^0-9]"",""""),9))"),"773133954")</f>
        <v>773133954</v>
      </c>
      <c r="B2749" s="10">
        <v>7.73133954E8</v>
      </c>
      <c r="C2749" s="10" t="s">
        <v>2846</v>
      </c>
      <c r="D2749" s="10" t="s">
        <v>20</v>
      </c>
      <c r="E2749" s="13">
        <v>46230.0</v>
      </c>
      <c r="F2749" s="10" t="s">
        <v>35</v>
      </c>
      <c r="G2749" s="10">
        <v>6.0</v>
      </c>
      <c r="I2749" s="10" t="s">
        <v>816</v>
      </c>
      <c r="J2749" s="9" t="str">
        <f t="shared" si="42"/>
        <v>No</v>
      </c>
      <c r="K2749" s="9" t="str">
        <f t="shared" si="43"/>
        <v/>
      </c>
      <c r="L2749" s="9" t="str">
        <f t="shared" si="44"/>
        <v/>
      </c>
      <c r="M2749" s="9"/>
      <c r="O2749" s="9"/>
    </row>
    <row r="2750" ht="15.75" customHeight="1">
      <c r="A2750" s="9" t="str">
        <f>IFERROR(__xludf.DUMMYFUNCTION("IF(B2750="""","""",RIGHT(REGEXREPLACE(B2750&amp;"""",""[^0-9]"",""""),9))"),"766516412")</f>
        <v>766516412</v>
      </c>
      <c r="B2750" s="10">
        <v>7.66516412E8</v>
      </c>
      <c r="C2750" s="10" t="s">
        <v>2847</v>
      </c>
      <c r="D2750" s="10" t="s">
        <v>20</v>
      </c>
      <c r="E2750" s="13">
        <v>46230.0</v>
      </c>
      <c r="F2750" s="10" t="s">
        <v>35</v>
      </c>
      <c r="G2750" s="10">
        <v>6.0</v>
      </c>
      <c r="I2750" s="10" t="s">
        <v>816</v>
      </c>
      <c r="J2750" s="9" t="str">
        <f t="shared" si="42"/>
        <v>No</v>
      </c>
      <c r="K2750" s="9" t="str">
        <f t="shared" si="43"/>
        <v/>
      </c>
      <c r="L2750" s="9" t="str">
        <f t="shared" si="44"/>
        <v/>
      </c>
      <c r="M2750" s="9"/>
      <c r="O2750" s="9"/>
    </row>
    <row r="2751" ht="15.75" customHeight="1">
      <c r="A2751" s="9" t="str">
        <f>IFERROR(__xludf.DUMMYFUNCTION("IF(B2751="""","""",RIGHT(REGEXREPLACE(B2751&amp;"""",""[^0-9]"",""""),9))"),"767280359")</f>
        <v>767280359</v>
      </c>
      <c r="B2751" s="10">
        <v>7.67280359E8</v>
      </c>
      <c r="C2751" s="10" t="s">
        <v>2848</v>
      </c>
      <c r="D2751" s="10" t="s">
        <v>20</v>
      </c>
      <c r="E2751" s="13">
        <v>46230.0</v>
      </c>
      <c r="F2751" s="10" t="s">
        <v>21</v>
      </c>
      <c r="I2751" s="10" t="s">
        <v>816</v>
      </c>
      <c r="J2751" s="9" t="str">
        <f t="shared" si="42"/>
        <v>No</v>
      </c>
      <c r="K2751" s="9" t="str">
        <f t="shared" si="43"/>
        <v/>
      </c>
      <c r="L2751" s="9" t="str">
        <f t="shared" si="44"/>
        <v/>
      </c>
      <c r="M2751" s="9"/>
      <c r="O2751" s="9"/>
    </row>
    <row r="2752" ht="15.75" customHeight="1">
      <c r="A2752" s="9" t="str">
        <f>IFERROR(__xludf.DUMMYFUNCTION("IF(B2752="""","""",RIGHT(REGEXREPLACE(B2752&amp;"""",""[^0-9]"",""""),9))"),"710468182")</f>
        <v>710468182</v>
      </c>
      <c r="B2752" s="10">
        <v>7.10468182E8</v>
      </c>
      <c r="C2752" s="10" t="s">
        <v>2849</v>
      </c>
      <c r="D2752" s="10" t="s">
        <v>20</v>
      </c>
      <c r="E2752" s="13">
        <v>46230.0</v>
      </c>
      <c r="F2752" s="10" t="s">
        <v>35</v>
      </c>
      <c r="G2752" s="10">
        <v>8.0</v>
      </c>
      <c r="I2752" s="10" t="s">
        <v>816</v>
      </c>
      <c r="J2752" s="9" t="str">
        <f t="shared" si="42"/>
        <v>No</v>
      </c>
      <c r="K2752" s="9" t="str">
        <f t="shared" si="43"/>
        <v/>
      </c>
      <c r="L2752" s="9" t="str">
        <f t="shared" si="44"/>
        <v/>
      </c>
      <c r="M2752" s="9"/>
      <c r="O2752" s="9"/>
    </row>
    <row r="2753" ht="15.75" customHeight="1">
      <c r="A2753" s="9" t="str">
        <f>IFERROR(__xludf.DUMMYFUNCTION("IF(B2753="""","""",RIGHT(REGEXREPLACE(B2753&amp;"""",""[^0-9]"",""""),9))"),"772266951")</f>
        <v>772266951</v>
      </c>
      <c r="B2753" s="10">
        <v>7.72266951E8</v>
      </c>
      <c r="C2753" s="10" t="s">
        <v>2850</v>
      </c>
      <c r="D2753" s="10" t="s">
        <v>20</v>
      </c>
      <c r="E2753" s="13">
        <v>46230.0</v>
      </c>
      <c r="F2753" s="10" t="s">
        <v>21</v>
      </c>
      <c r="G2753" s="10">
        <v>6.0</v>
      </c>
      <c r="I2753" s="10" t="s">
        <v>816</v>
      </c>
      <c r="J2753" s="9" t="str">
        <f t="shared" si="42"/>
        <v>No</v>
      </c>
      <c r="K2753" s="9" t="str">
        <f t="shared" si="43"/>
        <v/>
      </c>
      <c r="L2753" s="9" t="str">
        <f t="shared" si="44"/>
        <v/>
      </c>
      <c r="M2753" s="9"/>
      <c r="O2753" s="9"/>
    </row>
    <row r="2754" ht="15.75" customHeight="1">
      <c r="A2754" s="9" t="str">
        <f>IFERROR(__xludf.DUMMYFUNCTION("IF(B2754="""","""",RIGHT(REGEXREPLACE(B2754&amp;"""",""[^0-9]"",""""),9))"),"761959993")</f>
        <v>761959993</v>
      </c>
      <c r="B2754" s="10">
        <v>7.61959993E8</v>
      </c>
      <c r="C2754" s="10" t="s">
        <v>2851</v>
      </c>
      <c r="D2754" s="10" t="s">
        <v>20</v>
      </c>
      <c r="E2754" s="13">
        <v>46230.0</v>
      </c>
      <c r="F2754" s="10" t="s">
        <v>35</v>
      </c>
      <c r="G2754" s="10" t="s">
        <v>2852</v>
      </c>
      <c r="H2754" s="10" t="s">
        <v>567</v>
      </c>
      <c r="I2754" s="10" t="s">
        <v>816</v>
      </c>
      <c r="J2754" s="9" t="str">
        <f t="shared" si="42"/>
        <v>No</v>
      </c>
      <c r="K2754" s="9" t="str">
        <f t="shared" si="43"/>
        <v/>
      </c>
      <c r="L2754" s="9" t="str">
        <f t="shared" si="44"/>
        <v/>
      </c>
      <c r="M2754" s="9"/>
      <c r="O2754" s="9"/>
    </row>
    <row r="2755" ht="15.75" customHeight="1">
      <c r="A2755" s="9" t="str">
        <f>IFERROR(__xludf.DUMMYFUNCTION("IF(B2755="""","""",RIGHT(REGEXREPLACE(B2755&amp;"""",""[^0-9]"",""""),9))"),"741748719")</f>
        <v>741748719</v>
      </c>
      <c r="B2755" s="10">
        <v>7.41748719E8</v>
      </c>
      <c r="C2755" s="10" t="s">
        <v>2739</v>
      </c>
      <c r="D2755" s="10" t="s">
        <v>20</v>
      </c>
      <c r="E2755" s="13">
        <v>46230.0</v>
      </c>
      <c r="F2755" s="10" t="s">
        <v>35</v>
      </c>
      <c r="G2755" s="10">
        <v>6.0</v>
      </c>
      <c r="I2755" s="10" t="s">
        <v>816</v>
      </c>
      <c r="J2755" s="9" t="str">
        <f t="shared" si="42"/>
        <v>No</v>
      </c>
      <c r="K2755" s="9" t="str">
        <f t="shared" si="43"/>
        <v/>
      </c>
      <c r="L2755" s="9" t="str">
        <f t="shared" si="44"/>
        <v/>
      </c>
      <c r="M2755" s="9"/>
      <c r="O2755" s="9"/>
    </row>
    <row r="2756" ht="15.75" customHeight="1">
      <c r="A2756" s="9" t="str">
        <f>IFERROR(__xludf.DUMMYFUNCTION("IF(B2756="""","""",RIGHT(REGEXREPLACE(B2756&amp;"""",""[^0-9]"",""""),9))"),"773365306")</f>
        <v>773365306</v>
      </c>
      <c r="B2756" s="10">
        <v>7.73365306E8</v>
      </c>
      <c r="C2756" s="10" t="s">
        <v>2853</v>
      </c>
      <c r="D2756" s="10" t="s">
        <v>20</v>
      </c>
      <c r="E2756" s="13">
        <v>46230.0</v>
      </c>
      <c r="F2756" s="10" t="s">
        <v>35</v>
      </c>
      <c r="G2756" s="10">
        <v>6.0</v>
      </c>
      <c r="I2756" s="10" t="s">
        <v>816</v>
      </c>
      <c r="J2756" s="9" t="str">
        <f t="shared" si="42"/>
        <v>No</v>
      </c>
      <c r="K2756" s="9" t="str">
        <f t="shared" si="43"/>
        <v/>
      </c>
      <c r="L2756" s="9" t="str">
        <f t="shared" si="44"/>
        <v/>
      </c>
      <c r="M2756" s="9"/>
      <c r="O2756" s="9"/>
    </row>
    <row r="2757" ht="15.75" customHeight="1">
      <c r="A2757" s="9" t="str">
        <f>IFERROR(__xludf.DUMMYFUNCTION("IF(B2757="""","""",RIGHT(REGEXREPLACE(B2757&amp;"""",""[^0-9]"",""""),9))"),"714681886")</f>
        <v>714681886</v>
      </c>
      <c r="B2757" s="10">
        <v>7.14681886E8</v>
      </c>
      <c r="C2757" s="10" t="s">
        <v>2854</v>
      </c>
      <c r="D2757" s="10" t="s">
        <v>20</v>
      </c>
      <c r="E2757" s="13">
        <v>46230.0</v>
      </c>
      <c r="F2757" s="10" t="s">
        <v>171</v>
      </c>
      <c r="I2757" s="10" t="s">
        <v>816</v>
      </c>
      <c r="J2757" s="9" t="str">
        <f t="shared" si="42"/>
        <v>No</v>
      </c>
      <c r="K2757" s="9" t="str">
        <f t="shared" si="43"/>
        <v/>
      </c>
      <c r="L2757" s="9" t="str">
        <f t="shared" si="44"/>
        <v/>
      </c>
      <c r="M2757" s="9"/>
      <c r="O2757" s="9"/>
    </row>
    <row r="2758" ht="15.75" customHeight="1">
      <c r="A2758" s="9" t="str">
        <f>IFERROR(__xludf.DUMMYFUNCTION("IF(B2758="""","""",RIGHT(REGEXREPLACE(B2758&amp;"""",""[^0-9]"",""""),9))"),"764620795")</f>
        <v>764620795</v>
      </c>
      <c r="B2758" s="10">
        <v>7.64620795E8</v>
      </c>
      <c r="C2758" s="10" t="s">
        <v>2855</v>
      </c>
      <c r="D2758" s="10" t="s">
        <v>20</v>
      </c>
      <c r="E2758" s="13">
        <v>46230.0</v>
      </c>
      <c r="F2758" s="10" t="s">
        <v>35</v>
      </c>
      <c r="G2758" s="10">
        <v>6.0</v>
      </c>
      <c r="I2758" s="10" t="s">
        <v>816</v>
      </c>
      <c r="J2758" s="9" t="str">
        <f t="shared" si="42"/>
        <v>No</v>
      </c>
      <c r="K2758" s="9" t="str">
        <f t="shared" si="43"/>
        <v/>
      </c>
      <c r="L2758" s="9" t="str">
        <f t="shared" si="44"/>
        <v/>
      </c>
      <c r="M2758" s="9"/>
      <c r="O2758" s="9"/>
    </row>
    <row r="2759" ht="15.75" customHeight="1">
      <c r="A2759" s="9" t="str">
        <f>IFERROR(__xludf.DUMMYFUNCTION("IF(B2759="""","""",RIGHT(REGEXREPLACE(B2759&amp;"""",""[^0-9]"",""""),9))"),"768025065")</f>
        <v>768025065</v>
      </c>
      <c r="B2759" s="10">
        <v>7.68025065E8</v>
      </c>
      <c r="C2759" s="10" t="s">
        <v>2856</v>
      </c>
      <c r="D2759" s="10" t="s">
        <v>20</v>
      </c>
      <c r="E2759" s="13">
        <v>46230.0</v>
      </c>
      <c r="F2759" s="10" t="s">
        <v>35</v>
      </c>
      <c r="G2759" s="10">
        <v>8.0</v>
      </c>
      <c r="I2759" s="10" t="s">
        <v>816</v>
      </c>
      <c r="J2759" s="9" t="str">
        <f t="shared" si="42"/>
        <v>No</v>
      </c>
      <c r="K2759" s="9" t="str">
        <f t="shared" si="43"/>
        <v/>
      </c>
      <c r="L2759" s="9" t="str">
        <f t="shared" si="44"/>
        <v/>
      </c>
      <c r="M2759" s="9"/>
      <c r="O2759" s="9"/>
    </row>
    <row r="2760" ht="15.75" customHeight="1">
      <c r="A2760" s="9" t="str">
        <f>IFERROR(__xludf.DUMMYFUNCTION("IF(B2760="""","""",RIGHT(REGEXREPLACE(B2760&amp;"""",""[^0-9]"",""""),9))"),"775877462")</f>
        <v>775877462</v>
      </c>
      <c r="B2760" s="10">
        <v>7.75877462E8</v>
      </c>
      <c r="C2760" s="10" t="s">
        <v>2857</v>
      </c>
      <c r="D2760" s="10" t="s">
        <v>20</v>
      </c>
      <c r="E2760" s="13">
        <v>46230.0</v>
      </c>
      <c r="F2760" s="10" t="s">
        <v>21</v>
      </c>
      <c r="G2760" s="10">
        <v>6.0</v>
      </c>
      <c r="H2760" s="10" t="s">
        <v>567</v>
      </c>
      <c r="I2760" s="10" t="s">
        <v>816</v>
      </c>
      <c r="J2760" s="9" t="str">
        <f t="shared" si="42"/>
        <v>No</v>
      </c>
      <c r="K2760" s="9" t="str">
        <f t="shared" si="43"/>
        <v/>
      </c>
      <c r="L2760" s="9" t="str">
        <f t="shared" si="44"/>
        <v/>
      </c>
      <c r="M2760" s="9"/>
      <c r="O2760" s="9"/>
    </row>
    <row r="2761" ht="15.75" customHeight="1">
      <c r="A2761" s="9" t="str">
        <f>IFERROR(__xludf.DUMMYFUNCTION("IF(B2761="""","""",RIGHT(REGEXREPLACE(B2761&amp;"""",""[^0-9]"",""""),9))"),"715163303")</f>
        <v>715163303</v>
      </c>
      <c r="B2761" s="10">
        <v>7.15163303E8</v>
      </c>
      <c r="C2761" s="10" t="s">
        <v>2858</v>
      </c>
      <c r="D2761" s="10" t="s">
        <v>20</v>
      </c>
      <c r="E2761" s="13">
        <v>46230.0</v>
      </c>
      <c r="F2761" s="10" t="s">
        <v>604</v>
      </c>
      <c r="I2761" s="10" t="s">
        <v>816</v>
      </c>
      <c r="J2761" s="9" t="str">
        <f t="shared" si="42"/>
        <v>No</v>
      </c>
      <c r="K2761" s="9" t="str">
        <f t="shared" si="43"/>
        <v/>
      </c>
      <c r="L2761" s="9" t="str">
        <f t="shared" si="44"/>
        <v/>
      </c>
      <c r="M2761" s="9"/>
      <c r="O2761" s="9"/>
    </row>
    <row r="2762" ht="15.75" customHeight="1">
      <c r="A2762" s="9" t="str">
        <f>IFERROR(__xludf.DUMMYFUNCTION("IF(B2762="""","""",RIGHT(REGEXREPLACE(B2762&amp;"""",""[^0-9]"",""""),9))"),"716369488")</f>
        <v>716369488</v>
      </c>
      <c r="B2762" s="10">
        <v>7.16369488E8</v>
      </c>
      <c r="C2762" s="10" t="s">
        <v>2859</v>
      </c>
      <c r="D2762" s="10" t="s">
        <v>20</v>
      </c>
      <c r="E2762" s="13">
        <v>46230.0</v>
      </c>
      <c r="F2762" s="10" t="s">
        <v>35</v>
      </c>
      <c r="G2762" s="10">
        <v>7.0</v>
      </c>
      <c r="I2762" s="10" t="s">
        <v>816</v>
      </c>
      <c r="J2762" s="9" t="str">
        <f t="shared" si="42"/>
        <v>No</v>
      </c>
      <c r="K2762" s="9" t="str">
        <f t="shared" si="43"/>
        <v/>
      </c>
      <c r="L2762" s="9" t="str">
        <f t="shared" si="44"/>
        <v/>
      </c>
      <c r="M2762" s="9"/>
      <c r="O2762" s="9"/>
    </row>
    <row r="2763" ht="15.75" customHeight="1">
      <c r="A2763" s="9" t="str">
        <f>IFERROR(__xludf.DUMMYFUNCTION("IF(B2763="""","""",RIGHT(REGEXREPLACE(B2763&amp;"""",""[^0-9]"",""""),9))"),"769788415")</f>
        <v>769788415</v>
      </c>
      <c r="B2763" s="10">
        <v>7.69788415E8</v>
      </c>
      <c r="C2763" s="10" t="s">
        <v>2860</v>
      </c>
      <c r="D2763" s="10" t="s">
        <v>20</v>
      </c>
      <c r="E2763" s="13">
        <v>46230.0</v>
      </c>
      <c r="F2763" s="10" t="s">
        <v>35</v>
      </c>
      <c r="G2763" s="10">
        <v>5.0</v>
      </c>
      <c r="I2763" s="10" t="s">
        <v>816</v>
      </c>
      <c r="J2763" s="9" t="str">
        <f t="shared" si="42"/>
        <v>No</v>
      </c>
      <c r="K2763" s="9" t="str">
        <f t="shared" si="43"/>
        <v/>
      </c>
      <c r="L2763" s="9" t="str">
        <f t="shared" si="44"/>
        <v/>
      </c>
      <c r="M2763" s="9"/>
      <c r="O2763" s="9"/>
    </row>
    <row r="2764" ht="15.75" customHeight="1">
      <c r="A2764" s="9" t="str">
        <f>IFERROR(__xludf.DUMMYFUNCTION("IF(B2764="""","""",RIGHT(REGEXREPLACE(B2764&amp;"""",""[^0-9]"",""""),9))"),"779969256")</f>
        <v>779969256</v>
      </c>
      <c r="B2764" s="10">
        <v>7.79969256E8</v>
      </c>
      <c r="C2764" s="10" t="s">
        <v>2861</v>
      </c>
      <c r="D2764" s="10" t="s">
        <v>20</v>
      </c>
      <c r="E2764" s="13">
        <v>46230.0</v>
      </c>
      <c r="F2764" s="10" t="s">
        <v>35</v>
      </c>
      <c r="G2764" s="10">
        <v>6.0</v>
      </c>
      <c r="I2764" s="10" t="s">
        <v>816</v>
      </c>
      <c r="J2764" s="9" t="str">
        <f t="shared" si="42"/>
        <v>No</v>
      </c>
      <c r="K2764" s="9" t="str">
        <f t="shared" si="43"/>
        <v/>
      </c>
      <c r="L2764" s="9" t="str">
        <f t="shared" si="44"/>
        <v/>
      </c>
      <c r="M2764" s="9"/>
      <c r="O2764" s="9"/>
    </row>
    <row r="2765" ht="15.75" customHeight="1">
      <c r="A2765" s="9" t="str">
        <f>IFERROR(__xludf.DUMMYFUNCTION("IF(B2765="""","""",RIGHT(REGEXREPLACE(B2765&amp;"""",""[^0-9]"",""""),9))"),"701411909")</f>
        <v>701411909</v>
      </c>
      <c r="B2765" s="10">
        <v>7.01411909E8</v>
      </c>
      <c r="C2765" s="10" t="s">
        <v>2862</v>
      </c>
      <c r="D2765" s="10" t="s">
        <v>20</v>
      </c>
      <c r="E2765" s="13">
        <v>46230.0</v>
      </c>
      <c r="F2765" s="10" t="s">
        <v>35</v>
      </c>
      <c r="G2765" s="10">
        <v>11.0</v>
      </c>
      <c r="H2765" s="10" t="s">
        <v>2477</v>
      </c>
      <c r="I2765" s="10" t="s">
        <v>816</v>
      </c>
      <c r="J2765" s="9" t="str">
        <f t="shared" si="42"/>
        <v>No</v>
      </c>
      <c r="K2765" s="9" t="str">
        <f t="shared" si="43"/>
        <v/>
      </c>
      <c r="L2765" s="9" t="str">
        <f t="shared" si="44"/>
        <v/>
      </c>
      <c r="M2765" s="9"/>
      <c r="O2765" s="9"/>
    </row>
    <row r="2766" ht="15.75" customHeight="1">
      <c r="A2766" s="9" t="str">
        <f>IFERROR(__xludf.DUMMYFUNCTION("IF(B2766="""","""",RIGHT(REGEXREPLACE(B2766&amp;"""",""[^0-9]"",""""),9))"),"713716835")</f>
        <v>713716835</v>
      </c>
      <c r="B2766" s="10">
        <v>7.13716835E8</v>
      </c>
      <c r="C2766" s="10" t="s">
        <v>2863</v>
      </c>
      <c r="D2766" s="10" t="s">
        <v>20</v>
      </c>
      <c r="E2766" s="13">
        <v>46230.0</v>
      </c>
      <c r="F2766" s="10" t="s">
        <v>21</v>
      </c>
      <c r="I2766" s="10" t="s">
        <v>816</v>
      </c>
      <c r="J2766" s="9" t="str">
        <f t="shared" si="42"/>
        <v>No</v>
      </c>
      <c r="K2766" s="9" t="str">
        <f t="shared" si="43"/>
        <v/>
      </c>
      <c r="L2766" s="9" t="str">
        <f t="shared" si="44"/>
        <v/>
      </c>
      <c r="M2766" s="9"/>
      <c r="O2766" s="9"/>
    </row>
    <row r="2767" ht="15.75" customHeight="1">
      <c r="A2767" s="9" t="str">
        <f>IFERROR(__xludf.DUMMYFUNCTION("IF(B2767="""","""",RIGHT(REGEXREPLACE(B2767&amp;"""",""[^0-9]"",""""),9))"),"772575162")</f>
        <v>772575162</v>
      </c>
      <c r="B2767" s="48">
        <v>7.72575162E8</v>
      </c>
      <c r="C2767" s="10" t="s">
        <v>2864</v>
      </c>
      <c r="D2767" s="10" t="s">
        <v>97</v>
      </c>
      <c r="E2767" s="13">
        <v>46230.0</v>
      </c>
      <c r="F2767" s="10" t="s">
        <v>35</v>
      </c>
      <c r="H2767" s="10" t="s">
        <v>2865</v>
      </c>
      <c r="I2767" s="10" t="s">
        <v>22</v>
      </c>
      <c r="J2767" s="9" t="str">
        <f t="shared" si="42"/>
        <v>No</v>
      </c>
      <c r="K2767" s="9" t="str">
        <f t="shared" si="43"/>
        <v/>
      </c>
      <c r="L2767" s="9" t="str">
        <f t="shared" si="44"/>
        <v/>
      </c>
      <c r="M2767" s="9"/>
      <c r="O2767" s="9"/>
    </row>
    <row r="2768" ht="15.75" customHeight="1">
      <c r="A2768" s="9" t="str">
        <f>IFERROR(__xludf.DUMMYFUNCTION("IF(B2768="""","""",RIGHT(REGEXREPLACE(B2768&amp;"""",""[^0-9]"",""""),9))"),"703182847")</f>
        <v>703182847</v>
      </c>
      <c r="B2768" s="48">
        <v>7.03182847E8</v>
      </c>
      <c r="C2768" s="10" t="s">
        <v>2866</v>
      </c>
      <c r="D2768" s="10" t="s">
        <v>69</v>
      </c>
      <c r="E2768" s="13">
        <v>46230.0</v>
      </c>
      <c r="F2768" s="10" t="s">
        <v>35</v>
      </c>
      <c r="G2768" s="10">
        <v>9.0</v>
      </c>
      <c r="H2768" s="10" t="s">
        <v>716</v>
      </c>
      <c r="I2768" s="10" t="s">
        <v>22</v>
      </c>
      <c r="J2768" s="9" t="str">
        <f t="shared" si="42"/>
        <v>No</v>
      </c>
      <c r="K2768" s="9" t="str">
        <f t="shared" si="43"/>
        <v/>
      </c>
      <c r="L2768" s="9" t="str">
        <f t="shared" si="44"/>
        <v/>
      </c>
      <c r="M2768" s="9"/>
      <c r="O2768" s="9"/>
    </row>
    <row r="2769" ht="15.75" customHeight="1">
      <c r="A2769" s="9" t="str">
        <f>IFERROR(__xludf.DUMMYFUNCTION("IF(B2769="""","""",RIGHT(REGEXREPLACE(B2769&amp;"""",""[^0-9]"",""""),9))"),"760523951")</f>
        <v>760523951</v>
      </c>
      <c r="B2769" s="48">
        <v>7.60523951E8</v>
      </c>
      <c r="C2769" s="10" t="s">
        <v>2867</v>
      </c>
      <c r="D2769" s="10" t="s">
        <v>105</v>
      </c>
      <c r="E2769" s="13">
        <v>46230.0</v>
      </c>
      <c r="F2769" s="10" t="s">
        <v>113</v>
      </c>
      <c r="I2769" s="10" t="s">
        <v>22</v>
      </c>
      <c r="J2769" s="9" t="str">
        <f t="shared" si="42"/>
        <v>No</v>
      </c>
      <c r="K2769" s="9" t="str">
        <f t="shared" si="43"/>
        <v/>
      </c>
      <c r="L2769" s="9" t="str">
        <f t="shared" si="44"/>
        <v/>
      </c>
      <c r="M2769" s="9"/>
      <c r="O2769" s="9"/>
    </row>
    <row r="2770" ht="15.75" customHeight="1">
      <c r="A2770" s="9" t="str">
        <f>IFERROR(__xludf.DUMMYFUNCTION("IF(B2770="""","""",RIGHT(REGEXREPLACE(B2770&amp;"""",""[^0-9]"",""""),9))"),"718203942")</f>
        <v>718203942</v>
      </c>
      <c r="B2770" s="48">
        <v>7.18203942E8</v>
      </c>
      <c r="C2770" s="10" t="s">
        <v>2868</v>
      </c>
      <c r="D2770" s="10" t="s">
        <v>50</v>
      </c>
      <c r="E2770" s="13">
        <v>46230.0</v>
      </c>
      <c r="F2770" s="10" t="s">
        <v>21</v>
      </c>
      <c r="G2770" s="10">
        <v>11.0</v>
      </c>
      <c r="I2770" s="10" t="s">
        <v>22</v>
      </c>
      <c r="J2770" s="9" t="str">
        <f t="shared" si="42"/>
        <v>No</v>
      </c>
      <c r="K2770" s="9" t="str">
        <f t="shared" si="43"/>
        <v/>
      </c>
      <c r="L2770" s="9" t="str">
        <f t="shared" si="44"/>
        <v/>
      </c>
      <c r="M2770" s="9"/>
      <c r="O2770" s="9"/>
    </row>
    <row r="2771" ht="15.75" customHeight="1">
      <c r="A2771" s="9" t="str">
        <f>IFERROR(__xludf.DUMMYFUNCTION("IF(B2771="""","""",RIGHT(REGEXREPLACE(B2771&amp;"""",""[^0-9]"",""""),9))"),"716172104")</f>
        <v>716172104</v>
      </c>
      <c r="B2771" s="48">
        <v>7.16172104E8</v>
      </c>
      <c r="C2771" s="10" t="s">
        <v>2869</v>
      </c>
      <c r="D2771" s="10" t="s">
        <v>97</v>
      </c>
      <c r="E2771" s="13">
        <v>46230.0</v>
      </c>
      <c r="F2771" s="10" t="s">
        <v>35</v>
      </c>
      <c r="G2771" s="10">
        <v>11.0</v>
      </c>
      <c r="H2771" s="10" t="s">
        <v>1448</v>
      </c>
      <c r="I2771" s="10" t="s">
        <v>22</v>
      </c>
      <c r="J2771" s="9" t="str">
        <f t="shared" si="42"/>
        <v>No</v>
      </c>
      <c r="K2771" s="9" t="str">
        <f t="shared" si="43"/>
        <v/>
      </c>
      <c r="L2771" s="9" t="str">
        <f t="shared" si="44"/>
        <v/>
      </c>
      <c r="M2771" s="9"/>
      <c r="O2771" s="9"/>
    </row>
    <row r="2772" ht="15.75" customHeight="1">
      <c r="A2772" s="9" t="str">
        <f>IFERROR(__xludf.DUMMYFUNCTION("IF(B2772="""","""",RIGHT(REGEXREPLACE(B2772&amp;"""",""[^0-9]"",""""),9))"),"765947055")</f>
        <v>765947055</v>
      </c>
      <c r="B2772" s="48">
        <v>7.65947055E8</v>
      </c>
      <c r="C2772" s="10" t="s">
        <v>2870</v>
      </c>
      <c r="D2772" s="10" t="s">
        <v>34</v>
      </c>
      <c r="E2772" s="13">
        <v>46230.0</v>
      </c>
      <c r="F2772" s="10" t="s">
        <v>35</v>
      </c>
      <c r="G2772" s="10">
        <v>11.0</v>
      </c>
      <c r="I2772" s="10" t="s">
        <v>22</v>
      </c>
      <c r="J2772" s="9" t="str">
        <f t="shared" si="42"/>
        <v>No</v>
      </c>
      <c r="K2772" s="9" t="str">
        <f t="shared" si="43"/>
        <v/>
      </c>
      <c r="L2772" s="9" t="str">
        <f t="shared" si="44"/>
        <v/>
      </c>
      <c r="M2772" s="9"/>
      <c r="O2772" s="9"/>
    </row>
    <row r="2773" ht="15.75" customHeight="1">
      <c r="A2773" s="9" t="str">
        <f>IFERROR(__xludf.DUMMYFUNCTION("IF(B2773="""","""",RIGHT(REGEXREPLACE(B2773&amp;"""",""[^0-9]"",""""),9))"),"772731272")</f>
        <v>772731272</v>
      </c>
      <c r="B2773" s="48">
        <v>7.72731272E8</v>
      </c>
      <c r="C2773" s="10" t="s">
        <v>2871</v>
      </c>
      <c r="D2773" s="10" t="s">
        <v>50</v>
      </c>
      <c r="E2773" s="13">
        <v>46230.0</v>
      </c>
      <c r="F2773" s="10" t="s">
        <v>35</v>
      </c>
      <c r="I2773" s="10" t="s">
        <v>22</v>
      </c>
      <c r="J2773" s="9" t="str">
        <f t="shared" si="42"/>
        <v>No</v>
      </c>
      <c r="K2773" s="9" t="str">
        <f t="shared" si="43"/>
        <v/>
      </c>
      <c r="L2773" s="9" t="str">
        <f t="shared" si="44"/>
        <v/>
      </c>
      <c r="M2773" s="9"/>
      <c r="O2773" s="9"/>
    </row>
    <row r="2774" ht="15.75" customHeight="1">
      <c r="A2774" s="9" t="str">
        <f>IFERROR(__xludf.DUMMYFUNCTION("IF(B2774="""","""",RIGHT(REGEXREPLACE(B2774&amp;"""",""[^0-9]"",""""),9))"),"741560623")</f>
        <v>741560623</v>
      </c>
      <c r="B2774" s="48">
        <v>7.41560623E8</v>
      </c>
      <c r="C2774" s="10" t="s">
        <v>2872</v>
      </c>
      <c r="D2774" s="10" t="s">
        <v>105</v>
      </c>
      <c r="E2774" s="13">
        <v>46230.0</v>
      </c>
      <c r="F2774" s="10" t="s">
        <v>145</v>
      </c>
      <c r="G2774" s="10">
        <v>10.0</v>
      </c>
      <c r="I2774" s="10" t="s">
        <v>22</v>
      </c>
      <c r="J2774" s="9" t="str">
        <f t="shared" si="42"/>
        <v>No</v>
      </c>
      <c r="K2774" s="9" t="str">
        <f t="shared" si="43"/>
        <v/>
      </c>
      <c r="L2774" s="9" t="str">
        <f t="shared" si="44"/>
        <v/>
      </c>
      <c r="M2774" s="9"/>
      <c r="O2774" s="9"/>
    </row>
    <row r="2775" ht="15.75" customHeight="1">
      <c r="A2775" s="9" t="str">
        <f>IFERROR(__xludf.DUMMYFUNCTION("IF(B2775="""","""",RIGHT(REGEXREPLACE(B2775&amp;"""",""[^0-9]"",""""),9))"),"726695355")</f>
        <v>726695355</v>
      </c>
      <c r="B2775" s="48">
        <v>7.26695355E8</v>
      </c>
      <c r="C2775" s="10" t="s">
        <v>2873</v>
      </c>
      <c r="D2775" s="10" t="s">
        <v>97</v>
      </c>
      <c r="E2775" s="13">
        <v>46230.0</v>
      </c>
      <c r="F2775" s="10" t="s">
        <v>35</v>
      </c>
      <c r="H2775" s="10" t="s">
        <v>1448</v>
      </c>
      <c r="I2775" s="10" t="s">
        <v>22</v>
      </c>
      <c r="J2775" s="9" t="str">
        <f t="shared" si="42"/>
        <v>No</v>
      </c>
      <c r="K2775" s="9" t="str">
        <f t="shared" si="43"/>
        <v/>
      </c>
      <c r="L2775" s="9" t="str">
        <f t="shared" si="44"/>
        <v/>
      </c>
      <c r="M2775" s="9"/>
      <c r="O2775" s="9"/>
    </row>
    <row r="2776" ht="15.75" customHeight="1">
      <c r="A2776" s="9" t="str">
        <f>IFERROR(__xludf.DUMMYFUNCTION("IF(B2776="""","""",RIGHT(REGEXREPLACE(B2776&amp;"""",""[^0-9]"",""""),9))"),"714449060")</f>
        <v>714449060</v>
      </c>
      <c r="B2776" s="48">
        <v>7.1444906E8</v>
      </c>
      <c r="C2776" s="10" t="s">
        <v>2874</v>
      </c>
      <c r="D2776" s="10" t="s">
        <v>120</v>
      </c>
      <c r="E2776" s="13">
        <v>46230.0</v>
      </c>
      <c r="F2776" s="10" t="s">
        <v>21</v>
      </c>
      <c r="I2776" s="10" t="s">
        <v>22</v>
      </c>
      <c r="J2776" s="9" t="str">
        <f t="shared" si="42"/>
        <v>No</v>
      </c>
      <c r="K2776" s="9" t="str">
        <f t="shared" si="43"/>
        <v/>
      </c>
      <c r="L2776" s="9" t="str">
        <f t="shared" si="44"/>
        <v/>
      </c>
      <c r="M2776" s="9"/>
      <c r="O2776" s="9"/>
    </row>
    <row r="2777" ht="15.75" customHeight="1">
      <c r="A2777" s="9" t="str">
        <f>IFERROR(__xludf.DUMMYFUNCTION("IF(B2777="""","""",RIGHT(REGEXREPLACE(B2777&amp;"""",""[^0-9]"",""""),9))"),"771353222")</f>
        <v>771353222</v>
      </c>
      <c r="B2777" s="48">
        <v>7.71353222E8</v>
      </c>
      <c r="C2777" s="10" t="s">
        <v>2875</v>
      </c>
      <c r="D2777" s="10" t="s">
        <v>34</v>
      </c>
      <c r="E2777" s="13">
        <v>46230.0</v>
      </c>
      <c r="F2777" s="10" t="s">
        <v>35</v>
      </c>
      <c r="G2777" s="10">
        <v>11.0</v>
      </c>
      <c r="I2777" s="10" t="s">
        <v>22</v>
      </c>
      <c r="J2777" s="9" t="str">
        <f t="shared" si="42"/>
        <v>No</v>
      </c>
      <c r="K2777" s="9" t="str">
        <f t="shared" si="43"/>
        <v/>
      </c>
      <c r="L2777" s="9" t="str">
        <f t="shared" si="44"/>
        <v/>
      </c>
      <c r="M2777" s="9"/>
      <c r="O2777" s="9"/>
    </row>
    <row r="2778" ht="15.75" customHeight="1">
      <c r="A2778" s="9" t="str">
        <f>IFERROR(__xludf.DUMMYFUNCTION("IF(B2778="""","""",RIGHT(REGEXREPLACE(B2778&amp;"""",""[^0-9]"",""""),9))"),"764027374")</f>
        <v>764027374</v>
      </c>
      <c r="B2778" s="48">
        <v>7.64027374E8</v>
      </c>
      <c r="C2778" s="10" t="s">
        <v>2876</v>
      </c>
      <c r="D2778" s="10" t="s">
        <v>69</v>
      </c>
      <c r="E2778" s="13">
        <v>46230.0</v>
      </c>
      <c r="F2778" s="10" t="s">
        <v>21</v>
      </c>
      <c r="H2778" s="10" t="s">
        <v>737</v>
      </c>
      <c r="I2778" s="10" t="s">
        <v>22</v>
      </c>
      <c r="J2778" s="9" t="str">
        <f t="shared" si="42"/>
        <v>No</v>
      </c>
      <c r="K2778" s="9" t="str">
        <f t="shared" si="43"/>
        <v/>
      </c>
      <c r="L2778" s="9" t="str">
        <f t="shared" si="44"/>
        <v/>
      </c>
      <c r="M2778" s="9"/>
      <c r="O2778" s="9"/>
    </row>
    <row r="2779" ht="15.75" customHeight="1">
      <c r="A2779" s="9" t="str">
        <f>IFERROR(__xludf.DUMMYFUNCTION("IF(B2779="""","""",RIGHT(REGEXREPLACE(B2779&amp;"""",""[^0-9]"",""""),9))"),"771186978")</f>
        <v>771186978</v>
      </c>
      <c r="B2779" s="48">
        <v>7.71186978E8</v>
      </c>
      <c r="C2779" s="10" t="s">
        <v>2877</v>
      </c>
      <c r="D2779" s="10" t="s">
        <v>50</v>
      </c>
      <c r="E2779" s="13">
        <v>46230.0</v>
      </c>
      <c r="F2779" s="10" t="s">
        <v>35</v>
      </c>
      <c r="G2779" s="10">
        <v>10.0</v>
      </c>
      <c r="I2779" s="10" t="s">
        <v>22</v>
      </c>
      <c r="J2779" s="9" t="str">
        <f t="shared" si="42"/>
        <v>No</v>
      </c>
      <c r="K2779" s="9" t="str">
        <f t="shared" si="43"/>
        <v/>
      </c>
      <c r="L2779" s="9" t="str">
        <f t="shared" si="44"/>
        <v/>
      </c>
      <c r="M2779" s="9"/>
      <c r="O2779" s="9"/>
    </row>
    <row r="2780" ht="15.75" customHeight="1">
      <c r="A2780" s="9" t="str">
        <f>IFERROR(__xludf.DUMMYFUNCTION("IF(B2780="""","""",RIGHT(REGEXREPLACE(B2780&amp;"""",""[^0-9]"",""""),9))"),"713716354")</f>
        <v>713716354</v>
      </c>
      <c r="B2780" s="48">
        <v>7.13716354E8</v>
      </c>
      <c r="C2780" s="10" t="s">
        <v>2878</v>
      </c>
      <c r="D2780" s="10" t="s">
        <v>120</v>
      </c>
      <c r="E2780" s="13">
        <v>46230.0</v>
      </c>
      <c r="F2780" s="10" t="s">
        <v>35</v>
      </c>
      <c r="G2780" s="10">
        <v>11.0</v>
      </c>
      <c r="I2780" s="10" t="s">
        <v>22</v>
      </c>
      <c r="J2780" s="9" t="str">
        <f t="shared" si="42"/>
        <v>No</v>
      </c>
      <c r="K2780" s="9" t="str">
        <f t="shared" si="43"/>
        <v/>
      </c>
      <c r="L2780" s="9" t="str">
        <f t="shared" si="44"/>
        <v/>
      </c>
      <c r="M2780" s="9"/>
      <c r="O2780" s="9"/>
    </row>
    <row r="2781" ht="15.75" customHeight="1">
      <c r="A2781" s="9" t="str">
        <f>IFERROR(__xludf.DUMMYFUNCTION("IF(B2781="""","""",RIGHT(REGEXREPLACE(B2781&amp;"""",""[^0-9]"",""""),9))"),"771287669")</f>
        <v>771287669</v>
      </c>
      <c r="B2781" s="48">
        <v>7.71287669E8</v>
      </c>
      <c r="C2781" s="10" t="s">
        <v>2879</v>
      </c>
      <c r="D2781" s="10" t="s">
        <v>105</v>
      </c>
      <c r="E2781" s="13">
        <v>46230.0</v>
      </c>
      <c r="F2781" s="10" t="s">
        <v>198</v>
      </c>
      <c r="I2781" s="10" t="s">
        <v>22</v>
      </c>
      <c r="J2781" s="9" t="str">
        <f t="shared" si="42"/>
        <v>No</v>
      </c>
      <c r="K2781" s="9" t="str">
        <f t="shared" si="43"/>
        <v/>
      </c>
      <c r="L2781" s="9" t="str">
        <f t="shared" si="44"/>
        <v/>
      </c>
      <c r="M2781" s="9"/>
      <c r="O2781" s="9"/>
    </row>
    <row r="2782" ht="15.75" customHeight="1">
      <c r="A2782" s="9" t="str">
        <f>IFERROR(__xludf.DUMMYFUNCTION("IF(B2782="""","""",RIGHT(REGEXREPLACE(B2782&amp;"""",""[^0-9]"",""""),9))"),"743071552")</f>
        <v>743071552</v>
      </c>
      <c r="B2782" s="48">
        <v>7.43071552E8</v>
      </c>
      <c r="C2782" s="10" t="s">
        <v>2880</v>
      </c>
      <c r="D2782" s="10" t="s">
        <v>34</v>
      </c>
      <c r="E2782" s="13">
        <v>46230.0</v>
      </c>
      <c r="F2782" s="10" t="s">
        <v>21</v>
      </c>
      <c r="H2782" s="10" t="s">
        <v>737</v>
      </c>
      <c r="I2782" s="10" t="s">
        <v>22</v>
      </c>
      <c r="J2782" s="9" t="str">
        <f t="shared" si="42"/>
        <v>No</v>
      </c>
      <c r="K2782" s="9" t="str">
        <f t="shared" si="43"/>
        <v/>
      </c>
      <c r="L2782" s="9" t="str">
        <f t="shared" si="44"/>
        <v/>
      </c>
      <c r="M2782" s="9"/>
      <c r="O2782" s="9"/>
    </row>
    <row r="2783" ht="15.75" customHeight="1">
      <c r="A2783" s="9" t="str">
        <f>IFERROR(__xludf.DUMMYFUNCTION("IF(B2783="""","""",RIGHT(REGEXREPLACE(B2783&amp;"""",""[^0-9]"",""""),9))"),"772454933")</f>
        <v>772454933</v>
      </c>
      <c r="B2783" s="48">
        <v>7.72454933E8</v>
      </c>
      <c r="C2783" s="10" t="s">
        <v>2881</v>
      </c>
      <c r="D2783" s="10" t="s">
        <v>69</v>
      </c>
      <c r="E2783" s="13">
        <v>46230.0</v>
      </c>
      <c r="F2783" s="10" t="s">
        <v>198</v>
      </c>
      <c r="H2783" s="10" t="s">
        <v>737</v>
      </c>
      <c r="I2783" s="10" t="s">
        <v>22</v>
      </c>
      <c r="J2783" s="9" t="str">
        <f t="shared" si="42"/>
        <v>No</v>
      </c>
      <c r="K2783" s="9" t="str">
        <f t="shared" si="43"/>
        <v/>
      </c>
      <c r="L2783" s="9" t="str">
        <f t="shared" si="44"/>
        <v/>
      </c>
      <c r="M2783" s="9"/>
      <c r="O2783" s="9"/>
    </row>
    <row r="2784" ht="15.75" customHeight="1">
      <c r="A2784" s="9" t="str">
        <f>IFERROR(__xludf.DUMMYFUNCTION("IF(B2784="""","""",RIGHT(REGEXREPLACE(B2784&amp;"""",""[^0-9]"",""""),9))"),"718277936")</f>
        <v>718277936</v>
      </c>
      <c r="B2784" s="48">
        <v>7.18277936E8</v>
      </c>
      <c r="C2784" s="10" t="s">
        <v>2882</v>
      </c>
      <c r="D2784" s="10" t="s">
        <v>50</v>
      </c>
      <c r="E2784" s="13">
        <v>46230.0</v>
      </c>
      <c r="F2784" s="10" t="s">
        <v>21</v>
      </c>
      <c r="G2784" s="10">
        <v>11.0</v>
      </c>
      <c r="I2784" s="10" t="s">
        <v>22</v>
      </c>
      <c r="J2784" s="9" t="str">
        <f t="shared" si="42"/>
        <v>No</v>
      </c>
      <c r="K2784" s="9" t="str">
        <f t="shared" si="43"/>
        <v/>
      </c>
      <c r="L2784" s="9" t="str">
        <f t="shared" si="44"/>
        <v/>
      </c>
      <c r="M2784" s="9"/>
      <c r="O2784" s="9"/>
    </row>
    <row r="2785" ht="15.75" customHeight="1">
      <c r="A2785" s="9" t="str">
        <f>IFERROR(__xludf.DUMMYFUNCTION("IF(B2785="""","""",RIGHT(REGEXREPLACE(B2785&amp;"""",""[^0-9]"",""""),9))"),"772929521")</f>
        <v>772929521</v>
      </c>
      <c r="B2785" s="48">
        <v>7.72929521E8</v>
      </c>
      <c r="C2785" s="10" t="s">
        <v>2883</v>
      </c>
      <c r="D2785" s="10" t="s">
        <v>105</v>
      </c>
      <c r="E2785" s="13">
        <v>46230.0</v>
      </c>
      <c r="F2785" s="10" t="s">
        <v>35</v>
      </c>
      <c r="G2785" s="10">
        <v>11.0</v>
      </c>
      <c r="I2785" s="10" t="s">
        <v>22</v>
      </c>
      <c r="J2785" s="9" t="str">
        <f t="shared" si="42"/>
        <v>No</v>
      </c>
      <c r="K2785" s="9" t="str">
        <f t="shared" si="43"/>
        <v/>
      </c>
      <c r="L2785" s="9" t="str">
        <f t="shared" si="44"/>
        <v/>
      </c>
      <c r="M2785" s="9"/>
      <c r="O2785" s="9"/>
    </row>
    <row r="2786" ht="15.75" customHeight="1">
      <c r="A2786" s="9" t="str">
        <f>IFERROR(__xludf.DUMMYFUNCTION("IF(B2786="""","""",RIGHT(REGEXREPLACE(B2786&amp;"""",""[^0-9]"",""""),9))"),"713540128")</f>
        <v>713540128</v>
      </c>
      <c r="B2786" s="48">
        <v>7.13540128E8</v>
      </c>
      <c r="C2786" s="10" t="s">
        <v>2884</v>
      </c>
      <c r="D2786" s="10" t="s">
        <v>69</v>
      </c>
      <c r="E2786" s="13">
        <v>46230.0</v>
      </c>
      <c r="F2786" s="10" t="s">
        <v>21</v>
      </c>
      <c r="H2786" s="10" t="s">
        <v>737</v>
      </c>
      <c r="I2786" s="10" t="s">
        <v>22</v>
      </c>
      <c r="J2786" s="9" t="str">
        <f t="shared" si="42"/>
        <v>No</v>
      </c>
      <c r="K2786" s="9" t="str">
        <f t="shared" si="43"/>
        <v/>
      </c>
      <c r="L2786" s="9" t="str">
        <f t="shared" si="44"/>
        <v/>
      </c>
      <c r="M2786" s="9"/>
      <c r="O2786" s="9"/>
    </row>
    <row r="2787" ht="15.75" customHeight="1">
      <c r="A2787" s="9" t="str">
        <f>IFERROR(__xludf.DUMMYFUNCTION("IF(B2787="""","""",RIGHT(REGEXREPLACE(B2787&amp;"""",""[^0-9]"",""""),9))"),"788744765")</f>
        <v>788744765</v>
      </c>
      <c r="B2787" s="48">
        <v>7.88744765E8</v>
      </c>
      <c r="C2787" s="10" t="s">
        <v>2885</v>
      </c>
      <c r="D2787" s="10" t="s">
        <v>50</v>
      </c>
      <c r="E2787" s="13">
        <v>46230.0</v>
      </c>
      <c r="F2787" s="10" t="s">
        <v>21</v>
      </c>
      <c r="G2787" s="10">
        <v>11.0</v>
      </c>
      <c r="I2787" s="10" t="s">
        <v>22</v>
      </c>
      <c r="J2787" s="9" t="str">
        <f t="shared" si="42"/>
        <v>No</v>
      </c>
      <c r="K2787" s="9" t="str">
        <f t="shared" si="43"/>
        <v/>
      </c>
      <c r="L2787" s="9" t="str">
        <f t="shared" si="44"/>
        <v/>
      </c>
      <c r="M2787" s="9"/>
      <c r="O2787" s="9"/>
    </row>
    <row r="2788" ht="15.75" customHeight="1">
      <c r="A2788" s="9" t="str">
        <f>IFERROR(__xludf.DUMMYFUNCTION("IF(B2788="""","""",RIGHT(REGEXREPLACE(B2788&amp;"""",""[^0-9]"",""""),9))"),"715552935")</f>
        <v>715552935</v>
      </c>
      <c r="B2788" s="48">
        <v>7.15552935E8</v>
      </c>
      <c r="C2788" s="10" t="s">
        <v>2886</v>
      </c>
      <c r="D2788" s="10" t="s">
        <v>120</v>
      </c>
      <c r="E2788" s="13">
        <v>46230.0</v>
      </c>
      <c r="F2788" s="10" t="s">
        <v>35</v>
      </c>
      <c r="G2788" s="10">
        <v>11.0</v>
      </c>
      <c r="I2788" s="10" t="s">
        <v>22</v>
      </c>
      <c r="J2788" s="9" t="str">
        <f t="shared" si="42"/>
        <v>No</v>
      </c>
      <c r="K2788" s="9" t="str">
        <f t="shared" si="43"/>
        <v/>
      </c>
      <c r="L2788" s="9" t="str">
        <f t="shared" si="44"/>
        <v/>
      </c>
      <c r="M2788" s="9"/>
      <c r="O2788" s="9"/>
    </row>
    <row r="2789" ht="15.75" customHeight="1">
      <c r="A2789" s="9" t="str">
        <f>IFERROR(__xludf.DUMMYFUNCTION("IF(B2789="""","""",RIGHT(REGEXREPLACE(B2789&amp;"""",""[^0-9]"",""""),9))"),"771837312")</f>
        <v>771837312</v>
      </c>
      <c r="B2789" s="48">
        <v>7.71837312E8</v>
      </c>
      <c r="C2789" s="10" t="s">
        <v>338</v>
      </c>
      <c r="D2789" s="10" t="s">
        <v>105</v>
      </c>
      <c r="E2789" s="13">
        <v>46230.0</v>
      </c>
      <c r="F2789" s="10" t="s">
        <v>604</v>
      </c>
      <c r="I2789" s="10" t="s">
        <v>22</v>
      </c>
      <c r="J2789" s="9" t="str">
        <f t="shared" si="42"/>
        <v>Yes - see Previous F-Code</v>
      </c>
      <c r="K2789" s="9" t="str">
        <f t="shared" si="43"/>
        <v>DUPLICATE - CHECK</v>
      </c>
      <c r="L2789" s="9" t="str">
        <f t="shared" si="44"/>
        <v>F70223</v>
      </c>
      <c r="M2789" s="9"/>
      <c r="O2789" s="9"/>
    </row>
    <row r="2790" ht="15.75" customHeight="1">
      <c r="A2790" s="9" t="str">
        <f>IFERROR(__xludf.DUMMYFUNCTION("IF(B2790="""","""",RIGHT(REGEXREPLACE(B2790&amp;"""",""[^0-9]"",""""),9))"),"772828169")</f>
        <v>772828169</v>
      </c>
      <c r="B2790" s="48">
        <v>7.72828169E8</v>
      </c>
      <c r="C2790" s="10" t="s">
        <v>2887</v>
      </c>
      <c r="D2790" s="10" t="s">
        <v>69</v>
      </c>
      <c r="E2790" s="13">
        <v>46230.0</v>
      </c>
      <c r="F2790" s="10" t="s">
        <v>145</v>
      </c>
      <c r="I2790" s="10" t="s">
        <v>22</v>
      </c>
      <c r="J2790" s="9" t="str">
        <f t="shared" si="42"/>
        <v>No</v>
      </c>
      <c r="K2790" s="9" t="str">
        <f t="shared" si="43"/>
        <v/>
      </c>
      <c r="L2790" s="9" t="str">
        <f t="shared" si="44"/>
        <v/>
      </c>
      <c r="M2790" s="9"/>
      <c r="O2790" s="9"/>
    </row>
    <row r="2791" ht="15.75" customHeight="1">
      <c r="A2791" s="9" t="str">
        <f>IFERROR(__xludf.DUMMYFUNCTION("IF(B2791="""","""",RIGHT(REGEXREPLACE(B2791&amp;"""",""[^0-9]"",""""),9))"),"718579503")</f>
        <v>718579503</v>
      </c>
      <c r="B2791" s="48">
        <v>7.18579503E8</v>
      </c>
      <c r="C2791" s="10" t="s">
        <v>2888</v>
      </c>
      <c r="D2791" s="10" t="s">
        <v>50</v>
      </c>
      <c r="E2791" s="13">
        <v>46230.0</v>
      </c>
      <c r="F2791" s="10" t="s">
        <v>35</v>
      </c>
      <c r="G2791" s="10">
        <v>10.0</v>
      </c>
      <c r="H2791" s="10" t="s">
        <v>622</v>
      </c>
      <c r="I2791" s="10" t="s">
        <v>22</v>
      </c>
      <c r="J2791" s="9" t="str">
        <f t="shared" si="42"/>
        <v>No</v>
      </c>
      <c r="K2791" s="9" t="str">
        <f t="shared" si="43"/>
        <v/>
      </c>
      <c r="L2791" s="9" t="str">
        <f t="shared" si="44"/>
        <v/>
      </c>
      <c r="M2791" s="9"/>
      <c r="O2791" s="9"/>
    </row>
    <row r="2792" ht="15.75" customHeight="1">
      <c r="A2792" s="9" t="str">
        <f>IFERROR(__xludf.DUMMYFUNCTION("IF(B2792="""","""",RIGHT(REGEXREPLACE(B2792&amp;"""",""[^0-9]"",""""),9))"),"779749531")</f>
        <v>779749531</v>
      </c>
      <c r="B2792" s="48">
        <v>7.79749531E8</v>
      </c>
      <c r="C2792" s="10" t="s">
        <v>2889</v>
      </c>
      <c r="D2792" s="10" t="s">
        <v>97</v>
      </c>
      <c r="E2792" s="13">
        <v>46230.0</v>
      </c>
      <c r="F2792" s="10" t="s">
        <v>198</v>
      </c>
      <c r="H2792" s="10" t="s">
        <v>1448</v>
      </c>
      <c r="I2792" s="10" t="s">
        <v>22</v>
      </c>
      <c r="J2792" s="9" t="str">
        <f t="shared" si="42"/>
        <v>No</v>
      </c>
      <c r="K2792" s="9" t="str">
        <f t="shared" si="43"/>
        <v/>
      </c>
      <c r="L2792" s="9" t="str">
        <f t="shared" si="44"/>
        <v/>
      </c>
      <c r="M2792" s="9"/>
      <c r="O2792" s="9"/>
    </row>
    <row r="2793" ht="15.75" customHeight="1">
      <c r="A2793" s="9" t="str">
        <f>IFERROR(__xludf.DUMMYFUNCTION("IF(B2793="""","""",RIGHT(REGEXREPLACE(B2793&amp;"""",""[^0-9]"",""""),9))"),"753993017")</f>
        <v>753993017</v>
      </c>
      <c r="B2793" s="48">
        <v>7.53993017E8</v>
      </c>
      <c r="C2793" s="10" t="s">
        <v>2890</v>
      </c>
      <c r="D2793" s="10" t="s">
        <v>34</v>
      </c>
      <c r="E2793" s="13">
        <v>46230.0</v>
      </c>
      <c r="F2793" s="10" t="s">
        <v>648</v>
      </c>
      <c r="H2793" s="10" t="s">
        <v>1448</v>
      </c>
      <c r="I2793" s="10" t="s">
        <v>22</v>
      </c>
      <c r="J2793" s="9" t="str">
        <f t="shared" si="42"/>
        <v>No</v>
      </c>
      <c r="K2793" s="9" t="str">
        <f t="shared" si="43"/>
        <v/>
      </c>
      <c r="L2793" s="9" t="str">
        <f t="shared" si="44"/>
        <v/>
      </c>
      <c r="M2793" s="9"/>
      <c r="O2793" s="9"/>
    </row>
    <row r="2794" ht="15.75" customHeight="1">
      <c r="A2794" s="9" t="str">
        <f>IFERROR(__xludf.DUMMYFUNCTION("IF(B2794="""","""",RIGHT(REGEXREPLACE(B2794&amp;"""",""[^0-9]"",""""),9))"),"768926764")</f>
        <v>768926764</v>
      </c>
      <c r="B2794" s="48">
        <v>7.68926764E8</v>
      </c>
      <c r="C2794" s="10" t="s">
        <v>2891</v>
      </c>
      <c r="D2794" s="10" t="s">
        <v>120</v>
      </c>
      <c r="E2794" s="13">
        <v>46230.0</v>
      </c>
      <c r="F2794" s="10" t="s">
        <v>198</v>
      </c>
      <c r="I2794" s="10" t="s">
        <v>22</v>
      </c>
      <c r="J2794" s="9" t="str">
        <f t="shared" si="42"/>
        <v>No</v>
      </c>
      <c r="K2794" s="9" t="str">
        <f t="shared" si="43"/>
        <v/>
      </c>
      <c r="L2794" s="9" t="str">
        <f t="shared" si="44"/>
        <v/>
      </c>
      <c r="M2794" s="9"/>
      <c r="O2794" s="9"/>
    </row>
    <row r="2795" ht="15.75" customHeight="1">
      <c r="A2795" s="9" t="str">
        <f>IFERROR(__xludf.DUMMYFUNCTION("IF(B2795="""","""",RIGHT(REGEXREPLACE(B2795&amp;"""",""[^0-9]"",""""),9))"),"720508282")</f>
        <v>720508282</v>
      </c>
      <c r="B2795" s="48">
        <v>7.20508282E8</v>
      </c>
      <c r="C2795" s="10" t="s">
        <v>2892</v>
      </c>
      <c r="D2795" s="10" t="s">
        <v>105</v>
      </c>
      <c r="E2795" s="13">
        <v>46230.0</v>
      </c>
      <c r="F2795" s="10" t="s">
        <v>21</v>
      </c>
      <c r="I2795" s="10" t="s">
        <v>22</v>
      </c>
      <c r="J2795" s="9" t="str">
        <f t="shared" si="42"/>
        <v>No</v>
      </c>
      <c r="K2795" s="9" t="str">
        <f t="shared" si="43"/>
        <v/>
      </c>
      <c r="L2795" s="9" t="str">
        <f t="shared" si="44"/>
        <v/>
      </c>
      <c r="M2795" s="9"/>
      <c r="O2795" s="9"/>
    </row>
    <row r="2796" ht="15.75" customHeight="1">
      <c r="A2796" s="9" t="str">
        <f>IFERROR(__xludf.DUMMYFUNCTION("IF(B2796="""","""",RIGHT(REGEXREPLACE(B2796&amp;"""",""[^0-9]"",""""),9))"),"764929291")</f>
        <v>764929291</v>
      </c>
      <c r="B2796" s="48">
        <v>7.64929291E8</v>
      </c>
      <c r="C2796" s="10" t="s">
        <v>1898</v>
      </c>
      <c r="D2796" s="10" t="s">
        <v>97</v>
      </c>
      <c r="E2796" s="13">
        <v>46230.0</v>
      </c>
      <c r="F2796" s="10" t="s">
        <v>21</v>
      </c>
      <c r="H2796" s="10" t="s">
        <v>1448</v>
      </c>
      <c r="I2796" s="10" t="s">
        <v>22</v>
      </c>
      <c r="J2796" s="9" t="str">
        <f t="shared" si="42"/>
        <v>No</v>
      </c>
      <c r="K2796" s="9" t="str">
        <f t="shared" si="43"/>
        <v/>
      </c>
      <c r="L2796" s="9" t="str">
        <f t="shared" si="44"/>
        <v/>
      </c>
      <c r="M2796" s="9"/>
      <c r="O2796" s="9"/>
    </row>
    <row r="2797" ht="15.75" customHeight="1">
      <c r="A2797" s="9" t="str">
        <f>IFERROR(__xludf.DUMMYFUNCTION("IF(B2797="""","""",RIGHT(REGEXREPLACE(B2797&amp;"""",""[^0-9]"",""""),9))"),"766950070")</f>
        <v>766950070</v>
      </c>
      <c r="B2797" s="48">
        <v>7.6695007E8</v>
      </c>
      <c r="C2797" s="10" t="s">
        <v>2893</v>
      </c>
      <c r="D2797" s="10" t="s">
        <v>34</v>
      </c>
      <c r="E2797" s="13">
        <v>46230.0</v>
      </c>
      <c r="F2797" s="10" t="s">
        <v>145</v>
      </c>
      <c r="G2797" s="10">
        <v>11.0</v>
      </c>
      <c r="H2797" s="10" t="s">
        <v>2526</v>
      </c>
      <c r="I2797" s="10" t="s">
        <v>22</v>
      </c>
      <c r="J2797" s="9" t="str">
        <f t="shared" si="42"/>
        <v>No</v>
      </c>
      <c r="K2797" s="9" t="str">
        <f t="shared" si="43"/>
        <v/>
      </c>
      <c r="L2797" s="9" t="str">
        <f t="shared" si="44"/>
        <v/>
      </c>
      <c r="M2797" s="9"/>
      <c r="O2797" s="9"/>
    </row>
    <row r="2798" ht="15.75" customHeight="1">
      <c r="A2798" s="9" t="str">
        <f>IFERROR(__xludf.DUMMYFUNCTION("IF(B2798="""","""",RIGHT(REGEXREPLACE(B2798&amp;"""",""[^0-9]"",""""),9))"),"771440357")</f>
        <v>771440357</v>
      </c>
      <c r="B2798" s="48">
        <v>7.71440357E8</v>
      </c>
      <c r="C2798" s="10" t="s">
        <v>2887</v>
      </c>
      <c r="D2798" s="10" t="s">
        <v>69</v>
      </c>
      <c r="E2798" s="13">
        <v>46230.0</v>
      </c>
      <c r="F2798" s="10" t="s">
        <v>542</v>
      </c>
      <c r="G2798" s="10">
        <v>10.0</v>
      </c>
      <c r="I2798" s="10" t="s">
        <v>22</v>
      </c>
      <c r="J2798" s="9" t="str">
        <f t="shared" si="42"/>
        <v>No</v>
      </c>
      <c r="K2798" s="9" t="str">
        <f t="shared" si="43"/>
        <v/>
      </c>
      <c r="L2798" s="9" t="str">
        <f t="shared" si="44"/>
        <v/>
      </c>
      <c r="M2798" s="9"/>
      <c r="O2798" s="9"/>
    </row>
    <row r="2799" ht="15.75" customHeight="1">
      <c r="A2799" s="9" t="str">
        <f>IFERROR(__xludf.DUMMYFUNCTION("IF(B2799="""","""",RIGHT(REGEXREPLACE(B2799&amp;"""",""[^0-9]"",""""),9))"),"789878509")</f>
        <v>789878509</v>
      </c>
      <c r="B2799" s="48">
        <v>7.89878509E8</v>
      </c>
      <c r="C2799" s="10" t="s">
        <v>2894</v>
      </c>
      <c r="D2799" s="10" t="s">
        <v>105</v>
      </c>
      <c r="E2799" s="13">
        <v>46230.0</v>
      </c>
      <c r="F2799" s="10" t="s">
        <v>21</v>
      </c>
      <c r="I2799" s="10" t="s">
        <v>22</v>
      </c>
      <c r="J2799" s="9" t="str">
        <f t="shared" si="42"/>
        <v>No</v>
      </c>
      <c r="K2799" s="9" t="str">
        <f t="shared" si="43"/>
        <v/>
      </c>
      <c r="L2799" s="9" t="str">
        <f t="shared" si="44"/>
        <v/>
      </c>
      <c r="M2799" s="9"/>
      <c r="O2799" s="9"/>
    </row>
    <row r="2800" ht="15.75" customHeight="1">
      <c r="A2800" s="9" t="str">
        <f>IFERROR(__xludf.DUMMYFUNCTION("IF(B2800="""","""",RIGHT(REGEXREPLACE(B2800&amp;"""",""[^0-9]"",""""),9))"),"764323810")</f>
        <v>764323810</v>
      </c>
      <c r="B2800" s="48">
        <v>7.6432381E8</v>
      </c>
      <c r="C2800" s="10" t="s">
        <v>2163</v>
      </c>
      <c r="D2800" s="10" t="s">
        <v>120</v>
      </c>
      <c r="E2800" s="13">
        <v>46230.0</v>
      </c>
      <c r="F2800" s="10" t="s">
        <v>21</v>
      </c>
      <c r="G2800" s="10">
        <v>11.0</v>
      </c>
      <c r="I2800" s="10" t="s">
        <v>22</v>
      </c>
      <c r="J2800" s="9" t="str">
        <f t="shared" si="42"/>
        <v>Yes - see Previous F-Code</v>
      </c>
      <c r="K2800" s="9" t="str">
        <f t="shared" si="43"/>
        <v>DUPLICATE - CHECK</v>
      </c>
      <c r="L2800" s="9" t="str">
        <f t="shared" si="44"/>
        <v>F71938</v>
      </c>
      <c r="M2800" s="9"/>
      <c r="O2800" s="9"/>
    </row>
    <row r="2801" ht="15.75" customHeight="1">
      <c r="A2801" s="9" t="str">
        <f>IFERROR(__xludf.DUMMYFUNCTION("IF(B2801="""","""",RIGHT(REGEXREPLACE(B2801&amp;"""",""[^0-9]"",""""),9))"),"714068058")</f>
        <v>714068058</v>
      </c>
      <c r="B2801" s="48">
        <v>7.14068058E8</v>
      </c>
      <c r="C2801" s="10" t="s">
        <v>2895</v>
      </c>
      <c r="D2801" s="10" t="s">
        <v>34</v>
      </c>
      <c r="E2801" s="13">
        <v>46230.0</v>
      </c>
      <c r="F2801" s="10" t="s">
        <v>35</v>
      </c>
      <c r="G2801" s="10">
        <v>11.0</v>
      </c>
      <c r="I2801" s="10" t="s">
        <v>22</v>
      </c>
      <c r="J2801" s="9" t="str">
        <f t="shared" si="42"/>
        <v>No</v>
      </c>
      <c r="K2801" s="9" t="str">
        <f t="shared" si="43"/>
        <v/>
      </c>
      <c r="L2801" s="9" t="str">
        <f t="shared" si="44"/>
        <v/>
      </c>
      <c r="M2801" s="9"/>
      <c r="O2801" s="9"/>
    </row>
    <row r="2802" ht="15.75" customHeight="1">
      <c r="A2802" s="9" t="str">
        <f>IFERROR(__xludf.DUMMYFUNCTION("IF(B2802="""","""",RIGHT(REGEXREPLACE(B2802&amp;"""",""[^0-9]"",""""),9))"),"713321068")</f>
        <v>713321068</v>
      </c>
      <c r="B2802" s="48">
        <v>7.13321068E8</v>
      </c>
      <c r="C2802" s="10" t="s">
        <v>2896</v>
      </c>
      <c r="D2802" s="10" t="s">
        <v>50</v>
      </c>
      <c r="E2802" s="13">
        <v>46230.0</v>
      </c>
      <c r="F2802" s="10" t="s">
        <v>21</v>
      </c>
      <c r="I2802" s="10" t="s">
        <v>22</v>
      </c>
      <c r="J2802" s="9" t="str">
        <f t="shared" si="42"/>
        <v>No</v>
      </c>
      <c r="K2802" s="9" t="str">
        <f t="shared" si="43"/>
        <v/>
      </c>
      <c r="L2802" s="9" t="str">
        <f t="shared" si="44"/>
        <v/>
      </c>
      <c r="M2802" s="9"/>
      <c r="O2802" s="9"/>
    </row>
    <row r="2803" ht="15.75" customHeight="1">
      <c r="A2803" s="9" t="str">
        <f>IFERROR(__xludf.DUMMYFUNCTION("IF(B2803="""","""",RIGHT(REGEXREPLACE(B2803&amp;"""",""[^0-9]"",""""),9))"),"775964543")</f>
        <v>775964543</v>
      </c>
      <c r="B2803" s="48">
        <v>7.75964543E8</v>
      </c>
      <c r="C2803" s="10" t="s">
        <v>2897</v>
      </c>
      <c r="D2803" s="10" t="s">
        <v>97</v>
      </c>
      <c r="E2803" s="13">
        <v>46230.0</v>
      </c>
      <c r="F2803" s="10" t="s">
        <v>145</v>
      </c>
      <c r="H2803" s="10" t="s">
        <v>1448</v>
      </c>
      <c r="I2803" s="10" t="s">
        <v>22</v>
      </c>
      <c r="J2803" s="9" t="str">
        <f t="shared" si="42"/>
        <v>No</v>
      </c>
      <c r="K2803" s="9" t="str">
        <f t="shared" si="43"/>
        <v/>
      </c>
      <c r="L2803" s="9" t="str">
        <f t="shared" si="44"/>
        <v/>
      </c>
      <c r="M2803" s="9"/>
      <c r="O2803" s="9"/>
    </row>
    <row r="2804" ht="15.75" customHeight="1">
      <c r="A2804" s="9" t="str">
        <f>IFERROR(__xludf.DUMMYFUNCTION("IF(B2804="""","""",RIGHT(REGEXREPLACE(B2804&amp;"""",""[^0-9]"",""""),9))"),"768665903")</f>
        <v>768665903</v>
      </c>
      <c r="B2804" s="48">
        <v>7.68665903E8</v>
      </c>
      <c r="C2804" s="10" t="s">
        <v>2898</v>
      </c>
      <c r="D2804" s="10" t="s">
        <v>105</v>
      </c>
      <c r="E2804" s="13">
        <v>46230.0</v>
      </c>
      <c r="F2804" s="10" t="s">
        <v>35</v>
      </c>
      <c r="G2804" s="10">
        <v>11.0</v>
      </c>
      <c r="I2804" s="10" t="s">
        <v>22</v>
      </c>
      <c r="J2804" s="9" t="str">
        <f t="shared" si="42"/>
        <v>No</v>
      </c>
      <c r="K2804" s="9" t="str">
        <f t="shared" si="43"/>
        <v/>
      </c>
      <c r="L2804" s="9" t="str">
        <f t="shared" si="44"/>
        <v/>
      </c>
      <c r="M2804" s="9"/>
      <c r="O2804" s="9"/>
    </row>
    <row r="2805" ht="15.75" customHeight="1">
      <c r="A2805" s="9" t="str">
        <f>IFERROR(__xludf.DUMMYFUNCTION("IF(B2805="""","""",RIGHT(REGEXREPLACE(B2805&amp;"""",""[^0-9]"",""""),9))"),"766848637")</f>
        <v>766848637</v>
      </c>
      <c r="B2805" s="48">
        <v>7.66848637E8</v>
      </c>
      <c r="C2805" s="10" t="s">
        <v>2899</v>
      </c>
      <c r="D2805" s="10" t="s">
        <v>34</v>
      </c>
      <c r="E2805" s="13">
        <v>46230.0</v>
      </c>
      <c r="F2805" s="10" t="s">
        <v>145</v>
      </c>
      <c r="G2805" s="10">
        <v>11.0</v>
      </c>
      <c r="H2805" s="10" t="s">
        <v>2526</v>
      </c>
      <c r="I2805" s="10" t="s">
        <v>22</v>
      </c>
      <c r="J2805" s="9" t="str">
        <f t="shared" si="42"/>
        <v>No</v>
      </c>
      <c r="K2805" s="9" t="str">
        <f t="shared" si="43"/>
        <v/>
      </c>
      <c r="L2805" s="9" t="str">
        <f t="shared" si="44"/>
        <v/>
      </c>
      <c r="M2805" s="9"/>
      <c r="O2805" s="9"/>
    </row>
    <row r="2806" ht="15.75" customHeight="1">
      <c r="A2806" s="9" t="str">
        <f>IFERROR(__xludf.DUMMYFUNCTION("IF(B2806="""","""",RIGHT(REGEXREPLACE(B2806&amp;"""",""[^0-9]"",""""),9))"),"761575888")</f>
        <v>761575888</v>
      </c>
      <c r="B2806" s="48">
        <v>7.61575888E8</v>
      </c>
      <c r="C2806" s="10" t="s">
        <v>2900</v>
      </c>
      <c r="D2806" s="10" t="s">
        <v>120</v>
      </c>
      <c r="E2806" s="13">
        <v>46230.0</v>
      </c>
      <c r="F2806" s="10" t="s">
        <v>21</v>
      </c>
      <c r="G2806" s="10">
        <v>11.0</v>
      </c>
      <c r="I2806" s="10" t="s">
        <v>22</v>
      </c>
      <c r="J2806" s="9" t="str">
        <f t="shared" si="42"/>
        <v>No</v>
      </c>
      <c r="K2806" s="9" t="str">
        <f t="shared" si="43"/>
        <v/>
      </c>
      <c r="L2806" s="9" t="str">
        <f t="shared" si="44"/>
        <v/>
      </c>
      <c r="M2806" s="9"/>
      <c r="O2806" s="9"/>
    </row>
    <row r="2807" ht="15.75" customHeight="1">
      <c r="A2807" s="9" t="str">
        <f>IFERROR(__xludf.DUMMYFUNCTION("IF(B2807="""","""",RIGHT(REGEXREPLACE(B2807&amp;"""",""[^0-9]"",""""),9))"),"")</f>
        <v/>
      </c>
      <c r="B2807" s="48"/>
      <c r="C2807" s="10" t="s">
        <v>2724</v>
      </c>
      <c r="D2807" s="10" t="s">
        <v>69</v>
      </c>
      <c r="E2807" s="13">
        <v>46230.0</v>
      </c>
      <c r="F2807" s="9"/>
      <c r="G2807" s="9"/>
      <c r="H2807" s="9"/>
      <c r="I2807" s="10" t="s">
        <v>22</v>
      </c>
      <c r="J2807" s="9" t="str">
        <f t="shared" si="42"/>
        <v>Yes - see Previous F-Code</v>
      </c>
      <c r="K2807" s="9" t="str">
        <f t="shared" si="43"/>
        <v>DUPLICATE - CHECK</v>
      </c>
      <c r="L2807" s="9" t="str">
        <f t="shared" si="44"/>
        <v/>
      </c>
      <c r="M2807" s="9"/>
      <c r="N2807" s="9"/>
      <c r="O2807" s="9"/>
      <c r="P2807" s="9"/>
    </row>
    <row r="2808" ht="15.75" customHeight="1">
      <c r="A2808" s="9" t="str">
        <f>IFERROR(__xludf.DUMMYFUNCTION("IF(B2808="""","""",RIGHT(REGEXREPLACE(B2808&amp;"""",""[^0-9]"",""""),9))"),"776415631")</f>
        <v>776415631</v>
      </c>
      <c r="B2808" s="48">
        <v>7.76415631E8</v>
      </c>
      <c r="C2808" s="10" t="s">
        <v>2901</v>
      </c>
      <c r="D2808" s="10" t="s">
        <v>50</v>
      </c>
      <c r="E2808" s="13">
        <v>46230.0</v>
      </c>
      <c r="F2808" s="10" t="s">
        <v>35</v>
      </c>
      <c r="I2808" s="10" t="s">
        <v>22</v>
      </c>
      <c r="J2808" s="9" t="str">
        <f t="shared" si="42"/>
        <v>No</v>
      </c>
      <c r="K2808" s="9" t="str">
        <f t="shared" si="43"/>
        <v/>
      </c>
      <c r="L2808" s="9" t="str">
        <f t="shared" si="44"/>
        <v/>
      </c>
      <c r="M2808" s="9"/>
      <c r="O2808" s="9"/>
    </row>
    <row r="2809" ht="15.75" customHeight="1">
      <c r="A2809" s="9" t="str">
        <f>IFERROR(__xludf.DUMMYFUNCTION("IF(B2809="""","""",RIGHT(REGEXREPLACE(B2809&amp;"""",""[^0-9]"",""""),9))"),"767639123")</f>
        <v>767639123</v>
      </c>
      <c r="B2809" s="48">
        <v>7.67639123E8</v>
      </c>
      <c r="C2809" s="10" t="s">
        <v>2902</v>
      </c>
      <c r="D2809" s="10" t="s">
        <v>97</v>
      </c>
      <c r="E2809" s="13">
        <v>46230.0</v>
      </c>
      <c r="F2809" s="10" t="s">
        <v>21</v>
      </c>
      <c r="H2809" s="10" t="s">
        <v>1448</v>
      </c>
      <c r="I2809" s="10" t="s">
        <v>22</v>
      </c>
      <c r="J2809" s="9" t="str">
        <f t="shared" si="42"/>
        <v>No</v>
      </c>
      <c r="K2809" s="9" t="str">
        <f t="shared" si="43"/>
        <v/>
      </c>
      <c r="L2809" s="9" t="str">
        <f t="shared" si="44"/>
        <v/>
      </c>
      <c r="M2809" s="9"/>
      <c r="O2809" s="9"/>
    </row>
    <row r="2810" ht="15.75" customHeight="1">
      <c r="A2810" s="9" t="str">
        <f>IFERROR(__xludf.DUMMYFUNCTION("IF(B2810="""","""",RIGHT(REGEXREPLACE(B2810&amp;"""",""[^0-9]"",""""),9))"),"767699597")</f>
        <v>767699597</v>
      </c>
      <c r="B2810" s="48">
        <v>7.67699597E8</v>
      </c>
      <c r="C2810" s="10" t="s">
        <v>2903</v>
      </c>
      <c r="D2810" s="10" t="s">
        <v>50</v>
      </c>
      <c r="E2810" s="13">
        <v>46230.0</v>
      </c>
      <c r="F2810" s="10" t="s">
        <v>35</v>
      </c>
      <c r="G2810" s="10">
        <v>11.0</v>
      </c>
      <c r="I2810" s="10" t="s">
        <v>22</v>
      </c>
      <c r="J2810" s="9" t="str">
        <f t="shared" si="42"/>
        <v>No</v>
      </c>
      <c r="K2810" s="9" t="str">
        <f t="shared" si="43"/>
        <v/>
      </c>
      <c r="L2810" s="9" t="str">
        <f t="shared" si="44"/>
        <v/>
      </c>
      <c r="M2810" s="9"/>
      <c r="O2810" s="9"/>
    </row>
    <row r="2811" ht="15.75" customHeight="1">
      <c r="A2811" s="9" t="str">
        <f>IFERROR(__xludf.DUMMYFUNCTION("IF(B2811="""","""",RIGHT(REGEXREPLACE(B2811&amp;"""",""[^0-9]"",""""),9))"),"716435317")</f>
        <v>716435317</v>
      </c>
      <c r="B2811" s="48">
        <v>7.16435317E8</v>
      </c>
      <c r="C2811" s="10" t="s">
        <v>2904</v>
      </c>
      <c r="D2811" s="10" t="s">
        <v>120</v>
      </c>
      <c r="E2811" s="13">
        <v>46230.0</v>
      </c>
      <c r="F2811" s="9"/>
      <c r="G2811" s="9"/>
      <c r="H2811" s="9"/>
      <c r="I2811" s="10" t="s">
        <v>22</v>
      </c>
      <c r="J2811" s="9" t="str">
        <f t="shared" si="42"/>
        <v>No</v>
      </c>
      <c r="K2811" s="9" t="str">
        <f t="shared" si="43"/>
        <v/>
      </c>
      <c r="L2811" s="9" t="str">
        <f t="shared" si="44"/>
        <v/>
      </c>
      <c r="M2811" s="9"/>
      <c r="N2811" s="9"/>
      <c r="O2811" s="9"/>
      <c r="P2811" s="9"/>
    </row>
    <row r="2812" ht="15.75" customHeight="1">
      <c r="A2812" s="9" t="str">
        <f>IFERROR(__xludf.DUMMYFUNCTION("IF(B2812="""","""",RIGHT(REGEXREPLACE(B2812&amp;"""",""[^0-9]"",""""),9))"),"767637730")</f>
        <v>767637730</v>
      </c>
      <c r="B2812" s="48">
        <v>7.6763773E8</v>
      </c>
      <c r="C2812" s="10" t="s">
        <v>2905</v>
      </c>
      <c r="D2812" s="10" t="s">
        <v>97</v>
      </c>
      <c r="E2812" s="13">
        <v>46230.0</v>
      </c>
      <c r="F2812" s="10" t="s">
        <v>21</v>
      </c>
      <c r="H2812" s="10" t="s">
        <v>1448</v>
      </c>
      <c r="I2812" s="10" t="s">
        <v>22</v>
      </c>
      <c r="J2812" s="9" t="str">
        <f t="shared" si="42"/>
        <v>No</v>
      </c>
      <c r="K2812" s="9" t="str">
        <f t="shared" si="43"/>
        <v/>
      </c>
      <c r="L2812" s="9" t="str">
        <f t="shared" si="44"/>
        <v/>
      </c>
      <c r="M2812" s="9"/>
      <c r="O2812" s="9"/>
    </row>
    <row r="2813" ht="15.75" customHeight="1">
      <c r="A2813" s="9" t="str">
        <f>IFERROR(__xludf.DUMMYFUNCTION("IF(B2813="""","""",RIGHT(REGEXREPLACE(B2813&amp;"""",""[^0-9]"",""""),9))"),"760848562")</f>
        <v>760848562</v>
      </c>
      <c r="B2813" s="48">
        <v>7.60848562E8</v>
      </c>
      <c r="C2813" s="10" t="s">
        <v>2003</v>
      </c>
      <c r="D2813" s="10" t="s">
        <v>34</v>
      </c>
      <c r="E2813" s="13">
        <v>46230.0</v>
      </c>
      <c r="F2813" s="10" t="s">
        <v>171</v>
      </c>
      <c r="H2813" s="10" t="s">
        <v>2526</v>
      </c>
      <c r="I2813" s="10" t="s">
        <v>22</v>
      </c>
      <c r="J2813" s="9" t="str">
        <f t="shared" si="42"/>
        <v>Yes - see Previous F-Code</v>
      </c>
      <c r="K2813" s="9" t="str">
        <f t="shared" si="43"/>
        <v>DUPLICATE - CHECK</v>
      </c>
      <c r="L2813" s="9" t="str">
        <f t="shared" si="44"/>
        <v>F71783</v>
      </c>
      <c r="M2813" s="9"/>
      <c r="O2813" s="9"/>
    </row>
    <row r="2814" ht="15.75" customHeight="1">
      <c r="A2814" s="9" t="str">
        <f>IFERROR(__xludf.DUMMYFUNCTION("IF(B2814="""","""",RIGHT(REGEXREPLACE(B2814&amp;"""",""[^0-9]"",""""),9))"),"773145522")</f>
        <v>773145522</v>
      </c>
      <c r="B2814" s="48">
        <v>7.73145522E8</v>
      </c>
      <c r="C2814" s="10" t="s">
        <v>2906</v>
      </c>
      <c r="D2814" s="10" t="s">
        <v>105</v>
      </c>
      <c r="E2814" s="13">
        <v>46230.0</v>
      </c>
      <c r="F2814" s="10" t="s">
        <v>604</v>
      </c>
      <c r="I2814" s="10" t="s">
        <v>22</v>
      </c>
      <c r="J2814" s="9" t="str">
        <f t="shared" si="42"/>
        <v>No</v>
      </c>
      <c r="K2814" s="9" t="str">
        <f t="shared" si="43"/>
        <v/>
      </c>
      <c r="L2814" s="9" t="str">
        <f t="shared" si="44"/>
        <v/>
      </c>
      <c r="M2814" s="9"/>
      <c r="O2814" s="9"/>
    </row>
    <row r="2815" ht="15.75" customHeight="1">
      <c r="A2815" s="9" t="str">
        <f>IFERROR(__xludf.DUMMYFUNCTION("IF(B2815="""","""",RIGHT(REGEXREPLACE(B2815&amp;"""",""[^0-9]"",""""),9))"),"704998677")</f>
        <v>704998677</v>
      </c>
      <c r="B2815" s="48">
        <v>7.04998677E8</v>
      </c>
      <c r="C2815" s="10" t="s">
        <v>2907</v>
      </c>
      <c r="D2815" s="10" t="s">
        <v>50</v>
      </c>
      <c r="E2815" s="13">
        <v>46230.0</v>
      </c>
      <c r="F2815" s="10" t="s">
        <v>35</v>
      </c>
      <c r="G2815" s="10">
        <v>11.0</v>
      </c>
      <c r="H2815" s="10" t="s">
        <v>238</v>
      </c>
      <c r="I2815" s="10" t="s">
        <v>22</v>
      </c>
      <c r="J2815" s="9" t="str">
        <f t="shared" si="42"/>
        <v>No</v>
      </c>
      <c r="K2815" s="9" t="str">
        <f t="shared" si="43"/>
        <v/>
      </c>
      <c r="L2815" s="9" t="str">
        <f t="shared" si="44"/>
        <v/>
      </c>
      <c r="M2815" s="9"/>
      <c r="O2815" s="9"/>
    </row>
    <row r="2816" ht="15.75" customHeight="1">
      <c r="A2816" s="9" t="str">
        <f>IFERROR(__xludf.DUMMYFUNCTION("IF(B2816="""","""",RIGHT(REGEXREPLACE(B2816&amp;"""",""[^0-9]"",""""),9))"),"776865426")</f>
        <v>776865426</v>
      </c>
      <c r="B2816" s="48">
        <v>7.76865426E8</v>
      </c>
      <c r="C2816" s="10" t="s">
        <v>2908</v>
      </c>
      <c r="D2816" s="10" t="s">
        <v>97</v>
      </c>
      <c r="E2816" s="13">
        <v>46230.0</v>
      </c>
      <c r="F2816" s="10" t="s">
        <v>35</v>
      </c>
      <c r="G2816" s="10">
        <v>11.0</v>
      </c>
      <c r="H2816" s="10" t="s">
        <v>1448</v>
      </c>
      <c r="I2816" s="10" t="s">
        <v>22</v>
      </c>
      <c r="J2816" s="9" t="str">
        <f t="shared" si="42"/>
        <v>No</v>
      </c>
      <c r="K2816" s="9" t="str">
        <f t="shared" si="43"/>
        <v/>
      </c>
      <c r="L2816" s="9" t="str">
        <f t="shared" si="44"/>
        <v/>
      </c>
      <c r="M2816" s="9"/>
      <c r="O2816" s="9"/>
    </row>
    <row r="2817" ht="15.75" customHeight="1">
      <c r="A2817" s="9" t="str">
        <f>IFERROR(__xludf.DUMMYFUNCTION("IF(B2817="""","""",RIGHT(REGEXREPLACE(B2817&amp;"""",""[^0-9]"",""""),9))"),"729157652")</f>
        <v>729157652</v>
      </c>
      <c r="B2817" s="48">
        <v>7.29157652E8</v>
      </c>
      <c r="C2817" s="10" t="s">
        <v>2909</v>
      </c>
      <c r="D2817" s="10" t="s">
        <v>105</v>
      </c>
      <c r="E2817" s="13">
        <v>46230.0</v>
      </c>
      <c r="F2817" s="10" t="s">
        <v>198</v>
      </c>
      <c r="I2817" s="10" t="s">
        <v>22</v>
      </c>
      <c r="J2817" s="9" t="str">
        <f t="shared" si="42"/>
        <v>No</v>
      </c>
      <c r="K2817" s="9" t="str">
        <f t="shared" si="43"/>
        <v/>
      </c>
      <c r="L2817" s="9" t="str">
        <f t="shared" si="44"/>
        <v/>
      </c>
      <c r="M2817" s="9"/>
      <c r="O2817" s="9"/>
    </row>
    <row r="2818" ht="15.75" customHeight="1">
      <c r="A2818" s="9" t="str">
        <f>IFERROR(__xludf.DUMMYFUNCTION("IF(B2818="""","""",RIGHT(REGEXREPLACE(B2818&amp;"""",""[^0-9]"",""""),9))"),"717320966")</f>
        <v>717320966</v>
      </c>
      <c r="B2818" s="48">
        <v>7.17320966E8</v>
      </c>
      <c r="C2818" s="10" t="s">
        <v>1449</v>
      </c>
      <c r="D2818" s="10" t="s">
        <v>69</v>
      </c>
      <c r="E2818" s="13">
        <v>46230.0</v>
      </c>
      <c r="F2818" s="10" t="s">
        <v>113</v>
      </c>
      <c r="H2818" s="10" t="s">
        <v>737</v>
      </c>
      <c r="I2818" s="10" t="s">
        <v>22</v>
      </c>
      <c r="J2818" s="9" t="str">
        <f t="shared" si="42"/>
        <v>No</v>
      </c>
      <c r="K2818" s="9" t="str">
        <f t="shared" si="43"/>
        <v/>
      </c>
      <c r="L2818" s="9" t="str">
        <f t="shared" si="44"/>
        <v/>
      </c>
      <c r="M2818" s="9"/>
      <c r="O2818" s="9"/>
    </row>
    <row r="2819" ht="15.75" customHeight="1">
      <c r="A2819" s="9" t="str">
        <f>IFERROR(__xludf.DUMMYFUNCTION("IF(B2819="""","""",RIGHT(REGEXREPLACE(B2819&amp;"""",""[^0-9]"",""""),9))"),"789451869")</f>
        <v>789451869</v>
      </c>
      <c r="B2819" s="48">
        <v>7.89451869E8</v>
      </c>
      <c r="C2819" s="10" t="s">
        <v>2910</v>
      </c>
      <c r="D2819" s="10" t="s">
        <v>50</v>
      </c>
      <c r="E2819" s="13">
        <v>46230.0</v>
      </c>
      <c r="F2819" s="10" t="s">
        <v>35</v>
      </c>
      <c r="G2819" s="10">
        <v>11.0</v>
      </c>
      <c r="I2819" s="10" t="s">
        <v>22</v>
      </c>
      <c r="J2819" s="9" t="str">
        <f t="shared" si="42"/>
        <v>No</v>
      </c>
      <c r="K2819" s="9" t="str">
        <f t="shared" si="43"/>
        <v/>
      </c>
      <c r="L2819" s="9" t="str">
        <f t="shared" si="44"/>
        <v/>
      </c>
      <c r="M2819" s="9"/>
      <c r="O2819" s="9"/>
    </row>
    <row r="2820" ht="15.75" customHeight="1">
      <c r="A2820" s="9" t="str">
        <f>IFERROR(__xludf.DUMMYFUNCTION("IF(B2820="""","""",RIGHT(REGEXREPLACE(B2820&amp;"""",""[^0-9]"",""""),9))"),"761851398")</f>
        <v>761851398</v>
      </c>
      <c r="B2820" s="48">
        <v>7.61851398E8</v>
      </c>
      <c r="C2820" s="10" t="s">
        <v>686</v>
      </c>
      <c r="D2820" s="10" t="s">
        <v>69</v>
      </c>
      <c r="E2820" s="13">
        <v>46230.0</v>
      </c>
      <c r="F2820" s="10" t="s">
        <v>21</v>
      </c>
      <c r="H2820" s="10" t="s">
        <v>737</v>
      </c>
      <c r="I2820" s="10" t="s">
        <v>22</v>
      </c>
      <c r="J2820" s="9" t="str">
        <f t="shared" si="42"/>
        <v>No</v>
      </c>
      <c r="K2820" s="9" t="str">
        <f t="shared" si="43"/>
        <v/>
      </c>
      <c r="L2820" s="9" t="str">
        <f t="shared" si="44"/>
        <v/>
      </c>
      <c r="M2820" s="9"/>
      <c r="O2820" s="9"/>
    </row>
    <row r="2821" ht="15.75" customHeight="1">
      <c r="A2821" s="9" t="str">
        <f>IFERROR(__xludf.DUMMYFUNCTION("IF(B2821="""","""",RIGHT(REGEXREPLACE(B2821&amp;"""",""[^0-9]"",""""),9))"),"756159038")</f>
        <v>756159038</v>
      </c>
      <c r="B2821" s="48">
        <v>7.56159038E8</v>
      </c>
      <c r="C2821" s="10" t="s">
        <v>2911</v>
      </c>
      <c r="D2821" s="10" t="s">
        <v>34</v>
      </c>
      <c r="E2821" s="13">
        <v>46230.0</v>
      </c>
      <c r="F2821" s="10" t="s">
        <v>35</v>
      </c>
      <c r="G2821" s="10">
        <v>11.0</v>
      </c>
      <c r="I2821" s="10" t="s">
        <v>22</v>
      </c>
      <c r="J2821" s="9" t="str">
        <f t="shared" si="42"/>
        <v>No</v>
      </c>
      <c r="K2821" s="9" t="str">
        <f t="shared" si="43"/>
        <v/>
      </c>
      <c r="L2821" s="9" t="str">
        <f t="shared" si="44"/>
        <v/>
      </c>
      <c r="M2821" s="9"/>
      <c r="O2821" s="9"/>
    </row>
    <row r="2822" ht="15.75" customHeight="1">
      <c r="A2822" s="9" t="str">
        <f>IFERROR(__xludf.DUMMYFUNCTION("IF(B2822="""","""",RIGHT(REGEXREPLACE(B2822&amp;"""",""[^0-9]"",""""),9))"),"716933488")</f>
        <v>716933488</v>
      </c>
      <c r="B2822" s="48">
        <v>7.16933488E8</v>
      </c>
      <c r="C2822" s="10" t="s">
        <v>2912</v>
      </c>
      <c r="D2822" s="10" t="s">
        <v>105</v>
      </c>
      <c r="E2822" s="13">
        <v>46230.0</v>
      </c>
      <c r="F2822" s="10" t="s">
        <v>604</v>
      </c>
      <c r="I2822" s="10" t="s">
        <v>22</v>
      </c>
      <c r="J2822" s="9" t="str">
        <f t="shared" si="42"/>
        <v>No</v>
      </c>
      <c r="K2822" s="9" t="str">
        <f t="shared" si="43"/>
        <v/>
      </c>
      <c r="L2822" s="9" t="str">
        <f t="shared" si="44"/>
        <v/>
      </c>
      <c r="M2822" s="9"/>
      <c r="O2822" s="9"/>
    </row>
    <row r="2823" ht="15.75" customHeight="1">
      <c r="A2823" s="9" t="str">
        <f>IFERROR(__xludf.DUMMYFUNCTION("IF(B2823="""","""",RIGHT(REGEXREPLACE(B2823&amp;"""",""[^0-9]"",""""),9))"),"723756587")</f>
        <v>723756587</v>
      </c>
      <c r="B2823" s="48">
        <v>7.23756587E8</v>
      </c>
      <c r="C2823" s="10" t="s">
        <v>2913</v>
      </c>
      <c r="D2823" s="10" t="s">
        <v>105</v>
      </c>
      <c r="E2823" s="13">
        <v>46230.0</v>
      </c>
      <c r="F2823" s="10" t="s">
        <v>198</v>
      </c>
      <c r="I2823" s="10" t="s">
        <v>22</v>
      </c>
      <c r="J2823" s="9" t="str">
        <f t="shared" si="42"/>
        <v>No</v>
      </c>
      <c r="K2823" s="9" t="str">
        <f t="shared" si="43"/>
        <v/>
      </c>
      <c r="L2823" s="9" t="str">
        <f t="shared" si="44"/>
        <v/>
      </c>
      <c r="M2823" s="9"/>
      <c r="O2823" s="9"/>
    </row>
    <row r="2824" ht="15.75" customHeight="1">
      <c r="A2824" s="9" t="str">
        <f>IFERROR(__xludf.DUMMYFUNCTION("IF(B2824="""","""",RIGHT(REGEXREPLACE(B2824&amp;"""",""[^0-9]"",""""),9))"),"740058855")</f>
        <v>740058855</v>
      </c>
      <c r="B2824" s="48">
        <v>7.40058855E8</v>
      </c>
      <c r="C2824" s="10" t="s">
        <v>2914</v>
      </c>
      <c r="D2824" s="10" t="s">
        <v>50</v>
      </c>
      <c r="E2824" s="13">
        <v>46230.0</v>
      </c>
      <c r="F2824" s="10" t="s">
        <v>171</v>
      </c>
      <c r="I2824" s="10" t="s">
        <v>22</v>
      </c>
      <c r="J2824" s="9" t="str">
        <f t="shared" si="42"/>
        <v>No</v>
      </c>
      <c r="K2824" s="9" t="str">
        <f t="shared" si="43"/>
        <v/>
      </c>
      <c r="L2824" s="9" t="str">
        <f t="shared" si="44"/>
        <v/>
      </c>
      <c r="M2824" s="9"/>
      <c r="O2824" s="9"/>
    </row>
    <row r="2825" ht="15.75" customHeight="1">
      <c r="A2825" s="9" t="str">
        <f>IFERROR(__xludf.DUMMYFUNCTION("IF(B2825="""","""",RIGHT(REGEXREPLACE(B2825&amp;"""",""[^0-9]"",""""),9))"),"772909024")</f>
        <v>772909024</v>
      </c>
      <c r="B2825" s="48">
        <v>7.72909024E8</v>
      </c>
      <c r="C2825" s="10" t="s">
        <v>2915</v>
      </c>
      <c r="D2825" s="10" t="s">
        <v>34</v>
      </c>
      <c r="E2825" s="13">
        <v>46230.0</v>
      </c>
      <c r="F2825" s="10" t="s">
        <v>113</v>
      </c>
      <c r="H2825" s="10" t="s">
        <v>2526</v>
      </c>
      <c r="I2825" s="10" t="s">
        <v>22</v>
      </c>
      <c r="J2825" s="9" t="str">
        <f t="shared" si="42"/>
        <v>No</v>
      </c>
      <c r="K2825" s="9" t="str">
        <f t="shared" si="43"/>
        <v/>
      </c>
      <c r="L2825" s="9" t="str">
        <f t="shared" si="44"/>
        <v/>
      </c>
      <c r="M2825" s="9"/>
      <c r="O2825" s="9"/>
    </row>
    <row r="2826" ht="15.75" customHeight="1">
      <c r="A2826" s="9" t="str">
        <f>IFERROR(__xludf.DUMMYFUNCTION("IF(B2826="""","""",RIGHT(REGEXREPLACE(B2826&amp;"""",""[^0-9]"",""""),9))"),"779973208")</f>
        <v>779973208</v>
      </c>
      <c r="B2826" s="48">
        <v>7.79973208E8</v>
      </c>
      <c r="C2826" s="10" t="s">
        <v>2916</v>
      </c>
      <c r="D2826" s="10" t="s">
        <v>105</v>
      </c>
      <c r="E2826" s="13">
        <v>46230.0</v>
      </c>
      <c r="F2826" s="10" t="s">
        <v>35</v>
      </c>
      <c r="G2826" s="10">
        <v>11.0</v>
      </c>
      <c r="I2826" s="10" t="s">
        <v>22</v>
      </c>
      <c r="J2826" s="9" t="str">
        <f t="shared" si="42"/>
        <v>No</v>
      </c>
      <c r="K2826" s="9" t="str">
        <f t="shared" si="43"/>
        <v/>
      </c>
      <c r="L2826" s="9" t="str">
        <f t="shared" si="44"/>
        <v/>
      </c>
      <c r="M2826" s="9"/>
      <c r="O2826" s="9"/>
    </row>
    <row r="2827" ht="15.75" customHeight="1">
      <c r="A2827" s="9" t="str">
        <f>IFERROR(__xludf.DUMMYFUNCTION("IF(B2827="""","""",RIGHT(REGEXREPLACE(B2827&amp;"""",""[^0-9]"",""""),9))"),"750803776")</f>
        <v>750803776</v>
      </c>
      <c r="B2827" s="48">
        <v>7.50803776E8</v>
      </c>
      <c r="C2827" s="10" t="s">
        <v>2917</v>
      </c>
      <c r="D2827" s="10" t="s">
        <v>50</v>
      </c>
      <c r="E2827" s="13">
        <v>46230.0</v>
      </c>
      <c r="F2827" s="10" t="s">
        <v>35</v>
      </c>
      <c r="G2827" s="10">
        <v>11.0</v>
      </c>
      <c r="I2827" s="10" t="s">
        <v>22</v>
      </c>
      <c r="J2827" s="9" t="str">
        <f t="shared" si="42"/>
        <v>No</v>
      </c>
      <c r="K2827" s="9" t="str">
        <f t="shared" si="43"/>
        <v/>
      </c>
      <c r="L2827" s="9" t="str">
        <f t="shared" si="44"/>
        <v/>
      </c>
      <c r="M2827" s="9"/>
      <c r="O2827" s="9"/>
    </row>
    <row r="2828" ht="15.75" customHeight="1">
      <c r="A2828" s="9" t="str">
        <f>IFERROR(__xludf.DUMMYFUNCTION("IF(B2828="""","""",RIGHT(REGEXREPLACE(B2828&amp;"""",""[^0-9]"",""""),9))"),"705819774")</f>
        <v>705819774</v>
      </c>
      <c r="B2828" s="48">
        <v>7.05819774E8</v>
      </c>
      <c r="C2828" s="10" t="s">
        <v>2918</v>
      </c>
      <c r="D2828" s="10" t="s">
        <v>97</v>
      </c>
      <c r="E2828" s="13">
        <v>46230.0</v>
      </c>
      <c r="F2828" s="10" t="s">
        <v>35</v>
      </c>
      <c r="G2828" s="10">
        <v>11.0</v>
      </c>
      <c r="H2828" s="10" t="s">
        <v>1448</v>
      </c>
      <c r="I2828" s="10" t="s">
        <v>22</v>
      </c>
      <c r="J2828" s="9" t="str">
        <f t="shared" si="42"/>
        <v>No</v>
      </c>
      <c r="K2828" s="9" t="str">
        <f t="shared" si="43"/>
        <v/>
      </c>
      <c r="L2828" s="9" t="str">
        <f t="shared" si="44"/>
        <v/>
      </c>
      <c r="M2828" s="9"/>
      <c r="O2828" s="9"/>
    </row>
    <row r="2829" ht="15.75" customHeight="1">
      <c r="A2829" s="9" t="str">
        <f>IFERROR(__xludf.DUMMYFUNCTION("IF(B2829="""","""",RIGHT(REGEXREPLACE(B2829&amp;"""",""[^0-9]"",""""),9))"),"716051719")</f>
        <v>716051719</v>
      </c>
      <c r="B2829" s="48">
        <v>7.16051719E8</v>
      </c>
      <c r="C2829" s="10" t="s">
        <v>2919</v>
      </c>
      <c r="D2829" s="10" t="s">
        <v>34</v>
      </c>
      <c r="E2829" s="13">
        <v>46230.0</v>
      </c>
      <c r="F2829" s="10" t="s">
        <v>35</v>
      </c>
      <c r="G2829" s="10">
        <v>11.0</v>
      </c>
      <c r="I2829" s="10" t="s">
        <v>22</v>
      </c>
      <c r="J2829" s="9" t="str">
        <f t="shared" si="42"/>
        <v>No</v>
      </c>
      <c r="K2829" s="9" t="str">
        <f t="shared" si="43"/>
        <v/>
      </c>
      <c r="L2829" s="9" t="str">
        <f t="shared" si="44"/>
        <v/>
      </c>
      <c r="M2829" s="9"/>
      <c r="O2829" s="9"/>
    </row>
    <row r="2830" ht="15.75" customHeight="1">
      <c r="A2830" s="9" t="str">
        <f>IFERROR(__xludf.DUMMYFUNCTION("IF(B2830="""","""",RIGHT(REGEXREPLACE(B2830&amp;"""",""[^0-9]"",""""),9))"),"705578925")</f>
        <v>705578925</v>
      </c>
      <c r="B2830" s="48">
        <v>7.05578925E8</v>
      </c>
      <c r="C2830" s="10" t="s">
        <v>2920</v>
      </c>
      <c r="D2830" s="10" t="s">
        <v>105</v>
      </c>
      <c r="E2830" s="13">
        <v>46230.0</v>
      </c>
      <c r="F2830" s="10" t="s">
        <v>21</v>
      </c>
      <c r="I2830" s="10" t="s">
        <v>22</v>
      </c>
      <c r="J2830" s="9" t="str">
        <f t="shared" si="42"/>
        <v>No</v>
      </c>
      <c r="K2830" s="9" t="str">
        <f t="shared" si="43"/>
        <v/>
      </c>
      <c r="L2830" s="9" t="str">
        <f t="shared" si="44"/>
        <v/>
      </c>
      <c r="M2830" s="9"/>
      <c r="O2830" s="9"/>
    </row>
    <row r="2831" ht="15.75" customHeight="1">
      <c r="A2831" s="9" t="str">
        <f>IFERROR(__xludf.DUMMYFUNCTION("IF(B2831="""","""",RIGHT(REGEXREPLACE(B2831&amp;"""",""[^0-9]"",""""),9))"),"764056697")</f>
        <v>764056697</v>
      </c>
      <c r="B2831" s="48">
        <v>7.64056697E8</v>
      </c>
      <c r="C2831" s="10" t="s">
        <v>2921</v>
      </c>
      <c r="D2831" s="10" t="s">
        <v>120</v>
      </c>
      <c r="E2831" s="13">
        <v>46230.0</v>
      </c>
      <c r="F2831" s="10" t="s">
        <v>198</v>
      </c>
      <c r="I2831" s="10" t="s">
        <v>22</v>
      </c>
      <c r="J2831" s="9" t="str">
        <f t="shared" si="42"/>
        <v>No</v>
      </c>
      <c r="K2831" s="9" t="str">
        <f t="shared" si="43"/>
        <v/>
      </c>
      <c r="L2831" s="9" t="str">
        <f t="shared" si="44"/>
        <v/>
      </c>
      <c r="M2831" s="9"/>
      <c r="O2831" s="9"/>
    </row>
    <row r="2832" ht="15.75" customHeight="1">
      <c r="A2832" s="9" t="str">
        <f>IFERROR(__xludf.DUMMYFUNCTION("IF(B2832="""","""",RIGHT(REGEXREPLACE(B2832&amp;"""",""[^0-9]"",""""),9))"),"760679245")</f>
        <v>760679245</v>
      </c>
      <c r="B2832" s="48">
        <v>7.60679245E8</v>
      </c>
      <c r="C2832" s="10" t="s">
        <v>2922</v>
      </c>
      <c r="D2832" s="10" t="s">
        <v>50</v>
      </c>
      <c r="E2832" s="13">
        <v>46230.0</v>
      </c>
      <c r="F2832" s="10" t="s">
        <v>35</v>
      </c>
      <c r="G2832" s="10">
        <v>11.0</v>
      </c>
      <c r="I2832" s="10" t="s">
        <v>22</v>
      </c>
      <c r="J2832" s="9" t="str">
        <f t="shared" si="42"/>
        <v>No</v>
      </c>
      <c r="K2832" s="9" t="str">
        <f t="shared" si="43"/>
        <v/>
      </c>
      <c r="L2832" s="9" t="str">
        <f t="shared" si="44"/>
        <v/>
      </c>
      <c r="M2832" s="9"/>
      <c r="O2832" s="9"/>
    </row>
    <row r="2833" ht="15.75" customHeight="1">
      <c r="A2833" s="9" t="str">
        <f>IFERROR(__xludf.DUMMYFUNCTION("IF(B2833="""","""",RIGHT(REGEXREPLACE(B2833&amp;"""",""[^0-9]"",""""),9))"),"760303006")</f>
        <v>760303006</v>
      </c>
      <c r="B2833" s="48">
        <v>7.60303006E8</v>
      </c>
      <c r="C2833" s="10" t="s">
        <v>2923</v>
      </c>
      <c r="D2833" s="10" t="s">
        <v>69</v>
      </c>
      <c r="E2833" s="13">
        <v>46230.0</v>
      </c>
      <c r="F2833" s="10" t="s">
        <v>113</v>
      </c>
      <c r="H2833" s="10" t="s">
        <v>737</v>
      </c>
      <c r="I2833" s="10" t="s">
        <v>22</v>
      </c>
      <c r="J2833" s="9" t="str">
        <f t="shared" si="42"/>
        <v>No</v>
      </c>
      <c r="K2833" s="9" t="str">
        <f t="shared" si="43"/>
        <v/>
      </c>
      <c r="L2833" s="9" t="str">
        <f t="shared" si="44"/>
        <v/>
      </c>
      <c r="M2833" s="9"/>
      <c r="O2833" s="9"/>
    </row>
    <row r="2834" ht="15.75" customHeight="1">
      <c r="A2834" s="9" t="str">
        <f>IFERROR(__xludf.DUMMYFUNCTION("IF(B2834="""","""",RIGHT(REGEXREPLACE(B2834&amp;"""",""[^0-9]"",""""),9))"),"767609321")</f>
        <v>767609321</v>
      </c>
      <c r="B2834" s="48">
        <v>7.67609321E8</v>
      </c>
      <c r="C2834" s="10" t="s">
        <v>2924</v>
      </c>
      <c r="D2834" s="10" t="s">
        <v>120</v>
      </c>
      <c r="E2834" s="13">
        <v>46230.0</v>
      </c>
      <c r="F2834" s="10" t="s">
        <v>35</v>
      </c>
      <c r="G2834" s="10">
        <v>11.0</v>
      </c>
      <c r="I2834" s="10" t="s">
        <v>22</v>
      </c>
      <c r="J2834" s="9" t="str">
        <f t="shared" si="42"/>
        <v>No</v>
      </c>
      <c r="K2834" s="9" t="str">
        <f t="shared" si="43"/>
        <v/>
      </c>
      <c r="L2834" s="9" t="str">
        <f t="shared" si="44"/>
        <v/>
      </c>
      <c r="M2834" s="9"/>
      <c r="O2834" s="9"/>
    </row>
    <row r="2835" ht="15.75" customHeight="1">
      <c r="A2835" s="9" t="str">
        <f>IFERROR(__xludf.DUMMYFUNCTION("IF(B2835="""","""",RIGHT(REGEXREPLACE(B2835&amp;"""",""[^0-9]"",""""),9))"),"778245103")</f>
        <v>778245103</v>
      </c>
      <c r="B2835" s="48">
        <v>7.78245103E8</v>
      </c>
      <c r="C2835" s="10" t="s">
        <v>2925</v>
      </c>
      <c r="D2835" s="10" t="s">
        <v>50</v>
      </c>
      <c r="E2835" s="13">
        <v>46230.0</v>
      </c>
      <c r="F2835" s="10" t="s">
        <v>198</v>
      </c>
      <c r="I2835" s="10" t="s">
        <v>22</v>
      </c>
      <c r="J2835" s="9" t="str">
        <f t="shared" si="42"/>
        <v>No</v>
      </c>
      <c r="K2835" s="9" t="str">
        <f t="shared" si="43"/>
        <v/>
      </c>
      <c r="L2835" s="9" t="str">
        <f t="shared" si="44"/>
        <v/>
      </c>
      <c r="M2835" s="9"/>
      <c r="O2835" s="9"/>
    </row>
    <row r="2836" ht="15.75" customHeight="1">
      <c r="A2836" s="9" t="str">
        <f>IFERROR(__xludf.DUMMYFUNCTION("IF(B2836="""","""",RIGHT(REGEXREPLACE(B2836&amp;"""",""[^0-9]"",""""),9))"),"762783375")</f>
        <v>762783375</v>
      </c>
      <c r="B2836" s="48">
        <v>7.62783375E8</v>
      </c>
      <c r="C2836" s="10" t="s">
        <v>2926</v>
      </c>
      <c r="D2836" s="10" t="s">
        <v>105</v>
      </c>
      <c r="E2836" s="13">
        <v>46230.0</v>
      </c>
      <c r="F2836" s="10" t="s">
        <v>21</v>
      </c>
      <c r="I2836" s="10" t="s">
        <v>22</v>
      </c>
      <c r="J2836" s="9" t="str">
        <f t="shared" si="42"/>
        <v>No</v>
      </c>
      <c r="K2836" s="9" t="str">
        <f t="shared" si="43"/>
        <v/>
      </c>
      <c r="L2836" s="9" t="str">
        <f t="shared" si="44"/>
        <v/>
      </c>
      <c r="M2836" s="9"/>
      <c r="O2836" s="9"/>
    </row>
    <row r="2837" ht="15.75" customHeight="1">
      <c r="A2837" s="9" t="str">
        <f>IFERROR(__xludf.DUMMYFUNCTION("IF(B2837="""","""",RIGHT(REGEXREPLACE(B2837&amp;"""",""[^0-9]"",""""),9))"),"772331099")</f>
        <v>772331099</v>
      </c>
      <c r="B2837" s="48">
        <v>7.72331099E8</v>
      </c>
      <c r="C2837" s="10" t="s">
        <v>2927</v>
      </c>
      <c r="D2837" s="10" t="s">
        <v>34</v>
      </c>
      <c r="E2837" s="13">
        <v>46230.0</v>
      </c>
      <c r="F2837" s="10" t="s">
        <v>21</v>
      </c>
      <c r="H2837" s="10" t="s">
        <v>2526</v>
      </c>
      <c r="I2837" s="10" t="s">
        <v>22</v>
      </c>
      <c r="J2837" s="9" t="str">
        <f t="shared" si="42"/>
        <v>No</v>
      </c>
      <c r="K2837" s="9" t="str">
        <f t="shared" si="43"/>
        <v/>
      </c>
      <c r="L2837" s="9" t="str">
        <f t="shared" si="44"/>
        <v/>
      </c>
      <c r="M2837" s="9"/>
      <c r="O2837" s="9"/>
    </row>
    <row r="2838" ht="15.75" customHeight="1">
      <c r="A2838" s="9" t="str">
        <f>IFERROR(__xludf.DUMMYFUNCTION("IF(B2838="""","""",RIGHT(REGEXREPLACE(B2838&amp;"""",""[^0-9]"",""""),9))"),"769997810")</f>
        <v>769997810</v>
      </c>
      <c r="B2838" s="48">
        <v>7.6999781E8</v>
      </c>
      <c r="C2838" s="10" t="s">
        <v>2928</v>
      </c>
      <c r="D2838" s="10" t="s">
        <v>50</v>
      </c>
      <c r="E2838" s="13">
        <v>46230.0</v>
      </c>
      <c r="F2838" s="10" t="s">
        <v>21</v>
      </c>
      <c r="G2838" s="10">
        <v>11.0</v>
      </c>
      <c r="I2838" s="10" t="s">
        <v>22</v>
      </c>
      <c r="J2838" s="9" t="str">
        <f t="shared" si="42"/>
        <v>No</v>
      </c>
      <c r="K2838" s="9" t="str">
        <f t="shared" si="43"/>
        <v/>
      </c>
      <c r="L2838" s="9" t="str">
        <f t="shared" si="44"/>
        <v/>
      </c>
      <c r="M2838" s="9"/>
      <c r="O2838" s="9"/>
    </row>
    <row r="2839" ht="15.75" customHeight="1">
      <c r="A2839" s="9" t="str">
        <f>IFERROR(__xludf.DUMMYFUNCTION("IF(B2839="""","""",RIGHT(REGEXREPLACE(B2839&amp;"""",""[^0-9]"",""""),9))"),"789938325")</f>
        <v>789938325</v>
      </c>
      <c r="B2839" s="48">
        <v>7.89938325E8</v>
      </c>
      <c r="C2839" s="10" t="s">
        <v>2918</v>
      </c>
      <c r="D2839" s="10" t="s">
        <v>97</v>
      </c>
      <c r="E2839" s="13">
        <v>46230.0</v>
      </c>
      <c r="F2839" s="10" t="s">
        <v>113</v>
      </c>
      <c r="H2839" s="10" t="s">
        <v>1448</v>
      </c>
      <c r="I2839" s="10" t="s">
        <v>22</v>
      </c>
      <c r="J2839" s="9" t="str">
        <f t="shared" si="42"/>
        <v>No</v>
      </c>
      <c r="K2839" s="9" t="str">
        <f t="shared" si="43"/>
        <v/>
      </c>
      <c r="L2839" s="9" t="str">
        <f t="shared" si="44"/>
        <v/>
      </c>
      <c r="M2839" s="9"/>
      <c r="O2839" s="9"/>
    </row>
    <row r="2840" ht="15.75" customHeight="1">
      <c r="A2840" s="9" t="str">
        <f>IFERROR(__xludf.DUMMYFUNCTION("IF(B2840="""","""",RIGHT(REGEXREPLACE(B2840&amp;"""",""[^0-9]"",""""),9))"),"772319436")</f>
        <v>772319436</v>
      </c>
      <c r="B2840" s="48">
        <v>7.72319436E8</v>
      </c>
      <c r="C2840" s="10" t="s">
        <v>2929</v>
      </c>
      <c r="D2840" s="10" t="s">
        <v>50</v>
      </c>
      <c r="E2840" s="13">
        <v>46230.0</v>
      </c>
      <c r="F2840" s="10" t="s">
        <v>198</v>
      </c>
      <c r="I2840" s="10" t="s">
        <v>22</v>
      </c>
      <c r="J2840" s="9" t="str">
        <f t="shared" si="42"/>
        <v>No</v>
      </c>
      <c r="K2840" s="9" t="str">
        <f t="shared" si="43"/>
        <v/>
      </c>
      <c r="L2840" s="9" t="str">
        <f t="shared" si="44"/>
        <v/>
      </c>
      <c r="M2840" s="9"/>
      <c r="O2840" s="9"/>
    </row>
    <row r="2841" ht="15.75" customHeight="1">
      <c r="A2841" s="9" t="str">
        <f>IFERROR(__xludf.DUMMYFUNCTION("IF(B2841="""","""",RIGHT(REGEXREPLACE(B2841&amp;"""",""[^0-9]"",""""),9))"),"716511773")</f>
        <v>716511773</v>
      </c>
      <c r="B2841" s="48">
        <v>7.16511773E8</v>
      </c>
      <c r="C2841" s="10" t="s">
        <v>2930</v>
      </c>
      <c r="D2841" s="10" t="s">
        <v>105</v>
      </c>
      <c r="E2841" s="13">
        <v>46230.0</v>
      </c>
      <c r="F2841" s="10" t="s">
        <v>113</v>
      </c>
      <c r="G2841" s="10">
        <v>11.0</v>
      </c>
      <c r="I2841" s="10" t="s">
        <v>22</v>
      </c>
      <c r="J2841" s="9" t="str">
        <f t="shared" si="42"/>
        <v>No</v>
      </c>
      <c r="K2841" s="9" t="str">
        <f t="shared" si="43"/>
        <v/>
      </c>
      <c r="L2841" s="9" t="str">
        <f t="shared" si="44"/>
        <v/>
      </c>
      <c r="M2841" s="9"/>
      <c r="O2841" s="9"/>
    </row>
    <row r="2842" ht="15.75" customHeight="1">
      <c r="A2842" s="9" t="str">
        <f>IFERROR(__xludf.DUMMYFUNCTION("IF(B2842="""","""",RIGHT(REGEXREPLACE(B2842&amp;"""",""[^0-9]"",""""),9))"),"773089888")</f>
        <v>773089888</v>
      </c>
      <c r="B2842" s="48">
        <v>7.73089888E8</v>
      </c>
      <c r="C2842" s="10" t="s">
        <v>2931</v>
      </c>
      <c r="D2842" s="10" t="s">
        <v>34</v>
      </c>
      <c r="E2842" s="13">
        <v>46230.0</v>
      </c>
      <c r="F2842" s="10" t="s">
        <v>113</v>
      </c>
      <c r="G2842" s="10">
        <v>11.0</v>
      </c>
      <c r="H2842" s="10" t="s">
        <v>1448</v>
      </c>
      <c r="I2842" s="10" t="s">
        <v>22</v>
      </c>
      <c r="J2842" s="9" t="str">
        <f t="shared" si="42"/>
        <v>No</v>
      </c>
      <c r="K2842" s="9" t="str">
        <f t="shared" si="43"/>
        <v/>
      </c>
      <c r="L2842" s="9" t="str">
        <f t="shared" si="44"/>
        <v/>
      </c>
      <c r="M2842" s="9"/>
      <c r="O2842" s="9"/>
    </row>
    <row r="2843" ht="15.75" customHeight="1">
      <c r="A2843" s="9" t="str">
        <f>IFERROR(__xludf.DUMMYFUNCTION("IF(B2843="""","""",RIGHT(REGEXREPLACE(B2843&amp;"""",""[^0-9]"",""""),9))"),"714754421")</f>
        <v>714754421</v>
      </c>
      <c r="B2843" s="48">
        <v>7.14754421E8</v>
      </c>
      <c r="C2843" s="10" t="s">
        <v>2932</v>
      </c>
      <c r="D2843" s="10" t="s">
        <v>97</v>
      </c>
      <c r="E2843" s="13">
        <v>46230.0</v>
      </c>
      <c r="F2843" s="10" t="s">
        <v>21</v>
      </c>
      <c r="H2843" s="10" t="s">
        <v>1448</v>
      </c>
      <c r="I2843" s="10" t="s">
        <v>22</v>
      </c>
      <c r="J2843" s="9" t="str">
        <f t="shared" si="42"/>
        <v>No</v>
      </c>
      <c r="K2843" s="9" t="str">
        <f t="shared" si="43"/>
        <v/>
      </c>
      <c r="L2843" s="9" t="str">
        <f t="shared" si="44"/>
        <v/>
      </c>
      <c r="M2843" s="9"/>
      <c r="O2843" s="9"/>
    </row>
    <row r="2844" ht="15.75" customHeight="1">
      <c r="A2844" s="9" t="str">
        <f>IFERROR(__xludf.DUMMYFUNCTION("IF(B2844="""","""",RIGHT(REGEXREPLACE(B2844&amp;"""",""[^0-9]"",""""),9))"),"785910223")</f>
        <v>785910223</v>
      </c>
      <c r="B2844" s="48">
        <v>7.85910223E8</v>
      </c>
      <c r="C2844" s="10" t="s">
        <v>2933</v>
      </c>
      <c r="D2844" s="10" t="s">
        <v>120</v>
      </c>
      <c r="E2844" s="13">
        <v>46230.0</v>
      </c>
      <c r="F2844" s="10" t="s">
        <v>35</v>
      </c>
      <c r="G2844" s="10">
        <v>11.0</v>
      </c>
      <c r="I2844" s="10" t="s">
        <v>22</v>
      </c>
      <c r="J2844" s="9" t="str">
        <f t="shared" si="42"/>
        <v>No</v>
      </c>
      <c r="K2844" s="9" t="str">
        <f t="shared" si="43"/>
        <v/>
      </c>
      <c r="L2844" s="9" t="str">
        <f t="shared" si="44"/>
        <v/>
      </c>
      <c r="M2844" s="9"/>
      <c r="O2844" s="9"/>
    </row>
    <row r="2845" ht="15.75" customHeight="1">
      <c r="A2845" s="9" t="str">
        <f>IFERROR(__xludf.DUMMYFUNCTION("IF(B2845="""","""",RIGHT(REGEXREPLACE(B2845&amp;"""",""[^0-9]"",""""),9))"),"774573260")</f>
        <v>774573260</v>
      </c>
      <c r="B2845" s="48">
        <v>7.7457326E8</v>
      </c>
      <c r="C2845" s="10" t="s">
        <v>2934</v>
      </c>
      <c r="D2845" s="10" t="s">
        <v>50</v>
      </c>
      <c r="E2845" s="13">
        <v>46230.0</v>
      </c>
      <c r="F2845" s="10" t="s">
        <v>21</v>
      </c>
      <c r="G2845" s="10">
        <v>10.0</v>
      </c>
      <c r="I2845" s="10" t="s">
        <v>22</v>
      </c>
      <c r="J2845" s="9" t="str">
        <f t="shared" si="42"/>
        <v>No</v>
      </c>
      <c r="K2845" s="9" t="str">
        <f t="shared" si="43"/>
        <v/>
      </c>
      <c r="L2845" s="9" t="str">
        <f t="shared" si="44"/>
        <v/>
      </c>
      <c r="M2845" s="9"/>
      <c r="O2845" s="9"/>
    </row>
    <row r="2846" ht="15.75" customHeight="1">
      <c r="A2846" s="9" t="str">
        <f>IFERROR(__xludf.DUMMYFUNCTION("IF(B2846="""","""",RIGHT(REGEXREPLACE(B2846&amp;"""",""[^0-9]"",""""),9))"),"767129560")</f>
        <v>767129560</v>
      </c>
      <c r="B2846" s="48">
        <v>7.6712956E8</v>
      </c>
      <c r="C2846" s="10" t="s">
        <v>2935</v>
      </c>
      <c r="D2846" s="10" t="s">
        <v>69</v>
      </c>
      <c r="E2846" s="13">
        <v>46230.0</v>
      </c>
      <c r="F2846" s="10" t="s">
        <v>35</v>
      </c>
      <c r="G2846" s="10">
        <v>11.0</v>
      </c>
      <c r="H2846" s="10" t="s">
        <v>716</v>
      </c>
      <c r="I2846" s="10" t="s">
        <v>22</v>
      </c>
      <c r="J2846" s="9" t="str">
        <f t="shared" si="42"/>
        <v>No</v>
      </c>
      <c r="K2846" s="9" t="str">
        <f t="shared" si="43"/>
        <v/>
      </c>
      <c r="L2846" s="9" t="str">
        <f t="shared" si="44"/>
        <v/>
      </c>
      <c r="M2846" s="9"/>
      <c r="O2846" s="9"/>
    </row>
    <row r="2847" ht="15.75" customHeight="1">
      <c r="A2847" s="9" t="str">
        <f>IFERROR(__xludf.DUMMYFUNCTION("IF(B2847="""","""",RIGHT(REGEXREPLACE(B2847&amp;"""",""[^0-9]"",""""),9))"),"773094778")</f>
        <v>773094778</v>
      </c>
      <c r="B2847" s="48">
        <v>7.73094778E8</v>
      </c>
      <c r="C2847" s="10" t="s">
        <v>2936</v>
      </c>
      <c r="D2847" s="10" t="s">
        <v>97</v>
      </c>
      <c r="E2847" s="13">
        <v>46230.0</v>
      </c>
      <c r="F2847" s="10" t="s">
        <v>604</v>
      </c>
      <c r="H2847" s="10" t="s">
        <v>1448</v>
      </c>
      <c r="I2847" s="10" t="s">
        <v>22</v>
      </c>
      <c r="J2847" s="9" t="str">
        <f t="shared" si="42"/>
        <v>No</v>
      </c>
      <c r="K2847" s="9" t="str">
        <f t="shared" si="43"/>
        <v/>
      </c>
      <c r="L2847" s="9" t="str">
        <f t="shared" si="44"/>
        <v/>
      </c>
      <c r="M2847" s="9"/>
      <c r="O2847" s="9"/>
    </row>
    <row r="2848" ht="15.75" customHeight="1">
      <c r="A2848" s="9" t="str">
        <f>IFERROR(__xludf.DUMMYFUNCTION("IF(B2848="""","""",RIGHT(REGEXREPLACE(B2848&amp;"""",""[^0-9]"",""""),9))"),"703174111")</f>
        <v>703174111</v>
      </c>
      <c r="B2848" s="48">
        <v>7.03174111E8</v>
      </c>
      <c r="C2848" s="10" t="s">
        <v>2937</v>
      </c>
      <c r="D2848" s="10" t="s">
        <v>50</v>
      </c>
      <c r="E2848" s="13">
        <v>46230.0</v>
      </c>
      <c r="F2848" s="10" t="s">
        <v>198</v>
      </c>
      <c r="I2848" s="10" t="s">
        <v>22</v>
      </c>
      <c r="J2848" s="9" t="str">
        <f t="shared" si="42"/>
        <v>No</v>
      </c>
      <c r="K2848" s="9" t="str">
        <f t="shared" si="43"/>
        <v/>
      </c>
      <c r="L2848" s="9" t="str">
        <f t="shared" si="44"/>
        <v/>
      </c>
      <c r="M2848" s="9"/>
      <c r="O2848" s="9"/>
    </row>
    <row r="2849" ht="15.75" customHeight="1">
      <c r="A2849" s="9" t="str">
        <f>IFERROR(__xludf.DUMMYFUNCTION("IF(B2849="""","""",RIGHT(REGEXREPLACE(B2849&amp;"""",""[^0-9]"",""""),9))"),"752436632")</f>
        <v>752436632</v>
      </c>
      <c r="B2849" s="48">
        <v>7.52436632E8</v>
      </c>
      <c r="C2849" s="10" t="s">
        <v>2938</v>
      </c>
      <c r="D2849" s="10" t="s">
        <v>105</v>
      </c>
      <c r="E2849" s="13">
        <v>46230.0</v>
      </c>
      <c r="F2849" s="10" t="s">
        <v>35</v>
      </c>
      <c r="I2849" s="10" t="s">
        <v>22</v>
      </c>
      <c r="J2849" s="9" t="str">
        <f t="shared" si="42"/>
        <v>No</v>
      </c>
      <c r="K2849" s="9" t="str">
        <f t="shared" si="43"/>
        <v/>
      </c>
      <c r="L2849" s="9" t="str">
        <f t="shared" si="44"/>
        <v/>
      </c>
      <c r="M2849" s="9"/>
      <c r="O2849" s="9"/>
    </row>
    <row r="2850" ht="15.75" customHeight="1">
      <c r="A2850" s="9" t="str">
        <f>IFERROR(__xludf.DUMMYFUNCTION("IF(B2850="""","""",RIGHT(REGEXREPLACE(B2850&amp;"""",""[^0-9]"",""""),9))"),"773697438")</f>
        <v>773697438</v>
      </c>
      <c r="B2850" s="48">
        <v>7.73697438E8</v>
      </c>
      <c r="C2850" s="10" t="s">
        <v>2939</v>
      </c>
      <c r="D2850" s="10" t="s">
        <v>97</v>
      </c>
      <c r="E2850" s="13">
        <v>46230.0</v>
      </c>
      <c r="F2850" s="10" t="s">
        <v>35</v>
      </c>
      <c r="G2850" s="10">
        <v>11.0</v>
      </c>
      <c r="H2850" s="10" t="s">
        <v>1448</v>
      </c>
      <c r="I2850" s="10" t="s">
        <v>22</v>
      </c>
      <c r="J2850" s="9" t="str">
        <f t="shared" si="42"/>
        <v>No</v>
      </c>
      <c r="K2850" s="9" t="str">
        <f t="shared" si="43"/>
        <v/>
      </c>
      <c r="L2850" s="9" t="str">
        <f t="shared" si="44"/>
        <v/>
      </c>
      <c r="M2850" s="9"/>
      <c r="O2850" s="9"/>
    </row>
    <row r="2851" ht="15.75" customHeight="1">
      <c r="A2851" s="9" t="str">
        <f>IFERROR(__xludf.DUMMYFUNCTION("IF(B2851="""","""",RIGHT(REGEXREPLACE(B2851&amp;"""",""[^0-9]"",""""),9))"),"764208677")</f>
        <v>764208677</v>
      </c>
      <c r="B2851" s="48">
        <v>7.64208677E8</v>
      </c>
      <c r="C2851" s="10" t="s">
        <v>2940</v>
      </c>
      <c r="D2851" s="10" t="s">
        <v>50</v>
      </c>
      <c r="E2851" s="13">
        <v>46230.0</v>
      </c>
      <c r="F2851" s="10" t="s">
        <v>35</v>
      </c>
      <c r="G2851" s="10">
        <v>11.0</v>
      </c>
      <c r="I2851" s="10" t="s">
        <v>22</v>
      </c>
      <c r="J2851" s="9" t="str">
        <f t="shared" si="42"/>
        <v>No</v>
      </c>
      <c r="K2851" s="9" t="str">
        <f t="shared" si="43"/>
        <v/>
      </c>
      <c r="L2851" s="9" t="str">
        <f t="shared" si="44"/>
        <v/>
      </c>
      <c r="M2851" s="9"/>
      <c r="O2851" s="9"/>
    </row>
    <row r="2852" ht="15.75" customHeight="1">
      <c r="A2852" s="9" t="str">
        <f>IFERROR(__xludf.DUMMYFUNCTION("IF(B2852="""","""",RIGHT(REGEXREPLACE(B2852&amp;"""",""[^0-9]"",""""),9))"),"772432833")</f>
        <v>772432833</v>
      </c>
      <c r="B2852" s="48">
        <v>7.72432833E8</v>
      </c>
      <c r="C2852" s="10" t="s">
        <v>2940</v>
      </c>
      <c r="D2852" s="10" t="s">
        <v>120</v>
      </c>
      <c r="E2852" s="13">
        <v>46230.0</v>
      </c>
      <c r="F2852" s="10" t="s">
        <v>21</v>
      </c>
      <c r="G2852" s="10">
        <v>11.0</v>
      </c>
      <c r="I2852" s="10" t="s">
        <v>22</v>
      </c>
      <c r="J2852" s="9" t="str">
        <f t="shared" si="42"/>
        <v>No</v>
      </c>
      <c r="K2852" s="9" t="str">
        <f t="shared" si="43"/>
        <v/>
      </c>
      <c r="L2852" s="9" t="str">
        <f t="shared" si="44"/>
        <v/>
      </c>
      <c r="M2852" s="9"/>
      <c r="O2852" s="9"/>
    </row>
    <row r="2853" ht="15.75" customHeight="1">
      <c r="A2853" s="9" t="str">
        <f>IFERROR(__xludf.DUMMYFUNCTION("IF(B2853="""","""",RIGHT(REGEXREPLACE(B2853&amp;"""",""[^0-9]"",""""),9))"),"763086576")</f>
        <v>763086576</v>
      </c>
      <c r="B2853" s="48">
        <v>7.63086576E8</v>
      </c>
      <c r="C2853" s="10" t="s">
        <v>2803</v>
      </c>
      <c r="D2853" s="10" t="s">
        <v>34</v>
      </c>
      <c r="E2853" s="13">
        <v>46230.0</v>
      </c>
      <c r="F2853" s="10" t="s">
        <v>35</v>
      </c>
      <c r="G2853" s="10">
        <v>11.0</v>
      </c>
      <c r="H2853" s="10" t="s">
        <v>2603</v>
      </c>
      <c r="I2853" s="10" t="s">
        <v>22</v>
      </c>
      <c r="J2853" s="9" t="str">
        <f t="shared" si="42"/>
        <v>No</v>
      </c>
      <c r="K2853" s="9" t="str">
        <f t="shared" si="43"/>
        <v/>
      </c>
      <c r="L2853" s="9" t="str">
        <f t="shared" si="44"/>
        <v/>
      </c>
      <c r="M2853" s="9"/>
      <c r="O2853" s="9"/>
    </row>
    <row r="2854" ht="15.75" customHeight="1">
      <c r="A2854" s="9" t="str">
        <f>IFERROR(__xludf.DUMMYFUNCTION("IF(B2854="""","""",RIGHT(REGEXREPLACE(B2854&amp;"""",""[^0-9]"",""""),9))"),"703292631")</f>
        <v>703292631</v>
      </c>
      <c r="B2854" s="48">
        <v>7.03292631E8</v>
      </c>
      <c r="C2854" s="10" t="s">
        <v>2941</v>
      </c>
      <c r="D2854" s="10" t="s">
        <v>105</v>
      </c>
      <c r="E2854" s="13">
        <v>46230.0</v>
      </c>
      <c r="F2854" s="10" t="s">
        <v>35</v>
      </c>
      <c r="G2854" s="10">
        <v>11.0</v>
      </c>
      <c r="I2854" s="10" t="s">
        <v>22</v>
      </c>
      <c r="J2854" s="9" t="str">
        <f t="shared" si="42"/>
        <v>No</v>
      </c>
      <c r="K2854" s="9" t="str">
        <f t="shared" si="43"/>
        <v/>
      </c>
      <c r="L2854" s="9" t="str">
        <f t="shared" si="44"/>
        <v/>
      </c>
      <c r="M2854" s="9"/>
      <c r="O2854" s="9"/>
    </row>
    <row r="2855" ht="15.75" customHeight="1">
      <c r="A2855" s="9" t="str">
        <f>IFERROR(__xludf.DUMMYFUNCTION("IF(B2855="""","""",RIGHT(REGEXREPLACE(B2855&amp;"""",""[^0-9]"",""""),9))"),"716503648")</f>
        <v>716503648</v>
      </c>
      <c r="B2855" s="48">
        <v>7.16503648E8</v>
      </c>
      <c r="C2855" s="10" t="s">
        <v>2942</v>
      </c>
      <c r="D2855" s="10" t="s">
        <v>120</v>
      </c>
      <c r="E2855" s="13">
        <v>46230.0</v>
      </c>
      <c r="F2855" s="10" t="s">
        <v>35</v>
      </c>
      <c r="G2855" s="10">
        <v>11.0</v>
      </c>
      <c r="I2855" s="10" t="s">
        <v>22</v>
      </c>
      <c r="J2855" s="9" t="str">
        <f t="shared" si="42"/>
        <v>No</v>
      </c>
      <c r="K2855" s="9" t="str">
        <f t="shared" si="43"/>
        <v/>
      </c>
      <c r="L2855" s="9" t="str">
        <f t="shared" si="44"/>
        <v/>
      </c>
      <c r="M2855" s="9"/>
      <c r="O2855" s="9"/>
    </row>
    <row r="2856" ht="15.75" customHeight="1">
      <c r="A2856" s="9" t="str">
        <f>IFERROR(__xludf.DUMMYFUNCTION("IF(B2856="""","""",RIGHT(REGEXREPLACE(B2856&amp;"""",""[^0-9]"",""""),9))"),"787928863")</f>
        <v>787928863</v>
      </c>
      <c r="B2856" s="48">
        <v>7.87928863E8</v>
      </c>
      <c r="C2856" s="10" t="s">
        <v>1219</v>
      </c>
      <c r="D2856" s="10" t="s">
        <v>50</v>
      </c>
      <c r="E2856" s="13">
        <v>46230.0</v>
      </c>
      <c r="F2856" s="10" t="s">
        <v>21</v>
      </c>
      <c r="G2856" s="10">
        <v>11.0</v>
      </c>
      <c r="H2856" s="10" t="s">
        <v>2603</v>
      </c>
      <c r="I2856" s="10" t="s">
        <v>22</v>
      </c>
      <c r="J2856" s="9" t="str">
        <f t="shared" si="42"/>
        <v>Yes - see Previous F-Code</v>
      </c>
      <c r="K2856" s="9" t="str">
        <f t="shared" si="43"/>
        <v>DUPLICATE - CHECK</v>
      </c>
      <c r="L2856" s="9" t="str">
        <f t="shared" si="44"/>
        <v>F71029</v>
      </c>
      <c r="M2856" s="9"/>
      <c r="O2856" s="9"/>
    </row>
    <row r="2857" ht="15.75" customHeight="1">
      <c r="A2857" s="9" t="str">
        <f>IFERROR(__xludf.DUMMYFUNCTION("IF(B2857="""","""",RIGHT(REGEXREPLACE(B2857&amp;"""",""[^0-9]"",""""),9))"),"767056928")</f>
        <v>767056928</v>
      </c>
      <c r="B2857" s="48">
        <v>7.67056928E8</v>
      </c>
      <c r="C2857" s="10" t="s">
        <v>2943</v>
      </c>
      <c r="D2857" s="10" t="s">
        <v>34</v>
      </c>
      <c r="E2857" s="13">
        <v>46230.0</v>
      </c>
      <c r="F2857" s="10" t="s">
        <v>21</v>
      </c>
      <c r="H2857" s="10" t="s">
        <v>2526</v>
      </c>
      <c r="I2857" s="10" t="s">
        <v>22</v>
      </c>
      <c r="J2857" s="9" t="str">
        <f t="shared" si="42"/>
        <v>No</v>
      </c>
      <c r="K2857" s="9" t="str">
        <f t="shared" si="43"/>
        <v/>
      </c>
      <c r="L2857" s="9" t="str">
        <f t="shared" si="44"/>
        <v/>
      </c>
      <c r="M2857" s="9"/>
      <c r="O2857" s="9"/>
    </row>
    <row r="2858" ht="15.75" customHeight="1">
      <c r="A2858" s="9" t="str">
        <f>IFERROR(__xludf.DUMMYFUNCTION("IF(B2858="""","""",RIGHT(REGEXREPLACE(B2858&amp;"""",""[^0-9]"",""""),9))"),"766580156")</f>
        <v>766580156</v>
      </c>
      <c r="B2858" s="48">
        <v>7.66580156E8</v>
      </c>
      <c r="C2858" s="10" t="s">
        <v>2944</v>
      </c>
      <c r="D2858" s="10" t="s">
        <v>50</v>
      </c>
      <c r="E2858" s="13">
        <v>46230.0</v>
      </c>
      <c r="F2858" s="10" t="s">
        <v>604</v>
      </c>
      <c r="G2858" s="10">
        <v>11.0</v>
      </c>
      <c r="I2858" s="10" t="s">
        <v>22</v>
      </c>
      <c r="J2858" s="9" t="str">
        <f t="shared" si="42"/>
        <v>No</v>
      </c>
      <c r="K2858" s="9" t="str">
        <f t="shared" si="43"/>
        <v/>
      </c>
      <c r="L2858" s="9" t="str">
        <f t="shared" si="44"/>
        <v/>
      </c>
      <c r="M2858" s="9"/>
      <c r="O2858" s="9"/>
    </row>
    <row r="2859" ht="15.75" customHeight="1">
      <c r="A2859" s="9" t="str">
        <f>IFERROR(__xludf.DUMMYFUNCTION("IF(B2859="""","""",RIGHT(REGEXREPLACE(B2859&amp;"""",""[^0-9]"",""""),9))"),"706148645")</f>
        <v>706148645</v>
      </c>
      <c r="B2859" s="48">
        <v>7.06148645E8</v>
      </c>
      <c r="C2859" s="10" t="s">
        <v>2945</v>
      </c>
      <c r="D2859" s="10" t="s">
        <v>34</v>
      </c>
      <c r="E2859" s="13">
        <v>46230.0</v>
      </c>
      <c r="F2859" s="10" t="s">
        <v>35</v>
      </c>
      <c r="G2859" s="10">
        <v>11.0</v>
      </c>
      <c r="H2859" s="10" t="s">
        <v>2526</v>
      </c>
      <c r="I2859" s="10" t="s">
        <v>22</v>
      </c>
      <c r="J2859" s="9" t="str">
        <f t="shared" si="42"/>
        <v>No</v>
      </c>
      <c r="K2859" s="9" t="str">
        <f t="shared" si="43"/>
        <v/>
      </c>
      <c r="L2859" s="9" t="str">
        <f t="shared" si="44"/>
        <v/>
      </c>
      <c r="M2859" s="9"/>
      <c r="O2859" s="9"/>
    </row>
    <row r="2860" ht="15.75" customHeight="1">
      <c r="A2860" s="9" t="str">
        <f>IFERROR(__xludf.DUMMYFUNCTION("IF(B2860="""","""",RIGHT(REGEXREPLACE(B2860&amp;"""",""[^0-9]"",""""),9))"),"705819774")</f>
        <v>705819774</v>
      </c>
      <c r="B2860" s="48">
        <v>7.05819774E8</v>
      </c>
      <c r="C2860" s="10" t="s">
        <v>2918</v>
      </c>
      <c r="D2860" s="10" t="s">
        <v>97</v>
      </c>
      <c r="E2860" s="13">
        <v>46230.0</v>
      </c>
      <c r="F2860" s="10" t="s">
        <v>648</v>
      </c>
      <c r="G2860" s="10">
        <v>10.0</v>
      </c>
      <c r="H2860" s="10" t="s">
        <v>1448</v>
      </c>
      <c r="I2860" s="10" t="s">
        <v>22</v>
      </c>
      <c r="J2860" s="9" t="str">
        <f t="shared" si="42"/>
        <v>Yes - see Previous F-Code</v>
      </c>
      <c r="K2860" s="9" t="str">
        <f t="shared" si="43"/>
        <v>DUPLICATE - CHECK</v>
      </c>
      <c r="L2860" s="9" t="str">
        <f t="shared" si="44"/>
        <v>F72601</v>
      </c>
      <c r="M2860" s="9"/>
      <c r="O2860" s="9"/>
    </row>
    <row r="2861" ht="15.75" customHeight="1">
      <c r="A2861" s="9" t="str">
        <f>IFERROR(__xludf.DUMMYFUNCTION("IF(B2861="""","""",RIGHT(REGEXREPLACE(B2861&amp;"""",""[^0-9]"",""""),9))"),"728899783")</f>
        <v>728899783</v>
      </c>
      <c r="B2861" s="48">
        <v>7.28899783E8</v>
      </c>
      <c r="C2861" s="10" t="s">
        <v>2946</v>
      </c>
      <c r="D2861" s="10" t="s">
        <v>105</v>
      </c>
      <c r="E2861" s="13">
        <v>46230.0</v>
      </c>
      <c r="F2861" s="10" t="s">
        <v>35</v>
      </c>
      <c r="G2861" s="10">
        <v>11.0</v>
      </c>
      <c r="I2861" s="10" t="s">
        <v>22</v>
      </c>
      <c r="J2861" s="9" t="str">
        <f t="shared" si="42"/>
        <v>No</v>
      </c>
      <c r="K2861" s="9" t="str">
        <f t="shared" si="43"/>
        <v/>
      </c>
      <c r="L2861" s="9" t="str">
        <f t="shared" si="44"/>
        <v/>
      </c>
      <c r="M2861" s="9"/>
      <c r="O2861" s="9"/>
    </row>
    <row r="2862" ht="15.75" customHeight="1">
      <c r="A2862" s="9" t="str">
        <f>IFERROR(__xludf.DUMMYFUNCTION("IF(B2862="""","""",RIGHT(REGEXREPLACE(B2862&amp;"""",""[^0-9]"",""""),9))"),"702642205")</f>
        <v>702642205</v>
      </c>
      <c r="B2862" s="48">
        <v>7.02642205E8</v>
      </c>
      <c r="C2862" s="10" t="s">
        <v>2806</v>
      </c>
      <c r="D2862" s="10" t="s">
        <v>69</v>
      </c>
      <c r="E2862" s="13">
        <v>46230.0</v>
      </c>
      <c r="F2862" s="10" t="s">
        <v>21</v>
      </c>
      <c r="H2862" s="10" t="s">
        <v>737</v>
      </c>
      <c r="I2862" s="10" t="s">
        <v>22</v>
      </c>
      <c r="J2862" s="9" t="str">
        <f t="shared" si="42"/>
        <v>No</v>
      </c>
      <c r="K2862" s="9" t="str">
        <f t="shared" si="43"/>
        <v/>
      </c>
      <c r="L2862" s="9" t="str">
        <f t="shared" si="44"/>
        <v/>
      </c>
      <c r="M2862" s="9"/>
      <c r="O2862" s="9"/>
    </row>
    <row r="2863" ht="15.75" customHeight="1">
      <c r="A2863" s="9" t="str">
        <f>IFERROR(__xludf.DUMMYFUNCTION("IF(B2863="""","""",RIGHT(REGEXREPLACE(B2863&amp;"""",""[^0-9]"",""""),9))"),"760258896")</f>
        <v>760258896</v>
      </c>
      <c r="B2863" s="48">
        <v>7.60258896E8</v>
      </c>
      <c r="C2863" s="10" t="s">
        <v>2947</v>
      </c>
      <c r="D2863" s="10" t="s">
        <v>50</v>
      </c>
      <c r="E2863" s="13">
        <v>46230.0</v>
      </c>
      <c r="F2863" s="10" t="s">
        <v>35</v>
      </c>
      <c r="G2863" s="10">
        <v>11.0</v>
      </c>
      <c r="I2863" s="10" t="s">
        <v>22</v>
      </c>
      <c r="J2863" s="9" t="str">
        <f t="shared" si="42"/>
        <v>No</v>
      </c>
      <c r="K2863" s="9" t="str">
        <f t="shared" si="43"/>
        <v/>
      </c>
      <c r="L2863" s="9" t="str">
        <f t="shared" si="44"/>
        <v/>
      </c>
      <c r="M2863" s="9"/>
      <c r="O2863" s="9"/>
    </row>
    <row r="2864" ht="15.75" customHeight="1">
      <c r="A2864" s="9" t="str">
        <f>IFERROR(__xludf.DUMMYFUNCTION("IF(B2864="""","""",RIGHT(REGEXREPLACE(B2864&amp;"""",""[^0-9]"",""""),9))"),"773265763")</f>
        <v>773265763</v>
      </c>
      <c r="B2864" s="48">
        <v>7.73265763E8</v>
      </c>
      <c r="C2864" s="10" t="s">
        <v>2948</v>
      </c>
      <c r="D2864" s="10" t="s">
        <v>34</v>
      </c>
      <c r="E2864" s="13">
        <v>46230.0</v>
      </c>
      <c r="F2864" s="10" t="s">
        <v>145</v>
      </c>
      <c r="G2864" s="10">
        <v>11.0</v>
      </c>
      <c r="H2864" s="10" t="s">
        <v>2526</v>
      </c>
      <c r="I2864" s="10" t="s">
        <v>22</v>
      </c>
      <c r="J2864" s="9" t="str">
        <f t="shared" si="42"/>
        <v>No</v>
      </c>
      <c r="K2864" s="9" t="str">
        <f t="shared" si="43"/>
        <v/>
      </c>
      <c r="L2864" s="9" t="str">
        <f t="shared" si="44"/>
        <v/>
      </c>
      <c r="M2864" s="9"/>
      <c r="O2864" s="9"/>
    </row>
    <row r="2865" ht="15.75" customHeight="1">
      <c r="A2865" s="9" t="str">
        <f>IFERROR(__xludf.DUMMYFUNCTION("IF(B2865="""","""",RIGHT(REGEXREPLACE(B2865&amp;"""",""[^0-9]"",""""),9))"),"761568943")</f>
        <v>761568943</v>
      </c>
      <c r="B2865" s="48">
        <v>7.61568943E8</v>
      </c>
      <c r="C2865" s="10" t="s">
        <v>2949</v>
      </c>
      <c r="D2865" s="10" t="s">
        <v>120</v>
      </c>
      <c r="E2865" s="13">
        <v>46230.0</v>
      </c>
      <c r="F2865" s="10" t="s">
        <v>21</v>
      </c>
      <c r="G2865" s="10">
        <v>11.0</v>
      </c>
      <c r="I2865" s="10" t="s">
        <v>22</v>
      </c>
      <c r="J2865" s="9" t="str">
        <f t="shared" si="42"/>
        <v>No</v>
      </c>
      <c r="K2865" s="9" t="str">
        <f t="shared" si="43"/>
        <v/>
      </c>
      <c r="L2865" s="9" t="str">
        <f t="shared" si="44"/>
        <v/>
      </c>
      <c r="M2865" s="9"/>
      <c r="O2865" s="9"/>
    </row>
    <row r="2866" ht="15.75" customHeight="1">
      <c r="A2866" s="9" t="str">
        <f>IFERROR(__xludf.DUMMYFUNCTION("IF(B2866="""","""",RIGHT(REGEXREPLACE(B2866&amp;"""",""[^0-9]"",""""),9))"),"753693530")</f>
        <v>753693530</v>
      </c>
      <c r="B2866" s="48">
        <v>7.5369353E8</v>
      </c>
      <c r="C2866" s="10" t="s">
        <v>2950</v>
      </c>
      <c r="D2866" s="10" t="s">
        <v>50</v>
      </c>
      <c r="E2866" s="13">
        <v>46230.0</v>
      </c>
      <c r="F2866" s="10" t="s">
        <v>21</v>
      </c>
      <c r="G2866" s="10">
        <v>10.0</v>
      </c>
      <c r="I2866" s="10" t="s">
        <v>22</v>
      </c>
      <c r="J2866" s="9" t="str">
        <f t="shared" si="42"/>
        <v>No</v>
      </c>
      <c r="K2866" s="9" t="str">
        <f t="shared" si="43"/>
        <v/>
      </c>
      <c r="L2866" s="9" t="str">
        <f t="shared" si="44"/>
        <v/>
      </c>
      <c r="M2866" s="9"/>
      <c r="O2866" s="9"/>
    </row>
    <row r="2867" ht="15.75" customHeight="1">
      <c r="A2867" s="9" t="str">
        <f>IFERROR(__xludf.DUMMYFUNCTION("IF(B2867="""","""",RIGHT(REGEXREPLACE(B2867&amp;"""",""[^0-9]"",""""),9))"),"")</f>
        <v/>
      </c>
      <c r="B2867" s="48"/>
      <c r="C2867" s="10" t="s">
        <v>2935</v>
      </c>
      <c r="D2867" s="10" t="s">
        <v>69</v>
      </c>
      <c r="E2867" s="13">
        <v>46230.0</v>
      </c>
      <c r="F2867" s="9"/>
      <c r="G2867" s="9"/>
      <c r="H2867" s="9"/>
      <c r="I2867" s="10" t="s">
        <v>22</v>
      </c>
      <c r="J2867" s="9" t="str">
        <f t="shared" si="42"/>
        <v>Yes - see Previous F-Code</v>
      </c>
      <c r="K2867" s="9" t="str">
        <f t="shared" si="43"/>
        <v>DUPLICATE - CHECK</v>
      </c>
      <c r="L2867" s="9" t="str">
        <f t="shared" si="44"/>
        <v/>
      </c>
      <c r="M2867" s="9"/>
      <c r="N2867" s="9"/>
      <c r="O2867" s="9"/>
      <c r="P2867" s="9"/>
    </row>
    <row r="2868" ht="15.75" customHeight="1">
      <c r="A2868" s="9" t="str">
        <f>IFERROR(__xludf.DUMMYFUNCTION("IF(B2868="""","""",RIGHT(REGEXREPLACE(B2868&amp;"""",""[^0-9]"",""""),9))"),"705789415")</f>
        <v>705789415</v>
      </c>
      <c r="B2868" s="48">
        <v>7.05789415E8</v>
      </c>
      <c r="C2868" s="10" t="s">
        <v>2951</v>
      </c>
      <c r="D2868" s="10" t="s">
        <v>97</v>
      </c>
      <c r="E2868" s="13">
        <v>46230.0</v>
      </c>
      <c r="F2868" s="10" t="s">
        <v>35</v>
      </c>
      <c r="G2868" s="10">
        <v>11.0</v>
      </c>
      <c r="H2868" s="10" t="s">
        <v>1448</v>
      </c>
      <c r="I2868" s="10" t="s">
        <v>22</v>
      </c>
      <c r="J2868" s="9" t="str">
        <f t="shared" si="42"/>
        <v>No</v>
      </c>
      <c r="K2868" s="9" t="str">
        <f t="shared" si="43"/>
        <v/>
      </c>
      <c r="L2868" s="9" t="str">
        <f t="shared" si="44"/>
        <v/>
      </c>
      <c r="M2868" s="9"/>
      <c r="O2868" s="9"/>
    </row>
    <row r="2869" ht="15.75" customHeight="1">
      <c r="A2869" s="9" t="str">
        <f>IFERROR(__xludf.DUMMYFUNCTION("IF(B2869="""","""",RIGHT(REGEXREPLACE(B2869&amp;"""",""[^0-9]"",""""),9))"),"724812321")</f>
        <v>724812321</v>
      </c>
      <c r="B2869" s="48">
        <v>7.24812321E8</v>
      </c>
      <c r="C2869" s="10" t="s">
        <v>2952</v>
      </c>
      <c r="D2869" s="10" t="s">
        <v>34</v>
      </c>
      <c r="E2869" s="13">
        <v>46230.0</v>
      </c>
      <c r="F2869" s="10" t="s">
        <v>145</v>
      </c>
      <c r="G2869" s="10">
        <v>11.0</v>
      </c>
      <c r="I2869" s="10" t="s">
        <v>22</v>
      </c>
      <c r="J2869" s="9" t="str">
        <f t="shared" si="42"/>
        <v>No</v>
      </c>
      <c r="K2869" s="9" t="str">
        <f t="shared" si="43"/>
        <v/>
      </c>
      <c r="L2869" s="9" t="str">
        <f t="shared" si="44"/>
        <v/>
      </c>
      <c r="M2869" s="9"/>
      <c r="O2869" s="9"/>
    </row>
    <row r="2870" ht="15.75" customHeight="1">
      <c r="A2870" s="9" t="str">
        <f>IFERROR(__xludf.DUMMYFUNCTION("IF(B2870="""","""",RIGHT(REGEXREPLACE(B2870&amp;"""",""[^0-9]"",""""),9))"),"763871084")</f>
        <v>763871084</v>
      </c>
      <c r="B2870" s="48">
        <v>7.63871084E8</v>
      </c>
      <c r="C2870" s="10" t="s">
        <v>2953</v>
      </c>
      <c r="D2870" s="10" t="s">
        <v>50</v>
      </c>
      <c r="E2870" s="13">
        <v>46230.0</v>
      </c>
      <c r="F2870" s="10" t="s">
        <v>35</v>
      </c>
      <c r="G2870" s="10">
        <v>11.0</v>
      </c>
      <c r="I2870" s="10" t="s">
        <v>22</v>
      </c>
      <c r="J2870" s="9" t="str">
        <f t="shared" si="42"/>
        <v>No</v>
      </c>
      <c r="K2870" s="9" t="str">
        <f t="shared" si="43"/>
        <v/>
      </c>
      <c r="L2870" s="9" t="str">
        <f t="shared" si="44"/>
        <v/>
      </c>
      <c r="M2870" s="9"/>
      <c r="O2870" s="9"/>
    </row>
    <row r="2871" ht="15.75" customHeight="1">
      <c r="A2871" s="9" t="str">
        <f>IFERROR(__xludf.DUMMYFUNCTION("IF(B2871="""","""",RIGHT(REGEXREPLACE(B2871&amp;"""",""[^0-9]"",""""),9))"),"755640061")</f>
        <v>755640061</v>
      </c>
      <c r="B2871" s="48">
        <v>7.55640061E8</v>
      </c>
      <c r="C2871" s="10" t="s">
        <v>2954</v>
      </c>
      <c r="D2871" s="10" t="s">
        <v>120</v>
      </c>
      <c r="E2871" s="13">
        <v>46230.0</v>
      </c>
      <c r="F2871" s="10" t="s">
        <v>35</v>
      </c>
      <c r="G2871" s="10">
        <v>11.0</v>
      </c>
      <c r="I2871" s="10" t="s">
        <v>22</v>
      </c>
      <c r="J2871" s="9" t="str">
        <f t="shared" si="42"/>
        <v>No</v>
      </c>
      <c r="K2871" s="9" t="str">
        <f t="shared" si="43"/>
        <v/>
      </c>
      <c r="L2871" s="9" t="str">
        <f t="shared" si="44"/>
        <v/>
      </c>
      <c r="M2871" s="9"/>
      <c r="O2871" s="9"/>
    </row>
    <row r="2872" ht="15.75" customHeight="1">
      <c r="A2872" s="9" t="str">
        <f>IFERROR(__xludf.DUMMYFUNCTION("IF(B2872="""","""",RIGHT(REGEXREPLACE(B2872&amp;"""",""[^0-9]"",""""),9))"),"787990177")</f>
        <v>787990177</v>
      </c>
      <c r="B2872" s="48">
        <v>7.87990177E8</v>
      </c>
      <c r="C2872" s="10" t="s">
        <v>2955</v>
      </c>
      <c r="D2872" s="10" t="s">
        <v>69</v>
      </c>
      <c r="E2872" s="13">
        <v>46230.0</v>
      </c>
      <c r="F2872" s="9"/>
      <c r="G2872" s="9"/>
      <c r="H2872" s="9"/>
      <c r="I2872" s="10" t="s">
        <v>22</v>
      </c>
      <c r="J2872" s="9" t="str">
        <f t="shared" si="42"/>
        <v>No</v>
      </c>
      <c r="K2872" s="9" t="str">
        <f t="shared" si="43"/>
        <v/>
      </c>
      <c r="L2872" s="9" t="str">
        <f t="shared" si="44"/>
        <v/>
      </c>
      <c r="M2872" s="9"/>
      <c r="N2872" s="9"/>
      <c r="O2872" s="9"/>
      <c r="P2872" s="9"/>
    </row>
    <row r="2873" ht="15.75" customHeight="1">
      <c r="A2873" s="9" t="str">
        <f>IFERROR(__xludf.DUMMYFUNCTION("IF(B2873="""","""",RIGHT(REGEXREPLACE(B2873&amp;"""",""[^0-9]"",""""),9))"),"772422527")</f>
        <v>772422527</v>
      </c>
      <c r="B2873" s="48">
        <v>7.72422527E8</v>
      </c>
      <c r="C2873" s="10" t="s">
        <v>2956</v>
      </c>
      <c r="D2873" s="10" t="s">
        <v>105</v>
      </c>
      <c r="E2873" s="13">
        <v>46230.0</v>
      </c>
      <c r="F2873" s="10" t="s">
        <v>35</v>
      </c>
      <c r="G2873" s="10">
        <v>11.0</v>
      </c>
      <c r="I2873" s="10" t="s">
        <v>22</v>
      </c>
      <c r="J2873" s="9" t="str">
        <f t="shared" si="42"/>
        <v>No</v>
      </c>
      <c r="K2873" s="9" t="str">
        <f t="shared" si="43"/>
        <v/>
      </c>
      <c r="L2873" s="9" t="str">
        <f t="shared" si="44"/>
        <v/>
      </c>
      <c r="M2873" s="9"/>
      <c r="O2873" s="9"/>
    </row>
    <row r="2874" ht="15.75" customHeight="1">
      <c r="A2874" s="9" t="str">
        <f>IFERROR(__xludf.DUMMYFUNCTION("IF(B2874="""","""",RIGHT(REGEXREPLACE(B2874&amp;"""",""[^0-9]"",""""),9))"),"772365678")</f>
        <v>772365678</v>
      </c>
      <c r="B2874" s="48">
        <v>7.72365678E8</v>
      </c>
      <c r="C2874" s="10" t="s">
        <v>2957</v>
      </c>
      <c r="D2874" s="10" t="s">
        <v>50</v>
      </c>
      <c r="E2874" s="13">
        <v>46230.0</v>
      </c>
      <c r="F2874" s="10" t="s">
        <v>21</v>
      </c>
      <c r="G2874" s="10">
        <v>11.0</v>
      </c>
      <c r="I2874" s="10" t="s">
        <v>22</v>
      </c>
      <c r="J2874" s="9" t="str">
        <f t="shared" si="42"/>
        <v>No</v>
      </c>
      <c r="K2874" s="9" t="str">
        <f t="shared" si="43"/>
        <v/>
      </c>
      <c r="L2874" s="9" t="str">
        <f t="shared" si="44"/>
        <v/>
      </c>
      <c r="M2874" s="9"/>
      <c r="O2874" s="9"/>
    </row>
    <row r="2875" ht="15.75" customHeight="1">
      <c r="A2875" s="9" t="str">
        <f>IFERROR(__xludf.DUMMYFUNCTION("IF(B2875="""","""",RIGHT(REGEXREPLACE(B2875&amp;"""",""[^0-9]"",""""),9))"),"743663184")</f>
        <v>743663184</v>
      </c>
      <c r="B2875" s="48">
        <v>7.43663184E8</v>
      </c>
      <c r="C2875" s="10" t="s">
        <v>2958</v>
      </c>
      <c r="D2875" s="10" t="s">
        <v>34</v>
      </c>
      <c r="E2875" s="13">
        <v>46230.0</v>
      </c>
      <c r="F2875" s="10" t="s">
        <v>21</v>
      </c>
      <c r="G2875" s="10">
        <v>11.0</v>
      </c>
      <c r="I2875" s="10" t="s">
        <v>22</v>
      </c>
      <c r="J2875" s="9" t="str">
        <f t="shared" si="42"/>
        <v>No</v>
      </c>
      <c r="K2875" s="9" t="str">
        <f t="shared" si="43"/>
        <v/>
      </c>
      <c r="L2875" s="9" t="str">
        <f t="shared" si="44"/>
        <v/>
      </c>
      <c r="M2875" s="9"/>
      <c r="O2875" s="9"/>
    </row>
    <row r="2876" ht="15.75" customHeight="1">
      <c r="A2876" s="9" t="str">
        <f>IFERROR(__xludf.DUMMYFUNCTION("IF(B2876="""","""",RIGHT(REGEXREPLACE(B2876&amp;"""",""[^0-9]"",""""),9))"),"753157808")</f>
        <v>753157808</v>
      </c>
      <c r="B2876" s="48">
        <v>7.53157808E8</v>
      </c>
      <c r="C2876" s="10" t="s">
        <v>2959</v>
      </c>
      <c r="D2876" s="10" t="s">
        <v>50</v>
      </c>
      <c r="E2876" s="13">
        <v>46230.0</v>
      </c>
      <c r="F2876" s="10" t="s">
        <v>35</v>
      </c>
      <c r="G2876" s="10">
        <v>11.0</v>
      </c>
      <c r="I2876" s="10" t="s">
        <v>22</v>
      </c>
      <c r="J2876" s="9" t="str">
        <f t="shared" si="42"/>
        <v>No</v>
      </c>
      <c r="K2876" s="9" t="str">
        <f t="shared" si="43"/>
        <v/>
      </c>
      <c r="L2876" s="9" t="str">
        <f t="shared" si="44"/>
        <v/>
      </c>
      <c r="M2876" s="9"/>
      <c r="O2876" s="9"/>
    </row>
    <row r="2877" ht="15.75" customHeight="1">
      <c r="A2877" s="9" t="str">
        <f>IFERROR(__xludf.DUMMYFUNCTION("IF(B2877="""","""",RIGHT(REGEXREPLACE(B2877&amp;"""",""[^0-9]"",""""),9))"),"773051548")</f>
        <v>773051548</v>
      </c>
      <c r="B2877" s="48">
        <v>7.73051548E8</v>
      </c>
      <c r="C2877" s="10" t="s">
        <v>2939</v>
      </c>
      <c r="D2877" s="10" t="s">
        <v>97</v>
      </c>
      <c r="E2877" s="13">
        <v>46230.0</v>
      </c>
      <c r="F2877" s="10" t="s">
        <v>604</v>
      </c>
      <c r="H2877" s="10" t="s">
        <v>1448</v>
      </c>
      <c r="I2877" s="10" t="s">
        <v>22</v>
      </c>
      <c r="J2877" s="9" t="str">
        <f t="shared" si="42"/>
        <v>No</v>
      </c>
      <c r="K2877" s="9" t="str">
        <f t="shared" si="43"/>
        <v/>
      </c>
      <c r="L2877" s="9" t="str">
        <f t="shared" si="44"/>
        <v/>
      </c>
      <c r="M2877" s="9"/>
      <c r="O2877" s="9"/>
    </row>
    <row r="2878" ht="15.75" customHeight="1">
      <c r="A2878" s="9" t="str">
        <f>IFERROR(__xludf.DUMMYFUNCTION("IF(B2878="""","""",RIGHT(REGEXREPLACE(B2878&amp;"""",""[^0-9]"",""""),9))"),"715654180")</f>
        <v>715654180</v>
      </c>
      <c r="B2878" s="48">
        <v>7.1565418E8</v>
      </c>
      <c r="C2878" s="10" t="s">
        <v>2960</v>
      </c>
      <c r="D2878" s="10" t="s">
        <v>120</v>
      </c>
      <c r="E2878" s="13">
        <v>46230.0</v>
      </c>
      <c r="F2878" s="10" t="s">
        <v>198</v>
      </c>
      <c r="I2878" s="10" t="s">
        <v>22</v>
      </c>
      <c r="J2878" s="9" t="str">
        <f t="shared" si="42"/>
        <v>No</v>
      </c>
      <c r="K2878" s="9" t="str">
        <f t="shared" si="43"/>
        <v/>
      </c>
      <c r="L2878" s="9" t="str">
        <f t="shared" si="44"/>
        <v/>
      </c>
      <c r="M2878" s="9"/>
      <c r="O2878" s="9"/>
    </row>
    <row r="2879" ht="15.75" customHeight="1">
      <c r="A2879" s="9" t="str">
        <f>IFERROR(__xludf.DUMMYFUNCTION("IF(B2879="""","""",RIGHT(REGEXREPLACE(B2879&amp;"""",""[^0-9]"",""""),9))"),"766634156")</f>
        <v>766634156</v>
      </c>
      <c r="B2879" s="48">
        <v>7.66634156E8</v>
      </c>
      <c r="C2879" s="10" t="s">
        <v>2961</v>
      </c>
      <c r="D2879" s="10" t="s">
        <v>50</v>
      </c>
      <c r="E2879" s="13">
        <v>46230.0</v>
      </c>
      <c r="F2879" s="10" t="s">
        <v>198</v>
      </c>
      <c r="G2879" s="10">
        <v>11.0</v>
      </c>
      <c r="I2879" s="10" t="s">
        <v>22</v>
      </c>
      <c r="J2879" s="9" t="str">
        <f t="shared" si="42"/>
        <v>No</v>
      </c>
      <c r="K2879" s="9" t="str">
        <f t="shared" si="43"/>
        <v/>
      </c>
      <c r="L2879" s="9" t="str">
        <f t="shared" si="44"/>
        <v/>
      </c>
      <c r="M2879" s="9"/>
      <c r="O2879" s="9"/>
    </row>
    <row r="2880" ht="15.75" customHeight="1">
      <c r="A2880" s="9" t="str">
        <f>IFERROR(__xludf.DUMMYFUNCTION("IF(B2880="""","""",RIGHT(REGEXREPLACE(B2880&amp;"""",""[^0-9]"",""""),9))"),"778957467")</f>
        <v>778957467</v>
      </c>
      <c r="B2880" s="48">
        <v>7.78957467E8</v>
      </c>
      <c r="C2880" s="10" t="s">
        <v>2962</v>
      </c>
      <c r="D2880" s="10" t="s">
        <v>105</v>
      </c>
      <c r="E2880" s="13">
        <v>46230.0</v>
      </c>
      <c r="F2880" s="10" t="s">
        <v>35</v>
      </c>
      <c r="G2880" s="10">
        <v>9.0</v>
      </c>
      <c r="I2880" s="10" t="s">
        <v>22</v>
      </c>
      <c r="J2880" s="9" t="str">
        <f t="shared" si="42"/>
        <v>No</v>
      </c>
      <c r="K2880" s="9" t="str">
        <f t="shared" si="43"/>
        <v/>
      </c>
      <c r="L2880" s="9" t="str">
        <f t="shared" si="44"/>
        <v/>
      </c>
      <c r="M2880" s="9"/>
      <c r="O2880" s="9"/>
    </row>
    <row r="2881" ht="15.75" customHeight="1">
      <c r="A2881" s="9" t="str">
        <f>IFERROR(__xludf.DUMMYFUNCTION("IF(B2881="""","""",RIGHT(REGEXREPLACE(B2881&amp;"""",""[^0-9]"",""""),9))"),"773645076")</f>
        <v>773645076</v>
      </c>
      <c r="B2881" s="48">
        <v>7.73645076E8</v>
      </c>
      <c r="C2881" s="10" t="s">
        <v>2963</v>
      </c>
      <c r="D2881" s="10" t="s">
        <v>50</v>
      </c>
      <c r="E2881" s="13">
        <v>46230.0</v>
      </c>
      <c r="F2881" s="10" t="s">
        <v>35</v>
      </c>
      <c r="G2881" s="10">
        <v>11.0</v>
      </c>
      <c r="I2881" s="10" t="s">
        <v>22</v>
      </c>
      <c r="J2881" s="9" t="str">
        <f t="shared" si="42"/>
        <v>No</v>
      </c>
      <c r="K2881" s="9" t="str">
        <f t="shared" si="43"/>
        <v/>
      </c>
      <c r="L2881" s="9" t="str">
        <f t="shared" si="44"/>
        <v/>
      </c>
      <c r="M2881" s="9"/>
      <c r="O2881" s="9"/>
    </row>
    <row r="2882" ht="15.75" customHeight="1">
      <c r="A2882" s="9" t="str">
        <f>IFERROR(__xludf.DUMMYFUNCTION("IF(B2882="""","""",RIGHT(REGEXREPLACE(B2882&amp;"""",""[^0-9]"",""""),9))"),"726914681")</f>
        <v>726914681</v>
      </c>
      <c r="B2882" s="48">
        <v>7.26914681E8</v>
      </c>
      <c r="C2882" s="10" t="s">
        <v>2964</v>
      </c>
      <c r="D2882" s="10" t="s">
        <v>120</v>
      </c>
      <c r="E2882" s="13">
        <v>46230.0</v>
      </c>
      <c r="F2882" s="10" t="s">
        <v>21</v>
      </c>
      <c r="I2882" s="10" t="s">
        <v>22</v>
      </c>
      <c r="J2882" s="9" t="str">
        <f t="shared" si="42"/>
        <v>No</v>
      </c>
      <c r="K2882" s="9" t="str">
        <f t="shared" si="43"/>
        <v/>
      </c>
      <c r="L2882" s="9" t="str">
        <f t="shared" si="44"/>
        <v/>
      </c>
      <c r="M2882" s="9"/>
      <c r="O2882" s="9"/>
    </row>
    <row r="2883" ht="15.75" customHeight="1">
      <c r="A2883" s="9" t="str">
        <f>IFERROR(__xludf.DUMMYFUNCTION("IF(B2883="""","""",RIGHT(REGEXREPLACE(B2883&amp;"""",""[^0-9]"",""""),9))"),"729856473")</f>
        <v>729856473</v>
      </c>
      <c r="B2883" s="48">
        <v>7.29856473E8</v>
      </c>
      <c r="C2883" s="10" t="s">
        <v>2965</v>
      </c>
      <c r="D2883" s="10" t="s">
        <v>97</v>
      </c>
      <c r="E2883" s="13">
        <v>46230.0</v>
      </c>
      <c r="F2883" s="10" t="s">
        <v>604</v>
      </c>
      <c r="H2883" s="10" t="s">
        <v>1448</v>
      </c>
      <c r="I2883" s="10" t="s">
        <v>22</v>
      </c>
      <c r="J2883" s="9" t="str">
        <f t="shared" si="42"/>
        <v>No</v>
      </c>
      <c r="K2883" s="9" t="str">
        <f t="shared" si="43"/>
        <v/>
      </c>
      <c r="L2883" s="9" t="str">
        <f t="shared" si="44"/>
        <v/>
      </c>
      <c r="M2883" s="9"/>
      <c r="O2883" s="9"/>
    </row>
    <row r="2884" ht="15.75" customHeight="1">
      <c r="A2884" s="9" t="str">
        <f>IFERROR(__xludf.DUMMYFUNCTION("IF(B2884="""","""",RIGHT(REGEXREPLACE(B2884&amp;"""",""[^0-9]"",""""),9))"),"703646547")</f>
        <v>703646547</v>
      </c>
      <c r="B2884" s="48">
        <v>7.03646547E8</v>
      </c>
      <c r="C2884" s="10" t="s">
        <v>2966</v>
      </c>
      <c r="D2884" s="10" t="s">
        <v>50</v>
      </c>
      <c r="E2884" s="13">
        <v>46230.0</v>
      </c>
      <c r="F2884" s="10" t="s">
        <v>35</v>
      </c>
      <c r="G2884" s="10">
        <v>11.0</v>
      </c>
      <c r="H2884" s="10" t="s">
        <v>2603</v>
      </c>
      <c r="I2884" s="10" t="s">
        <v>22</v>
      </c>
      <c r="J2884" s="9" t="str">
        <f t="shared" si="42"/>
        <v>No</v>
      </c>
      <c r="K2884" s="9" t="str">
        <f t="shared" si="43"/>
        <v/>
      </c>
      <c r="L2884" s="9" t="str">
        <f t="shared" si="44"/>
        <v/>
      </c>
      <c r="M2884" s="9"/>
      <c r="O2884" s="9"/>
    </row>
    <row r="2885" ht="15.75" customHeight="1">
      <c r="A2885" s="9" t="str">
        <f>IFERROR(__xludf.DUMMYFUNCTION("IF(B2885="""","""",RIGHT(REGEXREPLACE(B2885&amp;"""",""[^0-9]"",""""),9))"),"774270331")</f>
        <v>774270331</v>
      </c>
      <c r="B2885" s="48">
        <v>7.74270331E8</v>
      </c>
      <c r="C2885" s="10" t="s">
        <v>1797</v>
      </c>
      <c r="D2885" s="10" t="s">
        <v>97</v>
      </c>
      <c r="E2885" s="13">
        <v>46230.0</v>
      </c>
      <c r="F2885" s="10" t="s">
        <v>604</v>
      </c>
      <c r="H2885" s="10" t="s">
        <v>1448</v>
      </c>
      <c r="I2885" s="10" t="s">
        <v>22</v>
      </c>
      <c r="J2885" s="9" t="str">
        <f t="shared" si="42"/>
        <v>No</v>
      </c>
      <c r="K2885" s="9" t="str">
        <f t="shared" si="43"/>
        <v/>
      </c>
      <c r="L2885" s="9" t="str">
        <f t="shared" si="44"/>
        <v/>
      </c>
      <c r="M2885" s="9"/>
      <c r="O2885" s="9"/>
    </row>
    <row r="2886" ht="15.75" customHeight="1">
      <c r="A2886" s="9" t="str">
        <f>IFERROR(__xludf.DUMMYFUNCTION("IF(B2886="""","""",RIGHT(REGEXREPLACE(B2886&amp;"""",""[^0-9]"",""""),9))"),"740905428")</f>
        <v>740905428</v>
      </c>
      <c r="B2886" s="48">
        <v>7.40905428E8</v>
      </c>
      <c r="C2886" s="10" t="s">
        <v>2967</v>
      </c>
      <c r="D2886" s="10" t="s">
        <v>120</v>
      </c>
      <c r="E2886" s="13">
        <v>46230.0</v>
      </c>
      <c r="F2886" s="10" t="s">
        <v>21</v>
      </c>
      <c r="G2886" s="10">
        <v>11.0</v>
      </c>
      <c r="I2886" s="10" t="s">
        <v>22</v>
      </c>
      <c r="J2886" s="9" t="str">
        <f t="shared" si="42"/>
        <v>No</v>
      </c>
      <c r="K2886" s="9" t="str">
        <f t="shared" si="43"/>
        <v/>
      </c>
      <c r="L2886" s="9" t="str">
        <f t="shared" si="44"/>
        <v/>
      </c>
      <c r="M2886" s="9"/>
      <c r="O2886" s="9"/>
    </row>
    <row r="2887" ht="15.75" customHeight="1">
      <c r="A2887" s="9" t="str">
        <f>IFERROR(__xludf.DUMMYFUNCTION("IF(B2887="""","""",RIGHT(REGEXREPLACE(B2887&amp;"""",""[^0-9]"",""""),9))"),"772943757")</f>
        <v>772943757</v>
      </c>
      <c r="B2887" s="48">
        <v>7.72943757E8</v>
      </c>
      <c r="C2887" s="10" t="s">
        <v>2968</v>
      </c>
      <c r="D2887" s="10" t="s">
        <v>34</v>
      </c>
      <c r="E2887" s="13">
        <v>46230.0</v>
      </c>
      <c r="F2887" s="10" t="s">
        <v>35</v>
      </c>
      <c r="G2887" s="10" t="s">
        <v>2969</v>
      </c>
      <c r="H2887" s="10" t="s">
        <v>2526</v>
      </c>
      <c r="I2887" s="10" t="s">
        <v>22</v>
      </c>
      <c r="J2887" s="9" t="str">
        <f t="shared" si="42"/>
        <v>No</v>
      </c>
      <c r="K2887" s="9" t="str">
        <f t="shared" si="43"/>
        <v/>
      </c>
      <c r="L2887" s="9" t="str">
        <f t="shared" si="44"/>
        <v/>
      </c>
      <c r="M2887" s="9"/>
      <c r="O2887" s="9"/>
    </row>
    <row r="2888" ht="15.75" customHeight="1">
      <c r="A2888" s="9" t="str">
        <f>IFERROR(__xludf.DUMMYFUNCTION("IF(B2888="""","""",RIGHT(REGEXREPLACE(B2888&amp;"""",""[^0-9]"",""""),9))"),"781298806")</f>
        <v>781298806</v>
      </c>
      <c r="B2888" s="48">
        <v>7.81298806E8</v>
      </c>
      <c r="C2888" s="10" t="s">
        <v>2970</v>
      </c>
      <c r="D2888" s="10" t="s">
        <v>97</v>
      </c>
      <c r="E2888" s="13">
        <v>46230.0</v>
      </c>
      <c r="F2888" s="10" t="s">
        <v>35</v>
      </c>
      <c r="G2888" s="10">
        <v>11.0</v>
      </c>
      <c r="H2888" s="10" t="s">
        <v>1448</v>
      </c>
      <c r="I2888" s="10" t="s">
        <v>22</v>
      </c>
      <c r="J2888" s="9" t="str">
        <f t="shared" si="42"/>
        <v>No</v>
      </c>
      <c r="K2888" s="9" t="str">
        <f t="shared" si="43"/>
        <v/>
      </c>
      <c r="L2888" s="9" t="str">
        <f t="shared" si="44"/>
        <v/>
      </c>
      <c r="M2888" s="9"/>
      <c r="O2888" s="9"/>
    </row>
    <row r="2889" ht="15.75" customHeight="1">
      <c r="A2889" s="9" t="str">
        <f>IFERROR(__xludf.DUMMYFUNCTION("IF(B2889="""","""",RIGHT(REGEXREPLACE(B2889&amp;"""",""[^0-9]"",""""),9))"),"766216945")</f>
        <v>766216945</v>
      </c>
      <c r="B2889" s="48">
        <v>7.66216945E8</v>
      </c>
      <c r="C2889" s="10" t="s">
        <v>2971</v>
      </c>
      <c r="D2889" s="10" t="s">
        <v>69</v>
      </c>
      <c r="E2889" s="13">
        <v>46230.0</v>
      </c>
      <c r="F2889" s="10" t="s">
        <v>604</v>
      </c>
      <c r="H2889" s="10" t="s">
        <v>737</v>
      </c>
      <c r="I2889" s="10" t="s">
        <v>22</v>
      </c>
      <c r="J2889" s="9" t="str">
        <f t="shared" si="42"/>
        <v>No</v>
      </c>
      <c r="K2889" s="9" t="str">
        <f t="shared" si="43"/>
        <v/>
      </c>
      <c r="L2889" s="9" t="str">
        <f t="shared" si="44"/>
        <v/>
      </c>
      <c r="M2889" s="9"/>
      <c r="O2889" s="9"/>
    </row>
    <row r="2890" ht="15.75" customHeight="1">
      <c r="A2890" s="9" t="str">
        <f>IFERROR(__xludf.DUMMYFUNCTION("IF(B2890="""","""",RIGHT(REGEXREPLACE(B2890&amp;"""",""[^0-9]"",""""),9))"),"772287422")</f>
        <v>772287422</v>
      </c>
      <c r="B2890" s="48">
        <v>7.72287422E8</v>
      </c>
      <c r="C2890" s="10" t="s">
        <v>2972</v>
      </c>
      <c r="D2890" s="10" t="s">
        <v>105</v>
      </c>
      <c r="E2890" s="13">
        <v>46230.0</v>
      </c>
      <c r="F2890" s="10" t="s">
        <v>35</v>
      </c>
      <c r="G2890" s="10">
        <v>11.0</v>
      </c>
      <c r="I2890" s="10" t="s">
        <v>22</v>
      </c>
      <c r="J2890" s="9" t="str">
        <f t="shared" si="42"/>
        <v>No</v>
      </c>
      <c r="K2890" s="9" t="str">
        <f t="shared" si="43"/>
        <v/>
      </c>
      <c r="L2890" s="9" t="str">
        <f t="shared" si="44"/>
        <v/>
      </c>
      <c r="M2890" s="9"/>
      <c r="O2890" s="9"/>
    </row>
    <row r="2891" ht="15.75" customHeight="1">
      <c r="A2891" s="9" t="str">
        <f>IFERROR(__xludf.DUMMYFUNCTION("IF(B2891="""","""",RIGHT(REGEXREPLACE(B2891&amp;"""",""[^0-9]"",""""),9))"),"701010334")</f>
        <v>701010334</v>
      </c>
      <c r="B2891" s="48">
        <v>7.01010334E8</v>
      </c>
      <c r="C2891" s="10" t="s">
        <v>2973</v>
      </c>
      <c r="D2891" s="10" t="s">
        <v>50</v>
      </c>
      <c r="E2891" s="13">
        <v>46230.0</v>
      </c>
      <c r="F2891" s="10" t="s">
        <v>35</v>
      </c>
      <c r="G2891" s="10">
        <v>10.0</v>
      </c>
      <c r="I2891" s="10" t="s">
        <v>22</v>
      </c>
      <c r="J2891" s="9" t="str">
        <f t="shared" si="42"/>
        <v>No</v>
      </c>
      <c r="K2891" s="9" t="str">
        <f t="shared" si="43"/>
        <v/>
      </c>
      <c r="L2891" s="9" t="str">
        <f t="shared" si="44"/>
        <v/>
      </c>
      <c r="M2891" s="9"/>
      <c r="O2891" s="9"/>
    </row>
    <row r="2892" ht="15.75" customHeight="1">
      <c r="A2892" s="9" t="str">
        <f>IFERROR(__xludf.DUMMYFUNCTION("IF(B2892="""","""",RIGHT(REGEXREPLACE(B2892&amp;"""",""[^0-9]"",""""),9))"),"758651545")</f>
        <v>758651545</v>
      </c>
      <c r="B2892" s="48">
        <v>7.58651545E8</v>
      </c>
      <c r="C2892" s="10" t="s">
        <v>2974</v>
      </c>
      <c r="D2892" s="10" t="s">
        <v>120</v>
      </c>
      <c r="E2892" s="13">
        <v>46230.0</v>
      </c>
      <c r="F2892" s="10" t="s">
        <v>21</v>
      </c>
      <c r="G2892" s="10">
        <v>11.0</v>
      </c>
      <c r="I2892" s="10" t="s">
        <v>22</v>
      </c>
      <c r="J2892" s="9" t="str">
        <f t="shared" si="42"/>
        <v>No</v>
      </c>
      <c r="K2892" s="9" t="str">
        <f t="shared" si="43"/>
        <v/>
      </c>
      <c r="L2892" s="9" t="str">
        <f t="shared" si="44"/>
        <v/>
      </c>
      <c r="M2892" s="9"/>
      <c r="O2892" s="9"/>
    </row>
    <row r="2893" ht="15.75" customHeight="1">
      <c r="A2893" s="9" t="str">
        <f>IFERROR(__xludf.DUMMYFUNCTION("IF(B2893="""","""",RIGHT(REGEXREPLACE(B2893&amp;"""",""[^0-9]"",""""),9))"),"760440331")</f>
        <v>760440331</v>
      </c>
      <c r="B2893" s="48">
        <v>7.60440331E8</v>
      </c>
      <c r="C2893" s="10" t="s">
        <v>2975</v>
      </c>
      <c r="D2893" s="10" t="s">
        <v>97</v>
      </c>
      <c r="E2893" s="13">
        <v>46230.0</v>
      </c>
      <c r="F2893" s="10" t="s">
        <v>35</v>
      </c>
      <c r="G2893" s="10">
        <v>11.0</v>
      </c>
      <c r="H2893" s="10" t="s">
        <v>1448</v>
      </c>
      <c r="I2893" s="10" t="s">
        <v>22</v>
      </c>
      <c r="J2893" s="9" t="str">
        <f t="shared" si="42"/>
        <v>No</v>
      </c>
      <c r="K2893" s="9" t="str">
        <f t="shared" si="43"/>
        <v/>
      </c>
      <c r="L2893" s="9" t="str">
        <f t="shared" si="44"/>
        <v/>
      </c>
      <c r="M2893" s="9"/>
      <c r="O2893" s="9"/>
    </row>
    <row r="2894" ht="15.75" customHeight="1">
      <c r="A2894" s="9" t="str">
        <f>IFERROR(__xludf.DUMMYFUNCTION("IF(B2894="""","""",RIGHT(REGEXREPLACE(B2894&amp;"""",""[^0-9]"",""""),9))"),"741366836")</f>
        <v>741366836</v>
      </c>
      <c r="B2894" s="48">
        <v>7.41366836E8</v>
      </c>
      <c r="C2894" s="10" t="s">
        <v>2976</v>
      </c>
      <c r="D2894" s="10" t="s">
        <v>69</v>
      </c>
      <c r="E2894" s="13">
        <v>46230.0</v>
      </c>
      <c r="F2894" s="10" t="s">
        <v>145</v>
      </c>
      <c r="H2894" s="10" t="s">
        <v>737</v>
      </c>
      <c r="I2894" s="10" t="s">
        <v>22</v>
      </c>
      <c r="J2894" s="9" t="str">
        <f t="shared" si="42"/>
        <v>No</v>
      </c>
      <c r="K2894" s="9" t="str">
        <f t="shared" si="43"/>
        <v/>
      </c>
      <c r="L2894" s="9" t="str">
        <f t="shared" si="44"/>
        <v/>
      </c>
      <c r="M2894" s="9"/>
      <c r="O2894" s="9"/>
    </row>
    <row r="2895" ht="15.75" customHeight="1">
      <c r="A2895" s="9" t="str">
        <f>IFERROR(__xludf.DUMMYFUNCTION("IF(B2895="""","""",RIGHT(REGEXREPLACE(B2895&amp;"""",""[^0-9]"",""""),9))"),"726865899")</f>
        <v>726865899</v>
      </c>
      <c r="B2895" s="48">
        <v>7.26865899E8</v>
      </c>
      <c r="C2895" s="10" t="s">
        <v>2977</v>
      </c>
      <c r="D2895" s="10" t="s">
        <v>97</v>
      </c>
      <c r="E2895" s="13">
        <v>46230.0</v>
      </c>
      <c r="F2895" s="10" t="s">
        <v>145</v>
      </c>
      <c r="G2895" s="10">
        <v>11.0</v>
      </c>
      <c r="H2895" s="10" t="s">
        <v>1448</v>
      </c>
      <c r="I2895" s="10" t="s">
        <v>22</v>
      </c>
      <c r="J2895" s="9" t="str">
        <f t="shared" si="42"/>
        <v>No</v>
      </c>
      <c r="K2895" s="9" t="str">
        <f t="shared" si="43"/>
        <v/>
      </c>
      <c r="L2895" s="9" t="str">
        <f t="shared" si="44"/>
        <v/>
      </c>
      <c r="M2895" s="9"/>
      <c r="O2895" s="9"/>
    </row>
    <row r="2896" ht="15.75" customHeight="1">
      <c r="A2896" s="9" t="str">
        <f>IFERROR(__xludf.DUMMYFUNCTION("IF(B2896="""","""",RIGHT(REGEXREPLACE(B2896&amp;"""",""[^0-9]"",""""),9))"),"776207656")</f>
        <v>776207656</v>
      </c>
      <c r="B2896" s="48">
        <v>7.76207656E8</v>
      </c>
      <c r="C2896" s="10" t="s">
        <v>2978</v>
      </c>
      <c r="D2896" s="10" t="s">
        <v>50</v>
      </c>
      <c r="E2896" s="13">
        <v>46230.0</v>
      </c>
      <c r="F2896" s="10" t="s">
        <v>35</v>
      </c>
      <c r="G2896" s="10">
        <v>11.0</v>
      </c>
      <c r="I2896" s="10" t="s">
        <v>22</v>
      </c>
      <c r="J2896" s="9" t="str">
        <f t="shared" si="42"/>
        <v>No</v>
      </c>
      <c r="K2896" s="9" t="str">
        <f t="shared" si="43"/>
        <v/>
      </c>
      <c r="L2896" s="9" t="str">
        <f t="shared" si="44"/>
        <v/>
      </c>
      <c r="M2896" s="9"/>
      <c r="O2896" s="9"/>
    </row>
    <row r="2897" ht="15.75" customHeight="1">
      <c r="A2897" s="9" t="str">
        <f>IFERROR(__xludf.DUMMYFUNCTION("IF(B2897="""","""",RIGHT(REGEXREPLACE(B2897&amp;"""",""[^0-9]"",""""),9))"),"722711808")</f>
        <v>722711808</v>
      </c>
      <c r="B2897" s="48">
        <v>7.22711808E8</v>
      </c>
      <c r="C2897" s="10" t="s">
        <v>2979</v>
      </c>
      <c r="D2897" s="10" t="s">
        <v>34</v>
      </c>
      <c r="E2897" s="13">
        <v>46230.0</v>
      </c>
      <c r="F2897" s="10" t="s">
        <v>113</v>
      </c>
      <c r="H2897" s="10" t="s">
        <v>2980</v>
      </c>
      <c r="I2897" s="10" t="s">
        <v>22</v>
      </c>
      <c r="J2897" s="9" t="str">
        <f t="shared" si="42"/>
        <v>No</v>
      </c>
      <c r="K2897" s="9" t="str">
        <f t="shared" si="43"/>
        <v/>
      </c>
      <c r="L2897" s="9" t="str">
        <f t="shared" si="44"/>
        <v/>
      </c>
      <c r="M2897" s="9"/>
      <c r="O2897" s="9"/>
    </row>
    <row r="2898" ht="15.75" customHeight="1">
      <c r="A2898" s="9" t="str">
        <f>IFERROR(__xludf.DUMMYFUNCTION("IF(B2898="""","""",RIGHT(REGEXREPLACE(B2898&amp;"""",""[^0-9]"",""""),9))"),"781818550")</f>
        <v>781818550</v>
      </c>
      <c r="B2898" s="48">
        <v>7.8181855E8</v>
      </c>
      <c r="C2898" s="10" t="s">
        <v>2981</v>
      </c>
      <c r="D2898" s="10" t="s">
        <v>120</v>
      </c>
      <c r="E2898" s="13">
        <v>46230.0</v>
      </c>
      <c r="F2898" s="10" t="s">
        <v>145</v>
      </c>
      <c r="G2898" s="10">
        <v>11.0</v>
      </c>
      <c r="I2898" s="10" t="s">
        <v>22</v>
      </c>
      <c r="J2898" s="9" t="str">
        <f t="shared" si="42"/>
        <v>No</v>
      </c>
      <c r="K2898" s="9" t="str">
        <f t="shared" si="43"/>
        <v/>
      </c>
      <c r="L2898" s="9" t="str">
        <f t="shared" si="44"/>
        <v/>
      </c>
      <c r="M2898" s="9"/>
      <c r="O2898" s="9"/>
    </row>
    <row r="2899" ht="15.75" customHeight="1">
      <c r="A2899" s="9" t="str">
        <f>IFERROR(__xludf.DUMMYFUNCTION("IF(B2899="""","""",RIGHT(REGEXREPLACE(B2899&amp;"""",""[^0-9]"",""""),9))"),"771263511")</f>
        <v>771263511</v>
      </c>
      <c r="B2899" s="48">
        <v>7.71263511E8</v>
      </c>
      <c r="C2899" s="10" t="s">
        <v>2982</v>
      </c>
      <c r="D2899" s="10" t="s">
        <v>105</v>
      </c>
      <c r="E2899" s="13">
        <v>46230.0</v>
      </c>
      <c r="F2899" s="10" t="s">
        <v>113</v>
      </c>
      <c r="I2899" s="10" t="s">
        <v>22</v>
      </c>
      <c r="J2899" s="9" t="str">
        <f t="shared" si="42"/>
        <v>No</v>
      </c>
      <c r="K2899" s="9" t="str">
        <f t="shared" si="43"/>
        <v/>
      </c>
      <c r="L2899" s="9" t="str">
        <f t="shared" si="44"/>
        <v/>
      </c>
      <c r="M2899" s="9"/>
      <c r="O2899" s="9"/>
    </row>
    <row r="2900" ht="15.75" customHeight="1">
      <c r="A2900" s="9" t="str">
        <f>IFERROR(__xludf.DUMMYFUNCTION("IF(B2900="""","""",RIGHT(REGEXREPLACE(B2900&amp;"""",""[^0-9]"",""""),9))"),"784742783")</f>
        <v>784742783</v>
      </c>
      <c r="B2900" s="48">
        <v>7.84742783E8</v>
      </c>
      <c r="C2900" s="10" t="s">
        <v>2983</v>
      </c>
      <c r="D2900" s="10" t="s">
        <v>34</v>
      </c>
      <c r="E2900" s="13">
        <v>46230.0</v>
      </c>
      <c r="F2900" s="10" t="s">
        <v>21</v>
      </c>
      <c r="H2900" s="10" t="s">
        <v>2526</v>
      </c>
      <c r="I2900" s="10" t="s">
        <v>22</v>
      </c>
      <c r="J2900" s="9" t="str">
        <f t="shared" si="42"/>
        <v>No</v>
      </c>
      <c r="K2900" s="9" t="str">
        <f t="shared" si="43"/>
        <v/>
      </c>
      <c r="L2900" s="9" t="str">
        <f t="shared" si="44"/>
        <v/>
      </c>
      <c r="M2900" s="9"/>
      <c r="O2900" s="9"/>
    </row>
    <row r="2901" ht="15.75" customHeight="1">
      <c r="A2901" s="9" t="str">
        <f>IFERROR(__xludf.DUMMYFUNCTION("IF(B2901="""","""",RIGHT(REGEXREPLACE(B2901&amp;"""",""[^0-9]"",""""),9))"),"755111464")</f>
        <v>755111464</v>
      </c>
      <c r="B2901" s="48">
        <v>7.55111464E8</v>
      </c>
      <c r="C2901" s="10" t="s">
        <v>2984</v>
      </c>
      <c r="D2901" s="10" t="s">
        <v>34</v>
      </c>
      <c r="E2901" s="13">
        <v>46230.0</v>
      </c>
      <c r="F2901" s="10" t="s">
        <v>35</v>
      </c>
      <c r="G2901" s="10">
        <v>11.0</v>
      </c>
      <c r="H2901" s="10" t="s">
        <v>2985</v>
      </c>
      <c r="I2901" s="10" t="s">
        <v>22</v>
      </c>
      <c r="J2901" s="9" t="str">
        <f t="shared" si="42"/>
        <v>No</v>
      </c>
      <c r="K2901" s="9" t="str">
        <f t="shared" si="43"/>
        <v/>
      </c>
      <c r="L2901" s="9" t="str">
        <f t="shared" si="44"/>
        <v/>
      </c>
      <c r="M2901" s="9"/>
      <c r="O2901" s="9"/>
    </row>
    <row r="2902" ht="15.75" customHeight="1">
      <c r="A2902" s="9" t="str">
        <f>IFERROR(__xludf.DUMMYFUNCTION("IF(B2902="""","""",RIGHT(REGEXREPLACE(B2902&amp;"""",""[^0-9]"",""""),9))"),"765257289")</f>
        <v>765257289</v>
      </c>
      <c r="B2902" s="48">
        <v>7.65257289E8</v>
      </c>
      <c r="C2902" s="10" t="s">
        <v>2986</v>
      </c>
      <c r="D2902" s="10" t="s">
        <v>34</v>
      </c>
      <c r="E2902" s="13">
        <v>46230.0</v>
      </c>
      <c r="F2902" s="10" t="s">
        <v>198</v>
      </c>
      <c r="H2902" s="10" t="s">
        <v>2526</v>
      </c>
      <c r="I2902" s="10" t="s">
        <v>22</v>
      </c>
      <c r="J2902" s="9" t="str">
        <f t="shared" si="42"/>
        <v>No</v>
      </c>
      <c r="K2902" s="9" t="str">
        <f t="shared" si="43"/>
        <v/>
      </c>
      <c r="L2902" s="9" t="str">
        <f t="shared" si="44"/>
        <v/>
      </c>
      <c r="M2902" s="9"/>
      <c r="O2902" s="9"/>
    </row>
    <row r="2903" ht="15.75" customHeight="1">
      <c r="A2903" s="9" t="str">
        <f>IFERROR(__xludf.DUMMYFUNCTION("IF(B2903="""","""",RIGHT(REGEXREPLACE(B2903&amp;"""",""[^0-9]"",""""),9))"),"711300102")</f>
        <v>711300102</v>
      </c>
      <c r="B2903" s="48">
        <v>7.11300102E8</v>
      </c>
      <c r="C2903" s="10" t="s">
        <v>2987</v>
      </c>
      <c r="D2903" s="10" t="s">
        <v>34</v>
      </c>
      <c r="E2903" s="13">
        <v>46230.0</v>
      </c>
      <c r="F2903" s="10" t="s">
        <v>35</v>
      </c>
      <c r="H2903" s="10" t="s">
        <v>2603</v>
      </c>
      <c r="I2903" s="10" t="s">
        <v>22</v>
      </c>
      <c r="J2903" s="9" t="str">
        <f t="shared" si="42"/>
        <v>No</v>
      </c>
      <c r="K2903" s="9" t="str">
        <f t="shared" si="43"/>
        <v/>
      </c>
      <c r="L2903" s="9" t="str">
        <f t="shared" si="44"/>
        <v/>
      </c>
      <c r="M2903" s="9"/>
      <c r="O2903" s="9"/>
    </row>
    <row r="2904" ht="15.75" customHeight="1">
      <c r="A2904" s="9" t="str">
        <f>IFERROR(__xludf.DUMMYFUNCTION("IF(B2904="""","""",RIGHT(REGEXREPLACE(B2904&amp;"""",""[^0-9]"",""""),9))"),"760763617")</f>
        <v>760763617</v>
      </c>
      <c r="B2904" s="48">
        <v>7.60763617E8</v>
      </c>
      <c r="C2904" s="10" t="s">
        <v>2820</v>
      </c>
      <c r="D2904" s="10" t="s">
        <v>34</v>
      </c>
      <c r="E2904" s="13">
        <v>46230.0</v>
      </c>
      <c r="F2904" s="10" t="s">
        <v>35</v>
      </c>
      <c r="G2904" s="10">
        <v>11.0</v>
      </c>
      <c r="I2904" s="10" t="s">
        <v>22</v>
      </c>
      <c r="J2904" s="9" t="str">
        <f t="shared" si="42"/>
        <v>No</v>
      </c>
      <c r="K2904" s="9" t="str">
        <f t="shared" si="43"/>
        <v/>
      </c>
      <c r="L2904" s="9" t="str">
        <f t="shared" si="44"/>
        <v/>
      </c>
      <c r="M2904" s="9"/>
      <c r="O2904" s="9"/>
    </row>
    <row r="2905" ht="15.75" customHeight="1">
      <c r="A2905" s="9" t="str">
        <f>IFERROR(__xludf.DUMMYFUNCTION("IF(B2905="""","""",RIGHT(REGEXREPLACE(B2905&amp;"""",""[^0-9]"",""""),9))"),"767621880")</f>
        <v>767621880</v>
      </c>
      <c r="B2905" s="48">
        <v>7.6762188E8</v>
      </c>
      <c r="C2905" s="10" t="s">
        <v>2988</v>
      </c>
      <c r="D2905" s="10" t="s">
        <v>34</v>
      </c>
      <c r="E2905" s="13">
        <v>46230.0</v>
      </c>
      <c r="F2905" s="10" t="s">
        <v>21</v>
      </c>
      <c r="H2905" s="10" t="s">
        <v>2603</v>
      </c>
      <c r="I2905" s="10" t="s">
        <v>22</v>
      </c>
      <c r="J2905" s="9" t="str">
        <f t="shared" si="42"/>
        <v>No</v>
      </c>
      <c r="K2905" s="9" t="str">
        <f t="shared" si="43"/>
        <v/>
      </c>
      <c r="L2905" s="9" t="str">
        <f t="shared" si="44"/>
        <v/>
      </c>
      <c r="M2905" s="9"/>
      <c r="O2905" s="9"/>
    </row>
    <row r="2906" ht="15.75" customHeight="1">
      <c r="A2906" s="9" t="str">
        <f>IFERROR(__xludf.DUMMYFUNCTION("IF(B2906="""","""",RIGHT(REGEXREPLACE(B2906&amp;"""",""[^0-9]"",""""),9))"),"742301677")</f>
        <v>742301677</v>
      </c>
      <c r="B2906" s="48">
        <v>7.42301677E8</v>
      </c>
      <c r="C2906" s="10" t="s">
        <v>2989</v>
      </c>
      <c r="D2906" s="10" t="s">
        <v>34</v>
      </c>
      <c r="E2906" s="13">
        <v>46230.0</v>
      </c>
      <c r="F2906" s="10" t="s">
        <v>171</v>
      </c>
      <c r="H2906" s="10" t="s">
        <v>2526</v>
      </c>
      <c r="I2906" s="10" t="s">
        <v>22</v>
      </c>
      <c r="J2906" s="9" t="str">
        <f t="shared" si="42"/>
        <v>No</v>
      </c>
      <c r="K2906" s="9" t="str">
        <f t="shared" si="43"/>
        <v/>
      </c>
      <c r="L2906" s="9" t="str">
        <f t="shared" si="44"/>
        <v/>
      </c>
      <c r="M2906" s="9"/>
      <c r="O2906" s="9"/>
    </row>
    <row r="2907" ht="15.75" customHeight="1">
      <c r="A2907" s="9" t="str">
        <f>IFERROR(__xludf.DUMMYFUNCTION("IF(B2907="""","""",RIGHT(REGEXREPLACE(B2907&amp;"""",""[^0-9]"",""""),9))"),"762280708")</f>
        <v>762280708</v>
      </c>
      <c r="B2907" s="48">
        <v>7.62280708E8</v>
      </c>
      <c r="C2907" s="10" t="s">
        <v>2990</v>
      </c>
      <c r="D2907" s="10" t="s">
        <v>34</v>
      </c>
      <c r="E2907" s="13">
        <v>46230.0</v>
      </c>
      <c r="F2907" s="10" t="s">
        <v>35</v>
      </c>
      <c r="G2907" s="10">
        <v>11.0</v>
      </c>
      <c r="I2907" s="10" t="s">
        <v>22</v>
      </c>
      <c r="J2907" s="9" t="str">
        <f t="shared" si="42"/>
        <v>No</v>
      </c>
      <c r="K2907" s="9" t="str">
        <f t="shared" si="43"/>
        <v/>
      </c>
      <c r="L2907" s="9" t="str">
        <f t="shared" si="44"/>
        <v/>
      </c>
      <c r="M2907" s="9"/>
      <c r="O2907" s="9"/>
    </row>
    <row r="2908" ht="15.75" customHeight="1">
      <c r="A2908" s="9" t="str">
        <f>IFERROR(__xludf.DUMMYFUNCTION("IF(B2908="""","""",RIGHT(REGEXREPLACE(B2908&amp;"""",""[^0-9]"",""""),9))"),"772099353")</f>
        <v>772099353</v>
      </c>
      <c r="B2908" s="48">
        <v>7.72099353E8</v>
      </c>
      <c r="C2908" s="10" t="s">
        <v>2991</v>
      </c>
      <c r="D2908" s="10" t="s">
        <v>34</v>
      </c>
      <c r="E2908" s="13">
        <v>46230.0</v>
      </c>
      <c r="F2908" s="10" t="s">
        <v>145</v>
      </c>
      <c r="H2908" s="10" t="s">
        <v>2526</v>
      </c>
      <c r="I2908" s="10" t="s">
        <v>22</v>
      </c>
      <c r="J2908" s="9" t="str">
        <f t="shared" si="42"/>
        <v>No</v>
      </c>
      <c r="K2908" s="9" t="str">
        <f t="shared" si="43"/>
        <v/>
      </c>
      <c r="L2908" s="9" t="str">
        <f t="shared" si="44"/>
        <v/>
      </c>
      <c r="M2908" s="9"/>
      <c r="O2908" s="9"/>
    </row>
    <row r="2909" ht="15.75" customHeight="1">
      <c r="A2909" s="9" t="str">
        <f>IFERROR(__xludf.DUMMYFUNCTION("IF(B2909="""","""",RIGHT(REGEXREPLACE(B2909&amp;"""",""[^0-9]"",""""),9))"),"785666320")</f>
        <v>785666320</v>
      </c>
      <c r="B2909" s="48">
        <v>7.8566632E8</v>
      </c>
      <c r="C2909" s="10" t="s">
        <v>2992</v>
      </c>
      <c r="D2909" s="10" t="s">
        <v>34</v>
      </c>
      <c r="E2909" s="13">
        <v>46230.0</v>
      </c>
      <c r="F2909" s="10" t="s">
        <v>35</v>
      </c>
      <c r="G2909" s="10">
        <v>11.0</v>
      </c>
      <c r="I2909" s="10" t="s">
        <v>22</v>
      </c>
      <c r="J2909" s="9" t="str">
        <f t="shared" si="42"/>
        <v>No</v>
      </c>
      <c r="K2909" s="9" t="str">
        <f t="shared" si="43"/>
        <v/>
      </c>
      <c r="L2909" s="9" t="str">
        <f t="shared" si="44"/>
        <v/>
      </c>
      <c r="M2909" s="9"/>
      <c r="O2909" s="9"/>
    </row>
    <row r="2910" ht="15.75" customHeight="1">
      <c r="A2910" s="9" t="str">
        <f>IFERROR(__xludf.DUMMYFUNCTION("IF(B2910="""","""",RIGHT(REGEXREPLACE(B2910&amp;"""",""[^0-9]"",""""),9))"),"741035013")</f>
        <v>741035013</v>
      </c>
      <c r="B2910" s="48">
        <v>7.41035013E8</v>
      </c>
      <c r="C2910" s="10" t="s">
        <v>2993</v>
      </c>
      <c r="D2910" s="10" t="s">
        <v>34</v>
      </c>
      <c r="E2910" s="13">
        <v>46230.0</v>
      </c>
      <c r="F2910" s="10" t="s">
        <v>21</v>
      </c>
      <c r="H2910" s="10" t="s">
        <v>2526</v>
      </c>
      <c r="I2910" s="10" t="s">
        <v>22</v>
      </c>
      <c r="J2910" s="9" t="str">
        <f t="shared" si="42"/>
        <v>No</v>
      </c>
      <c r="K2910" s="9" t="str">
        <f t="shared" si="43"/>
        <v/>
      </c>
      <c r="L2910" s="9" t="str">
        <f t="shared" si="44"/>
        <v/>
      </c>
      <c r="M2910" s="9"/>
      <c r="O2910" s="9"/>
    </row>
    <row r="2911" ht="15.75" customHeight="1">
      <c r="A2911" s="9" t="str">
        <f>IFERROR(__xludf.DUMMYFUNCTION("IF(B2911="""","""",RIGHT(REGEXREPLACE(B2911&amp;"""",""[^0-9]"",""""),9))"),"716952048")</f>
        <v>716952048</v>
      </c>
      <c r="B2911" s="48">
        <v>7.16952048E8</v>
      </c>
      <c r="C2911" s="10" t="s">
        <v>2994</v>
      </c>
      <c r="D2911" s="10" t="s">
        <v>97</v>
      </c>
      <c r="E2911" s="13">
        <v>46230.0</v>
      </c>
      <c r="F2911" s="10" t="s">
        <v>648</v>
      </c>
      <c r="H2911" s="10" t="s">
        <v>2526</v>
      </c>
      <c r="I2911" s="10" t="s">
        <v>22</v>
      </c>
      <c r="J2911" s="9" t="str">
        <f t="shared" si="42"/>
        <v>No</v>
      </c>
      <c r="K2911" s="9" t="str">
        <f t="shared" si="43"/>
        <v/>
      </c>
      <c r="L2911" s="9" t="str">
        <f t="shared" si="44"/>
        <v/>
      </c>
      <c r="M2911" s="9"/>
      <c r="O2911" s="9"/>
    </row>
    <row r="2912" ht="15.75" customHeight="1">
      <c r="A2912" s="9" t="str">
        <f>IFERROR(__xludf.DUMMYFUNCTION("IF(B2912="""","""",RIGHT(REGEXREPLACE(B2912&amp;"""",""[^0-9]"",""""),9))"),"782799544")</f>
        <v>782799544</v>
      </c>
      <c r="B2912" s="48">
        <v>7.82799544E8</v>
      </c>
      <c r="C2912" s="10" t="s">
        <v>2995</v>
      </c>
      <c r="D2912" s="10" t="s">
        <v>69</v>
      </c>
      <c r="E2912" s="13">
        <v>46230.0</v>
      </c>
      <c r="F2912" s="10" t="s">
        <v>198</v>
      </c>
      <c r="H2912" s="10" t="s">
        <v>737</v>
      </c>
      <c r="I2912" s="10" t="s">
        <v>22</v>
      </c>
      <c r="J2912" s="9" t="str">
        <f t="shared" si="42"/>
        <v>No</v>
      </c>
      <c r="K2912" s="9" t="str">
        <f t="shared" si="43"/>
        <v/>
      </c>
      <c r="L2912" s="9" t="str">
        <f t="shared" si="44"/>
        <v/>
      </c>
      <c r="M2912" s="9"/>
      <c r="O2912" s="9"/>
    </row>
    <row r="2913" ht="15.75" customHeight="1">
      <c r="A2913" s="9" t="str">
        <f>IFERROR(__xludf.DUMMYFUNCTION("IF(B2913="""","""",RIGHT(REGEXREPLACE(B2913&amp;"""",""[^0-9]"",""""),9))"),"711485514")</f>
        <v>711485514</v>
      </c>
      <c r="B2913" s="48">
        <v>7.11485514E8</v>
      </c>
      <c r="C2913" s="10" t="s">
        <v>2996</v>
      </c>
      <c r="D2913" s="10" t="s">
        <v>50</v>
      </c>
      <c r="E2913" s="13">
        <v>46230.0</v>
      </c>
      <c r="F2913" s="10" t="s">
        <v>35</v>
      </c>
      <c r="G2913" s="10">
        <v>11.0</v>
      </c>
      <c r="H2913" s="10" t="s">
        <v>2603</v>
      </c>
      <c r="I2913" s="10" t="s">
        <v>22</v>
      </c>
      <c r="J2913" s="9" t="str">
        <f t="shared" si="42"/>
        <v>No</v>
      </c>
      <c r="K2913" s="9" t="str">
        <f t="shared" si="43"/>
        <v/>
      </c>
      <c r="L2913" s="9" t="str">
        <f t="shared" si="44"/>
        <v/>
      </c>
      <c r="M2913" s="9"/>
      <c r="O2913" s="9"/>
    </row>
    <row r="2914" ht="15.75" customHeight="1">
      <c r="A2914" s="9" t="str">
        <f>IFERROR(__xludf.DUMMYFUNCTION("IF(B2914="""","""",RIGHT(REGEXREPLACE(B2914&amp;"""",""[^0-9]"",""""),9))"),"741243044")</f>
        <v>741243044</v>
      </c>
      <c r="B2914" s="48">
        <v>7.41243044E8</v>
      </c>
      <c r="C2914" s="10" t="s">
        <v>2997</v>
      </c>
      <c r="D2914" s="10" t="s">
        <v>50</v>
      </c>
      <c r="E2914" s="13">
        <v>46230.0</v>
      </c>
      <c r="F2914" s="10" t="s">
        <v>35</v>
      </c>
      <c r="G2914" s="10">
        <v>10.0</v>
      </c>
      <c r="H2914" s="10" t="s">
        <v>2603</v>
      </c>
      <c r="I2914" s="10" t="s">
        <v>22</v>
      </c>
      <c r="J2914" s="9" t="str">
        <f t="shared" si="42"/>
        <v>No</v>
      </c>
      <c r="K2914" s="9" t="str">
        <f t="shared" si="43"/>
        <v/>
      </c>
      <c r="L2914" s="9" t="str">
        <f t="shared" si="44"/>
        <v/>
      </c>
      <c r="M2914" s="9"/>
      <c r="O2914" s="9"/>
    </row>
    <row r="2915" ht="15.75" customHeight="1">
      <c r="A2915" s="9" t="str">
        <f>IFERROR(__xludf.DUMMYFUNCTION("IF(B2915="""","""",RIGHT(REGEXREPLACE(B2915&amp;"""",""[^0-9]"",""""),9))"),"773262639")</f>
        <v>773262639</v>
      </c>
      <c r="B2915" s="48">
        <v>7.73262639E8</v>
      </c>
      <c r="C2915" s="10" t="s">
        <v>2998</v>
      </c>
      <c r="D2915" s="10" t="s">
        <v>50</v>
      </c>
      <c r="E2915" s="13">
        <v>46230.0</v>
      </c>
      <c r="F2915" s="10" t="s">
        <v>35</v>
      </c>
      <c r="G2915" s="10">
        <v>11.0</v>
      </c>
      <c r="I2915" s="10" t="s">
        <v>22</v>
      </c>
      <c r="J2915" s="9" t="str">
        <f t="shared" si="42"/>
        <v>No</v>
      </c>
      <c r="K2915" s="9" t="str">
        <f t="shared" si="43"/>
        <v/>
      </c>
      <c r="L2915" s="9" t="str">
        <f t="shared" si="44"/>
        <v/>
      </c>
      <c r="M2915" s="9"/>
      <c r="O2915" s="9"/>
    </row>
    <row r="2916" ht="15.75" customHeight="1">
      <c r="A2916" s="9" t="str">
        <f>IFERROR(__xludf.DUMMYFUNCTION("IF(B2916="""","""",RIGHT(REGEXREPLACE(B2916&amp;"""",""[^0-9]"",""""),9))"),"770885581")</f>
        <v>770885581</v>
      </c>
      <c r="B2916" s="48">
        <v>7.70885581E8</v>
      </c>
      <c r="C2916" s="10" t="s">
        <v>2999</v>
      </c>
      <c r="D2916" s="10" t="s">
        <v>50</v>
      </c>
      <c r="E2916" s="13">
        <v>46230.0</v>
      </c>
      <c r="F2916" s="10" t="s">
        <v>35</v>
      </c>
      <c r="G2916" s="10">
        <v>11.0</v>
      </c>
      <c r="H2916" s="10" t="s">
        <v>3000</v>
      </c>
      <c r="I2916" s="10" t="s">
        <v>22</v>
      </c>
      <c r="J2916" s="9" t="str">
        <f t="shared" si="42"/>
        <v>No</v>
      </c>
      <c r="K2916" s="9" t="str">
        <f t="shared" si="43"/>
        <v/>
      </c>
      <c r="L2916" s="9" t="str">
        <f t="shared" si="44"/>
        <v/>
      </c>
      <c r="M2916" s="9"/>
      <c r="O2916" s="9"/>
    </row>
    <row r="2917" ht="15.75" customHeight="1">
      <c r="A2917" s="9" t="str">
        <f>IFERROR(__xludf.DUMMYFUNCTION("IF(B2917="""","""",RIGHT(REGEXREPLACE(B2917&amp;"""",""[^0-9]"",""""),9))"),"781016225")</f>
        <v>781016225</v>
      </c>
      <c r="B2917" s="48">
        <v>7.81016225E8</v>
      </c>
      <c r="C2917" s="10" t="s">
        <v>3001</v>
      </c>
      <c r="D2917" s="10" t="s">
        <v>97</v>
      </c>
      <c r="E2917" s="13">
        <v>46230.0</v>
      </c>
      <c r="F2917" s="10" t="s">
        <v>35</v>
      </c>
      <c r="G2917" s="10">
        <v>11.0</v>
      </c>
      <c r="H2917" s="10" t="s">
        <v>1448</v>
      </c>
      <c r="I2917" s="10" t="s">
        <v>22</v>
      </c>
      <c r="J2917" s="9" t="str">
        <f t="shared" si="42"/>
        <v>No</v>
      </c>
      <c r="K2917" s="9" t="str">
        <f t="shared" si="43"/>
        <v/>
      </c>
      <c r="L2917" s="9" t="str">
        <f t="shared" si="44"/>
        <v/>
      </c>
      <c r="M2917" s="9"/>
      <c r="O2917" s="9"/>
    </row>
    <row r="2918" ht="15.75" customHeight="1">
      <c r="A2918" s="9" t="str">
        <f>IFERROR(__xludf.DUMMYFUNCTION("IF(B2918="""","""",RIGHT(REGEXREPLACE(B2918&amp;"""",""[^0-9]"",""""),9))"),"751188343")</f>
        <v>751188343</v>
      </c>
      <c r="B2918" s="48">
        <v>7.51188343E8</v>
      </c>
      <c r="C2918" s="10" t="s">
        <v>3002</v>
      </c>
      <c r="D2918" s="10" t="s">
        <v>120</v>
      </c>
      <c r="E2918" s="13">
        <v>46230.0</v>
      </c>
      <c r="F2918" s="10" t="s">
        <v>35</v>
      </c>
      <c r="G2918" s="10">
        <v>11.0</v>
      </c>
      <c r="I2918" s="10" t="s">
        <v>22</v>
      </c>
      <c r="J2918" s="9" t="str">
        <f t="shared" si="42"/>
        <v>No</v>
      </c>
      <c r="K2918" s="9" t="str">
        <f t="shared" si="43"/>
        <v/>
      </c>
      <c r="L2918" s="9" t="str">
        <f t="shared" si="44"/>
        <v/>
      </c>
      <c r="M2918" s="9"/>
      <c r="O2918" s="9"/>
    </row>
    <row r="2919" ht="15.75" customHeight="1">
      <c r="A2919" s="9" t="str">
        <f>IFERROR(__xludf.DUMMYFUNCTION("IF(B2919="""","""",RIGHT(REGEXREPLACE(B2919&amp;"""",""[^0-9]"",""""),9))"),"701188254")</f>
        <v>701188254</v>
      </c>
      <c r="B2919" s="48">
        <v>7.01188254E8</v>
      </c>
      <c r="C2919" s="10" t="s">
        <v>3001</v>
      </c>
      <c r="D2919" s="10" t="s">
        <v>50</v>
      </c>
      <c r="E2919" s="13">
        <v>46230.0</v>
      </c>
      <c r="F2919" s="10" t="s">
        <v>35</v>
      </c>
      <c r="G2919" s="10">
        <v>11.0</v>
      </c>
      <c r="H2919" s="10" t="s">
        <v>2603</v>
      </c>
      <c r="I2919" s="10" t="s">
        <v>22</v>
      </c>
      <c r="J2919" s="9" t="str">
        <f t="shared" si="42"/>
        <v>No</v>
      </c>
      <c r="K2919" s="9" t="str">
        <f t="shared" si="43"/>
        <v/>
      </c>
      <c r="L2919" s="9" t="str">
        <f t="shared" si="44"/>
        <v/>
      </c>
      <c r="M2919" s="9"/>
      <c r="O2919" s="9"/>
    </row>
    <row r="2920" ht="15.75" customHeight="1">
      <c r="A2920" s="9" t="str">
        <f>IFERROR(__xludf.DUMMYFUNCTION("IF(B2920="""","""",RIGHT(REGEXREPLACE(B2920&amp;"""",""[^0-9]"",""""),9))"),"773914150")</f>
        <v>773914150</v>
      </c>
      <c r="B2920" s="48">
        <v>7.7391415E8</v>
      </c>
      <c r="C2920" s="10" t="s">
        <v>3003</v>
      </c>
      <c r="D2920" s="10" t="s">
        <v>120</v>
      </c>
      <c r="E2920" s="13">
        <v>46230.0</v>
      </c>
      <c r="F2920" s="10" t="s">
        <v>35</v>
      </c>
      <c r="G2920" s="106">
        <v>46333.0</v>
      </c>
      <c r="I2920" s="10" t="s">
        <v>22</v>
      </c>
      <c r="J2920" s="9" t="str">
        <f t="shared" si="42"/>
        <v>No</v>
      </c>
      <c r="K2920" s="9" t="str">
        <f t="shared" si="43"/>
        <v/>
      </c>
      <c r="L2920" s="9" t="str">
        <f t="shared" si="44"/>
        <v/>
      </c>
      <c r="M2920" s="9"/>
      <c r="O2920" s="9"/>
    </row>
    <row r="2921" ht="15.75" customHeight="1">
      <c r="A2921" s="9" t="str">
        <f>IFERROR(__xludf.DUMMYFUNCTION("IF(B2921="""","""",RIGHT(REGEXREPLACE(B2921&amp;"""",""[^0-9]"",""""),9))"),"777046239")</f>
        <v>777046239</v>
      </c>
      <c r="B2921" s="48">
        <v>7.77046239E8</v>
      </c>
      <c r="C2921" s="10" t="s">
        <v>3004</v>
      </c>
      <c r="D2921" s="10" t="s">
        <v>50</v>
      </c>
      <c r="E2921" s="13">
        <v>46230.0</v>
      </c>
      <c r="F2921" s="10" t="s">
        <v>35</v>
      </c>
      <c r="G2921" s="10">
        <v>11.0</v>
      </c>
      <c r="I2921" s="10" t="s">
        <v>22</v>
      </c>
      <c r="J2921" s="9" t="str">
        <f t="shared" si="42"/>
        <v>No</v>
      </c>
      <c r="K2921" s="9" t="str">
        <f t="shared" si="43"/>
        <v/>
      </c>
      <c r="L2921" s="9" t="str">
        <f t="shared" si="44"/>
        <v/>
      </c>
      <c r="M2921" s="9"/>
      <c r="O2921" s="9"/>
    </row>
    <row r="2922" ht="15.75" customHeight="1">
      <c r="A2922" s="9" t="str">
        <f>IFERROR(__xludf.DUMMYFUNCTION("IF(B2922="""","""",RIGHT(REGEXREPLACE(B2922&amp;"""",""[^0-9]"",""""),9))"),"776807466")</f>
        <v>776807466</v>
      </c>
      <c r="B2922" s="48">
        <v>7.76807466E8</v>
      </c>
      <c r="C2922" s="10" t="s">
        <v>3005</v>
      </c>
      <c r="D2922" s="10" t="s">
        <v>69</v>
      </c>
      <c r="E2922" s="13">
        <v>46230.0</v>
      </c>
      <c r="F2922" s="10" t="s">
        <v>542</v>
      </c>
      <c r="G2922" s="10">
        <v>11.0</v>
      </c>
      <c r="I2922" s="10" t="s">
        <v>22</v>
      </c>
      <c r="J2922" s="9" t="str">
        <f t="shared" si="42"/>
        <v>No</v>
      </c>
      <c r="K2922" s="9" t="str">
        <f t="shared" si="43"/>
        <v/>
      </c>
      <c r="L2922" s="9" t="str">
        <f t="shared" si="44"/>
        <v/>
      </c>
      <c r="M2922" s="9"/>
      <c r="O2922" s="9"/>
    </row>
    <row r="2923" ht="15.75" customHeight="1">
      <c r="A2923" s="9" t="str">
        <f>IFERROR(__xludf.DUMMYFUNCTION("IF(B2923="""","""",RIGHT(REGEXREPLACE(B2923&amp;"""",""[^0-9]"",""""),9))"),"716817343")</f>
        <v>716817343</v>
      </c>
      <c r="B2923" s="48">
        <v>7.16817343E8</v>
      </c>
      <c r="C2923" s="10" t="s">
        <v>3006</v>
      </c>
      <c r="D2923" s="10" t="s">
        <v>50</v>
      </c>
      <c r="E2923" s="13">
        <v>46230.0</v>
      </c>
      <c r="F2923" s="10" t="s">
        <v>35</v>
      </c>
      <c r="G2923" s="10">
        <v>11.0</v>
      </c>
      <c r="I2923" s="10" t="s">
        <v>22</v>
      </c>
      <c r="J2923" s="9" t="str">
        <f t="shared" si="42"/>
        <v>No</v>
      </c>
      <c r="K2923" s="9" t="str">
        <f t="shared" si="43"/>
        <v/>
      </c>
      <c r="L2923" s="9" t="str">
        <f t="shared" si="44"/>
        <v/>
      </c>
      <c r="M2923" s="9"/>
      <c r="O2923" s="9"/>
    </row>
    <row r="2924" ht="15.75" customHeight="1">
      <c r="A2924" s="9" t="str">
        <f>IFERROR(__xludf.DUMMYFUNCTION("IF(B2924="""","""",RIGHT(REGEXREPLACE(B2924&amp;"""",""[^0-9]"",""""),9))"),"776792319")</f>
        <v>776792319</v>
      </c>
      <c r="B2924" s="48">
        <v>7.76792319E8</v>
      </c>
      <c r="C2924" s="10" t="s">
        <v>142</v>
      </c>
      <c r="D2924" s="10" t="s">
        <v>97</v>
      </c>
      <c r="E2924" s="13">
        <v>46230.0</v>
      </c>
      <c r="F2924" s="10" t="s">
        <v>21</v>
      </c>
      <c r="H2924" s="10" t="s">
        <v>2621</v>
      </c>
      <c r="I2924" s="10" t="s">
        <v>22</v>
      </c>
      <c r="J2924" s="9" t="str">
        <f t="shared" si="42"/>
        <v>No</v>
      </c>
      <c r="K2924" s="9" t="str">
        <f t="shared" si="43"/>
        <v/>
      </c>
      <c r="L2924" s="9" t="str">
        <f t="shared" si="44"/>
        <v/>
      </c>
      <c r="M2924" s="9"/>
      <c r="O2924" s="9"/>
    </row>
    <row r="2925" ht="15.75" customHeight="1">
      <c r="A2925" s="9" t="str">
        <f>IFERROR(__xludf.DUMMYFUNCTION("IF(B2925="""","""",RIGHT(REGEXREPLACE(B2925&amp;"""",""[^0-9]"",""""),9))"),"778416887")</f>
        <v>778416887</v>
      </c>
      <c r="B2925" s="48">
        <v>7.78416887E8</v>
      </c>
      <c r="C2925" s="10" t="s">
        <v>3007</v>
      </c>
      <c r="D2925" s="10" t="s">
        <v>120</v>
      </c>
      <c r="E2925" s="13">
        <v>46230.0</v>
      </c>
      <c r="F2925" s="10" t="s">
        <v>198</v>
      </c>
      <c r="G2925" s="10">
        <v>11.0</v>
      </c>
      <c r="I2925" s="10" t="s">
        <v>22</v>
      </c>
      <c r="J2925" s="9" t="str">
        <f t="shared" si="42"/>
        <v>No</v>
      </c>
      <c r="K2925" s="9" t="str">
        <f t="shared" si="43"/>
        <v/>
      </c>
      <c r="L2925" s="9" t="str">
        <f t="shared" si="44"/>
        <v/>
      </c>
      <c r="M2925" s="9"/>
      <c r="O2925" s="9"/>
    </row>
    <row r="2926" ht="15.75" customHeight="1">
      <c r="A2926" s="9" t="str">
        <f>IFERROR(__xludf.DUMMYFUNCTION("IF(B2926="""","""",RIGHT(REGEXREPLACE(B2926&amp;"""",""[^0-9]"",""""),9))"),"779106815")</f>
        <v>779106815</v>
      </c>
      <c r="B2926" s="48">
        <v>7.79106815E8</v>
      </c>
      <c r="C2926" s="10" t="s">
        <v>3008</v>
      </c>
      <c r="D2926" s="10" t="s">
        <v>69</v>
      </c>
      <c r="E2926" s="13">
        <v>46230.0</v>
      </c>
      <c r="F2926" s="10" t="s">
        <v>21</v>
      </c>
      <c r="H2926" s="10" t="s">
        <v>737</v>
      </c>
      <c r="I2926" s="10" t="s">
        <v>22</v>
      </c>
      <c r="J2926" s="9" t="str">
        <f t="shared" si="42"/>
        <v>No</v>
      </c>
      <c r="K2926" s="9" t="str">
        <f t="shared" si="43"/>
        <v/>
      </c>
      <c r="L2926" s="9" t="str">
        <f t="shared" si="44"/>
        <v/>
      </c>
      <c r="M2926" s="9"/>
      <c r="O2926" s="9"/>
    </row>
    <row r="2927" ht="15.75" customHeight="1">
      <c r="A2927" s="9" t="str">
        <f>IFERROR(__xludf.DUMMYFUNCTION("IF(B2927="""","""",RIGHT(REGEXREPLACE(B2927&amp;"""",""[^0-9]"",""""),9))"),"764891529")</f>
        <v>764891529</v>
      </c>
      <c r="B2927" s="48">
        <v>7.64891529E8</v>
      </c>
      <c r="C2927" s="10" t="s">
        <v>3009</v>
      </c>
      <c r="D2927" s="10" t="s">
        <v>50</v>
      </c>
      <c r="E2927" s="13">
        <v>46230.0</v>
      </c>
      <c r="F2927" s="10" t="s">
        <v>35</v>
      </c>
      <c r="G2927" s="10">
        <v>10.0</v>
      </c>
      <c r="I2927" s="10" t="s">
        <v>22</v>
      </c>
      <c r="J2927" s="9" t="str">
        <f t="shared" si="42"/>
        <v>No</v>
      </c>
      <c r="K2927" s="9" t="str">
        <f t="shared" si="43"/>
        <v/>
      </c>
      <c r="L2927" s="9" t="str">
        <f t="shared" si="44"/>
        <v/>
      </c>
      <c r="M2927" s="9"/>
      <c r="O2927" s="9"/>
    </row>
    <row r="2928" ht="15.75" customHeight="1">
      <c r="A2928" s="9" t="str">
        <f>IFERROR(__xludf.DUMMYFUNCTION("IF(B2928="""","""",RIGHT(REGEXREPLACE(B2928&amp;"""",""[^0-9]"",""""),9))"),"763857022")</f>
        <v>763857022</v>
      </c>
      <c r="B2928" s="48">
        <v>7.63857022E8</v>
      </c>
      <c r="C2928" s="10" t="s">
        <v>3010</v>
      </c>
      <c r="D2928" s="10" t="s">
        <v>97</v>
      </c>
      <c r="E2928" s="13">
        <v>46230.0</v>
      </c>
      <c r="F2928" s="10" t="s">
        <v>35</v>
      </c>
      <c r="G2928" s="10">
        <v>11.0</v>
      </c>
      <c r="H2928" s="10" t="s">
        <v>1448</v>
      </c>
      <c r="I2928" s="10" t="s">
        <v>22</v>
      </c>
      <c r="J2928" s="9" t="str">
        <f t="shared" si="42"/>
        <v>No</v>
      </c>
      <c r="K2928" s="9" t="str">
        <f t="shared" si="43"/>
        <v/>
      </c>
      <c r="L2928" s="9" t="str">
        <f t="shared" si="44"/>
        <v/>
      </c>
      <c r="M2928" s="9"/>
      <c r="O2928" s="9"/>
    </row>
    <row r="2929" ht="15.75" customHeight="1">
      <c r="A2929" s="9" t="str">
        <f>IFERROR(__xludf.DUMMYFUNCTION("IF(B2929="""","""",RIGHT(REGEXREPLACE(B2929&amp;"""",""[^0-9]"",""""),9))"),"716525349")</f>
        <v>716525349</v>
      </c>
      <c r="B2929" s="48">
        <v>7.16525349E8</v>
      </c>
      <c r="C2929" s="10" t="s">
        <v>3011</v>
      </c>
      <c r="D2929" s="10" t="s">
        <v>50</v>
      </c>
      <c r="E2929" s="13">
        <v>46230.0</v>
      </c>
      <c r="F2929" s="10" t="s">
        <v>21</v>
      </c>
      <c r="G2929" s="10">
        <v>11.0</v>
      </c>
      <c r="I2929" s="10" t="s">
        <v>22</v>
      </c>
      <c r="J2929" s="9" t="str">
        <f t="shared" si="42"/>
        <v>No</v>
      </c>
      <c r="K2929" s="9" t="str">
        <f t="shared" si="43"/>
        <v/>
      </c>
      <c r="L2929" s="9" t="str">
        <f t="shared" si="44"/>
        <v/>
      </c>
      <c r="M2929" s="9"/>
      <c r="O2929" s="9"/>
    </row>
    <row r="2930" ht="15.75" customHeight="1">
      <c r="A2930" s="9" t="str">
        <f>IFERROR(__xludf.DUMMYFUNCTION("IF(B2930="""","""",RIGHT(REGEXREPLACE(B2930&amp;"""",""[^0-9]"",""""),9))"),"768769622")</f>
        <v>768769622</v>
      </c>
      <c r="B2930" s="48">
        <v>7.68769622E8</v>
      </c>
      <c r="C2930" s="10" t="s">
        <v>3012</v>
      </c>
      <c r="D2930" s="10" t="s">
        <v>69</v>
      </c>
      <c r="E2930" s="13">
        <v>46230.0</v>
      </c>
      <c r="F2930" s="10" t="s">
        <v>145</v>
      </c>
      <c r="H2930" s="10" t="s">
        <v>737</v>
      </c>
      <c r="I2930" s="10" t="s">
        <v>22</v>
      </c>
      <c r="J2930" s="9" t="str">
        <f t="shared" si="42"/>
        <v>No</v>
      </c>
      <c r="K2930" s="9" t="str">
        <f t="shared" si="43"/>
        <v/>
      </c>
      <c r="L2930" s="9" t="str">
        <f t="shared" si="44"/>
        <v/>
      </c>
      <c r="M2930" s="9"/>
      <c r="O2930" s="9"/>
    </row>
    <row r="2931" ht="15.75" customHeight="1">
      <c r="A2931" s="9" t="str">
        <f>IFERROR(__xludf.DUMMYFUNCTION("IF(B2931="""","""",RIGHT(REGEXREPLACE(B2931&amp;"""",""[^0-9]"",""""),9))"),"767464661")</f>
        <v>767464661</v>
      </c>
      <c r="B2931" s="48">
        <v>7.67464661E8</v>
      </c>
      <c r="C2931" s="10" t="s">
        <v>3013</v>
      </c>
      <c r="D2931" s="10" t="s">
        <v>50</v>
      </c>
      <c r="E2931" s="13">
        <v>46230.0</v>
      </c>
      <c r="F2931" s="10" t="s">
        <v>198</v>
      </c>
      <c r="G2931" s="10">
        <v>8.0</v>
      </c>
      <c r="I2931" s="10" t="s">
        <v>22</v>
      </c>
      <c r="J2931" s="9" t="str">
        <f t="shared" si="42"/>
        <v>No</v>
      </c>
      <c r="K2931" s="9" t="str">
        <f t="shared" si="43"/>
        <v/>
      </c>
      <c r="L2931" s="9" t="str">
        <f t="shared" si="44"/>
        <v/>
      </c>
      <c r="M2931" s="9"/>
      <c r="O2931" s="9"/>
    </row>
    <row r="2932" ht="15.75" customHeight="1">
      <c r="A2932" s="9" t="str">
        <f>IFERROR(__xludf.DUMMYFUNCTION("IF(B2932="""","""",RIGHT(REGEXREPLACE(B2932&amp;"""",""[^0-9]"",""""),9))"),"759550955")</f>
        <v>759550955</v>
      </c>
      <c r="B2932" s="48">
        <v>7.59550955E8</v>
      </c>
      <c r="C2932" s="10" t="s">
        <v>3014</v>
      </c>
      <c r="D2932" s="10" t="s">
        <v>69</v>
      </c>
      <c r="E2932" s="13">
        <v>46230.0</v>
      </c>
      <c r="F2932" s="10" t="s">
        <v>542</v>
      </c>
      <c r="G2932" s="10">
        <v>10.0</v>
      </c>
      <c r="H2932" s="10" t="s">
        <v>737</v>
      </c>
      <c r="I2932" s="10" t="s">
        <v>22</v>
      </c>
      <c r="J2932" s="9" t="str">
        <f t="shared" si="42"/>
        <v>No</v>
      </c>
      <c r="K2932" s="9" t="str">
        <f t="shared" si="43"/>
        <v/>
      </c>
      <c r="L2932" s="9" t="str">
        <f t="shared" si="44"/>
        <v/>
      </c>
      <c r="M2932" s="9"/>
      <c r="O2932" s="9"/>
    </row>
    <row r="2933" ht="15.75" customHeight="1">
      <c r="A2933" s="9" t="str">
        <f>IFERROR(__xludf.DUMMYFUNCTION("IF(B2933="""","""",RIGHT(REGEXREPLACE(B2933&amp;"""",""[^0-9]"",""""),9))"),"714681786")</f>
        <v>714681786</v>
      </c>
      <c r="B2933" s="48">
        <v>7.14681786E8</v>
      </c>
      <c r="C2933" s="10" t="s">
        <v>3015</v>
      </c>
      <c r="D2933" s="10" t="s">
        <v>97</v>
      </c>
      <c r="E2933" s="13">
        <v>46230.0</v>
      </c>
      <c r="F2933" s="10" t="s">
        <v>21</v>
      </c>
      <c r="H2933" s="10" t="s">
        <v>1448</v>
      </c>
      <c r="I2933" s="10" t="s">
        <v>22</v>
      </c>
      <c r="J2933" s="9" t="str">
        <f t="shared" si="42"/>
        <v>No</v>
      </c>
      <c r="K2933" s="9" t="str">
        <f t="shared" si="43"/>
        <v/>
      </c>
      <c r="L2933" s="9" t="str">
        <f t="shared" si="44"/>
        <v/>
      </c>
      <c r="M2933" s="9"/>
      <c r="O2933" s="9"/>
    </row>
    <row r="2934" ht="15.75" customHeight="1">
      <c r="A2934" s="9" t="str">
        <f>IFERROR(__xludf.DUMMYFUNCTION("IF(B2934="""","""",RIGHT(REGEXREPLACE(B2934&amp;"""",""[^0-9]"",""""),9))"),"772059951")</f>
        <v>772059951</v>
      </c>
      <c r="B2934" s="48">
        <v>7.72059951E8</v>
      </c>
      <c r="C2934" s="10" t="s">
        <v>3016</v>
      </c>
      <c r="D2934" s="10" t="s">
        <v>120</v>
      </c>
      <c r="E2934" s="13">
        <v>46230.0</v>
      </c>
      <c r="F2934" s="10" t="s">
        <v>21</v>
      </c>
      <c r="I2934" s="10" t="s">
        <v>22</v>
      </c>
      <c r="J2934" s="9" t="str">
        <f t="shared" si="42"/>
        <v>No</v>
      </c>
      <c r="K2934" s="9" t="str">
        <f t="shared" si="43"/>
        <v/>
      </c>
      <c r="L2934" s="9" t="str">
        <f t="shared" si="44"/>
        <v/>
      </c>
      <c r="M2934" s="9"/>
      <c r="O2934" s="9"/>
    </row>
    <row r="2935" ht="15.75" customHeight="1">
      <c r="A2935" s="9" t="str">
        <f>IFERROR(__xludf.DUMMYFUNCTION("IF(B2935="""","""",RIGHT(REGEXREPLACE(B2935&amp;"""",""[^0-9]"",""""),9))"),"726666171")</f>
        <v>726666171</v>
      </c>
      <c r="B2935" s="48">
        <v>7.26666171E8</v>
      </c>
      <c r="C2935" s="10" t="s">
        <v>3017</v>
      </c>
      <c r="D2935" s="10" t="s">
        <v>105</v>
      </c>
      <c r="E2935" s="13">
        <v>46230.0</v>
      </c>
      <c r="F2935" s="10" t="s">
        <v>21</v>
      </c>
      <c r="G2935" s="48">
        <v>10.0</v>
      </c>
      <c r="I2935" s="10" t="s">
        <v>22</v>
      </c>
      <c r="J2935" s="9" t="str">
        <f t="shared" si="42"/>
        <v>No</v>
      </c>
      <c r="K2935" s="9" t="str">
        <f t="shared" si="43"/>
        <v/>
      </c>
      <c r="L2935" s="9" t="str">
        <f t="shared" si="44"/>
        <v/>
      </c>
      <c r="M2935" s="9"/>
      <c r="O2935" s="9"/>
    </row>
    <row r="2936" ht="15.75" customHeight="1">
      <c r="A2936" s="9" t="str">
        <f>IFERROR(__xludf.DUMMYFUNCTION("IF(B2936="""","""",RIGHT(REGEXREPLACE(B2936&amp;"""",""[^0-9]"",""""),9))"),"771731188")</f>
        <v>771731188</v>
      </c>
      <c r="B2936" s="48">
        <v>7.71731188E8</v>
      </c>
      <c r="C2936" s="10" t="s">
        <v>3014</v>
      </c>
      <c r="D2936" s="48" t="s">
        <v>97</v>
      </c>
      <c r="E2936" s="13">
        <v>46230.0</v>
      </c>
      <c r="F2936" s="10" t="s">
        <v>113</v>
      </c>
      <c r="H2936" s="10" t="s">
        <v>1448</v>
      </c>
      <c r="I2936" s="10" t="s">
        <v>22</v>
      </c>
      <c r="J2936" s="9" t="str">
        <f t="shared" si="42"/>
        <v>No</v>
      </c>
      <c r="K2936" s="9" t="str">
        <f t="shared" si="43"/>
        <v/>
      </c>
      <c r="L2936" s="9" t="str">
        <f t="shared" si="44"/>
        <v/>
      </c>
      <c r="M2936" s="9"/>
      <c r="O2936" s="9"/>
    </row>
    <row r="2937" ht="15.75" customHeight="1">
      <c r="A2937" s="9" t="str">
        <f>IFERROR(__xludf.DUMMYFUNCTION("IF(B2937="""","""",RIGHT(REGEXREPLACE(B2937&amp;"""",""[^0-9]"",""""),9))"),"743204532")</f>
        <v>743204532</v>
      </c>
      <c r="B2937" s="48">
        <v>7.43204532E8</v>
      </c>
      <c r="C2937" s="10" t="s">
        <v>3018</v>
      </c>
      <c r="D2937" s="10" t="s">
        <v>50</v>
      </c>
      <c r="E2937" s="13">
        <v>46230.0</v>
      </c>
      <c r="F2937" s="10" t="s">
        <v>35</v>
      </c>
      <c r="G2937" s="10">
        <v>10.0</v>
      </c>
      <c r="I2937" s="10" t="s">
        <v>22</v>
      </c>
      <c r="J2937" s="9" t="str">
        <f t="shared" si="42"/>
        <v>No</v>
      </c>
      <c r="K2937" s="9" t="str">
        <f t="shared" si="43"/>
        <v/>
      </c>
      <c r="L2937" s="9" t="str">
        <f t="shared" si="44"/>
        <v/>
      </c>
      <c r="M2937" s="9"/>
      <c r="O2937" s="9"/>
    </row>
    <row r="2938" ht="15.75" customHeight="1">
      <c r="A2938" s="9" t="str">
        <f>IFERROR(__xludf.DUMMYFUNCTION("IF(B2938="""","""",RIGHT(REGEXREPLACE(B2938&amp;"""",""[^0-9]"",""""),9))"),"774680845")</f>
        <v>774680845</v>
      </c>
      <c r="B2938" s="48">
        <v>7.74680845E8</v>
      </c>
      <c r="C2938" s="10" t="s">
        <v>3019</v>
      </c>
      <c r="D2938" s="10" t="s">
        <v>97</v>
      </c>
      <c r="E2938" s="13">
        <v>46230.0</v>
      </c>
      <c r="F2938" s="10" t="s">
        <v>113</v>
      </c>
      <c r="H2938" s="10" t="s">
        <v>1448</v>
      </c>
      <c r="I2938" s="10" t="s">
        <v>22</v>
      </c>
      <c r="J2938" s="9" t="str">
        <f t="shared" si="42"/>
        <v>No</v>
      </c>
      <c r="K2938" s="9" t="str">
        <f t="shared" si="43"/>
        <v/>
      </c>
      <c r="L2938" s="9" t="str">
        <f t="shared" si="44"/>
        <v/>
      </c>
      <c r="M2938" s="9"/>
      <c r="O2938" s="9"/>
    </row>
    <row r="2939" ht="15.75" customHeight="1">
      <c r="A2939" s="9" t="str">
        <f>IFERROR(__xludf.DUMMYFUNCTION("IF(B2939="""","""",RIGHT(REGEXREPLACE(B2939&amp;"""",""[^0-9]"",""""),9))"),"773103846")</f>
        <v>773103846</v>
      </c>
      <c r="B2939" s="48">
        <v>7.73103846E8</v>
      </c>
      <c r="C2939" s="10" t="s">
        <v>3020</v>
      </c>
      <c r="D2939" s="10" t="s">
        <v>105</v>
      </c>
      <c r="E2939" s="13">
        <v>46230.0</v>
      </c>
      <c r="F2939" s="10" t="s">
        <v>604</v>
      </c>
      <c r="I2939" s="10" t="s">
        <v>22</v>
      </c>
      <c r="J2939" s="9" t="str">
        <f t="shared" si="42"/>
        <v>No</v>
      </c>
      <c r="K2939" s="9" t="str">
        <f t="shared" si="43"/>
        <v/>
      </c>
      <c r="L2939" s="9" t="str">
        <f t="shared" si="44"/>
        <v/>
      </c>
      <c r="M2939" s="9"/>
      <c r="O2939" s="9"/>
    </row>
    <row r="2940" ht="15.75" customHeight="1">
      <c r="A2940" s="9" t="str">
        <f>IFERROR(__xludf.DUMMYFUNCTION("IF(B2940="""","""",RIGHT(REGEXREPLACE(B2940&amp;"""",""[^0-9]"",""""),9))"),"753803080")</f>
        <v>753803080</v>
      </c>
      <c r="B2940" s="48">
        <v>7.5380308E8</v>
      </c>
      <c r="C2940" s="10" t="s">
        <v>2147</v>
      </c>
      <c r="D2940" s="10" t="s">
        <v>50</v>
      </c>
      <c r="E2940" s="13">
        <v>46230.0</v>
      </c>
      <c r="F2940" s="10" t="s">
        <v>35</v>
      </c>
      <c r="G2940" s="10">
        <v>11.0</v>
      </c>
      <c r="H2940" s="10" t="s">
        <v>2603</v>
      </c>
      <c r="I2940" s="10" t="s">
        <v>22</v>
      </c>
      <c r="J2940" s="9" t="str">
        <f t="shared" si="42"/>
        <v>Yes - see Previous F-Code</v>
      </c>
      <c r="K2940" s="9" t="str">
        <f t="shared" si="43"/>
        <v>DUPLICATE - CHECK</v>
      </c>
      <c r="L2940" s="9" t="str">
        <f t="shared" si="44"/>
        <v>F71925</v>
      </c>
      <c r="M2940" s="9"/>
      <c r="O2940" s="9"/>
    </row>
    <row r="2941" ht="15.75" customHeight="1">
      <c r="A2941" s="9" t="str">
        <f>IFERROR(__xludf.DUMMYFUNCTION("IF(B2941="""","""",RIGHT(REGEXREPLACE(B2941&amp;"""",""[^0-9]"",""""),9))"),"715702031")</f>
        <v>715702031</v>
      </c>
      <c r="B2941" s="48">
        <v>7.15702031E8</v>
      </c>
      <c r="C2941" s="10" t="s">
        <v>3021</v>
      </c>
      <c r="D2941" s="10" t="s">
        <v>105</v>
      </c>
      <c r="E2941" s="13">
        <v>46230.0</v>
      </c>
      <c r="F2941" s="10" t="s">
        <v>35</v>
      </c>
      <c r="G2941" s="10">
        <v>6.0</v>
      </c>
      <c r="I2941" s="10" t="s">
        <v>22</v>
      </c>
      <c r="J2941" s="9" t="str">
        <f t="shared" si="42"/>
        <v>No</v>
      </c>
      <c r="K2941" s="9" t="str">
        <f t="shared" si="43"/>
        <v/>
      </c>
      <c r="L2941" s="9" t="str">
        <f t="shared" si="44"/>
        <v/>
      </c>
      <c r="M2941" s="9"/>
      <c r="O2941" s="9"/>
    </row>
    <row r="2942" ht="15.75" customHeight="1">
      <c r="A2942" s="9" t="str">
        <f>IFERROR(__xludf.DUMMYFUNCTION("IF(B2942="""","""",RIGHT(REGEXREPLACE(B2942&amp;"""",""[^0-9]"",""""),9))"),"")</f>
        <v/>
      </c>
      <c r="B2942" s="48"/>
      <c r="C2942" s="10" t="s">
        <v>3010</v>
      </c>
      <c r="D2942" s="10" t="s">
        <v>69</v>
      </c>
      <c r="E2942" s="13">
        <v>46230.0</v>
      </c>
      <c r="F2942" s="9"/>
      <c r="G2942" s="9"/>
      <c r="H2942" s="9"/>
      <c r="I2942" s="10" t="s">
        <v>22</v>
      </c>
      <c r="J2942" s="9" t="str">
        <f t="shared" si="42"/>
        <v>Yes - see Previous F-Code</v>
      </c>
      <c r="K2942" s="9" t="str">
        <f t="shared" si="43"/>
        <v>DUPLICATE - CHECK</v>
      </c>
      <c r="L2942" s="9" t="str">
        <f t="shared" si="44"/>
        <v/>
      </c>
      <c r="M2942" s="9"/>
      <c r="N2942" s="9"/>
      <c r="O2942" s="9"/>
      <c r="P2942" s="9"/>
    </row>
    <row r="2943" ht="15.75" customHeight="1">
      <c r="A2943" s="9" t="str">
        <f>IFERROR(__xludf.DUMMYFUNCTION("IF(B2943="""","""",RIGHT(REGEXREPLACE(B2943&amp;"""",""[^0-9]"",""""),9))"),"778325970")</f>
        <v>778325970</v>
      </c>
      <c r="B2943" s="48">
        <v>7.7832597E8</v>
      </c>
      <c r="C2943" s="10" t="s">
        <v>3022</v>
      </c>
      <c r="D2943" s="10" t="s">
        <v>97</v>
      </c>
      <c r="E2943" s="13">
        <v>46230.0</v>
      </c>
      <c r="F2943" s="10" t="s">
        <v>113</v>
      </c>
      <c r="H2943" s="10" t="s">
        <v>1448</v>
      </c>
      <c r="I2943" s="10" t="s">
        <v>22</v>
      </c>
      <c r="J2943" s="9" t="str">
        <f t="shared" si="42"/>
        <v>No</v>
      </c>
      <c r="K2943" s="9" t="str">
        <f t="shared" si="43"/>
        <v/>
      </c>
      <c r="L2943" s="9" t="str">
        <f t="shared" si="44"/>
        <v/>
      </c>
      <c r="M2943" s="9"/>
      <c r="O2943" s="9"/>
    </row>
    <row r="2944" ht="15.75" customHeight="1">
      <c r="A2944" s="9" t="str">
        <f>IFERROR(__xludf.DUMMYFUNCTION("IF(B2944="""","""",RIGHT(REGEXREPLACE(B2944&amp;"""",""[^0-9]"",""""),9))"),"741744507")</f>
        <v>741744507</v>
      </c>
      <c r="B2944" s="48">
        <v>7.41744507E8</v>
      </c>
      <c r="C2944" s="10" t="s">
        <v>3023</v>
      </c>
      <c r="D2944" s="10" t="s">
        <v>120</v>
      </c>
      <c r="E2944" s="13">
        <v>46230.0</v>
      </c>
      <c r="F2944" s="10" t="s">
        <v>35</v>
      </c>
      <c r="G2944" s="10">
        <v>11.0</v>
      </c>
      <c r="I2944" s="10" t="s">
        <v>22</v>
      </c>
      <c r="J2944" s="9" t="str">
        <f t="shared" si="42"/>
        <v>No</v>
      </c>
      <c r="K2944" s="9" t="str">
        <f t="shared" si="43"/>
        <v/>
      </c>
      <c r="L2944" s="9" t="str">
        <f t="shared" si="44"/>
        <v/>
      </c>
      <c r="M2944" s="9"/>
      <c r="O2944" s="9"/>
    </row>
    <row r="2945" ht="15.75" customHeight="1">
      <c r="A2945" s="9" t="str">
        <f>IFERROR(__xludf.DUMMYFUNCTION("IF(B2945="""","""",RIGHT(REGEXREPLACE(B2945&amp;"""",""[^0-9]"",""""),9))"),"775465201")</f>
        <v>775465201</v>
      </c>
      <c r="B2945" s="48">
        <v>7.75465201E8</v>
      </c>
      <c r="C2945" s="10" t="s">
        <v>2164</v>
      </c>
      <c r="D2945" s="10" t="s">
        <v>50</v>
      </c>
      <c r="E2945" s="13">
        <v>46230.0</v>
      </c>
      <c r="F2945" s="10" t="s">
        <v>604</v>
      </c>
      <c r="G2945" s="10">
        <v>11.0</v>
      </c>
      <c r="I2945" s="10" t="s">
        <v>22</v>
      </c>
      <c r="J2945" s="9" t="str">
        <f t="shared" si="42"/>
        <v>Yes - see Previous F-Code</v>
      </c>
      <c r="K2945" s="9" t="str">
        <f t="shared" si="43"/>
        <v>DUPLICATE - CHECK</v>
      </c>
      <c r="L2945" s="9" t="str">
        <f t="shared" si="44"/>
        <v>F71939</v>
      </c>
      <c r="M2945" s="9"/>
      <c r="O2945" s="9"/>
    </row>
    <row r="2946" ht="15.75" customHeight="1">
      <c r="A2946" s="9" t="str">
        <f>IFERROR(__xludf.DUMMYFUNCTION("IF(B2946="""","""",RIGHT(REGEXREPLACE(B2946&amp;"""",""[^0-9]"",""""),9))"),"705564010")</f>
        <v>705564010</v>
      </c>
      <c r="B2946" s="48">
        <v>7.0556401E8</v>
      </c>
      <c r="C2946" s="10" t="s">
        <v>3024</v>
      </c>
      <c r="D2946" s="10" t="s">
        <v>97</v>
      </c>
      <c r="E2946" s="13">
        <v>46230.0</v>
      </c>
      <c r="F2946" s="10" t="s">
        <v>35</v>
      </c>
      <c r="G2946" s="10">
        <v>11.0</v>
      </c>
      <c r="H2946" s="10" t="s">
        <v>1448</v>
      </c>
      <c r="I2946" s="10" t="s">
        <v>22</v>
      </c>
      <c r="J2946" s="9" t="str">
        <f t="shared" si="42"/>
        <v>No</v>
      </c>
      <c r="K2946" s="9" t="str">
        <f t="shared" si="43"/>
        <v/>
      </c>
      <c r="L2946" s="9" t="str">
        <f t="shared" si="44"/>
        <v/>
      </c>
      <c r="M2946" s="9"/>
      <c r="O2946" s="9"/>
    </row>
    <row r="2947" ht="15.75" customHeight="1">
      <c r="A2947" s="9" t="str">
        <f>IFERROR(__xludf.DUMMYFUNCTION("IF(B2947="""","""",RIGHT(REGEXREPLACE(B2947&amp;"""",""[^0-9]"",""""),9))"),"775458837")</f>
        <v>775458837</v>
      </c>
      <c r="B2947" s="48">
        <v>7.75458837E8</v>
      </c>
      <c r="C2947" s="10" t="s">
        <v>3025</v>
      </c>
      <c r="D2947" s="10" t="s">
        <v>69</v>
      </c>
      <c r="E2947" s="13">
        <v>46230.0</v>
      </c>
      <c r="F2947" s="9"/>
      <c r="G2947" s="9"/>
      <c r="H2947" s="9"/>
      <c r="I2947" s="10" t="s">
        <v>22</v>
      </c>
      <c r="J2947" s="9" t="str">
        <f t="shared" si="42"/>
        <v>No</v>
      </c>
      <c r="K2947" s="9" t="str">
        <f t="shared" si="43"/>
        <v/>
      </c>
      <c r="L2947" s="9" t="str">
        <f t="shared" si="44"/>
        <v/>
      </c>
      <c r="M2947" s="9"/>
      <c r="N2947" s="9"/>
      <c r="O2947" s="9"/>
      <c r="P2947" s="9"/>
    </row>
    <row r="2948" ht="15.75" customHeight="1">
      <c r="A2948" s="9" t="str">
        <f>IFERROR(__xludf.DUMMYFUNCTION("IF(B2948="""","""",RIGHT(REGEXREPLACE(B2948&amp;"""",""[^0-9]"",""""),9))"),"743314994")</f>
        <v>743314994</v>
      </c>
      <c r="B2948" s="48">
        <v>7.43314994E8</v>
      </c>
      <c r="C2948" s="10" t="s">
        <v>3026</v>
      </c>
      <c r="D2948" s="10" t="s">
        <v>50</v>
      </c>
      <c r="E2948" s="13">
        <v>46230.0</v>
      </c>
      <c r="F2948" s="10" t="s">
        <v>604</v>
      </c>
      <c r="G2948" s="10">
        <v>11.0</v>
      </c>
      <c r="I2948" s="10" t="s">
        <v>22</v>
      </c>
      <c r="J2948" s="9" t="str">
        <f t="shared" si="42"/>
        <v>No</v>
      </c>
      <c r="K2948" s="9" t="str">
        <f t="shared" si="43"/>
        <v/>
      </c>
      <c r="L2948" s="9" t="str">
        <f t="shared" si="44"/>
        <v/>
      </c>
      <c r="M2948" s="9"/>
      <c r="O2948" s="9"/>
    </row>
    <row r="2949" ht="15.75" customHeight="1">
      <c r="A2949" s="9" t="str">
        <f>IFERROR(__xludf.DUMMYFUNCTION("IF(B2949="""","""",RIGHT(REGEXREPLACE(B2949&amp;"""",""[^0-9]"",""""),9))"),"762561304")</f>
        <v>762561304</v>
      </c>
      <c r="B2949" s="48">
        <v>7.62561304E8</v>
      </c>
      <c r="C2949" s="10" t="s">
        <v>3027</v>
      </c>
      <c r="D2949" s="10" t="s">
        <v>105</v>
      </c>
      <c r="E2949" s="13">
        <v>46230.0</v>
      </c>
      <c r="F2949" s="10" t="s">
        <v>21</v>
      </c>
      <c r="I2949" s="10" t="s">
        <v>22</v>
      </c>
      <c r="J2949" s="9" t="str">
        <f t="shared" si="42"/>
        <v>No</v>
      </c>
      <c r="K2949" s="9" t="str">
        <f t="shared" si="43"/>
        <v/>
      </c>
      <c r="L2949" s="9" t="str">
        <f t="shared" si="44"/>
        <v/>
      </c>
      <c r="M2949" s="9"/>
      <c r="O2949" s="9"/>
    </row>
    <row r="2950" ht="15.75" customHeight="1">
      <c r="A2950" s="9" t="str">
        <f>IFERROR(__xludf.DUMMYFUNCTION("IF(B2950="""","""",RIGHT(REGEXREPLACE(B2950&amp;"""",""[^0-9]"",""""),9))"),"768911580")</f>
        <v>768911580</v>
      </c>
      <c r="B2950" s="48">
        <v>7.6891158E8</v>
      </c>
      <c r="C2950" s="10" t="s">
        <v>3028</v>
      </c>
      <c r="D2950" s="10" t="s">
        <v>50</v>
      </c>
      <c r="E2950" s="13">
        <v>46230.0</v>
      </c>
      <c r="F2950" s="10" t="s">
        <v>145</v>
      </c>
      <c r="G2950" s="10">
        <v>11.0</v>
      </c>
      <c r="I2950" s="10" t="s">
        <v>22</v>
      </c>
      <c r="J2950" s="9" t="str">
        <f t="shared" si="42"/>
        <v>No</v>
      </c>
      <c r="K2950" s="9" t="str">
        <f t="shared" si="43"/>
        <v/>
      </c>
      <c r="L2950" s="9" t="str">
        <f t="shared" si="44"/>
        <v/>
      </c>
      <c r="M2950" s="9"/>
      <c r="O2950" s="9"/>
    </row>
    <row r="2951" ht="15.75" customHeight="1">
      <c r="A2951" s="9" t="str">
        <f>IFERROR(__xludf.DUMMYFUNCTION("IF(B2951="""","""",RIGHT(REGEXREPLACE(B2951&amp;"""",""[^0-9]"",""""),9))"),"757238655")</f>
        <v>757238655</v>
      </c>
      <c r="B2951" s="48">
        <v>7.57238655E8</v>
      </c>
      <c r="C2951" s="10" t="s">
        <v>3029</v>
      </c>
      <c r="D2951" s="10" t="s">
        <v>50</v>
      </c>
      <c r="E2951" s="13">
        <v>46230.0</v>
      </c>
      <c r="F2951" s="10" t="s">
        <v>198</v>
      </c>
      <c r="I2951" s="10" t="s">
        <v>22</v>
      </c>
      <c r="J2951" s="9" t="str">
        <f t="shared" si="42"/>
        <v>No</v>
      </c>
      <c r="K2951" s="9" t="str">
        <f t="shared" si="43"/>
        <v/>
      </c>
      <c r="L2951" s="9" t="str">
        <f t="shared" si="44"/>
        <v/>
      </c>
      <c r="M2951" s="9"/>
      <c r="O2951" s="9"/>
    </row>
    <row r="2952" ht="15.75" customHeight="1">
      <c r="A2952" s="9" t="str">
        <f>IFERROR(__xludf.DUMMYFUNCTION("IF(B2952="""","""",RIGHT(REGEXREPLACE(B2952&amp;"""",""[^0-9]"",""""),9))"),"766453267")</f>
        <v>766453267</v>
      </c>
      <c r="B2952" s="48">
        <v>7.66453267E8</v>
      </c>
      <c r="C2952" s="10" t="s">
        <v>3030</v>
      </c>
      <c r="D2952" s="10" t="s">
        <v>120</v>
      </c>
      <c r="E2952" s="13">
        <v>46230.0</v>
      </c>
      <c r="F2952" s="10" t="s">
        <v>35</v>
      </c>
      <c r="G2952" s="10">
        <v>10.0</v>
      </c>
      <c r="I2952" s="10" t="s">
        <v>22</v>
      </c>
      <c r="J2952" s="9" t="str">
        <f t="shared" si="42"/>
        <v>No</v>
      </c>
      <c r="K2952" s="9" t="str">
        <f t="shared" si="43"/>
        <v/>
      </c>
      <c r="L2952" s="9" t="str">
        <f t="shared" si="44"/>
        <v/>
      </c>
      <c r="M2952" s="9"/>
      <c r="O2952" s="9"/>
    </row>
    <row r="2953" ht="15.75" customHeight="1">
      <c r="A2953" s="9" t="str">
        <f>IFERROR(__xludf.DUMMYFUNCTION("IF(B2953="""","""",RIGHT(REGEXREPLACE(B2953&amp;"""",""[^0-9]"",""""),9))"),"741621524")</f>
        <v>741621524</v>
      </c>
      <c r="B2953" s="10">
        <v>7.41621524E8</v>
      </c>
      <c r="C2953" s="10" t="s">
        <v>3031</v>
      </c>
      <c r="D2953" s="10" t="s">
        <v>69</v>
      </c>
      <c r="E2953" s="13">
        <v>46230.0</v>
      </c>
      <c r="F2953" s="10" t="s">
        <v>35</v>
      </c>
      <c r="G2953" s="10">
        <v>9.0</v>
      </c>
      <c r="I2953" s="10" t="s">
        <v>22</v>
      </c>
      <c r="J2953" s="9" t="str">
        <f t="shared" si="42"/>
        <v>No</v>
      </c>
      <c r="K2953" s="9" t="str">
        <f t="shared" si="43"/>
        <v/>
      </c>
      <c r="L2953" s="9" t="str">
        <f t="shared" si="44"/>
        <v/>
      </c>
      <c r="M2953" s="9"/>
      <c r="O2953" s="9"/>
    </row>
    <row r="2954" ht="15.75" customHeight="1">
      <c r="A2954" s="9" t="str">
        <f>IFERROR(__xludf.DUMMYFUNCTION("IF(B2954="""","""",RIGHT(REGEXREPLACE(B2954&amp;"""",""[^0-9]"",""""),9))"),"787432491")</f>
        <v>787432491</v>
      </c>
      <c r="B2954" s="48">
        <v>7.87432491E8</v>
      </c>
      <c r="C2954" s="10" t="s">
        <v>3032</v>
      </c>
      <c r="D2954" s="10" t="s">
        <v>105</v>
      </c>
      <c r="E2954" s="13">
        <v>46230.0</v>
      </c>
      <c r="F2954" s="10" t="s">
        <v>35</v>
      </c>
      <c r="G2954" s="10">
        <v>8.0</v>
      </c>
      <c r="I2954" s="10" t="s">
        <v>22</v>
      </c>
      <c r="J2954" s="9" t="str">
        <f t="shared" si="42"/>
        <v>No</v>
      </c>
      <c r="K2954" s="9" t="str">
        <f t="shared" si="43"/>
        <v/>
      </c>
      <c r="L2954" s="9" t="str">
        <f t="shared" si="44"/>
        <v/>
      </c>
      <c r="M2954" s="9"/>
      <c r="O2954" s="9"/>
    </row>
    <row r="2955" ht="15.75" customHeight="1">
      <c r="A2955" s="9" t="str">
        <f>IFERROR(__xludf.DUMMYFUNCTION("IF(B2955="""","""",RIGHT(REGEXREPLACE(B2955&amp;"""",""[^0-9]"",""""),9))"),"776863175")</f>
        <v>776863175</v>
      </c>
      <c r="B2955" s="48">
        <v>7.76863175E8</v>
      </c>
      <c r="C2955" s="10" t="s">
        <v>3033</v>
      </c>
      <c r="D2955" s="10" t="s">
        <v>50</v>
      </c>
      <c r="E2955" s="13">
        <v>46230.0</v>
      </c>
      <c r="F2955" s="10" t="s">
        <v>35</v>
      </c>
      <c r="G2955" s="10">
        <v>11.0</v>
      </c>
      <c r="I2955" s="10" t="s">
        <v>22</v>
      </c>
      <c r="J2955" s="9" t="str">
        <f t="shared" si="42"/>
        <v>No</v>
      </c>
      <c r="K2955" s="9" t="str">
        <f t="shared" si="43"/>
        <v/>
      </c>
      <c r="L2955" s="9" t="str">
        <f t="shared" si="44"/>
        <v/>
      </c>
      <c r="M2955" s="9"/>
      <c r="O2955" s="9"/>
    </row>
    <row r="2956" ht="15.75" customHeight="1">
      <c r="A2956" s="9" t="str">
        <f>IFERROR(__xludf.DUMMYFUNCTION("IF(B2956="""","""",RIGHT(REGEXREPLACE(B2956&amp;"""",""[^0-9]"",""""),9))"),"710161596")</f>
        <v>710161596</v>
      </c>
      <c r="B2956" s="48">
        <v>7.10161596E8</v>
      </c>
      <c r="C2956" s="10" t="s">
        <v>3034</v>
      </c>
      <c r="D2956" s="10" t="s">
        <v>69</v>
      </c>
      <c r="E2956" s="13">
        <v>46230.0</v>
      </c>
      <c r="F2956" s="10" t="s">
        <v>35</v>
      </c>
      <c r="G2956" s="10">
        <v>11.0</v>
      </c>
      <c r="I2956" s="10" t="s">
        <v>22</v>
      </c>
      <c r="J2956" s="9" t="str">
        <f t="shared" si="42"/>
        <v>No</v>
      </c>
      <c r="K2956" s="9" t="str">
        <f t="shared" si="43"/>
        <v/>
      </c>
      <c r="L2956" s="9" t="str">
        <f t="shared" si="44"/>
        <v/>
      </c>
      <c r="M2956" s="9"/>
      <c r="O2956" s="9"/>
    </row>
    <row r="2957" ht="15.75" customHeight="1">
      <c r="A2957" s="9" t="str">
        <f>IFERROR(__xludf.DUMMYFUNCTION("IF(B2957="""","""",RIGHT(REGEXREPLACE(B2957&amp;"""",""[^0-9]"",""""),9))"),"743688515")</f>
        <v>743688515</v>
      </c>
      <c r="B2957" s="48">
        <v>7.43688515E8</v>
      </c>
      <c r="C2957" s="10" t="s">
        <v>3035</v>
      </c>
      <c r="D2957" s="10" t="s">
        <v>105</v>
      </c>
      <c r="E2957" s="13">
        <v>46230.0</v>
      </c>
      <c r="F2957" s="10" t="s">
        <v>35</v>
      </c>
      <c r="G2957" s="10">
        <v>11.0</v>
      </c>
      <c r="I2957" s="10" t="s">
        <v>22</v>
      </c>
      <c r="J2957" s="9" t="str">
        <f t="shared" si="42"/>
        <v>No</v>
      </c>
      <c r="K2957" s="9" t="str">
        <f t="shared" si="43"/>
        <v/>
      </c>
      <c r="L2957" s="9" t="str">
        <f t="shared" si="44"/>
        <v/>
      </c>
      <c r="M2957" s="9"/>
      <c r="O2957" s="9"/>
    </row>
    <row r="2958" ht="15.75" customHeight="1">
      <c r="A2958" s="9" t="str">
        <f>IFERROR(__xludf.DUMMYFUNCTION("IF(B2958="""","""",RIGHT(REGEXREPLACE(B2958&amp;"""",""[^0-9]"",""""),9))"),"760317610")</f>
        <v>760317610</v>
      </c>
      <c r="B2958" s="48">
        <v>7.6031761E8</v>
      </c>
      <c r="C2958" s="10" t="s">
        <v>3036</v>
      </c>
      <c r="D2958" s="10" t="s">
        <v>50</v>
      </c>
      <c r="E2958" s="13">
        <v>46230.0</v>
      </c>
      <c r="F2958" s="10" t="s">
        <v>35</v>
      </c>
      <c r="G2958" s="10">
        <v>9.0</v>
      </c>
      <c r="I2958" s="10" t="s">
        <v>22</v>
      </c>
      <c r="J2958" s="9" t="str">
        <f t="shared" si="42"/>
        <v>No</v>
      </c>
      <c r="K2958" s="9" t="str">
        <f t="shared" si="43"/>
        <v/>
      </c>
      <c r="L2958" s="9" t="str">
        <f t="shared" si="44"/>
        <v/>
      </c>
      <c r="M2958" s="9"/>
      <c r="O2958" s="9"/>
    </row>
    <row r="2959" ht="15.75" customHeight="1">
      <c r="A2959" s="9" t="str">
        <f>IFERROR(__xludf.DUMMYFUNCTION("IF(B2959="""","""",RIGHT(REGEXREPLACE(B2959&amp;"""",""[^0-9]"",""""),9))"),"741650192")</f>
        <v>741650192</v>
      </c>
      <c r="B2959" s="48">
        <v>7.41650192E8</v>
      </c>
      <c r="C2959" s="10" t="s">
        <v>3037</v>
      </c>
      <c r="D2959" s="10" t="s">
        <v>120</v>
      </c>
      <c r="E2959" s="13">
        <v>46230.0</v>
      </c>
      <c r="F2959" s="10" t="s">
        <v>648</v>
      </c>
      <c r="I2959" s="10" t="s">
        <v>22</v>
      </c>
      <c r="J2959" s="9" t="str">
        <f t="shared" si="42"/>
        <v>No</v>
      </c>
      <c r="K2959" s="9" t="str">
        <f t="shared" si="43"/>
        <v/>
      </c>
      <c r="L2959" s="9" t="str">
        <f t="shared" si="44"/>
        <v/>
      </c>
      <c r="M2959" s="9"/>
      <c r="O2959" s="9"/>
    </row>
    <row r="2960" ht="15.75" customHeight="1">
      <c r="A2960" s="9" t="str">
        <f>IFERROR(__xludf.DUMMYFUNCTION("IF(B2960="""","""",RIGHT(REGEXREPLACE(B2960&amp;"""",""[^0-9]"",""""),9))"),"786281203")</f>
        <v>786281203</v>
      </c>
      <c r="B2960" s="48">
        <v>7.86281203E8</v>
      </c>
      <c r="C2960" s="10" t="s">
        <v>3038</v>
      </c>
      <c r="D2960" s="10" t="s">
        <v>97</v>
      </c>
      <c r="E2960" s="13">
        <v>46230.0</v>
      </c>
      <c r="F2960" s="10" t="s">
        <v>198</v>
      </c>
      <c r="H2960" s="10" t="s">
        <v>1448</v>
      </c>
      <c r="I2960" s="10" t="s">
        <v>22</v>
      </c>
      <c r="J2960" s="9" t="str">
        <f t="shared" si="42"/>
        <v>No</v>
      </c>
      <c r="K2960" s="9" t="str">
        <f t="shared" si="43"/>
        <v/>
      </c>
      <c r="L2960" s="9" t="str">
        <f t="shared" si="44"/>
        <v/>
      </c>
      <c r="M2960" s="9"/>
      <c r="O2960" s="9"/>
    </row>
    <row r="2961" ht="15.75" customHeight="1">
      <c r="A2961" s="9" t="str">
        <f>IFERROR(__xludf.DUMMYFUNCTION("IF(B2961="""","""",RIGHT(REGEXREPLACE(B2961&amp;"""",""[^0-9]"",""""),9))"),"703728354")</f>
        <v>703728354</v>
      </c>
      <c r="B2961" s="48">
        <v>7.03728354E8</v>
      </c>
      <c r="C2961" s="10" t="s">
        <v>3039</v>
      </c>
      <c r="D2961" s="10" t="s">
        <v>69</v>
      </c>
      <c r="E2961" s="13">
        <v>46230.0</v>
      </c>
      <c r="F2961" s="10" t="s">
        <v>21</v>
      </c>
      <c r="G2961" s="10">
        <v>11.0</v>
      </c>
      <c r="I2961" s="10" t="s">
        <v>22</v>
      </c>
      <c r="J2961" s="9" t="str">
        <f t="shared" si="42"/>
        <v>No</v>
      </c>
      <c r="K2961" s="9" t="str">
        <f t="shared" si="43"/>
        <v/>
      </c>
      <c r="L2961" s="9" t="str">
        <f t="shared" si="44"/>
        <v/>
      </c>
      <c r="M2961" s="9"/>
      <c r="O2961" s="9"/>
    </row>
    <row r="2962" ht="15.75" customHeight="1">
      <c r="A2962" s="9" t="str">
        <f>IFERROR(__xludf.DUMMYFUNCTION("IF(B2962="""","""",RIGHT(REGEXREPLACE(B2962&amp;"""",""[^0-9]"",""""),9))"),"717449994")</f>
        <v>717449994</v>
      </c>
      <c r="B2962" s="48">
        <v>7.17449994E8</v>
      </c>
      <c r="C2962" s="10" t="s">
        <v>3040</v>
      </c>
      <c r="D2962" s="10" t="s">
        <v>50</v>
      </c>
      <c r="E2962" s="13">
        <v>46230.0</v>
      </c>
      <c r="F2962" s="10" t="s">
        <v>198</v>
      </c>
      <c r="G2962" s="10">
        <v>11.0</v>
      </c>
      <c r="I2962" s="10" t="s">
        <v>22</v>
      </c>
      <c r="J2962" s="9" t="str">
        <f t="shared" si="42"/>
        <v>No</v>
      </c>
      <c r="K2962" s="9" t="str">
        <f t="shared" si="43"/>
        <v/>
      </c>
      <c r="L2962" s="9" t="str">
        <f t="shared" si="44"/>
        <v/>
      </c>
      <c r="M2962" s="9"/>
      <c r="O2962" s="9"/>
    </row>
    <row r="2963" ht="15.75" customHeight="1">
      <c r="A2963" s="9" t="str">
        <f>IFERROR(__xludf.DUMMYFUNCTION("IF(B2963="""","""",RIGHT(REGEXREPLACE(B2963&amp;"""",""[^0-9]"",""""),9))"),"711663381")</f>
        <v>711663381</v>
      </c>
      <c r="B2963" s="48">
        <v>7.11663381E8</v>
      </c>
      <c r="C2963" s="10" t="s">
        <v>3041</v>
      </c>
      <c r="D2963" s="10" t="s">
        <v>105</v>
      </c>
      <c r="E2963" s="13">
        <v>46230.0</v>
      </c>
      <c r="F2963" s="10" t="s">
        <v>21</v>
      </c>
      <c r="I2963" s="10" t="s">
        <v>22</v>
      </c>
      <c r="J2963" s="9" t="str">
        <f t="shared" si="42"/>
        <v>No</v>
      </c>
      <c r="K2963" s="9" t="str">
        <f t="shared" si="43"/>
        <v/>
      </c>
      <c r="L2963" s="9" t="str">
        <f t="shared" si="44"/>
        <v/>
      </c>
      <c r="M2963" s="9"/>
      <c r="O2963" s="9"/>
    </row>
    <row r="2964" ht="15.75" customHeight="1">
      <c r="A2964" s="9" t="str">
        <f>IFERROR(__xludf.DUMMYFUNCTION("IF(B2964="""","""",RIGHT(REGEXREPLACE(B2964&amp;"""",""[^0-9]"",""""),9))"),"714690136")</f>
        <v>714690136</v>
      </c>
      <c r="B2964" s="48">
        <v>7.14690136E8</v>
      </c>
      <c r="C2964" s="10" t="s">
        <v>2201</v>
      </c>
      <c r="D2964" s="10" t="s">
        <v>97</v>
      </c>
      <c r="E2964" s="13">
        <v>46230.0</v>
      </c>
      <c r="F2964" s="10" t="s">
        <v>21</v>
      </c>
      <c r="G2964" s="10">
        <v>11.0</v>
      </c>
      <c r="H2964" s="10" t="s">
        <v>1448</v>
      </c>
      <c r="I2964" s="10" t="s">
        <v>22</v>
      </c>
      <c r="J2964" s="9" t="str">
        <f t="shared" si="42"/>
        <v>Yes - see Previous F-Code</v>
      </c>
      <c r="K2964" s="9" t="str">
        <f t="shared" si="43"/>
        <v>DUPLICATE - CHECK</v>
      </c>
      <c r="L2964" s="9" t="str">
        <f t="shared" si="44"/>
        <v>F71976</v>
      </c>
      <c r="M2964" s="9"/>
      <c r="O2964" s="9"/>
    </row>
    <row r="2965" ht="15.75" customHeight="1">
      <c r="A2965" s="9" t="str">
        <f>IFERROR(__xludf.DUMMYFUNCTION("IF(B2965="""","""",RIGHT(REGEXREPLACE(B2965&amp;"""",""[^0-9]"",""""),9))"),"703863033")</f>
        <v>703863033</v>
      </c>
      <c r="B2965" s="48">
        <v>7.03863033E8</v>
      </c>
      <c r="C2965" s="10" t="s">
        <v>3042</v>
      </c>
      <c r="D2965" s="10" t="s">
        <v>120</v>
      </c>
      <c r="E2965" s="13">
        <v>46230.0</v>
      </c>
      <c r="F2965" s="10" t="s">
        <v>35</v>
      </c>
      <c r="G2965" s="10">
        <v>11.0</v>
      </c>
      <c r="I2965" s="10" t="s">
        <v>22</v>
      </c>
      <c r="J2965" s="9" t="str">
        <f t="shared" si="42"/>
        <v>No</v>
      </c>
      <c r="K2965" s="9" t="str">
        <f t="shared" si="43"/>
        <v/>
      </c>
      <c r="L2965" s="9" t="str">
        <f t="shared" si="44"/>
        <v/>
      </c>
      <c r="M2965" s="9"/>
      <c r="O2965" s="9"/>
    </row>
    <row r="2966" ht="15.75" customHeight="1">
      <c r="A2966" s="9" t="str">
        <f>IFERROR(__xludf.DUMMYFUNCTION("IF(B2966="""","""",RIGHT(REGEXREPLACE(B2966&amp;"""",""[^0-9]"",""""),9))"),"772540588")</f>
        <v>772540588</v>
      </c>
      <c r="B2966" s="48">
        <v>7.72540588E8</v>
      </c>
      <c r="C2966" s="10" t="s">
        <v>3043</v>
      </c>
      <c r="D2966" s="10" t="s">
        <v>50</v>
      </c>
      <c r="E2966" s="13">
        <v>46230.0</v>
      </c>
      <c r="F2966" s="10" t="s">
        <v>35</v>
      </c>
      <c r="G2966" s="10">
        <v>11.0</v>
      </c>
      <c r="I2966" s="10" t="s">
        <v>22</v>
      </c>
      <c r="J2966" s="9" t="str">
        <f t="shared" si="42"/>
        <v>No</v>
      </c>
      <c r="K2966" s="9" t="str">
        <f t="shared" si="43"/>
        <v/>
      </c>
      <c r="L2966" s="9" t="str">
        <f t="shared" si="44"/>
        <v/>
      </c>
      <c r="M2966" s="9"/>
      <c r="O2966" s="9"/>
    </row>
    <row r="2967" ht="15.75" customHeight="1">
      <c r="A2967" s="9" t="str">
        <f>IFERROR(__xludf.DUMMYFUNCTION("IF(B2967="""","""",RIGHT(REGEXREPLACE(B2967&amp;"""",""[^0-9]"",""""),9))"),"773306609")</f>
        <v>773306609</v>
      </c>
      <c r="B2967" s="48">
        <v>7.73306609E8</v>
      </c>
      <c r="C2967" s="10" t="s">
        <v>3044</v>
      </c>
      <c r="D2967" s="10" t="s">
        <v>34</v>
      </c>
      <c r="E2967" s="13">
        <v>46230.0</v>
      </c>
      <c r="F2967" s="10" t="s">
        <v>35</v>
      </c>
      <c r="G2967" s="10">
        <v>11.0</v>
      </c>
      <c r="H2967" s="10" t="s">
        <v>2526</v>
      </c>
      <c r="I2967" s="10" t="s">
        <v>22</v>
      </c>
      <c r="J2967" s="9" t="str">
        <f t="shared" si="42"/>
        <v>No</v>
      </c>
      <c r="K2967" s="9" t="str">
        <f t="shared" si="43"/>
        <v/>
      </c>
      <c r="L2967" s="9" t="str">
        <f t="shared" si="44"/>
        <v/>
      </c>
      <c r="M2967" s="9"/>
      <c r="O2967" s="9"/>
    </row>
    <row r="2968" ht="15.75" customHeight="1">
      <c r="A2968" s="9" t="str">
        <f>IFERROR(__xludf.DUMMYFUNCTION("IF(B2968="""","""",RIGHT(REGEXREPLACE(B2968&amp;"""",""[^0-9]"",""""),9))"),"728194507")</f>
        <v>728194507</v>
      </c>
      <c r="B2968" s="48">
        <v>7.28194507E8</v>
      </c>
      <c r="C2968" s="10" t="s">
        <v>3045</v>
      </c>
      <c r="D2968" s="10" t="s">
        <v>105</v>
      </c>
      <c r="E2968" s="13">
        <v>46230.0</v>
      </c>
      <c r="F2968" s="10" t="s">
        <v>198</v>
      </c>
      <c r="I2968" s="10" t="s">
        <v>22</v>
      </c>
      <c r="J2968" s="9" t="str">
        <f t="shared" si="42"/>
        <v>No</v>
      </c>
      <c r="K2968" s="9" t="str">
        <f t="shared" si="43"/>
        <v/>
      </c>
      <c r="L2968" s="9" t="str">
        <f t="shared" si="44"/>
        <v/>
      </c>
      <c r="M2968" s="9"/>
      <c r="O2968" s="9"/>
    </row>
    <row r="2969" ht="15.75" customHeight="1">
      <c r="A2969" s="9" t="str">
        <f>IFERROR(__xludf.DUMMYFUNCTION("IF(B2969="""","""",RIGHT(REGEXREPLACE(B2969&amp;"""",""[^0-9]"",""""),9))"),"743363119")</f>
        <v>743363119</v>
      </c>
      <c r="B2969" s="48">
        <v>7.43363119E8</v>
      </c>
      <c r="C2969" s="10" t="s">
        <v>3046</v>
      </c>
      <c r="D2969" s="10" t="s">
        <v>69</v>
      </c>
      <c r="E2969" s="13">
        <v>46230.0</v>
      </c>
      <c r="F2969" s="10" t="s">
        <v>113</v>
      </c>
      <c r="G2969" s="10">
        <v>10.0</v>
      </c>
      <c r="I2969" s="10" t="s">
        <v>22</v>
      </c>
      <c r="J2969" s="9" t="str">
        <f t="shared" si="42"/>
        <v>No</v>
      </c>
      <c r="K2969" s="9" t="str">
        <f t="shared" si="43"/>
        <v/>
      </c>
      <c r="L2969" s="9" t="str">
        <f t="shared" si="44"/>
        <v/>
      </c>
      <c r="M2969" s="9"/>
      <c r="O2969" s="9"/>
    </row>
    <row r="2970" ht="15.75" customHeight="1">
      <c r="A2970" s="9" t="str">
        <f>IFERROR(__xludf.DUMMYFUNCTION("IF(B2970="""","""",RIGHT(REGEXREPLACE(B2970&amp;"""",""[^0-9]"",""""),9))"),"753630412")</f>
        <v>753630412</v>
      </c>
      <c r="B2970" s="48">
        <v>7.53630412E8</v>
      </c>
      <c r="C2970" s="10" t="s">
        <v>3047</v>
      </c>
      <c r="D2970" s="10" t="s">
        <v>34</v>
      </c>
      <c r="E2970" s="13">
        <v>46230.0</v>
      </c>
      <c r="F2970" s="10" t="s">
        <v>35</v>
      </c>
      <c r="G2970" s="10">
        <v>10.0</v>
      </c>
      <c r="H2970" s="10" t="s">
        <v>2526</v>
      </c>
      <c r="I2970" s="10" t="s">
        <v>22</v>
      </c>
      <c r="J2970" s="9" t="str">
        <f t="shared" si="42"/>
        <v>No</v>
      </c>
      <c r="K2970" s="9" t="str">
        <f t="shared" si="43"/>
        <v/>
      </c>
      <c r="L2970" s="9" t="str">
        <f t="shared" si="44"/>
        <v/>
      </c>
      <c r="M2970" s="9"/>
      <c r="O2970" s="9"/>
    </row>
    <row r="2971" ht="15.75" customHeight="1">
      <c r="A2971" s="9" t="str">
        <f>IFERROR(__xludf.DUMMYFUNCTION("IF(B2971="""","""",RIGHT(REGEXREPLACE(B2971&amp;"""",""[^0-9]"",""""),9))"),"761419229")</f>
        <v>761419229</v>
      </c>
      <c r="B2971" s="48">
        <v>7.61419229E8</v>
      </c>
      <c r="C2971" s="10" t="s">
        <v>3048</v>
      </c>
      <c r="D2971" s="10" t="s">
        <v>97</v>
      </c>
      <c r="E2971" s="13">
        <v>46230.0</v>
      </c>
      <c r="F2971" s="10" t="s">
        <v>35</v>
      </c>
      <c r="G2971" s="10">
        <v>9.0</v>
      </c>
      <c r="H2971" s="10" t="s">
        <v>1448</v>
      </c>
      <c r="I2971" s="10" t="s">
        <v>22</v>
      </c>
      <c r="J2971" s="9" t="str">
        <f t="shared" si="42"/>
        <v>No</v>
      </c>
      <c r="K2971" s="9" t="str">
        <f t="shared" si="43"/>
        <v/>
      </c>
      <c r="L2971" s="9" t="str">
        <f t="shared" si="44"/>
        <v/>
      </c>
      <c r="M2971" s="9"/>
      <c r="O2971" s="9"/>
    </row>
    <row r="2972" ht="15.75" customHeight="1">
      <c r="A2972" s="9" t="str">
        <f>IFERROR(__xludf.DUMMYFUNCTION("IF(B2972="""","""",RIGHT(REGEXREPLACE(B2972&amp;"""",""[^0-9]"",""""),9))"),"784825515")</f>
        <v>784825515</v>
      </c>
      <c r="B2972" s="48">
        <v>7.84825515E8</v>
      </c>
      <c r="C2972" s="10" t="s">
        <v>3049</v>
      </c>
      <c r="D2972" s="10" t="s">
        <v>34</v>
      </c>
      <c r="E2972" s="13">
        <v>46230.0</v>
      </c>
      <c r="F2972" s="10" t="s">
        <v>145</v>
      </c>
      <c r="G2972" s="10">
        <v>10.0</v>
      </c>
      <c r="H2972" s="10" t="s">
        <v>2526</v>
      </c>
      <c r="I2972" s="10" t="s">
        <v>22</v>
      </c>
      <c r="J2972" s="9" t="str">
        <f t="shared" si="42"/>
        <v>No</v>
      </c>
      <c r="K2972" s="9" t="str">
        <f t="shared" si="43"/>
        <v/>
      </c>
      <c r="L2972" s="9" t="str">
        <f t="shared" si="44"/>
        <v/>
      </c>
      <c r="M2972" s="9"/>
      <c r="O2972" s="9"/>
    </row>
    <row r="2973" ht="15.75" customHeight="1">
      <c r="A2973" s="9" t="str">
        <f>IFERROR(__xludf.DUMMYFUNCTION("IF(B2973="""","""",RIGHT(REGEXREPLACE(B2973&amp;"""",""[^0-9]"",""""),9))"),"710112006")</f>
        <v>710112006</v>
      </c>
      <c r="B2973" s="48">
        <v>7.10112006E8</v>
      </c>
      <c r="C2973" s="10" t="s">
        <v>1317</v>
      </c>
      <c r="D2973" s="10" t="s">
        <v>105</v>
      </c>
      <c r="E2973" s="13">
        <v>46230.0</v>
      </c>
      <c r="F2973" s="10" t="s">
        <v>35</v>
      </c>
      <c r="G2973" s="10">
        <v>11.0</v>
      </c>
      <c r="I2973" s="10" t="s">
        <v>22</v>
      </c>
      <c r="J2973" s="9" t="str">
        <f t="shared" si="42"/>
        <v>Yes - see Previous F-Code</v>
      </c>
      <c r="K2973" s="9" t="str">
        <f t="shared" si="43"/>
        <v>DUPLICATE - CHECK</v>
      </c>
      <c r="L2973" s="9" t="str">
        <f t="shared" si="44"/>
        <v>F71122</v>
      </c>
      <c r="M2973" s="9"/>
      <c r="O2973" s="9"/>
    </row>
    <row r="2974" ht="15.75" customHeight="1">
      <c r="A2974" s="9" t="str">
        <f>IFERROR(__xludf.DUMMYFUNCTION("IF(B2974="""","""",RIGHT(REGEXREPLACE(B2974&amp;"""",""[^0-9]"",""""),9))"),"763518720")</f>
        <v>763518720</v>
      </c>
      <c r="B2974" s="48">
        <v>7.6351872E8</v>
      </c>
      <c r="C2974" s="10" t="s">
        <v>3050</v>
      </c>
      <c r="D2974" s="10" t="s">
        <v>50</v>
      </c>
      <c r="E2974" s="13">
        <v>46230.0</v>
      </c>
      <c r="F2974" s="10" t="s">
        <v>35</v>
      </c>
      <c r="G2974" s="10">
        <v>11.0</v>
      </c>
      <c r="I2974" s="10" t="s">
        <v>22</v>
      </c>
      <c r="J2974" s="9" t="str">
        <f t="shared" si="42"/>
        <v>No</v>
      </c>
      <c r="K2974" s="9" t="str">
        <f t="shared" si="43"/>
        <v/>
      </c>
      <c r="L2974" s="9" t="str">
        <f t="shared" si="44"/>
        <v/>
      </c>
      <c r="M2974" s="9"/>
      <c r="O2974" s="9"/>
    </row>
    <row r="2975" ht="15.75" customHeight="1">
      <c r="A2975" s="9" t="str">
        <f>IFERROR(__xludf.DUMMYFUNCTION("IF(B2975="""","""",RIGHT(REGEXREPLACE(B2975&amp;"""",""[^0-9]"",""""),9))"),"703452928")</f>
        <v>703452928</v>
      </c>
      <c r="B2975" s="48">
        <v>7.03452928E8</v>
      </c>
      <c r="C2975" s="10" t="s">
        <v>3051</v>
      </c>
      <c r="D2975" s="10" t="s">
        <v>34</v>
      </c>
      <c r="E2975" s="13">
        <v>46230.0</v>
      </c>
      <c r="F2975" s="10" t="s">
        <v>35</v>
      </c>
      <c r="G2975" s="10">
        <v>11.0</v>
      </c>
      <c r="H2975" s="10" t="s">
        <v>2526</v>
      </c>
      <c r="I2975" s="10" t="s">
        <v>22</v>
      </c>
      <c r="J2975" s="9" t="str">
        <f t="shared" si="42"/>
        <v>No</v>
      </c>
      <c r="K2975" s="9" t="str">
        <f t="shared" si="43"/>
        <v/>
      </c>
      <c r="L2975" s="9" t="str">
        <f t="shared" si="44"/>
        <v/>
      </c>
      <c r="M2975" s="9"/>
      <c r="O2975" s="9"/>
    </row>
    <row r="2976" ht="15.75" customHeight="1">
      <c r="A2976" s="9" t="str">
        <f>IFERROR(__xludf.DUMMYFUNCTION("IF(B2976="""","""",RIGHT(REGEXREPLACE(B2976&amp;"""",""[^0-9]"",""""),9))"),"769479551")</f>
        <v>769479551</v>
      </c>
      <c r="B2976" s="48">
        <v>7.69479551E8</v>
      </c>
      <c r="C2976" s="10" t="s">
        <v>3052</v>
      </c>
      <c r="D2976" s="10" t="s">
        <v>120</v>
      </c>
      <c r="E2976" s="13">
        <v>46230.0</v>
      </c>
      <c r="F2976" s="10" t="s">
        <v>198</v>
      </c>
      <c r="I2976" s="10" t="s">
        <v>22</v>
      </c>
      <c r="J2976" s="9" t="str">
        <f t="shared" si="42"/>
        <v>No</v>
      </c>
      <c r="K2976" s="9" t="str">
        <f t="shared" si="43"/>
        <v/>
      </c>
      <c r="L2976" s="9" t="str">
        <f t="shared" si="44"/>
        <v/>
      </c>
      <c r="M2976" s="9"/>
      <c r="O2976" s="9"/>
    </row>
    <row r="2977" ht="15.75" customHeight="1">
      <c r="A2977" s="9" t="str">
        <f>IFERROR(__xludf.DUMMYFUNCTION("IF(B2977="""","""",RIGHT(REGEXREPLACE(B2977&amp;"""",""[^0-9]"",""""),9))"),"701602428")</f>
        <v>701602428</v>
      </c>
      <c r="B2977" s="48">
        <v>7.01602428E8</v>
      </c>
      <c r="C2977" s="10" t="s">
        <v>3053</v>
      </c>
      <c r="D2977" s="10" t="s">
        <v>105</v>
      </c>
      <c r="E2977" s="13">
        <v>46230.0</v>
      </c>
      <c r="F2977" s="10" t="s">
        <v>35</v>
      </c>
      <c r="G2977" s="10">
        <v>11.0</v>
      </c>
      <c r="I2977" s="10" t="s">
        <v>22</v>
      </c>
      <c r="J2977" s="9" t="str">
        <f t="shared" si="42"/>
        <v>No</v>
      </c>
      <c r="K2977" s="9" t="str">
        <f t="shared" si="43"/>
        <v/>
      </c>
      <c r="L2977" s="9" t="str">
        <f t="shared" si="44"/>
        <v/>
      </c>
      <c r="M2977" s="9"/>
      <c r="O2977" s="9"/>
    </row>
    <row r="2978" ht="15.75" customHeight="1">
      <c r="A2978" s="9" t="str">
        <f>IFERROR(__xludf.DUMMYFUNCTION("IF(B2978="""","""",RIGHT(REGEXREPLACE(B2978&amp;"""",""[^0-9]"",""""),9))"),"764824862")</f>
        <v>764824862</v>
      </c>
      <c r="B2978" s="48">
        <v>7.64824862E8</v>
      </c>
      <c r="C2978" s="10" t="s">
        <v>3054</v>
      </c>
      <c r="D2978" s="10" t="s">
        <v>69</v>
      </c>
      <c r="E2978" s="13">
        <v>46230.0</v>
      </c>
      <c r="F2978" s="9"/>
      <c r="G2978" s="9"/>
      <c r="H2978" s="9"/>
      <c r="I2978" s="10" t="s">
        <v>22</v>
      </c>
      <c r="J2978" s="9" t="str">
        <f t="shared" si="42"/>
        <v>No</v>
      </c>
      <c r="K2978" s="9" t="str">
        <f t="shared" si="43"/>
        <v/>
      </c>
      <c r="L2978" s="9" t="str">
        <f t="shared" si="44"/>
        <v/>
      </c>
      <c r="M2978" s="9"/>
      <c r="N2978" s="9"/>
      <c r="O2978" s="9"/>
      <c r="P2978" s="9"/>
    </row>
    <row r="2979" ht="15.75" customHeight="1">
      <c r="A2979" s="9" t="str">
        <f>IFERROR(__xludf.DUMMYFUNCTION("IF(B2979="""","""",RIGHT(REGEXREPLACE(B2979&amp;"""",""[^0-9]"",""""),9))"),"712669965")</f>
        <v>712669965</v>
      </c>
      <c r="B2979" s="48">
        <v>7.12669965E8</v>
      </c>
      <c r="C2979" s="10" t="s">
        <v>3055</v>
      </c>
      <c r="D2979" s="10" t="s">
        <v>120</v>
      </c>
      <c r="E2979" s="13">
        <v>46230.0</v>
      </c>
      <c r="F2979" s="10" t="s">
        <v>21</v>
      </c>
      <c r="G2979" s="10">
        <v>11.0</v>
      </c>
      <c r="I2979" s="10" t="s">
        <v>22</v>
      </c>
      <c r="J2979" s="9" t="str">
        <f t="shared" si="42"/>
        <v>No</v>
      </c>
      <c r="K2979" s="9" t="str">
        <f t="shared" si="43"/>
        <v/>
      </c>
      <c r="L2979" s="9" t="str">
        <f t="shared" si="44"/>
        <v/>
      </c>
      <c r="M2979" s="9"/>
      <c r="O2979" s="9"/>
    </row>
    <row r="2980" ht="15.75" customHeight="1">
      <c r="A2980" s="9" t="str">
        <f>IFERROR(__xludf.DUMMYFUNCTION("IF(B2980="""","""",RIGHT(REGEXREPLACE(B2980&amp;"""",""[^0-9]"",""""),9))"),"741181112")</f>
        <v>741181112</v>
      </c>
      <c r="B2980" s="48">
        <v>7.41181112E8</v>
      </c>
      <c r="C2980" s="10" t="s">
        <v>3056</v>
      </c>
      <c r="D2980" s="10" t="s">
        <v>34</v>
      </c>
      <c r="E2980" s="13">
        <v>46230.0</v>
      </c>
      <c r="F2980" s="10" t="s">
        <v>198</v>
      </c>
      <c r="H2980" s="10" t="s">
        <v>2526</v>
      </c>
      <c r="I2980" s="10" t="s">
        <v>22</v>
      </c>
      <c r="J2980" s="9" t="str">
        <f t="shared" si="42"/>
        <v>No</v>
      </c>
      <c r="K2980" s="9" t="str">
        <f t="shared" si="43"/>
        <v/>
      </c>
      <c r="L2980" s="9" t="str">
        <f t="shared" si="44"/>
        <v/>
      </c>
      <c r="M2980" s="9"/>
      <c r="O2980" s="9"/>
    </row>
    <row r="2981" ht="15.75" customHeight="1">
      <c r="A2981" s="9" t="str">
        <f>IFERROR(__xludf.DUMMYFUNCTION("IF(B2981="""","""",RIGHT(REGEXREPLACE(B2981&amp;"""",""[^0-9]"",""""),9))"),"775121552")</f>
        <v>775121552</v>
      </c>
      <c r="B2981" s="48">
        <v>7.75121552E8</v>
      </c>
      <c r="C2981" s="10" t="s">
        <v>3057</v>
      </c>
      <c r="D2981" s="10" t="s">
        <v>69</v>
      </c>
      <c r="E2981" s="13">
        <v>46230.0</v>
      </c>
      <c r="F2981" s="10" t="s">
        <v>35</v>
      </c>
      <c r="G2981" s="10">
        <v>11.0</v>
      </c>
      <c r="H2981" s="10" t="s">
        <v>737</v>
      </c>
      <c r="I2981" s="10" t="s">
        <v>22</v>
      </c>
      <c r="J2981" s="9" t="str">
        <f t="shared" si="42"/>
        <v>No</v>
      </c>
      <c r="K2981" s="9" t="str">
        <f t="shared" si="43"/>
        <v/>
      </c>
      <c r="L2981" s="9" t="str">
        <f t="shared" si="44"/>
        <v/>
      </c>
      <c r="M2981" s="9"/>
      <c r="O2981" s="9"/>
    </row>
    <row r="2982" ht="15.75" customHeight="1">
      <c r="A2982" s="9" t="str">
        <f>IFERROR(__xludf.DUMMYFUNCTION("IF(B2982="""","""",RIGHT(REGEXREPLACE(B2982&amp;"""",""[^0-9]"",""""),9))"),"762033869")</f>
        <v>762033869</v>
      </c>
      <c r="B2982" s="48">
        <v>7.62033869E8</v>
      </c>
      <c r="C2982" s="10" t="s">
        <v>3058</v>
      </c>
      <c r="D2982" s="10" t="s">
        <v>97</v>
      </c>
      <c r="E2982" s="13">
        <v>46230.0</v>
      </c>
      <c r="F2982" s="10" t="s">
        <v>648</v>
      </c>
      <c r="H2982" s="10" t="s">
        <v>1448</v>
      </c>
      <c r="I2982" s="10" t="s">
        <v>22</v>
      </c>
      <c r="J2982" s="9" t="str">
        <f t="shared" si="42"/>
        <v>No</v>
      </c>
      <c r="K2982" s="9" t="str">
        <f t="shared" si="43"/>
        <v/>
      </c>
      <c r="L2982" s="9" t="str">
        <f t="shared" si="44"/>
        <v/>
      </c>
      <c r="M2982" s="9"/>
      <c r="O2982" s="9"/>
    </row>
    <row r="2983" ht="15.75" customHeight="1">
      <c r="A2983" s="9" t="str">
        <f>IFERROR(__xludf.DUMMYFUNCTION("IF(B2983="""","""",RIGHT(REGEXREPLACE(B2983&amp;"""",""[^0-9]"",""""),9))"),"773223441")</f>
        <v>773223441</v>
      </c>
      <c r="B2983" s="48">
        <v>7.73223441E8</v>
      </c>
      <c r="C2983" s="10" t="s">
        <v>3059</v>
      </c>
      <c r="D2983" s="10" t="s">
        <v>105</v>
      </c>
      <c r="E2983" s="13">
        <v>46230.0</v>
      </c>
      <c r="F2983" s="10" t="s">
        <v>35</v>
      </c>
      <c r="G2983" s="10">
        <v>11.0</v>
      </c>
      <c r="I2983" s="10" t="s">
        <v>22</v>
      </c>
      <c r="J2983" s="9" t="str">
        <f t="shared" si="42"/>
        <v>No</v>
      </c>
      <c r="K2983" s="9" t="str">
        <f t="shared" si="43"/>
        <v/>
      </c>
      <c r="L2983" s="9" t="str">
        <f t="shared" si="44"/>
        <v/>
      </c>
      <c r="M2983" s="9"/>
      <c r="O2983" s="9"/>
    </row>
    <row r="2984" ht="15.75" customHeight="1">
      <c r="A2984" s="9" t="str">
        <f>IFERROR(__xludf.DUMMYFUNCTION("IF(B2984="""","""",RIGHT(REGEXREPLACE(B2984&amp;"""",""[^0-9]"",""""),9))"),"773622254")</f>
        <v>773622254</v>
      </c>
      <c r="B2984" s="48">
        <v>7.73622254E8</v>
      </c>
      <c r="C2984" s="10" t="s">
        <v>3060</v>
      </c>
      <c r="D2984" s="10" t="s">
        <v>69</v>
      </c>
      <c r="E2984" s="13">
        <v>46230.0</v>
      </c>
      <c r="F2984" s="9"/>
      <c r="G2984" s="10">
        <v>11.0</v>
      </c>
      <c r="H2984" s="10" t="s">
        <v>726</v>
      </c>
      <c r="I2984" s="10" t="s">
        <v>22</v>
      </c>
      <c r="J2984" s="9" t="str">
        <f t="shared" si="42"/>
        <v>No</v>
      </c>
      <c r="K2984" s="9" t="str">
        <f t="shared" si="43"/>
        <v/>
      </c>
      <c r="L2984" s="9" t="str">
        <f t="shared" si="44"/>
        <v/>
      </c>
      <c r="M2984" s="9"/>
      <c r="N2984" s="9"/>
      <c r="O2984" s="9"/>
      <c r="P2984" s="9"/>
    </row>
    <row r="2985" ht="15.75" customHeight="1">
      <c r="A2985" s="9" t="str">
        <f>IFERROR(__xludf.DUMMYFUNCTION("IF(B2985="""","""",RIGHT(REGEXREPLACE(B2985&amp;"""",""[^0-9]"",""""),9))"),"717273698")</f>
        <v>717273698</v>
      </c>
      <c r="B2985" s="48">
        <v>7.17273698E8</v>
      </c>
      <c r="C2985" s="10" t="s">
        <v>3061</v>
      </c>
      <c r="D2985" s="10" t="s">
        <v>97</v>
      </c>
      <c r="E2985" s="13">
        <v>46230.0</v>
      </c>
      <c r="F2985" s="10" t="s">
        <v>145</v>
      </c>
      <c r="H2985" s="10" t="s">
        <v>737</v>
      </c>
      <c r="I2985" s="10" t="s">
        <v>22</v>
      </c>
      <c r="J2985" s="9" t="str">
        <f t="shared" si="42"/>
        <v>No</v>
      </c>
      <c r="K2985" s="9" t="str">
        <f t="shared" si="43"/>
        <v/>
      </c>
      <c r="L2985" s="9" t="str">
        <f t="shared" si="44"/>
        <v/>
      </c>
      <c r="M2985" s="9"/>
      <c r="O2985" s="9"/>
    </row>
    <row r="2986" ht="15.75" customHeight="1">
      <c r="A2986" s="9" t="str">
        <f>IFERROR(__xludf.DUMMYFUNCTION("IF(B2986="""","""",RIGHT(REGEXREPLACE(B2986&amp;"""",""[^0-9]"",""""),9))"),"761272160")</f>
        <v>761272160</v>
      </c>
      <c r="B2986" s="48">
        <v>7.6127216E8</v>
      </c>
      <c r="C2986" s="10" t="s">
        <v>3062</v>
      </c>
      <c r="D2986" s="10" t="s">
        <v>50</v>
      </c>
      <c r="E2986" s="13">
        <v>46230.0</v>
      </c>
      <c r="F2986" s="10" t="s">
        <v>171</v>
      </c>
      <c r="G2986" s="10">
        <v>11.0</v>
      </c>
      <c r="I2986" s="10" t="s">
        <v>22</v>
      </c>
      <c r="J2986" s="9" t="str">
        <f t="shared" si="42"/>
        <v>No</v>
      </c>
      <c r="K2986" s="9" t="str">
        <f t="shared" si="43"/>
        <v/>
      </c>
      <c r="L2986" s="9" t="str">
        <f t="shared" si="44"/>
        <v/>
      </c>
      <c r="M2986" s="9"/>
      <c r="O2986" s="9"/>
    </row>
    <row r="2987" ht="15.75" customHeight="1">
      <c r="A2987" s="9" t="str">
        <f>IFERROR(__xludf.DUMMYFUNCTION("IF(B2987="""","""",RIGHT(REGEXREPLACE(B2987&amp;"""",""[^0-9]"",""""),9))"),"760862976")</f>
        <v>760862976</v>
      </c>
      <c r="B2987" s="48">
        <v>7.60862976E8</v>
      </c>
      <c r="C2987" s="10" t="s">
        <v>3063</v>
      </c>
      <c r="D2987" s="10" t="s">
        <v>120</v>
      </c>
      <c r="E2987" s="13">
        <v>46230.0</v>
      </c>
      <c r="F2987" s="10" t="s">
        <v>21</v>
      </c>
      <c r="G2987" s="10">
        <v>11.0</v>
      </c>
      <c r="I2987" s="10" t="s">
        <v>22</v>
      </c>
      <c r="J2987" s="9" t="str">
        <f t="shared" si="42"/>
        <v>No</v>
      </c>
      <c r="K2987" s="9" t="str">
        <f t="shared" si="43"/>
        <v/>
      </c>
      <c r="L2987" s="9" t="str">
        <f t="shared" si="44"/>
        <v/>
      </c>
      <c r="M2987" s="9"/>
      <c r="O2987" s="9"/>
    </row>
    <row r="2988" ht="15.75" customHeight="1">
      <c r="A2988" s="9" t="str">
        <f>IFERROR(__xludf.DUMMYFUNCTION("IF(B2988="""","""",RIGHT(REGEXREPLACE(B2988&amp;"""",""[^0-9]"",""""),9))"),"785778681")</f>
        <v>785778681</v>
      </c>
      <c r="B2988" s="48">
        <v>7.85778681E8</v>
      </c>
      <c r="C2988" s="10" t="s">
        <v>3064</v>
      </c>
      <c r="D2988" s="10" t="s">
        <v>120</v>
      </c>
      <c r="E2988" s="13">
        <v>46230.0</v>
      </c>
      <c r="F2988" s="10" t="s">
        <v>21</v>
      </c>
      <c r="I2988" s="10" t="s">
        <v>22</v>
      </c>
      <c r="J2988" s="9" t="str">
        <f t="shared" si="42"/>
        <v>No</v>
      </c>
      <c r="K2988" s="9" t="str">
        <f t="shared" si="43"/>
        <v/>
      </c>
      <c r="L2988" s="9" t="str">
        <f t="shared" si="44"/>
        <v/>
      </c>
      <c r="M2988" s="9"/>
      <c r="O2988" s="9"/>
    </row>
    <row r="2989" ht="15.75" customHeight="1">
      <c r="A2989" s="9" t="str">
        <f>IFERROR(__xludf.DUMMYFUNCTION("IF(B2989="""","""",RIGHT(REGEXREPLACE(B2989&amp;"""",""[^0-9]"",""""),9))"),"767710675")</f>
        <v>767710675</v>
      </c>
      <c r="B2989" s="48">
        <v>7.67710675E8</v>
      </c>
      <c r="C2989" s="10" t="s">
        <v>3065</v>
      </c>
      <c r="D2989" s="10" t="s">
        <v>34</v>
      </c>
      <c r="E2989" s="13">
        <v>46230.0</v>
      </c>
      <c r="F2989" s="10" t="s">
        <v>198</v>
      </c>
      <c r="H2989" s="10" t="s">
        <v>2526</v>
      </c>
      <c r="I2989" s="10" t="s">
        <v>22</v>
      </c>
      <c r="J2989" s="9" t="str">
        <f t="shared" si="42"/>
        <v>No</v>
      </c>
      <c r="K2989" s="9" t="str">
        <f t="shared" si="43"/>
        <v/>
      </c>
      <c r="L2989" s="9" t="str">
        <f t="shared" si="44"/>
        <v/>
      </c>
      <c r="M2989" s="9"/>
      <c r="O2989" s="9"/>
    </row>
    <row r="2990" ht="15.75" customHeight="1">
      <c r="A2990" s="9" t="str">
        <f>IFERROR(__xludf.DUMMYFUNCTION("IF(B2990="""","""",RIGHT(REGEXREPLACE(B2990&amp;"""",""[^0-9]"",""""),9))"),"719861271")</f>
        <v>719861271</v>
      </c>
      <c r="B2990" s="48">
        <v>7.19861271E8</v>
      </c>
      <c r="C2990" s="10" t="s">
        <v>3057</v>
      </c>
      <c r="D2990" s="10" t="s">
        <v>97</v>
      </c>
      <c r="E2990" s="13">
        <v>46230.0</v>
      </c>
      <c r="F2990" s="10" t="s">
        <v>35</v>
      </c>
      <c r="G2990" s="10">
        <v>11.0</v>
      </c>
      <c r="H2990" s="10" t="s">
        <v>1448</v>
      </c>
      <c r="I2990" s="10" t="s">
        <v>22</v>
      </c>
      <c r="J2990" s="9" t="str">
        <f t="shared" si="42"/>
        <v>No</v>
      </c>
      <c r="K2990" s="9" t="str">
        <f t="shared" si="43"/>
        <v/>
      </c>
      <c r="L2990" s="9" t="str">
        <f t="shared" si="44"/>
        <v/>
      </c>
      <c r="M2990" s="9"/>
      <c r="O2990" s="9"/>
    </row>
    <row r="2991" ht="15.75" customHeight="1">
      <c r="A2991" s="9" t="str">
        <f>IFERROR(__xludf.DUMMYFUNCTION("IF(B2991="""","""",RIGHT(REGEXREPLACE(B2991&amp;"""",""[^0-9]"",""""),9))"),"760895388")</f>
        <v>760895388</v>
      </c>
      <c r="B2991" s="48">
        <v>7.60895388E8</v>
      </c>
      <c r="C2991" s="10" t="s">
        <v>3066</v>
      </c>
      <c r="D2991" s="10" t="s">
        <v>34</v>
      </c>
      <c r="E2991" s="13">
        <v>46230.0</v>
      </c>
      <c r="F2991" s="10" t="s">
        <v>145</v>
      </c>
      <c r="H2991" s="10" t="s">
        <v>2526</v>
      </c>
      <c r="I2991" s="10" t="s">
        <v>22</v>
      </c>
      <c r="J2991" s="9" t="str">
        <f t="shared" si="42"/>
        <v>No</v>
      </c>
      <c r="K2991" s="9" t="str">
        <f t="shared" si="43"/>
        <v/>
      </c>
      <c r="L2991" s="9" t="str">
        <f t="shared" si="44"/>
        <v/>
      </c>
      <c r="M2991" s="9"/>
      <c r="O2991" s="9"/>
    </row>
    <row r="2992" ht="15.75" customHeight="1">
      <c r="A2992" s="9" t="str">
        <f>IFERROR(__xludf.DUMMYFUNCTION("IF(B2992="""","""",RIGHT(REGEXREPLACE(B2992&amp;"""",""[^0-9]"",""""),9))"),"761865970")</f>
        <v>761865970</v>
      </c>
      <c r="B2992" s="48">
        <v>7.6186597E8</v>
      </c>
      <c r="C2992" s="10" t="s">
        <v>3067</v>
      </c>
      <c r="D2992" s="10" t="s">
        <v>105</v>
      </c>
      <c r="E2992" s="13">
        <v>46230.0</v>
      </c>
      <c r="F2992" s="10" t="s">
        <v>35</v>
      </c>
      <c r="G2992" s="10">
        <v>8.0</v>
      </c>
      <c r="I2992" s="10" t="s">
        <v>22</v>
      </c>
      <c r="J2992" s="9" t="str">
        <f t="shared" si="42"/>
        <v>No</v>
      </c>
      <c r="K2992" s="9" t="str">
        <f t="shared" si="43"/>
        <v/>
      </c>
      <c r="L2992" s="9" t="str">
        <f t="shared" si="44"/>
        <v/>
      </c>
      <c r="M2992" s="9"/>
      <c r="O2992" s="9"/>
    </row>
    <row r="2993" ht="15.75" customHeight="1">
      <c r="A2993" s="9" t="str">
        <f>IFERROR(__xludf.DUMMYFUNCTION("IF(B2993="""","""",RIGHT(REGEXREPLACE(B2993&amp;"""",""[^0-9]"",""""),9))"),"714705785")</f>
        <v>714705785</v>
      </c>
      <c r="B2993" s="48">
        <v>7.14705785E8</v>
      </c>
      <c r="C2993" s="10" t="s">
        <v>3068</v>
      </c>
      <c r="D2993" s="10" t="s">
        <v>50</v>
      </c>
      <c r="E2993" s="13">
        <v>46230.0</v>
      </c>
      <c r="F2993" s="10" t="s">
        <v>21</v>
      </c>
      <c r="I2993" s="10" t="s">
        <v>22</v>
      </c>
      <c r="J2993" s="9" t="str">
        <f t="shared" si="42"/>
        <v>No</v>
      </c>
      <c r="K2993" s="9" t="str">
        <f t="shared" si="43"/>
        <v/>
      </c>
      <c r="L2993" s="9" t="str">
        <f t="shared" si="44"/>
        <v/>
      </c>
      <c r="M2993" s="9"/>
      <c r="O2993" s="9"/>
    </row>
    <row r="2994" ht="15.75" customHeight="1">
      <c r="A2994" s="9" t="str">
        <f>IFERROR(__xludf.DUMMYFUNCTION("IF(B2994="""","""",RIGHT(REGEXREPLACE(B2994&amp;"""",""[^0-9]"",""""),9))"),"762394483")</f>
        <v>762394483</v>
      </c>
      <c r="B2994" s="48">
        <v>7.62394483E8</v>
      </c>
      <c r="C2994" s="10" t="s">
        <v>3069</v>
      </c>
      <c r="D2994" s="10" t="s">
        <v>34</v>
      </c>
      <c r="E2994" s="13">
        <v>46230.0</v>
      </c>
      <c r="F2994" s="9"/>
      <c r="G2994" s="9"/>
      <c r="H2994" s="9"/>
      <c r="I2994" s="10" t="s">
        <v>22</v>
      </c>
      <c r="J2994" s="9" t="str">
        <f t="shared" si="42"/>
        <v>No</v>
      </c>
      <c r="K2994" s="9" t="str">
        <f t="shared" si="43"/>
        <v/>
      </c>
      <c r="L2994" s="9" t="str">
        <f t="shared" si="44"/>
        <v/>
      </c>
      <c r="M2994" s="9"/>
      <c r="N2994" s="9"/>
      <c r="O2994" s="9"/>
      <c r="P2994" s="9"/>
    </row>
    <row r="2995" ht="15.75" customHeight="1">
      <c r="A2995" s="9" t="str">
        <f>IFERROR(__xludf.DUMMYFUNCTION("IF(B2995="""","""",RIGHT(REGEXREPLACE(B2995&amp;"""",""[^0-9]"",""""),9))"),"714957190")</f>
        <v>714957190</v>
      </c>
      <c r="B2995" s="48">
        <v>7.1495719E8</v>
      </c>
      <c r="C2995" s="10" t="s">
        <v>3061</v>
      </c>
      <c r="D2995" s="10" t="s">
        <v>69</v>
      </c>
      <c r="E2995" s="13">
        <v>46230.0</v>
      </c>
      <c r="F2995" s="10" t="s">
        <v>604</v>
      </c>
      <c r="H2995" s="10" t="s">
        <v>737</v>
      </c>
      <c r="I2995" s="10" t="s">
        <v>22</v>
      </c>
      <c r="J2995" s="9" t="str">
        <f t="shared" si="42"/>
        <v>No</v>
      </c>
      <c r="K2995" s="9" t="str">
        <f t="shared" si="43"/>
        <v/>
      </c>
      <c r="L2995" s="9" t="str">
        <f t="shared" si="44"/>
        <v/>
      </c>
      <c r="M2995" s="9"/>
      <c r="O2995" s="9"/>
    </row>
    <row r="2996" ht="15.75" customHeight="1">
      <c r="A2996" s="9" t="str">
        <f>IFERROR(__xludf.DUMMYFUNCTION("IF(B2996="""","""",RIGHT(REGEXREPLACE(B2996&amp;"""",""[^0-9]"",""""),9))"),"779409950")</f>
        <v>779409950</v>
      </c>
      <c r="B2996" s="48">
        <v>7.7940995E8</v>
      </c>
      <c r="C2996" s="10" t="s">
        <v>3070</v>
      </c>
      <c r="D2996" s="10" t="s">
        <v>50</v>
      </c>
      <c r="E2996" s="13">
        <v>46230.0</v>
      </c>
      <c r="F2996" s="10" t="s">
        <v>35</v>
      </c>
      <c r="G2996" s="10">
        <v>11.0</v>
      </c>
      <c r="I2996" s="10" t="s">
        <v>22</v>
      </c>
      <c r="J2996" s="9" t="str">
        <f t="shared" si="42"/>
        <v>No</v>
      </c>
      <c r="K2996" s="9" t="str">
        <f t="shared" si="43"/>
        <v/>
      </c>
      <c r="L2996" s="9" t="str">
        <f t="shared" si="44"/>
        <v/>
      </c>
      <c r="M2996" s="9"/>
      <c r="O2996" s="9"/>
    </row>
    <row r="2997" ht="15.75" customHeight="1">
      <c r="A2997" s="9" t="str">
        <f>IFERROR(__xludf.DUMMYFUNCTION("IF(B2997="""","""",RIGHT(REGEXREPLACE(B2997&amp;"""",""[^0-9]"",""""),9))"),"711711490")</f>
        <v>711711490</v>
      </c>
      <c r="B2997" s="48">
        <v>7.1171149E8</v>
      </c>
      <c r="C2997" s="10" t="s">
        <v>3071</v>
      </c>
      <c r="D2997" s="10" t="s">
        <v>105</v>
      </c>
      <c r="E2997" s="13">
        <v>46230.0</v>
      </c>
      <c r="F2997" s="10" t="s">
        <v>145</v>
      </c>
      <c r="I2997" s="10" t="s">
        <v>22</v>
      </c>
      <c r="J2997" s="9" t="str">
        <f t="shared" si="42"/>
        <v>No</v>
      </c>
      <c r="K2997" s="9" t="str">
        <f t="shared" si="43"/>
        <v/>
      </c>
      <c r="L2997" s="9" t="str">
        <f t="shared" si="44"/>
        <v/>
      </c>
      <c r="M2997" s="9"/>
      <c r="O2997" s="9"/>
    </row>
    <row r="2998" ht="15.75" customHeight="1">
      <c r="A2998" s="9" t="str">
        <f>IFERROR(__xludf.DUMMYFUNCTION("IF(B2998="""","""",RIGHT(REGEXREPLACE(B2998&amp;"""",""[^0-9]"",""""),9))"),"765523897")</f>
        <v>765523897</v>
      </c>
      <c r="B2998" s="48">
        <v>7.65523897E8</v>
      </c>
      <c r="C2998" s="10" t="s">
        <v>3072</v>
      </c>
      <c r="D2998" s="10" t="s">
        <v>120</v>
      </c>
      <c r="E2998" s="13">
        <v>46230.0</v>
      </c>
      <c r="F2998" s="10" t="s">
        <v>21</v>
      </c>
      <c r="I2998" s="10" t="s">
        <v>22</v>
      </c>
      <c r="J2998" s="9" t="str">
        <f t="shared" si="42"/>
        <v>No</v>
      </c>
      <c r="K2998" s="9" t="str">
        <f t="shared" si="43"/>
        <v/>
      </c>
      <c r="L2998" s="9" t="str">
        <f t="shared" si="44"/>
        <v/>
      </c>
      <c r="M2998" s="9"/>
      <c r="O2998" s="9"/>
    </row>
    <row r="2999" ht="15.75" customHeight="1">
      <c r="A2999" s="9" t="str">
        <f>IFERROR(__xludf.DUMMYFUNCTION("IF(B2999="""","""",RIGHT(REGEXREPLACE(B2999&amp;"""",""[^0-9]"",""""),9))"),"712454647")</f>
        <v>712454647</v>
      </c>
      <c r="B2999" s="48">
        <v>7.12454647E8</v>
      </c>
      <c r="C2999" s="10" t="s">
        <v>3073</v>
      </c>
      <c r="D2999" s="10" t="s">
        <v>69</v>
      </c>
      <c r="E2999" s="13">
        <v>46230.0</v>
      </c>
      <c r="F2999" s="10" t="s">
        <v>21</v>
      </c>
      <c r="H2999" s="10" t="s">
        <v>737</v>
      </c>
      <c r="I2999" s="10" t="s">
        <v>22</v>
      </c>
      <c r="J2999" s="9" t="str">
        <f t="shared" si="42"/>
        <v>No</v>
      </c>
      <c r="K2999" s="9" t="str">
        <f t="shared" si="43"/>
        <v/>
      </c>
      <c r="L2999" s="9" t="str">
        <f t="shared" si="44"/>
        <v/>
      </c>
      <c r="M2999" s="9"/>
      <c r="O2999" s="9"/>
    </row>
    <row r="3000" ht="15.75" customHeight="1">
      <c r="A3000" s="9" t="str">
        <f>IFERROR(__xludf.DUMMYFUNCTION("IF(B3000="""","""",RIGHT(REGEXREPLACE(B3000&amp;"""",""[^0-9]"",""""),9))"),"769280326")</f>
        <v>769280326</v>
      </c>
      <c r="B3000" s="48">
        <v>7.69280326E8</v>
      </c>
      <c r="C3000" s="10" t="s">
        <v>818</v>
      </c>
      <c r="D3000" s="10" t="s">
        <v>105</v>
      </c>
      <c r="E3000" s="13">
        <v>46230.0</v>
      </c>
      <c r="F3000" s="10" t="s">
        <v>21</v>
      </c>
      <c r="I3000" s="10" t="s">
        <v>22</v>
      </c>
      <c r="J3000" s="9" t="str">
        <f t="shared" si="42"/>
        <v>Yes - see Previous F-Code</v>
      </c>
      <c r="K3000" s="9" t="str">
        <f t="shared" si="43"/>
        <v>DUPLICATE - CHECK</v>
      </c>
      <c r="L3000" s="9" t="str">
        <f t="shared" si="44"/>
        <v>F70645</v>
      </c>
      <c r="M3000" s="9"/>
      <c r="O3000" s="9"/>
    </row>
    <row r="3001" ht="15.75" customHeight="1">
      <c r="A3001" s="9" t="str">
        <f>IFERROR(__xludf.DUMMYFUNCTION("IF(B3001="""","""",RIGHT(REGEXREPLACE(B3001&amp;"""",""[^0-9]"",""""),9))"),"775428072")</f>
        <v>775428072</v>
      </c>
      <c r="B3001" s="48">
        <v>7.75428072E8</v>
      </c>
      <c r="C3001" s="10" t="s">
        <v>2079</v>
      </c>
      <c r="D3001" s="10" t="s">
        <v>34</v>
      </c>
      <c r="E3001" s="13">
        <v>46230.0</v>
      </c>
      <c r="F3001" s="10" t="s">
        <v>21</v>
      </c>
      <c r="H3001" s="10" t="s">
        <v>2526</v>
      </c>
      <c r="I3001" s="10" t="s">
        <v>22</v>
      </c>
      <c r="J3001" s="9" t="str">
        <f t="shared" si="42"/>
        <v>Yes - see Previous F-Code</v>
      </c>
      <c r="K3001" s="9" t="str">
        <f t="shared" si="43"/>
        <v>DUPLICATE - CHECK</v>
      </c>
      <c r="L3001" s="9" t="str">
        <f t="shared" si="44"/>
        <v>F71857</v>
      </c>
      <c r="M3001" s="9"/>
      <c r="O3001" s="9"/>
    </row>
    <row r="3002" ht="15.75" customHeight="1">
      <c r="A3002" s="9" t="str">
        <f>IFERROR(__xludf.DUMMYFUNCTION("IF(B3002="""","""",RIGHT(REGEXREPLACE(B3002&amp;"""",""[^0-9]"",""""),9))"),"718921262")</f>
        <v>718921262</v>
      </c>
      <c r="B3002" s="48">
        <v>7.18921262E8</v>
      </c>
      <c r="C3002" s="10" t="s">
        <v>3074</v>
      </c>
      <c r="D3002" s="10" t="s">
        <v>34</v>
      </c>
      <c r="E3002" s="13">
        <v>46230.0</v>
      </c>
      <c r="F3002" s="10" t="s">
        <v>113</v>
      </c>
      <c r="H3002" s="10" t="s">
        <v>2526</v>
      </c>
      <c r="I3002" s="10" t="s">
        <v>22</v>
      </c>
      <c r="J3002" s="9" t="str">
        <f t="shared" si="42"/>
        <v>No</v>
      </c>
      <c r="K3002" s="9" t="str">
        <f t="shared" si="43"/>
        <v/>
      </c>
      <c r="L3002" s="9" t="str">
        <f t="shared" si="44"/>
        <v/>
      </c>
      <c r="M3002" s="9"/>
      <c r="O3002" s="9"/>
    </row>
    <row r="3003" ht="15.75" customHeight="1">
      <c r="A3003" s="9" t="str">
        <f>IFERROR(__xludf.DUMMYFUNCTION("IF(B3003="""","""",RIGHT(REGEXREPLACE(B3003&amp;"""",""[^0-9]"",""""),9))"),"753280950")</f>
        <v>753280950</v>
      </c>
      <c r="B3003" s="48">
        <v>7.5328095E8</v>
      </c>
      <c r="C3003" s="10" t="s">
        <v>3075</v>
      </c>
      <c r="D3003" s="10" t="s">
        <v>120</v>
      </c>
      <c r="E3003" s="13">
        <v>46230.0</v>
      </c>
      <c r="F3003" s="10" t="s">
        <v>35</v>
      </c>
      <c r="G3003" s="10">
        <v>11.0</v>
      </c>
      <c r="I3003" s="10" t="s">
        <v>22</v>
      </c>
      <c r="J3003" s="9" t="str">
        <f t="shared" si="42"/>
        <v>No</v>
      </c>
      <c r="K3003" s="9" t="str">
        <f t="shared" si="43"/>
        <v/>
      </c>
      <c r="L3003" s="9" t="str">
        <f t="shared" si="44"/>
        <v/>
      </c>
      <c r="M3003" s="9"/>
      <c r="O3003" s="9"/>
    </row>
    <row r="3004" ht="15.75" customHeight="1">
      <c r="A3004" s="9" t="str">
        <f>IFERROR(__xludf.DUMMYFUNCTION("IF(B3004="""","""",RIGHT(REGEXREPLACE(B3004&amp;"""",""[^0-9]"",""""),9))"),"756202441")</f>
        <v>756202441</v>
      </c>
      <c r="B3004" s="48">
        <v>7.56202441E8</v>
      </c>
      <c r="C3004" s="10" t="s">
        <v>3076</v>
      </c>
      <c r="D3004" s="10" t="s">
        <v>105</v>
      </c>
      <c r="E3004" s="13">
        <v>46230.0</v>
      </c>
      <c r="F3004" s="10" t="s">
        <v>35</v>
      </c>
      <c r="G3004" s="10">
        <v>11.0</v>
      </c>
      <c r="I3004" s="10" t="s">
        <v>22</v>
      </c>
      <c r="J3004" s="9" t="str">
        <f t="shared" si="42"/>
        <v>No</v>
      </c>
      <c r="K3004" s="9" t="str">
        <f t="shared" si="43"/>
        <v/>
      </c>
      <c r="L3004" s="9" t="str">
        <f t="shared" si="44"/>
        <v/>
      </c>
      <c r="M3004" s="9"/>
      <c r="O3004" s="9"/>
    </row>
    <row r="3005" ht="15.75" customHeight="1">
      <c r="A3005" s="9" t="str">
        <f>IFERROR(__xludf.DUMMYFUNCTION("IF(B3005="""","""",RIGHT(REGEXREPLACE(B3005&amp;"""",""[^0-9]"",""""),9))"),"786791753")</f>
        <v>786791753</v>
      </c>
      <c r="B3005" s="48">
        <v>7.86791753E8</v>
      </c>
      <c r="C3005" s="10" t="s">
        <v>3077</v>
      </c>
      <c r="D3005" s="10" t="s">
        <v>34</v>
      </c>
      <c r="E3005" s="13">
        <v>46230.0</v>
      </c>
      <c r="F3005" s="10" t="s">
        <v>648</v>
      </c>
      <c r="H3005" s="10" t="s">
        <v>3078</v>
      </c>
      <c r="I3005" s="10" t="s">
        <v>22</v>
      </c>
      <c r="J3005" s="9" t="str">
        <f t="shared" si="42"/>
        <v>No</v>
      </c>
      <c r="K3005" s="9" t="str">
        <f t="shared" si="43"/>
        <v/>
      </c>
      <c r="L3005" s="9" t="str">
        <f t="shared" si="44"/>
        <v/>
      </c>
      <c r="M3005" s="9"/>
      <c r="O3005" s="9"/>
    </row>
    <row r="3006" ht="15.75" customHeight="1">
      <c r="A3006" s="9" t="str">
        <f>IFERROR(__xludf.DUMMYFUNCTION("IF(B3006="""","""",RIGHT(REGEXREPLACE(B3006&amp;"""",""[^0-9]"",""""),9))"),"717160294")</f>
        <v>717160294</v>
      </c>
      <c r="B3006" s="48">
        <v>7.17160294E8</v>
      </c>
      <c r="C3006" s="10" t="s">
        <v>3079</v>
      </c>
      <c r="D3006" s="10" t="s">
        <v>50</v>
      </c>
      <c r="E3006" s="13">
        <v>46230.0</v>
      </c>
      <c r="F3006" s="10" t="s">
        <v>35</v>
      </c>
      <c r="G3006" s="10">
        <v>9.0</v>
      </c>
      <c r="I3006" s="10" t="s">
        <v>22</v>
      </c>
      <c r="J3006" s="9" t="str">
        <f t="shared" si="42"/>
        <v>No</v>
      </c>
      <c r="K3006" s="9" t="str">
        <f t="shared" si="43"/>
        <v/>
      </c>
      <c r="L3006" s="9" t="str">
        <f t="shared" si="44"/>
        <v/>
      </c>
      <c r="M3006" s="9"/>
      <c r="O3006" s="9"/>
    </row>
    <row r="3007" ht="15.75" customHeight="1">
      <c r="A3007" s="9" t="str">
        <f>IFERROR(__xludf.DUMMYFUNCTION("IF(B3007="""","""",RIGHT(REGEXREPLACE(B3007&amp;"""",""[^0-9]"",""""),9))"),"764871312")</f>
        <v>764871312</v>
      </c>
      <c r="B3007" s="48">
        <v>7.64871312E8</v>
      </c>
      <c r="C3007" s="10" t="s">
        <v>3080</v>
      </c>
      <c r="D3007" s="10" t="s">
        <v>69</v>
      </c>
      <c r="E3007" s="13">
        <v>46230.0</v>
      </c>
      <c r="F3007" s="10" t="s">
        <v>21</v>
      </c>
      <c r="H3007" s="10" t="s">
        <v>737</v>
      </c>
      <c r="I3007" s="10" t="s">
        <v>22</v>
      </c>
      <c r="J3007" s="9" t="str">
        <f t="shared" si="42"/>
        <v>No</v>
      </c>
      <c r="K3007" s="9" t="str">
        <f t="shared" si="43"/>
        <v/>
      </c>
      <c r="L3007" s="9" t="str">
        <f t="shared" si="44"/>
        <v/>
      </c>
      <c r="M3007" s="9"/>
      <c r="O3007" s="9"/>
    </row>
    <row r="3008" ht="15.75" customHeight="1">
      <c r="A3008" s="9" t="str">
        <f>IFERROR(__xludf.DUMMYFUNCTION("IF(B3008="""","""",RIGHT(REGEXREPLACE(B3008&amp;"""",""[^0-9]"",""""),9))"),"772897794")</f>
        <v>772897794</v>
      </c>
      <c r="B3008" s="48">
        <v>7.72897794E8</v>
      </c>
      <c r="C3008" s="10" t="s">
        <v>3081</v>
      </c>
      <c r="D3008" s="10" t="s">
        <v>120</v>
      </c>
      <c r="E3008" s="13">
        <v>46230.0</v>
      </c>
      <c r="F3008" s="10" t="s">
        <v>35</v>
      </c>
      <c r="G3008" s="106">
        <v>46333.0</v>
      </c>
      <c r="I3008" s="10" t="s">
        <v>22</v>
      </c>
      <c r="J3008" s="9" t="str">
        <f t="shared" si="42"/>
        <v>No</v>
      </c>
      <c r="K3008" s="9" t="str">
        <f t="shared" si="43"/>
        <v/>
      </c>
      <c r="L3008" s="9" t="str">
        <f t="shared" si="44"/>
        <v/>
      </c>
      <c r="M3008" s="9"/>
      <c r="O3008" s="9"/>
    </row>
    <row r="3009" ht="15.75" customHeight="1">
      <c r="A3009" s="9" t="str">
        <f>IFERROR(__xludf.DUMMYFUNCTION("IF(B3009="""","""",RIGHT(REGEXREPLACE(B3009&amp;"""",""[^0-9]"",""""),9))"),"741195423")</f>
        <v>741195423</v>
      </c>
      <c r="B3009" s="48">
        <v>7.41195423E8</v>
      </c>
      <c r="C3009" s="10" t="s">
        <v>3082</v>
      </c>
      <c r="D3009" s="10" t="s">
        <v>34</v>
      </c>
      <c r="E3009" s="13">
        <v>46230.0</v>
      </c>
      <c r="F3009" s="10" t="s">
        <v>35</v>
      </c>
      <c r="G3009" s="10">
        <v>11.0</v>
      </c>
      <c r="H3009" s="10" t="s">
        <v>2526</v>
      </c>
      <c r="I3009" s="10" t="s">
        <v>22</v>
      </c>
      <c r="J3009" s="9" t="str">
        <f t="shared" si="42"/>
        <v>No</v>
      </c>
      <c r="K3009" s="9" t="str">
        <f t="shared" si="43"/>
        <v/>
      </c>
      <c r="L3009" s="9" t="str">
        <f t="shared" si="44"/>
        <v/>
      </c>
      <c r="M3009" s="9"/>
      <c r="O3009" s="9"/>
    </row>
    <row r="3010" ht="15.75" customHeight="1">
      <c r="A3010" s="9" t="str">
        <f>IFERROR(__xludf.DUMMYFUNCTION("IF(B3010="""","""",RIGHT(REGEXREPLACE(B3010&amp;"""",""[^0-9]"",""""),9))"),"714550944")</f>
        <v>714550944</v>
      </c>
      <c r="B3010" s="48">
        <v>7.14550944E8</v>
      </c>
      <c r="C3010" s="10" t="s">
        <v>3083</v>
      </c>
      <c r="D3010" s="10" t="s">
        <v>97</v>
      </c>
      <c r="E3010" s="13">
        <v>46230.0</v>
      </c>
      <c r="F3010" s="10" t="s">
        <v>21</v>
      </c>
      <c r="H3010" s="10" t="s">
        <v>1448</v>
      </c>
      <c r="I3010" s="10" t="s">
        <v>22</v>
      </c>
      <c r="J3010" s="9" t="str">
        <f t="shared" si="42"/>
        <v>No</v>
      </c>
      <c r="K3010" s="9" t="str">
        <f t="shared" si="43"/>
        <v/>
      </c>
      <c r="L3010" s="9" t="str">
        <f t="shared" si="44"/>
        <v/>
      </c>
      <c r="M3010" s="9"/>
      <c r="O3010" s="9"/>
    </row>
    <row r="3011" ht="15.75" customHeight="1">
      <c r="A3011" s="9" t="str">
        <f>IFERROR(__xludf.DUMMYFUNCTION("IF(B3011="""","""",RIGHT(REGEXREPLACE(B3011&amp;"""",""[^0-9]"",""""),9))"),"741585914")</f>
        <v>741585914</v>
      </c>
      <c r="B3011" s="48">
        <v>7.41585914E8</v>
      </c>
      <c r="C3011" s="10" t="s">
        <v>3083</v>
      </c>
      <c r="D3011" s="10" t="s">
        <v>69</v>
      </c>
      <c r="E3011" s="13">
        <v>46230.0</v>
      </c>
      <c r="F3011" s="10" t="s">
        <v>35</v>
      </c>
      <c r="G3011" s="10">
        <v>11.0</v>
      </c>
      <c r="I3011" s="10" t="s">
        <v>22</v>
      </c>
      <c r="J3011" s="9" t="str">
        <f t="shared" si="42"/>
        <v>No</v>
      </c>
      <c r="K3011" s="9" t="str">
        <f t="shared" si="43"/>
        <v/>
      </c>
      <c r="L3011" s="9" t="str">
        <f t="shared" si="44"/>
        <v/>
      </c>
      <c r="M3011" s="9"/>
      <c r="O3011" s="9"/>
    </row>
    <row r="3012" ht="15.75" customHeight="1">
      <c r="A3012" s="9" t="str">
        <f>IFERROR(__xludf.DUMMYFUNCTION("IF(B3012="""","""",RIGHT(REGEXREPLACE(B3012&amp;"""",""[^0-9]"",""""),9))"),"718605823")</f>
        <v>718605823</v>
      </c>
      <c r="B3012" s="48">
        <v>7.18605823E8</v>
      </c>
      <c r="C3012" s="10" t="s">
        <v>3084</v>
      </c>
      <c r="D3012" s="10" t="s">
        <v>50</v>
      </c>
      <c r="E3012" s="13">
        <v>46230.0</v>
      </c>
      <c r="F3012" s="10" t="s">
        <v>35</v>
      </c>
      <c r="G3012" s="10">
        <v>11.0</v>
      </c>
      <c r="I3012" s="10" t="s">
        <v>22</v>
      </c>
      <c r="J3012" s="9" t="str">
        <f t="shared" si="42"/>
        <v>No</v>
      </c>
      <c r="K3012" s="9" t="str">
        <f t="shared" si="43"/>
        <v/>
      </c>
      <c r="L3012" s="9" t="str">
        <f t="shared" si="44"/>
        <v/>
      </c>
      <c r="M3012" s="9"/>
      <c r="O3012" s="9"/>
    </row>
    <row r="3013" ht="15.75" customHeight="1">
      <c r="A3013" s="9" t="str">
        <f>IFERROR(__xludf.DUMMYFUNCTION("IF(B3013="""","""",RIGHT(REGEXREPLACE(B3013&amp;"""",""[^0-9]"",""""),9))"),"713353043")</f>
        <v>713353043</v>
      </c>
      <c r="B3013" s="48">
        <v>7.13353043E8</v>
      </c>
      <c r="C3013" s="10" t="s">
        <v>3085</v>
      </c>
      <c r="D3013" s="10" t="s">
        <v>34</v>
      </c>
      <c r="E3013" s="13">
        <v>46230.0</v>
      </c>
      <c r="F3013" s="10" t="s">
        <v>35</v>
      </c>
      <c r="G3013" s="10">
        <v>11.0</v>
      </c>
      <c r="H3013" s="10" t="s">
        <v>2526</v>
      </c>
      <c r="I3013" s="10" t="s">
        <v>22</v>
      </c>
      <c r="J3013" s="9" t="str">
        <f t="shared" si="42"/>
        <v>No</v>
      </c>
      <c r="K3013" s="9" t="str">
        <f t="shared" si="43"/>
        <v/>
      </c>
      <c r="L3013" s="9" t="str">
        <f t="shared" si="44"/>
        <v/>
      </c>
      <c r="M3013" s="9"/>
      <c r="O3013" s="9"/>
    </row>
    <row r="3014" ht="15.75" customHeight="1">
      <c r="A3014" s="9" t="str">
        <f>IFERROR(__xludf.DUMMYFUNCTION("IF(B3014="""","""",RIGHT(REGEXREPLACE(B3014&amp;"""",""[^0-9]"",""""),9))"),"712318003")</f>
        <v>712318003</v>
      </c>
      <c r="B3014" s="48">
        <v>7.12318003E8</v>
      </c>
      <c r="C3014" s="10" t="s">
        <v>3086</v>
      </c>
      <c r="D3014" s="10" t="s">
        <v>105</v>
      </c>
      <c r="E3014" s="13">
        <v>46230.0</v>
      </c>
      <c r="F3014" s="10" t="s">
        <v>198</v>
      </c>
      <c r="G3014" s="10">
        <v>11.0</v>
      </c>
      <c r="I3014" s="10" t="s">
        <v>22</v>
      </c>
      <c r="J3014" s="9" t="str">
        <f t="shared" si="42"/>
        <v>No</v>
      </c>
      <c r="K3014" s="9" t="str">
        <f t="shared" si="43"/>
        <v/>
      </c>
      <c r="L3014" s="9" t="str">
        <f t="shared" si="44"/>
        <v/>
      </c>
      <c r="M3014" s="9"/>
      <c r="O3014" s="9"/>
    </row>
    <row r="3015" ht="15.75" customHeight="1">
      <c r="A3015" s="9" t="str">
        <f>IFERROR(__xludf.DUMMYFUNCTION("IF(B3015="""","""",RIGHT(REGEXREPLACE(B3015&amp;"""",""[^0-9]"",""""),9))"),"779569777")</f>
        <v>779569777</v>
      </c>
      <c r="B3015" s="48">
        <v>7.79569777E8</v>
      </c>
      <c r="C3015" s="10" t="s">
        <v>3087</v>
      </c>
      <c r="D3015" s="10" t="s">
        <v>97</v>
      </c>
      <c r="E3015" s="13">
        <v>46230.0</v>
      </c>
      <c r="F3015" s="10" t="s">
        <v>35</v>
      </c>
      <c r="G3015" s="10">
        <v>11.0</v>
      </c>
      <c r="H3015" s="10" t="s">
        <v>1448</v>
      </c>
      <c r="I3015" s="10" t="s">
        <v>22</v>
      </c>
      <c r="J3015" s="9" t="str">
        <f t="shared" si="42"/>
        <v>No</v>
      </c>
      <c r="K3015" s="9" t="str">
        <f t="shared" si="43"/>
        <v/>
      </c>
      <c r="L3015" s="9" t="str">
        <f t="shared" si="44"/>
        <v/>
      </c>
      <c r="M3015" s="9"/>
      <c r="O3015" s="9"/>
    </row>
    <row r="3016" ht="15.75" customHeight="1">
      <c r="A3016" s="9" t="str">
        <f>IFERROR(__xludf.DUMMYFUNCTION("IF(B3016="""","""",RIGHT(REGEXREPLACE(B3016&amp;"""",""[^0-9]"",""""),9))"),"714295436")</f>
        <v>714295436</v>
      </c>
      <c r="B3016" s="48">
        <v>7.14295436E8</v>
      </c>
      <c r="C3016" s="10" t="s">
        <v>2445</v>
      </c>
      <c r="D3016" s="10" t="s">
        <v>50</v>
      </c>
      <c r="E3016" s="13">
        <v>46230.0</v>
      </c>
      <c r="F3016" s="10" t="s">
        <v>604</v>
      </c>
      <c r="G3016" s="10">
        <v>10.0</v>
      </c>
      <c r="I3016" s="10" t="s">
        <v>22</v>
      </c>
      <c r="J3016" s="9" t="str">
        <f t="shared" si="42"/>
        <v>Yes - see Previous F-Code</v>
      </c>
      <c r="K3016" s="9" t="str">
        <f t="shared" si="43"/>
        <v>DUPLICATE - CHECK</v>
      </c>
      <c r="L3016" s="9" t="str">
        <f t="shared" si="44"/>
        <v>F72216</v>
      </c>
      <c r="M3016" s="9"/>
      <c r="O3016" s="9"/>
    </row>
    <row r="3017" ht="15.75" customHeight="1">
      <c r="A3017" s="9" t="str">
        <f>IFERROR(__xludf.DUMMYFUNCTION("IF(B3017="""","""",RIGHT(REGEXREPLACE(B3017&amp;"""",""[^0-9]"",""""),9))"),"765835234")</f>
        <v>765835234</v>
      </c>
      <c r="B3017" s="48">
        <v>7.65835234E8</v>
      </c>
      <c r="C3017" s="10" t="s">
        <v>3088</v>
      </c>
      <c r="D3017" s="10" t="s">
        <v>120</v>
      </c>
      <c r="E3017" s="13">
        <v>46230.0</v>
      </c>
      <c r="F3017" s="10" t="s">
        <v>35</v>
      </c>
      <c r="G3017" s="10">
        <v>11.0</v>
      </c>
      <c r="I3017" s="10" t="s">
        <v>22</v>
      </c>
      <c r="J3017" s="9" t="str">
        <f t="shared" si="42"/>
        <v>No</v>
      </c>
      <c r="K3017" s="9" t="str">
        <f t="shared" si="43"/>
        <v/>
      </c>
      <c r="L3017" s="9" t="str">
        <f t="shared" si="44"/>
        <v/>
      </c>
      <c r="M3017" s="9"/>
      <c r="O3017" s="9"/>
    </row>
    <row r="3018" ht="15.75" customHeight="1">
      <c r="A3018" s="9" t="str">
        <f>IFERROR(__xludf.DUMMYFUNCTION("IF(B3018="""","""",RIGHT(REGEXREPLACE(B3018&amp;"""",""[^0-9]"",""""),9))"),"715540471")</f>
        <v>715540471</v>
      </c>
      <c r="B3018" s="48">
        <v>7.15540471E8</v>
      </c>
      <c r="C3018" s="10" t="s">
        <v>2181</v>
      </c>
      <c r="D3018" s="10" t="s">
        <v>34</v>
      </c>
      <c r="E3018" s="13">
        <v>46230.0</v>
      </c>
      <c r="F3018" s="10" t="s">
        <v>21</v>
      </c>
      <c r="G3018" s="10">
        <v>11.0</v>
      </c>
      <c r="I3018" s="10" t="s">
        <v>22</v>
      </c>
      <c r="J3018" s="9" t="str">
        <f t="shared" si="42"/>
        <v>Yes - see Previous F-Code</v>
      </c>
      <c r="K3018" s="9" t="str">
        <f t="shared" si="43"/>
        <v>DUPLICATE - CHECK</v>
      </c>
      <c r="L3018" s="9" t="str">
        <f t="shared" si="44"/>
        <v>F71955</v>
      </c>
      <c r="M3018" s="9"/>
      <c r="O3018" s="9"/>
    </row>
    <row r="3019" ht="15.75" customHeight="1">
      <c r="A3019" s="9" t="str">
        <f>IFERROR(__xludf.DUMMYFUNCTION("IF(B3019="""","""",RIGHT(REGEXREPLACE(B3019&amp;"""",""[^0-9]"",""""),9))"),"762407193")</f>
        <v>762407193</v>
      </c>
      <c r="B3019" s="48">
        <v>7.62407193E8</v>
      </c>
      <c r="C3019" s="10" t="s">
        <v>3089</v>
      </c>
      <c r="D3019" s="10" t="s">
        <v>50</v>
      </c>
      <c r="E3019" s="13">
        <v>46230.0</v>
      </c>
      <c r="F3019" s="10" t="s">
        <v>35</v>
      </c>
      <c r="G3019" s="10">
        <v>11.0</v>
      </c>
      <c r="I3019" s="10" t="s">
        <v>22</v>
      </c>
      <c r="J3019" s="9" t="str">
        <f t="shared" si="42"/>
        <v>No</v>
      </c>
      <c r="K3019" s="9" t="str">
        <f t="shared" si="43"/>
        <v/>
      </c>
      <c r="L3019" s="9" t="str">
        <f t="shared" si="44"/>
        <v/>
      </c>
      <c r="M3019" s="9"/>
      <c r="O3019" s="9"/>
    </row>
    <row r="3020" ht="15.75" customHeight="1">
      <c r="A3020" s="9" t="str">
        <f>IFERROR(__xludf.DUMMYFUNCTION("IF(B3020="""","""",RIGHT(REGEXREPLACE(B3020&amp;"""",""[^0-9]"",""""),9))"),"770780836")</f>
        <v>770780836</v>
      </c>
      <c r="B3020" s="48">
        <v>7.70780836E8</v>
      </c>
      <c r="C3020" s="10" t="s">
        <v>3090</v>
      </c>
      <c r="D3020" s="10" t="s">
        <v>105</v>
      </c>
      <c r="E3020" s="13">
        <v>46230.0</v>
      </c>
      <c r="F3020" s="10" t="s">
        <v>113</v>
      </c>
      <c r="I3020" s="10" t="s">
        <v>22</v>
      </c>
      <c r="J3020" s="9" t="str">
        <f t="shared" si="42"/>
        <v>No</v>
      </c>
      <c r="K3020" s="9" t="str">
        <f t="shared" si="43"/>
        <v/>
      </c>
      <c r="L3020" s="9" t="str">
        <f t="shared" si="44"/>
        <v/>
      </c>
      <c r="M3020" s="9"/>
      <c r="O3020" s="9"/>
    </row>
    <row r="3021" ht="15.75" customHeight="1">
      <c r="A3021" s="9" t="str">
        <f>IFERROR(__xludf.DUMMYFUNCTION("IF(B3021="""","""",RIGHT(REGEXREPLACE(B3021&amp;"""",""[^0-9]"",""""),9))"),"704699133")</f>
        <v>704699133</v>
      </c>
      <c r="B3021" s="48">
        <v>7.04699133E8</v>
      </c>
      <c r="C3021" s="10" t="s">
        <v>822</v>
      </c>
      <c r="D3021" s="10" t="s">
        <v>69</v>
      </c>
      <c r="E3021" s="13">
        <v>46230.0</v>
      </c>
      <c r="F3021" s="10" t="s">
        <v>604</v>
      </c>
      <c r="H3021" s="10" t="s">
        <v>737</v>
      </c>
      <c r="I3021" s="10" t="s">
        <v>22</v>
      </c>
      <c r="J3021" s="9" t="str">
        <f t="shared" si="42"/>
        <v>No</v>
      </c>
      <c r="K3021" s="9" t="str">
        <f t="shared" si="43"/>
        <v/>
      </c>
      <c r="L3021" s="9" t="str">
        <f t="shared" si="44"/>
        <v/>
      </c>
      <c r="M3021" s="9"/>
      <c r="O3021" s="9"/>
    </row>
    <row r="3022" ht="15.75" customHeight="1">
      <c r="A3022" s="9" t="str">
        <f>IFERROR(__xludf.DUMMYFUNCTION("IF(B3022="""","""",RIGHT(REGEXREPLACE(B3022&amp;"""",""[^0-9]"",""""),9))"),"778092427")</f>
        <v>778092427</v>
      </c>
      <c r="B3022" s="48">
        <v>7.78092427E8</v>
      </c>
      <c r="C3022" s="10" t="s">
        <v>3091</v>
      </c>
      <c r="D3022" s="10" t="s">
        <v>105</v>
      </c>
      <c r="E3022" s="13">
        <v>46230.0</v>
      </c>
      <c r="F3022" s="10" t="s">
        <v>35</v>
      </c>
      <c r="G3022" s="10">
        <v>11.0</v>
      </c>
      <c r="I3022" s="10" t="s">
        <v>22</v>
      </c>
      <c r="J3022" s="9" t="str">
        <f t="shared" si="42"/>
        <v>No</v>
      </c>
      <c r="K3022" s="9" t="str">
        <f t="shared" si="43"/>
        <v/>
      </c>
      <c r="L3022" s="9" t="str">
        <f t="shared" si="44"/>
        <v/>
      </c>
      <c r="M3022" s="9"/>
      <c r="O3022" s="9"/>
    </row>
    <row r="3023" ht="15.75" customHeight="1">
      <c r="A3023" s="9" t="str">
        <f>IFERROR(__xludf.DUMMYFUNCTION("IF(B3023="""","""",RIGHT(REGEXREPLACE(B3023&amp;"""",""[^0-9]"",""""),9))"),"705333976")</f>
        <v>705333976</v>
      </c>
      <c r="B3023" s="48">
        <v>7.05333976E8</v>
      </c>
      <c r="C3023" s="10" t="s">
        <v>888</v>
      </c>
      <c r="D3023" s="10" t="s">
        <v>50</v>
      </c>
      <c r="E3023" s="13">
        <v>46230.0</v>
      </c>
      <c r="F3023" s="10" t="s">
        <v>35</v>
      </c>
      <c r="G3023" s="10">
        <v>11.0</v>
      </c>
      <c r="I3023" s="10" t="s">
        <v>22</v>
      </c>
      <c r="J3023" s="9" t="str">
        <f t="shared" si="42"/>
        <v>Yes - see Previous F-Code</v>
      </c>
      <c r="K3023" s="9" t="str">
        <f t="shared" si="43"/>
        <v>DUPLICATE - CHECK</v>
      </c>
      <c r="L3023" s="9" t="str">
        <f t="shared" si="44"/>
        <v>F70714</v>
      </c>
      <c r="M3023" s="9"/>
      <c r="O3023" s="9"/>
    </row>
    <row r="3024" ht="15.75" customHeight="1">
      <c r="A3024" s="9" t="str">
        <f>IFERROR(__xludf.DUMMYFUNCTION("IF(B3024="""","""",RIGHT(REGEXREPLACE(B3024&amp;"""",""[^0-9]"",""""),9))"),"719642010")</f>
        <v>719642010</v>
      </c>
      <c r="B3024" s="48">
        <v>7.1964201E8</v>
      </c>
      <c r="C3024" s="10" t="s">
        <v>3092</v>
      </c>
      <c r="D3024" s="10" t="s">
        <v>69</v>
      </c>
      <c r="E3024" s="13">
        <v>46230.0</v>
      </c>
      <c r="F3024" s="10" t="s">
        <v>35</v>
      </c>
      <c r="G3024" s="10">
        <v>9.0</v>
      </c>
      <c r="H3024" s="10" t="s">
        <v>737</v>
      </c>
      <c r="I3024" s="10" t="s">
        <v>22</v>
      </c>
      <c r="J3024" s="9" t="str">
        <f t="shared" si="42"/>
        <v>No</v>
      </c>
      <c r="K3024" s="9" t="str">
        <f t="shared" si="43"/>
        <v/>
      </c>
      <c r="L3024" s="9" t="str">
        <f t="shared" si="44"/>
        <v/>
      </c>
      <c r="M3024" s="9"/>
      <c r="O3024" s="9"/>
    </row>
    <row r="3025" ht="15.75" customHeight="1">
      <c r="A3025" s="9" t="str">
        <f>IFERROR(__xludf.DUMMYFUNCTION("IF(B3025="""","""",RIGHT(REGEXREPLACE(B3025&amp;"""",""[^0-9]"",""""),9))"),"702742670")</f>
        <v>702742670</v>
      </c>
      <c r="B3025" s="48">
        <v>7.0274267E8</v>
      </c>
      <c r="C3025" s="10" t="s">
        <v>3092</v>
      </c>
      <c r="D3025" s="10" t="s">
        <v>97</v>
      </c>
      <c r="E3025" s="13">
        <v>46230.0</v>
      </c>
      <c r="F3025" s="10" t="s">
        <v>35</v>
      </c>
      <c r="G3025" s="10">
        <v>11.0</v>
      </c>
      <c r="H3025" s="10" t="s">
        <v>737</v>
      </c>
      <c r="I3025" s="10" t="s">
        <v>22</v>
      </c>
      <c r="J3025" s="9" t="str">
        <f t="shared" si="42"/>
        <v>Yes - see Previous F-Code</v>
      </c>
      <c r="K3025" s="9" t="str">
        <f t="shared" si="43"/>
        <v>DUPLICATE - CHECK</v>
      </c>
      <c r="L3025" s="9" t="str">
        <f t="shared" si="44"/>
        <v>F71852</v>
      </c>
      <c r="M3025" s="9"/>
      <c r="O3025" s="9"/>
    </row>
    <row r="3026" ht="15.75" customHeight="1">
      <c r="A3026" s="9" t="str">
        <f>IFERROR(__xludf.DUMMYFUNCTION("IF(B3026="""","""",RIGHT(REGEXREPLACE(B3026&amp;"""",""[^0-9]"",""""),9))"),"712951937")</f>
        <v>712951937</v>
      </c>
      <c r="B3026" s="48">
        <v>7.12951937E8</v>
      </c>
      <c r="C3026" s="10" t="s">
        <v>3093</v>
      </c>
      <c r="D3026" s="10" t="s">
        <v>120</v>
      </c>
      <c r="E3026" s="13">
        <v>46230.0</v>
      </c>
      <c r="F3026" s="10" t="s">
        <v>35</v>
      </c>
      <c r="G3026" s="10">
        <v>11.0</v>
      </c>
      <c r="I3026" s="10" t="s">
        <v>22</v>
      </c>
      <c r="J3026" s="9" t="str">
        <f t="shared" si="42"/>
        <v>No</v>
      </c>
      <c r="K3026" s="9" t="str">
        <f t="shared" si="43"/>
        <v/>
      </c>
      <c r="L3026" s="9" t="str">
        <f t="shared" si="44"/>
        <v/>
      </c>
      <c r="M3026" s="9"/>
      <c r="O3026" s="9"/>
    </row>
    <row r="3027" ht="15.75" customHeight="1">
      <c r="A3027" s="9" t="str">
        <f>IFERROR(__xludf.DUMMYFUNCTION("IF(B3027="""","""",RIGHT(REGEXREPLACE(B3027&amp;"""",""[^0-9]"",""""),9))"),"764873492")</f>
        <v>764873492</v>
      </c>
      <c r="B3027" s="48">
        <v>7.64873492E8</v>
      </c>
      <c r="C3027" s="10" t="s">
        <v>2202</v>
      </c>
      <c r="D3027" s="10" t="s">
        <v>34</v>
      </c>
      <c r="E3027" s="13">
        <v>46230.0</v>
      </c>
      <c r="F3027" s="10" t="s">
        <v>171</v>
      </c>
      <c r="H3027" s="10" t="s">
        <v>2526</v>
      </c>
      <c r="I3027" s="10" t="s">
        <v>22</v>
      </c>
      <c r="J3027" s="9" t="str">
        <f t="shared" si="42"/>
        <v>Yes - see Previous F-Code</v>
      </c>
      <c r="K3027" s="9" t="str">
        <f t="shared" si="43"/>
        <v>DUPLICATE - CHECK</v>
      </c>
      <c r="L3027" s="9" t="str">
        <f t="shared" si="44"/>
        <v>F71977</v>
      </c>
      <c r="M3027" s="9"/>
      <c r="O3027" s="9"/>
    </row>
    <row r="3028" ht="15.75" customHeight="1">
      <c r="A3028" s="9" t="str">
        <f>IFERROR(__xludf.DUMMYFUNCTION("IF(B3028="""","""",RIGHT(REGEXREPLACE(B3028&amp;"""",""[^0-9]"",""""),9))"),"756924082")</f>
        <v>756924082</v>
      </c>
      <c r="B3028" s="48">
        <v>7.56924082E8</v>
      </c>
      <c r="C3028" s="10" t="s">
        <v>3094</v>
      </c>
      <c r="D3028" s="10" t="s">
        <v>50</v>
      </c>
      <c r="E3028" s="13">
        <v>46230.0</v>
      </c>
      <c r="F3028" s="10" t="s">
        <v>35</v>
      </c>
      <c r="G3028" s="10">
        <v>10.0</v>
      </c>
      <c r="I3028" s="10" t="s">
        <v>22</v>
      </c>
      <c r="J3028" s="9" t="str">
        <f t="shared" si="42"/>
        <v>No</v>
      </c>
      <c r="K3028" s="9" t="str">
        <f t="shared" si="43"/>
        <v/>
      </c>
      <c r="L3028" s="9" t="str">
        <f t="shared" si="44"/>
        <v/>
      </c>
      <c r="M3028" s="9"/>
      <c r="O3028" s="9"/>
    </row>
    <row r="3029" ht="15.75" customHeight="1">
      <c r="A3029" s="9" t="str">
        <f>IFERROR(__xludf.DUMMYFUNCTION("IF(B3029="""","""",RIGHT(REGEXREPLACE(B3029&amp;"""",""[^0-9]"",""""),9))"),"715596326")</f>
        <v>715596326</v>
      </c>
      <c r="B3029" s="48">
        <v>7.15596326E8</v>
      </c>
      <c r="C3029" s="10" t="s">
        <v>3095</v>
      </c>
      <c r="D3029" s="10" t="s">
        <v>34</v>
      </c>
      <c r="E3029" s="13">
        <v>46230.0</v>
      </c>
      <c r="F3029" s="10" t="s">
        <v>35</v>
      </c>
      <c r="G3029" s="10">
        <v>11.0</v>
      </c>
      <c r="I3029" s="10" t="s">
        <v>22</v>
      </c>
      <c r="J3029" s="9" t="str">
        <f t="shared" si="42"/>
        <v>No</v>
      </c>
      <c r="K3029" s="9" t="str">
        <f t="shared" si="43"/>
        <v/>
      </c>
      <c r="L3029" s="9" t="str">
        <f t="shared" si="44"/>
        <v/>
      </c>
      <c r="M3029" s="9"/>
      <c r="O3029" s="9"/>
    </row>
    <row r="3030" ht="15.75" customHeight="1">
      <c r="A3030" s="9" t="str">
        <f>IFERROR(__xludf.DUMMYFUNCTION("IF(B3030="""","""",RIGHT(REGEXREPLACE(B3030&amp;"""",""[^0-9]"",""""),9))"),"764271585")</f>
        <v>764271585</v>
      </c>
      <c r="B3030" s="48">
        <v>7.64271585E8</v>
      </c>
      <c r="C3030" s="10" t="s">
        <v>3096</v>
      </c>
      <c r="D3030" s="10" t="s">
        <v>34</v>
      </c>
      <c r="E3030" s="13">
        <v>46230.0</v>
      </c>
      <c r="F3030" s="10" t="s">
        <v>198</v>
      </c>
      <c r="H3030" s="10" t="s">
        <v>2526</v>
      </c>
      <c r="I3030" s="10" t="s">
        <v>22</v>
      </c>
      <c r="J3030" s="9" t="str">
        <f t="shared" si="42"/>
        <v>No</v>
      </c>
      <c r="K3030" s="9" t="str">
        <f t="shared" si="43"/>
        <v/>
      </c>
      <c r="L3030" s="9" t="str">
        <f t="shared" si="44"/>
        <v/>
      </c>
      <c r="M3030" s="9"/>
      <c r="O3030" s="9"/>
    </row>
    <row r="3031" ht="15.75" customHeight="1">
      <c r="A3031" s="9" t="str">
        <f>IFERROR(__xludf.DUMMYFUNCTION("IF(B3031="""","""",RIGHT(REGEXREPLACE(B3031&amp;"""",""[^0-9]"",""""),9))"),"741964653")</f>
        <v>741964653</v>
      </c>
      <c r="B3031" s="48">
        <v>7.41964653E8</v>
      </c>
      <c r="C3031" s="10" t="s">
        <v>3097</v>
      </c>
      <c r="D3031" s="10" t="s">
        <v>105</v>
      </c>
      <c r="E3031" s="13">
        <v>46230.0</v>
      </c>
      <c r="F3031" s="10" t="s">
        <v>198</v>
      </c>
      <c r="I3031" s="10" t="s">
        <v>22</v>
      </c>
      <c r="J3031" s="9" t="str">
        <f t="shared" si="42"/>
        <v>No</v>
      </c>
      <c r="K3031" s="9" t="str">
        <f t="shared" si="43"/>
        <v/>
      </c>
      <c r="L3031" s="9" t="str">
        <f t="shared" si="44"/>
        <v/>
      </c>
      <c r="M3031" s="9"/>
      <c r="O3031" s="9"/>
    </row>
    <row r="3032" ht="15.75" customHeight="1">
      <c r="A3032" s="9" t="str">
        <f>IFERROR(__xludf.DUMMYFUNCTION("IF(B3032="""","""",RIGHT(REGEXREPLACE(B3032&amp;"""",""[^0-9]"",""""),9))"),"757628745")</f>
        <v>757628745</v>
      </c>
      <c r="B3032" s="48">
        <v>7.57628745E8</v>
      </c>
      <c r="C3032" s="10" t="s">
        <v>3098</v>
      </c>
      <c r="D3032" s="10" t="s">
        <v>120</v>
      </c>
      <c r="E3032" s="13">
        <v>46230.0</v>
      </c>
      <c r="F3032" s="10" t="s">
        <v>35</v>
      </c>
      <c r="G3032" s="10">
        <v>11.0</v>
      </c>
      <c r="I3032" s="10" t="s">
        <v>22</v>
      </c>
      <c r="J3032" s="9" t="str">
        <f t="shared" si="42"/>
        <v>No</v>
      </c>
      <c r="K3032" s="9" t="str">
        <f t="shared" si="43"/>
        <v/>
      </c>
      <c r="L3032" s="9" t="str">
        <f t="shared" si="44"/>
        <v/>
      </c>
      <c r="M3032" s="9"/>
      <c r="O3032" s="9"/>
    </row>
    <row r="3033" ht="15.75" customHeight="1">
      <c r="A3033" s="9" t="str">
        <f>IFERROR(__xludf.DUMMYFUNCTION("IF(B3033="""","""",RIGHT(REGEXREPLACE(B3033&amp;"""",""[^0-9]"",""""),9))"),"771827701")</f>
        <v>771827701</v>
      </c>
      <c r="B3033" s="48">
        <v>7.71827701E8</v>
      </c>
      <c r="C3033" s="10" t="s">
        <v>3099</v>
      </c>
      <c r="D3033" s="10" t="s">
        <v>50</v>
      </c>
      <c r="E3033" s="13">
        <v>46230.0</v>
      </c>
      <c r="F3033" s="10" t="s">
        <v>35</v>
      </c>
      <c r="G3033" s="10">
        <v>11.0</v>
      </c>
      <c r="I3033" s="10" t="s">
        <v>22</v>
      </c>
      <c r="J3033" s="9" t="str">
        <f t="shared" si="42"/>
        <v>No</v>
      </c>
      <c r="K3033" s="9" t="str">
        <f t="shared" si="43"/>
        <v/>
      </c>
      <c r="L3033" s="9" t="str">
        <f t="shared" si="44"/>
        <v/>
      </c>
      <c r="M3033" s="9"/>
      <c r="O3033" s="9"/>
    </row>
    <row r="3034" ht="15.75" customHeight="1">
      <c r="D3034" s="9"/>
      <c r="F3034" s="9"/>
      <c r="I3034" s="10" t="s">
        <v>22</v>
      </c>
      <c r="M3034" s="9"/>
      <c r="O3034" s="9"/>
    </row>
    <row r="3035" ht="15.75" customHeight="1">
      <c r="A3035" s="9" t="str">
        <f>IFERROR(__xludf.DUMMYFUNCTION("IF(B3035="""","""",RIGHT(REGEXREPLACE(B3035&amp;"""",""[^0-9]"",""""),9))"),"717317316")</f>
        <v>717317316</v>
      </c>
      <c r="B3035" s="48">
        <v>7.17317316E8</v>
      </c>
      <c r="C3035" s="10" t="s">
        <v>3100</v>
      </c>
      <c r="D3035" s="10" t="s">
        <v>34</v>
      </c>
      <c r="E3035" s="13">
        <v>46230.0</v>
      </c>
      <c r="F3035" s="10" t="s">
        <v>21</v>
      </c>
      <c r="H3035" s="10" t="s">
        <v>2526</v>
      </c>
      <c r="I3035" s="10" t="s">
        <v>22</v>
      </c>
      <c r="J3035" s="9" t="str">
        <f t="shared" ref="J3035:J3090" si="45">IF(COUNTIF($A$2:A3034,A3035)&gt;0,"Yes - see Previous F-Code","No")</f>
        <v>No</v>
      </c>
      <c r="K3035" s="9" t="str">
        <f t="shared" ref="K3035:K3090" si="46">IF(COUNTIFS($A$2:A3035,A3035,$I$2:I3035,I3035)&gt;1,"DUPLICATE - CHECK","")</f>
        <v/>
      </c>
      <c r="L3035" s="9" t="str">
        <f t="shared" ref="L3035:L3090" si="47">IF(COUNTIF($A$2:A3034,A3035)&gt;0,INDEX($C$2:C3034,MATCH(A3035,$A$2:A3034,0)),"")</f>
        <v/>
      </c>
      <c r="M3035" s="9"/>
      <c r="O3035" s="9"/>
    </row>
    <row r="3036" ht="15.75" customHeight="1">
      <c r="A3036" s="9" t="str">
        <f>IFERROR(__xludf.DUMMYFUNCTION("IF(B3036="""","""",RIGHT(REGEXREPLACE(B3036&amp;"""",""[^0-9]"",""""),9))"),"772046831")</f>
        <v>772046831</v>
      </c>
      <c r="B3036" s="48">
        <v>7.72046831E8</v>
      </c>
      <c r="C3036" s="10" t="s">
        <v>3101</v>
      </c>
      <c r="D3036" s="10" t="s">
        <v>97</v>
      </c>
      <c r="E3036" s="13">
        <v>46230.0</v>
      </c>
      <c r="F3036" s="10" t="s">
        <v>198</v>
      </c>
      <c r="H3036" s="10" t="s">
        <v>1448</v>
      </c>
      <c r="I3036" s="10" t="s">
        <v>22</v>
      </c>
      <c r="J3036" s="9" t="str">
        <f t="shared" si="45"/>
        <v>No</v>
      </c>
      <c r="K3036" s="9" t="str">
        <f t="shared" si="46"/>
        <v/>
      </c>
      <c r="L3036" s="9" t="str">
        <f t="shared" si="47"/>
        <v/>
      </c>
      <c r="M3036" s="9"/>
      <c r="O3036" s="9"/>
    </row>
    <row r="3037" ht="15.75" customHeight="1">
      <c r="A3037" s="9" t="str">
        <f>IFERROR(__xludf.DUMMYFUNCTION("IF(B3037="""","""",RIGHT(REGEXREPLACE(B3037&amp;"""",""[^0-9]"",""""),9))"),"753144494")</f>
        <v>753144494</v>
      </c>
      <c r="B3037" s="48">
        <v>7.53144494E8</v>
      </c>
      <c r="C3037" s="10" t="s">
        <v>3102</v>
      </c>
      <c r="D3037" s="10" t="s">
        <v>120</v>
      </c>
      <c r="E3037" s="13">
        <v>46230.0</v>
      </c>
      <c r="F3037" s="10" t="s">
        <v>35</v>
      </c>
      <c r="G3037" s="10">
        <v>10.0</v>
      </c>
      <c r="I3037" s="10" t="s">
        <v>22</v>
      </c>
      <c r="J3037" s="9" t="str">
        <f t="shared" si="45"/>
        <v>No</v>
      </c>
      <c r="K3037" s="9" t="str">
        <f t="shared" si="46"/>
        <v/>
      </c>
      <c r="L3037" s="9" t="str">
        <f t="shared" si="47"/>
        <v/>
      </c>
      <c r="M3037" s="9"/>
      <c r="O3037" s="9"/>
    </row>
    <row r="3038" ht="15.75" customHeight="1">
      <c r="A3038" s="9" t="str">
        <f>IFERROR(__xludf.DUMMYFUNCTION("IF(B3038="""","""",RIGHT(REGEXREPLACE(B3038&amp;"""",""[^0-9]"",""""),9))"),"712061318")</f>
        <v>712061318</v>
      </c>
      <c r="B3038" s="48">
        <v>7.12061318E8</v>
      </c>
      <c r="C3038" s="10" t="s">
        <v>2454</v>
      </c>
      <c r="D3038" s="10" t="s">
        <v>50</v>
      </c>
      <c r="E3038" s="13">
        <v>46230.0</v>
      </c>
      <c r="F3038" s="10" t="s">
        <v>21</v>
      </c>
      <c r="I3038" s="10" t="s">
        <v>22</v>
      </c>
      <c r="J3038" s="9" t="str">
        <f t="shared" si="45"/>
        <v>Yes - see Previous F-Code</v>
      </c>
      <c r="K3038" s="9" t="str">
        <f t="shared" si="46"/>
        <v>DUPLICATE - CHECK</v>
      </c>
      <c r="L3038" s="9" t="str">
        <f t="shared" si="47"/>
        <v>F72225</v>
      </c>
      <c r="M3038" s="9"/>
      <c r="O3038" s="9"/>
    </row>
    <row r="3039" ht="15.75" customHeight="1">
      <c r="A3039" s="9" t="str">
        <f>IFERROR(__xludf.DUMMYFUNCTION("IF(B3039="""","""",RIGHT(REGEXREPLACE(B3039&amp;"""",""[^0-9]"",""""),9))"),"772593599")</f>
        <v>772593599</v>
      </c>
      <c r="B3039" s="48">
        <v>7.72593599E8</v>
      </c>
      <c r="C3039" s="10" t="s">
        <v>3103</v>
      </c>
      <c r="D3039" s="10" t="s">
        <v>34</v>
      </c>
      <c r="E3039" s="13">
        <v>46230.0</v>
      </c>
      <c r="F3039" s="10" t="s">
        <v>145</v>
      </c>
      <c r="H3039" s="10" t="s">
        <v>2526</v>
      </c>
      <c r="I3039" s="10" t="s">
        <v>22</v>
      </c>
      <c r="J3039" s="9" t="str">
        <f t="shared" si="45"/>
        <v>No</v>
      </c>
      <c r="K3039" s="9" t="str">
        <f t="shared" si="46"/>
        <v/>
      </c>
      <c r="L3039" s="9" t="str">
        <f t="shared" si="47"/>
        <v/>
      </c>
      <c r="M3039" s="9"/>
      <c r="O3039" s="9"/>
    </row>
    <row r="3040" ht="15.75" customHeight="1">
      <c r="A3040" s="9" t="str">
        <f>IFERROR(__xludf.DUMMYFUNCTION("IF(B3040="""","""",RIGHT(REGEXREPLACE(B3040&amp;"""",""[^0-9]"",""""),9))"),"775741394")</f>
        <v>775741394</v>
      </c>
      <c r="B3040" s="48">
        <v>7.75741394E8</v>
      </c>
      <c r="C3040" s="10" t="s">
        <v>3104</v>
      </c>
      <c r="D3040" s="10" t="s">
        <v>105</v>
      </c>
      <c r="E3040" s="13">
        <v>46230.0</v>
      </c>
      <c r="F3040" s="10" t="s">
        <v>21</v>
      </c>
      <c r="I3040" s="10" t="s">
        <v>22</v>
      </c>
      <c r="J3040" s="9" t="str">
        <f t="shared" si="45"/>
        <v>No</v>
      </c>
      <c r="K3040" s="9" t="str">
        <f t="shared" si="46"/>
        <v/>
      </c>
      <c r="L3040" s="9" t="str">
        <f t="shared" si="47"/>
        <v/>
      </c>
      <c r="M3040" s="9"/>
      <c r="O3040" s="9"/>
    </row>
    <row r="3041" ht="15.75" customHeight="1">
      <c r="A3041" s="9" t="str">
        <f>IFERROR(__xludf.DUMMYFUNCTION("IF(B3041="""","""",RIGHT(REGEXREPLACE(B3041&amp;"""",""[^0-9]"",""""),9))"),"701393444")</f>
        <v>701393444</v>
      </c>
      <c r="B3041" s="48">
        <v>7.01393444E8</v>
      </c>
      <c r="C3041" s="10" t="s">
        <v>3104</v>
      </c>
      <c r="D3041" s="10" t="s">
        <v>97</v>
      </c>
      <c r="E3041" s="13">
        <v>46230.0</v>
      </c>
      <c r="F3041" s="10" t="s">
        <v>35</v>
      </c>
      <c r="G3041" s="10">
        <v>11.0</v>
      </c>
      <c r="H3041" s="10" t="s">
        <v>1448</v>
      </c>
      <c r="I3041" s="10" t="s">
        <v>22</v>
      </c>
      <c r="J3041" s="9" t="str">
        <f t="shared" si="45"/>
        <v>No</v>
      </c>
      <c r="K3041" s="9" t="str">
        <f t="shared" si="46"/>
        <v/>
      </c>
      <c r="L3041" s="9" t="str">
        <f t="shared" si="47"/>
        <v/>
      </c>
      <c r="M3041" s="9"/>
      <c r="O3041" s="9"/>
    </row>
    <row r="3042" ht="15.75" customHeight="1">
      <c r="A3042" s="9" t="str">
        <f>IFERROR(__xludf.DUMMYFUNCTION("IF(B3042="""","""",RIGHT(REGEXREPLACE(B3042&amp;"""",""[^0-9]"",""""),9))"),"723837659")</f>
        <v>723837659</v>
      </c>
      <c r="B3042" s="48">
        <v>7.23837659E8</v>
      </c>
      <c r="C3042" s="10" t="s">
        <v>3105</v>
      </c>
      <c r="D3042" s="10" t="s">
        <v>34</v>
      </c>
      <c r="E3042" s="13">
        <v>46230.0</v>
      </c>
      <c r="F3042" s="10" t="s">
        <v>35</v>
      </c>
      <c r="G3042" s="10">
        <v>11.0</v>
      </c>
      <c r="I3042" s="10" t="s">
        <v>22</v>
      </c>
      <c r="J3042" s="9" t="str">
        <f t="shared" si="45"/>
        <v>No</v>
      </c>
      <c r="K3042" s="9" t="str">
        <f t="shared" si="46"/>
        <v/>
      </c>
      <c r="L3042" s="9" t="str">
        <f t="shared" si="47"/>
        <v/>
      </c>
      <c r="M3042" s="9"/>
      <c r="O3042" s="9"/>
    </row>
    <row r="3043" ht="15.75" customHeight="1">
      <c r="A3043" s="9" t="str">
        <f>IFERROR(__xludf.DUMMYFUNCTION("IF(B3043="""","""",RIGHT(REGEXREPLACE(B3043&amp;"""",""[^0-9]"",""""),9))"),"777815389")</f>
        <v>777815389</v>
      </c>
      <c r="B3043" s="48">
        <v>7.77815389E8</v>
      </c>
      <c r="C3043" s="10" t="s">
        <v>3106</v>
      </c>
      <c r="D3043" s="10" t="s">
        <v>50</v>
      </c>
      <c r="E3043" s="13">
        <v>46230.0</v>
      </c>
      <c r="F3043" s="10" t="s">
        <v>604</v>
      </c>
      <c r="I3043" s="10" t="s">
        <v>22</v>
      </c>
      <c r="J3043" s="9" t="str">
        <f t="shared" si="45"/>
        <v>No</v>
      </c>
      <c r="K3043" s="9" t="str">
        <f t="shared" si="46"/>
        <v/>
      </c>
      <c r="L3043" s="9" t="str">
        <f t="shared" si="47"/>
        <v/>
      </c>
      <c r="M3043" s="9"/>
      <c r="O3043" s="9"/>
    </row>
    <row r="3044" ht="15.75" customHeight="1">
      <c r="A3044" s="9" t="str">
        <f>IFERROR(__xludf.DUMMYFUNCTION("IF(B3044="""","""",RIGHT(REGEXREPLACE(B3044&amp;"""",""[^0-9]"",""""),9))"),"740686823")</f>
        <v>740686823</v>
      </c>
      <c r="B3044" s="48">
        <v>7.40686823E8</v>
      </c>
      <c r="C3044" s="10" t="s">
        <v>3107</v>
      </c>
      <c r="D3044" s="10" t="s">
        <v>69</v>
      </c>
      <c r="E3044" s="13">
        <v>46230.0</v>
      </c>
      <c r="F3044" s="10" t="s">
        <v>35</v>
      </c>
      <c r="G3044" s="10">
        <v>9.0</v>
      </c>
      <c r="H3044" s="10" t="s">
        <v>737</v>
      </c>
      <c r="I3044" s="10" t="s">
        <v>22</v>
      </c>
      <c r="J3044" s="9" t="str">
        <f t="shared" si="45"/>
        <v>No</v>
      </c>
      <c r="K3044" s="9" t="str">
        <f t="shared" si="46"/>
        <v/>
      </c>
      <c r="L3044" s="9" t="str">
        <f t="shared" si="47"/>
        <v/>
      </c>
      <c r="M3044" s="9"/>
      <c r="O3044" s="9"/>
    </row>
    <row r="3045" ht="15.75" customHeight="1">
      <c r="A3045" s="9" t="str">
        <f>IFERROR(__xludf.DUMMYFUNCTION("IF(B3045="""","""",RIGHT(REGEXREPLACE(B3045&amp;"""",""[^0-9]"",""""),9))"),"715300936")</f>
        <v>715300936</v>
      </c>
      <c r="B3045" s="48">
        <v>7.15300936E8</v>
      </c>
      <c r="C3045" s="10" t="s">
        <v>3107</v>
      </c>
      <c r="D3045" s="10" t="s">
        <v>120</v>
      </c>
      <c r="E3045" s="13">
        <v>46230.0</v>
      </c>
      <c r="F3045" s="10" t="s">
        <v>21</v>
      </c>
      <c r="I3045" s="10" t="s">
        <v>22</v>
      </c>
      <c r="J3045" s="9" t="str">
        <f t="shared" si="45"/>
        <v>No</v>
      </c>
      <c r="K3045" s="9" t="str">
        <f t="shared" si="46"/>
        <v/>
      </c>
      <c r="L3045" s="9" t="str">
        <f t="shared" si="47"/>
        <v/>
      </c>
      <c r="M3045" s="9"/>
      <c r="O3045" s="9"/>
    </row>
    <row r="3046" ht="15.75" customHeight="1">
      <c r="A3046" s="9" t="str">
        <f>IFERROR(__xludf.DUMMYFUNCTION("IF(B3046="""","""",RIGHT(REGEXREPLACE(B3046&amp;"""",""[^0-9]"",""""),9))"),"762108487")</f>
        <v>762108487</v>
      </c>
      <c r="B3046" s="48">
        <v>7.62108487E8</v>
      </c>
      <c r="C3046" s="10" t="s">
        <v>3108</v>
      </c>
      <c r="D3046" s="10" t="s">
        <v>105</v>
      </c>
      <c r="E3046" s="13">
        <v>46230.0</v>
      </c>
      <c r="F3046" s="10" t="s">
        <v>604</v>
      </c>
      <c r="I3046" s="10" t="s">
        <v>22</v>
      </c>
      <c r="J3046" s="9" t="str">
        <f t="shared" si="45"/>
        <v>No</v>
      </c>
      <c r="K3046" s="9" t="str">
        <f t="shared" si="46"/>
        <v/>
      </c>
      <c r="L3046" s="9" t="str">
        <f t="shared" si="47"/>
        <v/>
      </c>
      <c r="M3046" s="9"/>
      <c r="O3046" s="9"/>
    </row>
    <row r="3047" ht="15.75" customHeight="1">
      <c r="A3047" s="9" t="str">
        <f>IFERROR(__xludf.DUMMYFUNCTION("IF(B3047="""","""",RIGHT(REGEXREPLACE(B3047&amp;"""",""[^0-9]"",""""),9))"),"771945401")</f>
        <v>771945401</v>
      </c>
      <c r="B3047" s="48">
        <v>7.71945401E8</v>
      </c>
      <c r="C3047" s="10" t="s">
        <v>3109</v>
      </c>
      <c r="D3047" s="10" t="s">
        <v>97</v>
      </c>
      <c r="E3047" s="13">
        <v>46230.0</v>
      </c>
      <c r="F3047" s="10" t="s">
        <v>198</v>
      </c>
      <c r="H3047" s="10" t="s">
        <v>1448</v>
      </c>
      <c r="I3047" s="10" t="s">
        <v>22</v>
      </c>
      <c r="J3047" s="9" t="str">
        <f t="shared" si="45"/>
        <v>No</v>
      </c>
      <c r="K3047" s="9" t="str">
        <f t="shared" si="46"/>
        <v/>
      </c>
      <c r="L3047" s="9" t="str">
        <f t="shared" si="47"/>
        <v/>
      </c>
      <c r="M3047" s="9"/>
      <c r="O3047" s="9"/>
    </row>
    <row r="3048" ht="15.75" customHeight="1">
      <c r="A3048" s="9" t="str">
        <f>IFERROR(__xludf.DUMMYFUNCTION("IF(B3048="""","""",RIGHT(REGEXREPLACE(B3048&amp;"""",""[^0-9]"",""""),9))"),"764581241")</f>
        <v>764581241</v>
      </c>
      <c r="B3048" s="48">
        <v>7.64581241E8</v>
      </c>
      <c r="C3048" s="10" t="s">
        <v>3110</v>
      </c>
      <c r="D3048" s="10" t="s">
        <v>50</v>
      </c>
      <c r="E3048" s="13">
        <v>46230.0</v>
      </c>
      <c r="F3048" s="10" t="s">
        <v>171</v>
      </c>
      <c r="I3048" s="10" t="s">
        <v>22</v>
      </c>
      <c r="J3048" s="9" t="str">
        <f t="shared" si="45"/>
        <v>No</v>
      </c>
      <c r="K3048" s="9" t="str">
        <f t="shared" si="46"/>
        <v/>
      </c>
      <c r="L3048" s="9" t="str">
        <f t="shared" si="47"/>
        <v/>
      </c>
      <c r="M3048" s="9"/>
      <c r="O3048" s="9"/>
    </row>
    <row r="3049" ht="15.75" customHeight="1">
      <c r="A3049" s="9" t="str">
        <f>IFERROR(__xludf.DUMMYFUNCTION("IF(B3049="""","""",RIGHT(REGEXREPLACE(B3049&amp;"""",""[^0-9]"",""""),9))"),"773884039")</f>
        <v>773884039</v>
      </c>
      <c r="B3049" s="48">
        <v>7.73884039E8</v>
      </c>
      <c r="C3049" s="10" t="s">
        <v>3111</v>
      </c>
      <c r="D3049" s="10" t="s">
        <v>105</v>
      </c>
      <c r="E3049" s="13">
        <v>46230.0</v>
      </c>
      <c r="F3049" s="10" t="s">
        <v>35</v>
      </c>
      <c r="G3049" s="10">
        <v>11.0</v>
      </c>
      <c r="I3049" s="10" t="s">
        <v>22</v>
      </c>
      <c r="J3049" s="9" t="str">
        <f t="shared" si="45"/>
        <v>No</v>
      </c>
      <c r="K3049" s="9" t="str">
        <f t="shared" si="46"/>
        <v/>
      </c>
      <c r="L3049" s="9" t="str">
        <f t="shared" si="47"/>
        <v/>
      </c>
      <c r="M3049" s="9"/>
      <c r="O3049" s="9"/>
    </row>
    <row r="3050" ht="15.75" customHeight="1">
      <c r="A3050" s="9" t="str">
        <f>IFERROR(__xludf.DUMMYFUNCTION("IF(B3050="""","""",RIGHT(REGEXREPLACE(B3050&amp;"""",""[^0-9]"",""""),9))"),"764409872")</f>
        <v>764409872</v>
      </c>
      <c r="B3050" s="48">
        <v>7.64409872E8</v>
      </c>
      <c r="C3050" s="10" t="s">
        <v>2312</v>
      </c>
      <c r="D3050" s="10" t="s">
        <v>50</v>
      </c>
      <c r="E3050" s="13">
        <v>46230.0</v>
      </c>
      <c r="F3050" s="10" t="s">
        <v>35</v>
      </c>
      <c r="G3050" s="10">
        <v>11.0</v>
      </c>
      <c r="I3050" s="10" t="s">
        <v>22</v>
      </c>
      <c r="J3050" s="9" t="str">
        <f t="shared" si="45"/>
        <v>Yes - see Previous F-Code</v>
      </c>
      <c r="K3050" s="9" t="str">
        <f t="shared" si="46"/>
        <v>DUPLICATE - CHECK</v>
      </c>
      <c r="L3050" s="9" t="str">
        <f t="shared" si="47"/>
        <v>F72084</v>
      </c>
      <c r="M3050" s="9"/>
      <c r="O3050" s="9"/>
    </row>
    <row r="3051" ht="15.75" customHeight="1">
      <c r="A3051" s="9" t="str">
        <f>IFERROR(__xludf.DUMMYFUNCTION("IF(B3051="""","""",RIGHT(REGEXREPLACE(B3051&amp;"""",""[^0-9]"",""""),9))"),"760952851")</f>
        <v>760952851</v>
      </c>
      <c r="B3051" s="48">
        <v>7.60952851E8</v>
      </c>
      <c r="C3051" s="10" t="s">
        <v>3112</v>
      </c>
      <c r="D3051" s="10" t="s">
        <v>120</v>
      </c>
      <c r="E3051" s="13">
        <v>46230.0</v>
      </c>
      <c r="F3051" s="10" t="s">
        <v>604</v>
      </c>
      <c r="I3051" s="10" t="s">
        <v>22</v>
      </c>
      <c r="J3051" s="9" t="str">
        <f t="shared" si="45"/>
        <v>No</v>
      </c>
      <c r="K3051" s="9" t="str">
        <f t="shared" si="46"/>
        <v/>
      </c>
      <c r="L3051" s="9" t="str">
        <f t="shared" si="47"/>
        <v/>
      </c>
      <c r="M3051" s="9"/>
      <c r="O3051" s="9"/>
    </row>
    <row r="3052" ht="15.75" customHeight="1">
      <c r="A3052" s="9" t="str">
        <f>IFERROR(__xludf.DUMMYFUNCTION("IF(B3052="""","""",RIGHT(REGEXREPLACE(B3052&amp;"""",""[^0-9]"",""""),9))"),"763038455")</f>
        <v>763038455</v>
      </c>
      <c r="B3052" s="48">
        <v>7.63038455E8</v>
      </c>
      <c r="C3052" s="10" t="s">
        <v>3107</v>
      </c>
      <c r="D3052" s="10" t="s">
        <v>34</v>
      </c>
      <c r="E3052" s="13">
        <v>46230.0</v>
      </c>
      <c r="F3052" s="10" t="s">
        <v>21</v>
      </c>
      <c r="H3052" s="10" t="s">
        <v>737</v>
      </c>
      <c r="I3052" s="10" t="s">
        <v>22</v>
      </c>
      <c r="J3052" s="9" t="str">
        <f t="shared" si="45"/>
        <v>Yes - see Previous F-Code</v>
      </c>
      <c r="K3052" s="9" t="str">
        <f t="shared" si="46"/>
        <v>DUPLICATE - CHECK</v>
      </c>
      <c r="L3052" s="9" t="str">
        <f t="shared" si="47"/>
        <v>F71742</v>
      </c>
      <c r="M3052" s="9"/>
      <c r="O3052" s="9"/>
    </row>
    <row r="3053" ht="15.75" customHeight="1">
      <c r="A3053" s="9" t="str">
        <f>IFERROR(__xludf.DUMMYFUNCTION("IF(B3053="""","""",RIGHT(REGEXREPLACE(B3053&amp;"""",""[^0-9]"",""""),9))"),"701893411")</f>
        <v>701893411</v>
      </c>
      <c r="B3053" s="48">
        <v>7.01893411E8</v>
      </c>
      <c r="C3053" s="10" t="s">
        <v>3107</v>
      </c>
      <c r="D3053" s="10" t="s">
        <v>97</v>
      </c>
      <c r="E3053" s="13">
        <v>46230.0</v>
      </c>
      <c r="F3053" s="10" t="s">
        <v>35</v>
      </c>
      <c r="G3053" s="10">
        <v>11.0</v>
      </c>
      <c r="H3053" s="10" t="s">
        <v>737</v>
      </c>
      <c r="I3053" s="10" t="s">
        <v>22</v>
      </c>
      <c r="J3053" s="9" t="str">
        <f t="shared" si="45"/>
        <v>No</v>
      </c>
      <c r="K3053" s="9" t="str">
        <f t="shared" si="46"/>
        <v/>
      </c>
      <c r="L3053" s="9" t="str">
        <f t="shared" si="47"/>
        <v/>
      </c>
      <c r="M3053" s="9"/>
      <c r="O3053" s="9"/>
    </row>
    <row r="3054" ht="15.75" customHeight="1">
      <c r="A3054" s="9" t="str">
        <f>IFERROR(__xludf.DUMMYFUNCTION("IF(B3054="""","""",RIGHT(REGEXREPLACE(B3054&amp;"""",""[^0-9]"",""""),9))"),"761203337")</f>
        <v>761203337</v>
      </c>
      <c r="B3054" s="48">
        <v>7.61203337E8</v>
      </c>
      <c r="C3054" s="10" t="s">
        <v>1960</v>
      </c>
      <c r="D3054" s="10" t="s">
        <v>69</v>
      </c>
      <c r="E3054" s="13">
        <v>46230.0</v>
      </c>
      <c r="F3054" s="10" t="s">
        <v>21</v>
      </c>
      <c r="H3054" s="10" t="s">
        <v>737</v>
      </c>
      <c r="I3054" s="10" t="s">
        <v>22</v>
      </c>
      <c r="J3054" s="9" t="str">
        <f t="shared" si="45"/>
        <v>No</v>
      </c>
      <c r="K3054" s="9" t="str">
        <f t="shared" si="46"/>
        <v/>
      </c>
      <c r="L3054" s="9" t="str">
        <f t="shared" si="47"/>
        <v/>
      </c>
      <c r="M3054" s="9"/>
      <c r="O3054" s="9"/>
    </row>
    <row r="3055" ht="15.75" customHeight="1">
      <c r="A3055" s="9" t="str">
        <f>IFERROR(__xludf.DUMMYFUNCTION("IF(B3055="""","""",RIGHT(REGEXREPLACE(B3055&amp;"""",""[^0-9]"",""""),9))"),"773530717")</f>
        <v>773530717</v>
      </c>
      <c r="B3055" s="48">
        <v>7.73530717E8</v>
      </c>
      <c r="C3055" s="10" t="s">
        <v>3113</v>
      </c>
      <c r="D3055" s="10" t="s">
        <v>120</v>
      </c>
      <c r="E3055" s="13">
        <v>46230.0</v>
      </c>
      <c r="F3055" s="10" t="s">
        <v>35</v>
      </c>
      <c r="G3055" s="10">
        <v>11.0</v>
      </c>
      <c r="I3055" s="10" t="s">
        <v>22</v>
      </c>
      <c r="J3055" s="9" t="str">
        <f t="shared" si="45"/>
        <v>No</v>
      </c>
      <c r="K3055" s="9" t="str">
        <f t="shared" si="46"/>
        <v/>
      </c>
      <c r="L3055" s="9" t="str">
        <f t="shared" si="47"/>
        <v/>
      </c>
      <c r="M3055" s="9"/>
      <c r="O3055" s="9"/>
    </row>
    <row r="3056" ht="15.75" customHeight="1">
      <c r="A3056" s="9" t="str">
        <f>IFERROR(__xludf.DUMMYFUNCTION("IF(B3056="""","""",RIGHT(REGEXREPLACE(B3056&amp;"""",""[^0-9]"",""""),9))"),"704839874")</f>
        <v>704839874</v>
      </c>
      <c r="B3056" s="48">
        <v>7.04839874E8</v>
      </c>
      <c r="C3056" s="10" t="s">
        <v>3114</v>
      </c>
      <c r="D3056" s="10" t="s">
        <v>50</v>
      </c>
      <c r="E3056" s="13">
        <v>46230.0</v>
      </c>
      <c r="F3056" s="10" t="s">
        <v>21</v>
      </c>
      <c r="I3056" s="10" t="s">
        <v>22</v>
      </c>
      <c r="J3056" s="9" t="str">
        <f t="shared" si="45"/>
        <v>No</v>
      </c>
      <c r="K3056" s="9" t="str">
        <f t="shared" si="46"/>
        <v/>
      </c>
      <c r="L3056" s="9" t="str">
        <f t="shared" si="47"/>
        <v/>
      </c>
      <c r="M3056" s="9"/>
      <c r="O3056" s="9"/>
    </row>
    <row r="3057" ht="15.75" customHeight="1">
      <c r="A3057" s="9" t="str">
        <f>IFERROR(__xludf.DUMMYFUNCTION("IF(B3057="""","""",RIGHT(REGEXREPLACE(B3057&amp;"""",""[^0-9]"",""""),9))"),"757693737")</f>
        <v>757693737</v>
      </c>
      <c r="B3057" s="48">
        <v>7.57693737E8</v>
      </c>
      <c r="C3057" s="10" t="s">
        <v>3115</v>
      </c>
      <c r="D3057" s="10" t="s">
        <v>105</v>
      </c>
      <c r="E3057" s="13">
        <v>46230.0</v>
      </c>
      <c r="F3057" s="10" t="s">
        <v>21</v>
      </c>
      <c r="I3057" s="10" t="s">
        <v>22</v>
      </c>
      <c r="J3057" s="9" t="str">
        <f t="shared" si="45"/>
        <v>No</v>
      </c>
      <c r="K3057" s="9" t="str">
        <f t="shared" si="46"/>
        <v/>
      </c>
      <c r="L3057" s="9" t="str">
        <f t="shared" si="47"/>
        <v/>
      </c>
      <c r="M3057" s="9"/>
      <c r="O3057" s="9"/>
    </row>
    <row r="3058" ht="15.75" customHeight="1">
      <c r="A3058" s="9" t="str">
        <f>IFERROR(__xludf.DUMMYFUNCTION("IF(B3058="""","""",RIGHT(REGEXREPLACE(B3058&amp;"""",""[^0-9]"",""""),9))"),"759107333")</f>
        <v>759107333</v>
      </c>
      <c r="B3058" s="48">
        <v>7.59107333E8</v>
      </c>
      <c r="C3058" s="10" t="s">
        <v>2331</v>
      </c>
      <c r="D3058" s="10" t="s">
        <v>69</v>
      </c>
      <c r="E3058" s="13">
        <v>46230.0</v>
      </c>
      <c r="F3058" s="10" t="s">
        <v>35</v>
      </c>
      <c r="H3058" s="10" t="s">
        <v>3116</v>
      </c>
      <c r="I3058" s="10" t="s">
        <v>22</v>
      </c>
      <c r="J3058" s="9" t="str">
        <f t="shared" si="45"/>
        <v>No</v>
      </c>
      <c r="K3058" s="9" t="str">
        <f t="shared" si="46"/>
        <v/>
      </c>
      <c r="L3058" s="9" t="str">
        <f t="shared" si="47"/>
        <v/>
      </c>
      <c r="M3058" s="9"/>
      <c r="O3058" s="9"/>
    </row>
    <row r="3059" ht="15.75" customHeight="1">
      <c r="A3059" s="9" t="str">
        <f>IFERROR(__xludf.DUMMYFUNCTION("IF(B3059="""","""",RIGHT(REGEXREPLACE(B3059&amp;"""",""[^0-9]"",""""),9))"),"715749064")</f>
        <v>715749064</v>
      </c>
      <c r="B3059" s="48">
        <v>7.15749064E8</v>
      </c>
      <c r="C3059" s="10" t="s">
        <v>3117</v>
      </c>
      <c r="D3059" s="10" t="s">
        <v>34</v>
      </c>
      <c r="E3059" s="13">
        <v>46230.0</v>
      </c>
      <c r="F3059" s="10" t="s">
        <v>21</v>
      </c>
      <c r="I3059" s="10" t="s">
        <v>22</v>
      </c>
      <c r="J3059" s="9" t="str">
        <f t="shared" si="45"/>
        <v>No</v>
      </c>
      <c r="K3059" s="9" t="str">
        <f t="shared" si="46"/>
        <v/>
      </c>
      <c r="L3059" s="9" t="str">
        <f t="shared" si="47"/>
        <v/>
      </c>
      <c r="M3059" s="9"/>
      <c r="O3059" s="9"/>
    </row>
    <row r="3060" ht="15.75" customHeight="1">
      <c r="A3060" s="9" t="str">
        <f>IFERROR(__xludf.DUMMYFUNCTION("IF(B3060="""","""",RIGHT(REGEXREPLACE(B3060&amp;"""",""[^0-9]"",""""),9))"),"770294470")</f>
        <v>770294470</v>
      </c>
      <c r="B3060" s="48">
        <v>7.7029447E8</v>
      </c>
      <c r="C3060" s="10" t="s">
        <v>3118</v>
      </c>
      <c r="D3060" s="10" t="s">
        <v>97</v>
      </c>
      <c r="E3060" s="13">
        <v>46230.0</v>
      </c>
      <c r="F3060" s="10" t="s">
        <v>648</v>
      </c>
      <c r="H3060" s="10" t="s">
        <v>737</v>
      </c>
      <c r="I3060" s="10" t="s">
        <v>22</v>
      </c>
      <c r="J3060" s="9" t="str">
        <f t="shared" si="45"/>
        <v>No</v>
      </c>
      <c r="K3060" s="9" t="str">
        <f t="shared" si="46"/>
        <v/>
      </c>
      <c r="L3060" s="9" t="str">
        <f t="shared" si="47"/>
        <v/>
      </c>
      <c r="M3060" s="9"/>
      <c r="O3060" s="9"/>
    </row>
    <row r="3061" ht="15.75" customHeight="1">
      <c r="A3061" s="9" t="str">
        <f>IFERROR(__xludf.DUMMYFUNCTION("IF(B3061="""","""",RIGHT(REGEXREPLACE(B3061&amp;"""",""[^0-9]"",""""),9))"),"718371844")</f>
        <v>718371844</v>
      </c>
      <c r="B3061" s="48">
        <v>7.18371844E8</v>
      </c>
      <c r="C3061" s="10" t="s">
        <v>3119</v>
      </c>
      <c r="D3061" s="10" t="s">
        <v>50</v>
      </c>
      <c r="E3061" s="13">
        <v>46230.0</v>
      </c>
      <c r="F3061" s="10" t="s">
        <v>35</v>
      </c>
      <c r="G3061" s="10">
        <v>11.0</v>
      </c>
      <c r="I3061" s="10" t="s">
        <v>22</v>
      </c>
      <c r="J3061" s="9" t="str">
        <f t="shared" si="45"/>
        <v>No</v>
      </c>
      <c r="K3061" s="9" t="str">
        <f t="shared" si="46"/>
        <v/>
      </c>
      <c r="L3061" s="9" t="str">
        <f t="shared" si="47"/>
        <v/>
      </c>
      <c r="M3061" s="9"/>
      <c r="O3061" s="9"/>
    </row>
    <row r="3062" ht="15.75" customHeight="1">
      <c r="A3062" s="9" t="str">
        <f>IFERROR(__xludf.DUMMYFUNCTION("IF(B3062="""","""",RIGHT(REGEXREPLACE(B3062&amp;"""",""[^0-9]"",""""),9))"),"761481061")</f>
        <v>761481061</v>
      </c>
      <c r="B3062" s="48">
        <v>7.61481061E8</v>
      </c>
      <c r="C3062" s="10" t="s">
        <v>3120</v>
      </c>
      <c r="D3062" s="10" t="s">
        <v>105</v>
      </c>
      <c r="E3062" s="13">
        <v>46230.0</v>
      </c>
      <c r="F3062" s="10" t="s">
        <v>21</v>
      </c>
      <c r="I3062" s="10" t="s">
        <v>22</v>
      </c>
      <c r="J3062" s="9" t="str">
        <f t="shared" si="45"/>
        <v>No</v>
      </c>
      <c r="K3062" s="9" t="str">
        <f t="shared" si="46"/>
        <v/>
      </c>
      <c r="L3062" s="9" t="str">
        <f t="shared" si="47"/>
        <v/>
      </c>
      <c r="M3062" s="9"/>
      <c r="O3062" s="9"/>
    </row>
    <row r="3063" ht="15.75" customHeight="1">
      <c r="A3063" s="9" t="str">
        <f>IFERROR(__xludf.DUMMYFUNCTION("IF(B3063="""","""",RIGHT(REGEXREPLACE(B3063&amp;"""",""[^0-9]"",""""),9))"),"770090530")</f>
        <v>770090530</v>
      </c>
      <c r="B3063" s="48">
        <v>7.7009053E8</v>
      </c>
      <c r="C3063" s="10" t="s">
        <v>2837</v>
      </c>
      <c r="D3063" s="10" t="s">
        <v>120</v>
      </c>
      <c r="E3063" s="13">
        <v>46230.0</v>
      </c>
      <c r="F3063" s="10" t="s">
        <v>35</v>
      </c>
      <c r="G3063" s="10">
        <v>11.0</v>
      </c>
      <c r="I3063" s="10" t="s">
        <v>22</v>
      </c>
      <c r="J3063" s="9" t="str">
        <f t="shared" si="45"/>
        <v>No</v>
      </c>
      <c r="K3063" s="9" t="str">
        <f t="shared" si="46"/>
        <v/>
      </c>
      <c r="L3063" s="9" t="str">
        <f t="shared" si="47"/>
        <v/>
      </c>
      <c r="M3063" s="9"/>
      <c r="O3063" s="9"/>
    </row>
    <row r="3064" ht="15.75" customHeight="1">
      <c r="A3064" s="9" t="str">
        <f>IFERROR(__xludf.DUMMYFUNCTION("IF(B3064="""","""",RIGHT(REGEXREPLACE(B3064&amp;"""",""[^0-9]"",""""),9))"),"772593599")</f>
        <v>772593599</v>
      </c>
      <c r="B3064" s="48">
        <v>7.72593599E8</v>
      </c>
      <c r="C3064" s="10" t="s">
        <v>3103</v>
      </c>
      <c r="D3064" s="10" t="s">
        <v>34</v>
      </c>
      <c r="E3064" s="13">
        <v>46230.0</v>
      </c>
      <c r="F3064" s="10" t="s">
        <v>35</v>
      </c>
      <c r="H3064" s="10" t="s">
        <v>3121</v>
      </c>
      <c r="I3064" s="10" t="s">
        <v>22</v>
      </c>
      <c r="J3064" s="9" t="str">
        <f t="shared" si="45"/>
        <v>Yes - see Previous F-Code</v>
      </c>
      <c r="K3064" s="9" t="str">
        <f t="shared" si="46"/>
        <v>DUPLICATE - CHECK</v>
      </c>
      <c r="L3064" s="9" t="str">
        <f t="shared" si="47"/>
        <v>F72820</v>
      </c>
      <c r="M3064" s="9"/>
      <c r="O3064" s="9"/>
    </row>
    <row r="3065" ht="15.75" customHeight="1">
      <c r="A3065" s="9" t="str">
        <f>IFERROR(__xludf.DUMMYFUNCTION("IF(B3065="""","""",RIGHT(REGEXREPLACE(B3065&amp;"""",""[^0-9]"",""""),9))"),"776023697")</f>
        <v>776023697</v>
      </c>
      <c r="B3065" s="48">
        <v>7.76023697E8</v>
      </c>
      <c r="C3065" s="10" t="s">
        <v>3103</v>
      </c>
      <c r="D3065" s="10" t="s">
        <v>97</v>
      </c>
      <c r="E3065" s="13">
        <v>46230.0</v>
      </c>
      <c r="F3065" s="10" t="s">
        <v>21</v>
      </c>
      <c r="H3065" s="10" t="s">
        <v>1448</v>
      </c>
      <c r="I3065" s="10" t="s">
        <v>22</v>
      </c>
      <c r="J3065" s="9" t="str">
        <f t="shared" si="45"/>
        <v>No</v>
      </c>
      <c r="K3065" s="9" t="str">
        <f t="shared" si="46"/>
        <v/>
      </c>
      <c r="L3065" s="9" t="str">
        <f t="shared" si="47"/>
        <v/>
      </c>
      <c r="M3065" s="9"/>
      <c r="O3065" s="9"/>
    </row>
    <row r="3066" ht="15.75" customHeight="1">
      <c r="A3066" s="9" t="str">
        <f>IFERROR(__xludf.DUMMYFUNCTION("IF(B3066="""","""",RIGHT(REGEXREPLACE(B3066&amp;"""",""[^0-9]"",""""),9))"),"768362815")</f>
        <v>768362815</v>
      </c>
      <c r="B3066" s="48">
        <v>7.68362815E8</v>
      </c>
      <c r="C3066" s="10" t="s">
        <v>3122</v>
      </c>
      <c r="D3066" s="10" t="s">
        <v>50</v>
      </c>
      <c r="E3066" s="13">
        <v>46230.0</v>
      </c>
      <c r="F3066" s="10" t="s">
        <v>35</v>
      </c>
      <c r="G3066" s="10">
        <v>11.0</v>
      </c>
      <c r="H3066" s="10" t="s">
        <v>3123</v>
      </c>
      <c r="I3066" s="10" t="s">
        <v>22</v>
      </c>
      <c r="J3066" s="9" t="str">
        <f t="shared" si="45"/>
        <v>No</v>
      </c>
      <c r="K3066" s="9" t="str">
        <f t="shared" si="46"/>
        <v/>
      </c>
      <c r="L3066" s="9" t="str">
        <f t="shared" si="47"/>
        <v/>
      </c>
      <c r="M3066" s="9"/>
      <c r="O3066" s="9"/>
    </row>
    <row r="3067" ht="15.75" customHeight="1">
      <c r="A3067" s="9" t="str">
        <f>IFERROR(__xludf.DUMMYFUNCTION("IF(B3067="""","""",RIGHT(REGEXREPLACE(B3067&amp;"""",""[^0-9]"",""""),9))"),"758558009")</f>
        <v>758558009</v>
      </c>
      <c r="B3067" s="48">
        <v>7.58558009E8</v>
      </c>
      <c r="C3067" s="10" t="s">
        <v>3124</v>
      </c>
      <c r="D3067" s="10" t="s">
        <v>120</v>
      </c>
      <c r="E3067" s="13">
        <v>46230.0</v>
      </c>
      <c r="F3067" s="10" t="s">
        <v>35</v>
      </c>
      <c r="G3067" s="10">
        <v>11.0</v>
      </c>
      <c r="I3067" s="10" t="s">
        <v>22</v>
      </c>
      <c r="J3067" s="9" t="str">
        <f t="shared" si="45"/>
        <v>No</v>
      </c>
      <c r="K3067" s="9" t="str">
        <f t="shared" si="46"/>
        <v/>
      </c>
      <c r="L3067" s="9" t="str">
        <f t="shared" si="47"/>
        <v/>
      </c>
      <c r="M3067" s="9"/>
      <c r="O3067" s="9"/>
    </row>
    <row r="3068" ht="15.75" customHeight="1">
      <c r="A3068" s="9" t="str">
        <f>IFERROR(__xludf.DUMMYFUNCTION("IF(B3068="""","""",RIGHT(REGEXREPLACE(B3068&amp;"""",""[^0-9]"",""""),9))"),"782096296")</f>
        <v>782096296</v>
      </c>
      <c r="B3068" s="48">
        <v>7.82096296E8</v>
      </c>
      <c r="C3068" s="10" t="s">
        <v>3125</v>
      </c>
      <c r="D3068" s="10" t="s">
        <v>105</v>
      </c>
      <c r="E3068" s="13">
        <v>46230.0</v>
      </c>
      <c r="F3068" s="10" t="s">
        <v>35</v>
      </c>
      <c r="I3068" s="10" t="s">
        <v>22</v>
      </c>
      <c r="J3068" s="9" t="str">
        <f t="shared" si="45"/>
        <v>No</v>
      </c>
      <c r="K3068" s="9" t="str">
        <f t="shared" si="46"/>
        <v/>
      </c>
      <c r="L3068" s="9" t="str">
        <f t="shared" si="47"/>
        <v/>
      </c>
      <c r="M3068" s="9"/>
      <c r="O3068" s="9"/>
    </row>
    <row r="3069" ht="15.75" customHeight="1">
      <c r="A3069" s="9" t="str">
        <f>IFERROR(__xludf.DUMMYFUNCTION("IF(B3069="""","""",RIGHT(REGEXREPLACE(B3069&amp;"""",""[^0-9]"",""""),9))"),"701873062")</f>
        <v>701873062</v>
      </c>
      <c r="B3069" s="48">
        <v>7.01873062E8</v>
      </c>
      <c r="C3069" s="10" t="s">
        <v>3126</v>
      </c>
      <c r="D3069" s="10" t="s">
        <v>34</v>
      </c>
      <c r="E3069" s="13">
        <v>46230.0</v>
      </c>
      <c r="F3069" s="10" t="s">
        <v>21</v>
      </c>
      <c r="I3069" s="10" t="s">
        <v>22</v>
      </c>
      <c r="J3069" s="9" t="str">
        <f t="shared" si="45"/>
        <v>No</v>
      </c>
      <c r="K3069" s="9" t="str">
        <f t="shared" si="46"/>
        <v/>
      </c>
      <c r="L3069" s="9" t="str">
        <f t="shared" si="47"/>
        <v/>
      </c>
      <c r="M3069" s="9"/>
      <c r="O3069" s="9"/>
    </row>
    <row r="3070" ht="15.75" customHeight="1">
      <c r="A3070" s="9" t="str">
        <f>IFERROR(__xludf.DUMMYFUNCTION("IF(B3070="""","""",RIGHT(REGEXREPLACE(B3070&amp;"""",""[^0-9]"",""""),9))"),"754827141")</f>
        <v>754827141</v>
      </c>
      <c r="B3070" s="48">
        <v>7.54827141E8</v>
      </c>
      <c r="C3070" s="10" t="s">
        <v>3105</v>
      </c>
      <c r="D3070" s="10" t="s">
        <v>97</v>
      </c>
      <c r="E3070" s="13">
        <v>46230.0</v>
      </c>
      <c r="F3070" s="10" t="s">
        <v>604</v>
      </c>
      <c r="G3070" s="10">
        <v>11.0</v>
      </c>
      <c r="H3070" s="10" t="s">
        <v>1448</v>
      </c>
      <c r="I3070" s="10" t="s">
        <v>22</v>
      </c>
      <c r="J3070" s="9" t="str">
        <f t="shared" si="45"/>
        <v>Yes - see Previous F-Code</v>
      </c>
      <c r="K3070" s="9" t="str">
        <f t="shared" si="46"/>
        <v>DUPLICATE - CHECK</v>
      </c>
      <c r="L3070" s="9" t="str">
        <f t="shared" si="47"/>
        <v>F71978</v>
      </c>
      <c r="M3070" s="9"/>
      <c r="O3070" s="9"/>
    </row>
    <row r="3071" ht="15.75" customHeight="1">
      <c r="A3071" s="9" t="str">
        <f>IFERROR(__xludf.DUMMYFUNCTION("IF(B3071="""","""",RIGHT(REGEXREPLACE(B3071&amp;"""",""[^0-9]"",""""),9))"),"710179990")</f>
        <v>710179990</v>
      </c>
      <c r="B3071" s="48">
        <v>7.1017999E8</v>
      </c>
      <c r="C3071" s="10" t="s">
        <v>3124</v>
      </c>
      <c r="D3071" s="10" t="s">
        <v>105</v>
      </c>
      <c r="E3071" s="13">
        <v>46230.0</v>
      </c>
      <c r="F3071" s="10" t="s">
        <v>21</v>
      </c>
      <c r="I3071" s="10" t="s">
        <v>22</v>
      </c>
      <c r="J3071" s="9" t="str">
        <f t="shared" si="45"/>
        <v>No</v>
      </c>
      <c r="K3071" s="9" t="str">
        <f t="shared" si="46"/>
        <v/>
      </c>
      <c r="L3071" s="9" t="str">
        <f t="shared" si="47"/>
        <v/>
      </c>
      <c r="M3071" s="9"/>
      <c r="O3071" s="9"/>
    </row>
    <row r="3072" ht="15.75" customHeight="1">
      <c r="A3072" s="9" t="str">
        <f>IFERROR(__xludf.DUMMYFUNCTION("IF(B3072="""","""",RIGHT(REGEXREPLACE(B3072&amp;"""",""[^0-9]"",""""),9))"),"701134644")</f>
        <v>701134644</v>
      </c>
      <c r="B3072" s="48">
        <v>7.01134644E8</v>
      </c>
      <c r="C3072" s="10" t="s">
        <v>3127</v>
      </c>
      <c r="D3072" s="10" t="s">
        <v>34</v>
      </c>
      <c r="E3072" s="13">
        <v>46230.0</v>
      </c>
      <c r="F3072" s="10" t="s">
        <v>35</v>
      </c>
      <c r="G3072" s="10">
        <v>11.0</v>
      </c>
      <c r="I3072" s="10" t="s">
        <v>22</v>
      </c>
      <c r="J3072" s="9" t="str">
        <f t="shared" si="45"/>
        <v>No</v>
      </c>
      <c r="K3072" s="9" t="str">
        <f t="shared" si="46"/>
        <v/>
      </c>
      <c r="L3072" s="9" t="str">
        <f t="shared" si="47"/>
        <v/>
      </c>
      <c r="M3072" s="9"/>
      <c r="O3072" s="9"/>
    </row>
    <row r="3073" ht="15.75" customHeight="1">
      <c r="A3073" s="9" t="str">
        <f>IFERROR(__xludf.DUMMYFUNCTION("IF(B3073="""","""",RIGHT(REGEXREPLACE(B3073&amp;"""",""[^0-9]"",""""),9))"),"767221254")</f>
        <v>767221254</v>
      </c>
      <c r="B3073" s="48">
        <v>7.67221254E8</v>
      </c>
      <c r="C3073" s="10" t="s">
        <v>3128</v>
      </c>
      <c r="D3073" s="10" t="s">
        <v>50</v>
      </c>
      <c r="E3073" s="13">
        <v>46230.0</v>
      </c>
      <c r="F3073" s="10" t="s">
        <v>21</v>
      </c>
      <c r="G3073" s="10">
        <v>11.0</v>
      </c>
      <c r="I3073" s="10" t="s">
        <v>22</v>
      </c>
      <c r="J3073" s="9" t="str">
        <f t="shared" si="45"/>
        <v>No</v>
      </c>
      <c r="K3073" s="9" t="str">
        <f t="shared" si="46"/>
        <v/>
      </c>
      <c r="L3073" s="9" t="str">
        <f t="shared" si="47"/>
        <v/>
      </c>
      <c r="M3073" s="9"/>
      <c r="O3073" s="9"/>
    </row>
    <row r="3074" ht="15.75" customHeight="1">
      <c r="A3074" s="9" t="str">
        <f>IFERROR(__xludf.DUMMYFUNCTION("IF(B3074="""","""",RIGHT(REGEXREPLACE(B3074&amp;"""",""[^0-9]"",""""),9))"),"742509960")</f>
        <v>742509960</v>
      </c>
      <c r="B3074" s="48">
        <v>7.4250996E8</v>
      </c>
      <c r="C3074" s="10" t="s">
        <v>3129</v>
      </c>
      <c r="D3074" s="10" t="s">
        <v>69</v>
      </c>
      <c r="E3074" s="13">
        <v>46230.0</v>
      </c>
      <c r="F3074" s="10" t="s">
        <v>21</v>
      </c>
      <c r="G3074" s="10">
        <v>11.0</v>
      </c>
      <c r="I3074" s="10" t="s">
        <v>22</v>
      </c>
      <c r="J3074" s="9" t="str">
        <f t="shared" si="45"/>
        <v>No</v>
      </c>
      <c r="K3074" s="9" t="str">
        <f t="shared" si="46"/>
        <v/>
      </c>
      <c r="L3074" s="9" t="str">
        <f t="shared" si="47"/>
        <v/>
      </c>
      <c r="M3074" s="9"/>
      <c r="O3074" s="9"/>
    </row>
    <row r="3075" ht="15.75" customHeight="1">
      <c r="A3075" s="9" t="str">
        <f>IFERROR(__xludf.DUMMYFUNCTION("IF(B3075="""","""",RIGHT(REGEXREPLACE(B3075&amp;"""",""[^0-9]"",""""),9))"),"764548763")</f>
        <v>764548763</v>
      </c>
      <c r="B3075" s="48">
        <v>7.64548763E8</v>
      </c>
      <c r="C3075" s="10" t="s">
        <v>3130</v>
      </c>
      <c r="D3075" s="10" t="s">
        <v>120</v>
      </c>
      <c r="E3075" s="13">
        <v>46230.0</v>
      </c>
      <c r="F3075" s="10" t="s">
        <v>35</v>
      </c>
      <c r="G3075" s="10">
        <v>11.0</v>
      </c>
      <c r="I3075" s="10" t="s">
        <v>22</v>
      </c>
      <c r="J3075" s="9" t="str">
        <f t="shared" si="45"/>
        <v>No</v>
      </c>
      <c r="K3075" s="9" t="str">
        <f t="shared" si="46"/>
        <v/>
      </c>
      <c r="L3075" s="9" t="str">
        <f t="shared" si="47"/>
        <v/>
      </c>
      <c r="M3075" s="9"/>
      <c r="O3075" s="9"/>
    </row>
    <row r="3076" ht="15.75" customHeight="1">
      <c r="A3076" s="9" t="str">
        <f>IFERROR(__xludf.DUMMYFUNCTION("IF(B3076="""","""",RIGHT(REGEXREPLACE(B3076&amp;"""",""[^0-9]"",""""),9))"),"754822460")</f>
        <v>754822460</v>
      </c>
      <c r="B3076" s="48">
        <v>7.5482246E8</v>
      </c>
      <c r="C3076" s="10" t="s">
        <v>3131</v>
      </c>
      <c r="D3076" s="10" t="s">
        <v>50</v>
      </c>
      <c r="E3076" s="13">
        <v>46230.0</v>
      </c>
      <c r="F3076" s="10" t="s">
        <v>21</v>
      </c>
      <c r="G3076" s="10">
        <v>11.0</v>
      </c>
      <c r="I3076" s="10" t="s">
        <v>22</v>
      </c>
      <c r="J3076" s="9" t="str">
        <f t="shared" si="45"/>
        <v>No</v>
      </c>
      <c r="K3076" s="9" t="str">
        <f t="shared" si="46"/>
        <v/>
      </c>
      <c r="L3076" s="9" t="str">
        <f t="shared" si="47"/>
        <v/>
      </c>
      <c r="M3076" s="9"/>
      <c r="O3076" s="9"/>
    </row>
    <row r="3077" ht="15.75" customHeight="1">
      <c r="A3077" s="9" t="str">
        <f>IFERROR(__xludf.DUMMYFUNCTION("IF(B3077="""","""",RIGHT(REGEXREPLACE(B3077&amp;"""",""[^0-9]"",""""),9))"),"703077307")</f>
        <v>703077307</v>
      </c>
      <c r="B3077" s="48">
        <v>7.03077307E8</v>
      </c>
      <c r="C3077" s="10" t="s">
        <v>3132</v>
      </c>
      <c r="D3077" s="10" t="s">
        <v>97</v>
      </c>
      <c r="E3077" s="13">
        <v>46230.0</v>
      </c>
      <c r="F3077" s="10" t="s">
        <v>35</v>
      </c>
      <c r="G3077" s="10">
        <v>11.0</v>
      </c>
      <c r="H3077" s="10" t="s">
        <v>737</v>
      </c>
      <c r="I3077" s="10" t="s">
        <v>22</v>
      </c>
      <c r="J3077" s="9" t="str">
        <f t="shared" si="45"/>
        <v>No</v>
      </c>
      <c r="K3077" s="9" t="str">
        <f t="shared" si="46"/>
        <v/>
      </c>
      <c r="L3077" s="9" t="str">
        <f t="shared" si="47"/>
        <v/>
      </c>
      <c r="M3077" s="9"/>
      <c r="O3077" s="9"/>
    </row>
    <row r="3078" ht="15.75" customHeight="1">
      <c r="A3078" s="9" t="str">
        <f>IFERROR(__xludf.DUMMYFUNCTION("IF(B3078="""","""",RIGHT(REGEXREPLACE(B3078&amp;"""",""[^0-9]"",""""),9))"),"784825515")</f>
        <v>784825515</v>
      </c>
      <c r="B3078" s="48">
        <v>7.84825515E8</v>
      </c>
      <c r="C3078" s="10" t="s">
        <v>2102</v>
      </c>
      <c r="D3078" s="10" t="s">
        <v>50</v>
      </c>
      <c r="E3078" s="13">
        <v>46230.0</v>
      </c>
      <c r="F3078" s="10" t="s">
        <v>21</v>
      </c>
      <c r="G3078" s="10">
        <v>10.0</v>
      </c>
      <c r="H3078" s="10" t="s">
        <v>2603</v>
      </c>
      <c r="I3078" s="10" t="s">
        <v>22</v>
      </c>
      <c r="J3078" s="9" t="str">
        <f t="shared" si="45"/>
        <v>Yes - see Previous F-Code</v>
      </c>
      <c r="K3078" s="9" t="str">
        <f t="shared" si="46"/>
        <v>DUPLICATE - CHECK</v>
      </c>
      <c r="L3078" s="9" t="str">
        <f t="shared" si="47"/>
        <v>F72759</v>
      </c>
      <c r="M3078" s="9"/>
      <c r="O3078" s="9"/>
    </row>
    <row r="3079" ht="15.75" customHeight="1">
      <c r="A3079" s="9" t="str">
        <f>IFERROR(__xludf.DUMMYFUNCTION("IF(B3079="""","""",RIGHT(REGEXREPLACE(B3079&amp;"""",""[^0-9]"",""""),9))"),"772979966")</f>
        <v>772979966</v>
      </c>
      <c r="B3079" s="48">
        <v>7.72979966E8</v>
      </c>
      <c r="C3079" s="10" t="s">
        <v>3133</v>
      </c>
      <c r="D3079" s="10" t="s">
        <v>69</v>
      </c>
      <c r="E3079" s="13">
        <v>46230.0</v>
      </c>
      <c r="F3079" s="10" t="s">
        <v>35</v>
      </c>
      <c r="G3079" s="10">
        <v>10.0</v>
      </c>
      <c r="I3079" s="10" t="s">
        <v>22</v>
      </c>
      <c r="J3079" s="9" t="str">
        <f t="shared" si="45"/>
        <v>No</v>
      </c>
      <c r="K3079" s="9" t="str">
        <f t="shared" si="46"/>
        <v/>
      </c>
      <c r="L3079" s="9" t="str">
        <f t="shared" si="47"/>
        <v/>
      </c>
      <c r="M3079" s="9"/>
      <c r="O3079" s="9"/>
    </row>
    <row r="3080" ht="15.75" customHeight="1">
      <c r="A3080" s="9" t="str">
        <f>IFERROR(__xludf.DUMMYFUNCTION("IF(B3080="""","""",RIGHT(REGEXREPLACE(B3080&amp;"""",""[^0-9]"",""""),9))"),"740318172")</f>
        <v>740318172</v>
      </c>
      <c r="B3080" s="48">
        <v>7.40318172E8</v>
      </c>
      <c r="C3080" s="10" t="s">
        <v>3134</v>
      </c>
      <c r="D3080" s="10" t="s">
        <v>34</v>
      </c>
      <c r="E3080" s="13">
        <v>46230.0</v>
      </c>
      <c r="F3080" s="10" t="s">
        <v>35</v>
      </c>
      <c r="G3080" s="10">
        <v>11.0</v>
      </c>
      <c r="I3080" s="10" t="s">
        <v>22</v>
      </c>
      <c r="J3080" s="9" t="str">
        <f t="shared" si="45"/>
        <v>No</v>
      </c>
      <c r="K3080" s="9" t="str">
        <f t="shared" si="46"/>
        <v/>
      </c>
      <c r="L3080" s="9" t="str">
        <f t="shared" si="47"/>
        <v/>
      </c>
      <c r="M3080" s="9"/>
      <c r="O3080" s="9"/>
    </row>
    <row r="3081" ht="15.75" customHeight="1">
      <c r="A3081" s="9" t="str">
        <f>IFERROR(__xludf.DUMMYFUNCTION("IF(B3081="""","""",RIGHT(REGEXREPLACE(B3081&amp;"""",""[^0-9]"",""""),9))"),"762013859")</f>
        <v>762013859</v>
      </c>
      <c r="B3081" s="48">
        <v>7.62013859E8</v>
      </c>
      <c r="C3081" s="10" t="s">
        <v>3135</v>
      </c>
      <c r="D3081" s="10" t="s">
        <v>120</v>
      </c>
      <c r="E3081" s="13">
        <v>46230.0</v>
      </c>
      <c r="F3081" s="10" t="s">
        <v>604</v>
      </c>
      <c r="I3081" s="10" t="s">
        <v>22</v>
      </c>
      <c r="J3081" s="9" t="str">
        <f t="shared" si="45"/>
        <v>No</v>
      </c>
      <c r="K3081" s="9" t="str">
        <f t="shared" si="46"/>
        <v/>
      </c>
      <c r="L3081" s="9" t="str">
        <f t="shared" si="47"/>
        <v/>
      </c>
      <c r="M3081" s="9"/>
      <c r="O3081" s="9"/>
    </row>
    <row r="3082" ht="15.75" customHeight="1">
      <c r="A3082" s="9" t="str">
        <f>IFERROR(__xludf.DUMMYFUNCTION("IF(B3082="""","""",RIGHT(REGEXREPLACE(B3082&amp;"""",""[^0-9]"",""""),9))"),"755485573")</f>
        <v>755485573</v>
      </c>
      <c r="B3082" s="48">
        <v>7.55485573E8</v>
      </c>
      <c r="C3082" s="10" t="s">
        <v>3136</v>
      </c>
      <c r="D3082" s="10" t="s">
        <v>105</v>
      </c>
      <c r="E3082" s="13">
        <v>46230.0</v>
      </c>
      <c r="F3082" s="10" t="s">
        <v>198</v>
      </c>
      <c r="G3082" s="10">
        <v>11.0</v>
      </c>
      <c r="I3082" s="10" t="s">
        <v>22</v>
      </c>
      <c r="J3082" s="9" t="str">
        <f t="shared" si="45"/>
        <v>No</v>
      </c>
      <c r="K3082" s="9" t="str">
        <f t="shared" si="46"/>
        <v/>
      </c>
      <c r="L3082" s="9" t="str">
        <f t="shared" si="47"/>
        <v/>
      </c>
      <c r="M3082" s="9"/>
      <c r="O3082" s="9"/>
    </row>
    <row r="3083" ht="15.75" customHeight="1">
      <c r="A3083" s="9" t="str">
        <f>IFERROR(__xludf.DUMMYFUNCTION("IF(B3083="""","""",RIGHT(REGEXREPLACE(B3083&amp;"""",""[^0-9]"",""""),9))"),"756090960")</f>
        <v>756090960</v>
      </c>
      <c r="B3083" s="48">
        <v>7.5609096E8</v>
      </c>
      <c r="C3083" s="10" t="s">
        <v>3137</v>
      </c>
      <c r="D3083" s="10" t="s">
        <v>120</v>
      </c>
      <c r="E3083" s="13">
        <v>46230.0</v>
      </c>
      <c r="F3083" s="10" t="s">
        <v>604</v>
      </c>
      <c r="I3083" s="10" t="s">
        <v>22</v>
      </c>
      <c r="J3083" s="9" t="str">
        <f t="shared" si="45"/>
        <v>No</v>
      </c>
      <c r="K3083" s="9" t="str">
        <f t="shared" si="46"/>
        <v/>
      </c>
      <c r="L3083" s="9" t="str">
        <f t="shared" si="47"/>
        <v/>
      </c>
      <c r="M3083" s="9"/>
      <c r="O3083" s="9"/>
    </row>
    <row r="3084" ht="15.75" customHeight="1">
      <c r="A3084" s="9" t="str">
        <f>IFERROR(__xludf.DUMMYFUNCTION("IF(B3084="""","""",RIGHT(REGEXREPLACE(B3084&amp;"""",""[^0-9]"",""""),9))"),"776788278")</f>
        <v>776788278</v>
      </c>
      <c r="B3084" s="48">
        <v>7.76788278E8</v>
      </c>
      <c r="C3084" s="10" t="s">
        <v>1013</v>
      </c>
      <c r="D3084" s="10" t="s">
        <v>69</v>
      </c>
      <c r="E3084" s="13">
        <v>46230.0</v>
      </c>
      <c r="F3084" s="9"/>
      <c r="G3084" s="9"/>
      <c r="H3084" s="9"/>
      <c r="I3084" s="10" t="s">
        <v>22</v>
      </c>
      <c r="J3084" s="9" t="str">
        <f t="shared" si="45"/>
        <v>Yes - see Previous F-Code</v>
      </c>
      <c r="K3084" s="9" t="str">
        <f t="shared" si="46"/>
        <v>DUPLICATE - CHECK</v>
      </c>
      <c r="L3084" s="9" t="str">
        <f t="shared" si="47"/>
        <v>F72055</v>
      </c>
      <c r="M3084" s="9"/>
      <c r="N3084" s="9"/>
      <c r="O3084" s="9"/>
      <c r="P3084" s="9"/>
    </row>
    <row r="3085" ht="15.75" customHeight="1">
      <c r="A3085" s="9" t="str">
        <f>IFERROR(__xludf.DUMMYFUNCTION("IF(B3085="""","""",RIGHT(REGEXREPLACE(B3085&amp;"""",""[^0-9]"",""""),9))"),"")</f>
        <v/>
      </c>
      <c r="B3085" s="48"/>
      <c r="C3085" s="10" t="s">
        <v>3138</v>
      </c>
      <c r="D3085" s="9"/>
      <c r="E3085" s="13">
        <v>46230.0</v>
      </c>
      <c r="F3085" s="9"/>
      <c r="G3085" s="9"/>
      <c r="H3085" s="9"/>
      <c r="I3085" s="10" t="s">
        <v>22</v>
      </c>
      <c r="J3085" s="9" t="str">
        <f t="shared" si="45"/>
        <v>Yes - see Previous F-Code</v>
      </c>
      <c r="K3085" s="9" t="str">
        <f t="shared" si="46"/>
        <v>DUPLICATE - CHECK</v>
      </c>
      <c r="L3085" s="9" t="str">
        <f t="shared" si="47"/>
        <v/>
      </c>
      <c r="M3085" s="9"/>
      <c r="N3085" s="9"/>
      <c r="O3085" s="9"/>
      <c r="P3085" s="9"/>
    </row>
    <row r="3086" ht="15.75" customHeight="1">
      <c r="A3086" s="9" t="str">
        <f>IFERROR(__xludf.DUMMYFUNCTION("IF(B3086="""","""",RIGHT(REGEXREPLACE(B3086&amp;"""",""[^0-9]"",""""),9))"),"")</f>
        <v/>
      </c>
      <c r="B3086" s="48"/>
      <c r="D3086" s="9"/>
      <c r="E3086" s="13"/>
      <c r="F3086" s="9"/>
      <c r="I3086" s="10" t="s">
        <v>22</v>
      </c>
      <c r="J3086" s="9" t="str">
        <f t="shared" si="45"/>
        <v>Yes - see Previous F-Code</v>
      </c>
      <c r="K3086" s="9" t="str">
        <f t="shared" si="46"/>
        <v>DUPLICATE - CHECK</v>
      </c>
      <c r="L3086" s="9" t="str">
        <f t="shared" si="47"/>
        <v/>
      </c>
      <c r="M3086" s="9"/>
      <c r="O3086" s="9"/>
    </row>
    <row r="3087" ht="15.75" customHeight="1">
      <c r="A3087" s="9" t="str">
        <f>IFERROR(__xludf.DUMMYFUNCTION("IF(B3087="""","""",RIGHT(REGEXREPLACE(B3087&amp;"""",""[^0-9]"",""""),9))"),"770361381")</f>
        <v>770361381</v>
      </c>
      <c r="B3087" s="48">
        <v>7.70361381E8</v>
      </c>
      <c r="C3087" s="10" t="s">
        <v>3139</v>
      </c>
      <c r="D3087" s="10" t="s">
        <v>34</v>
      </c>
      <c r="E3087" s="13">
        <v>46230.0</v>
      </c>
      <c r="F3087" s="10" t="s">
        <v>35</v>
      </c>
      <c r="G3087" s="10">
        <v>11.0</v>
      </c>
      <c r="I3087" s="10" t="s">
        <v>22</v>
      </c>
      <c r="J3087" s="9" t="str">
        <f t="shared" si="45"/>
        <v>No</v>
      </c>
      <c r="K3087" s="9" t="str">
        <f t="shared" si="46"/>
        <v/>
      </c>
      <c r="L3087" s="9" t="str">
        <f t="shared" si="47"/>
        <v/>
      </c>
      <c r="M3087" s="9"/>
      <c r="O3087" s="9"/>
    </row>
    <row r="3088" ht="15.75" customHeight="1">
      <c r="A3088" s="9" t="str">
        <f>IFERROR(__xludf.DUMMYFUNCTION("IF(B3088="""","""",RIGHT(REGEXREPLACE(B3088&amp;"""",""[^0-9]"",""""),9))"),"782096296")</f>
        <v>782096296</v>
      </c>
      <c r="B3088" s="48">
        <v>7.82096296E8</v>
      </c>
      <c r="C3088" s="10" t="s">
        <v>3125</v>
      </c>
      <c r="D3088" s="10" t="s">
        <v>120</v>
      </c>
      <c r="E3088" s="13">
        <v>46230.0</v>
      </c>
      <c r="F3088" s="10" t="s">
        <v>35</v>
      </c>
      <c r="G3088" s="10">
        <v>11.0</v>
      </c>
      <c r="I3088" s="10" t="s">
        <v>22</v>
      </c>
      <c r="J3088" s="9" t="str">
        <f t="shared" si="45"/>
        <v>Yes - see Previous F-Code</v>
      </c>
      <c r="K3088" s="9" t="str">
        <f t="shared" si="46"/>
        <v>DUPLICATE - CHECK</v>
      </c>
      <c r="L3088" s="9" t="str">
        <f t="shared" si="47"/>
        <v>F72841</v>
      </c>
      <c r="M3088" s="9"/>
      <c r="O3088" s="9"/>
    </row>
    <row r="3089" ht="15.75" customHeight="1">
      <c r="A3089" s="9" t="str">
        <f>IFERROR(__xludf.DUMMYFUNCTION("IF(B3089="""","""",RIGHT(REGEXREPLACE(B3089&amp;"""",""[^0-9]"",""""),9))"),"768649496")</f>
        <v>768649496</v>
      </c>
      <c r="B3089" s="48">
        <v>7.68649496E8</v>
      </c>
      <c r="C3089" s="10" t="s">
        <v>3140</v>
      </c>
      <c r="D3089" s="10" t="s">
        <v>50</v>
      </c>
      <c r="E3089" s="13">
        <v>46230.0</v>
      </c>
      <c r="F3089" s="10" t="s">
        <v>21</v>
      </c>
      <c r="G3089" s="10">
        <v>11.0</v>
      </c>
      <c r="I3089" s="10" t="s">
        <v>22</v>
      </c>
      <c r="J3089" s="9" t="str">
        <f t="shared" si="45"/>
        <v>No</v>
      </c>
      <c r="K3089" s="9" t="str">
        <f t="shared" si="46"/>
        <v/>
      </c>
      <c r="L3089" s="9" t="str">
        <f t="shared" si="47"/>
        <v/>
      </c>
      <c r="M3089" s="9"/>
      <c r="O3089" s="9"/>
    </row>
    <row r="3090" ht="15.75" customHeight="1">
      <c r="A3090" s="9" t="str">
        <f>IFERROR(__xludf.DUMMYFUNCTION("IF(B3090="""","""",RIGHT(REGEXREPLACE(B3090&amp;"""",""[^0-9]"",""""),9))"),"760638801")</f>
        <v>760638801</v>
      </c>
      <c r="B3090" s="48">
        <v>7.60638801E8</v>
      </c>
      <c r="C3090" s="10" t="s">
        <v>3141</v>
      </c>
      <c r="D3090" s="10" t="s">
        <v>34</v>
      </c>
      <c r="E3090" s="13">
        <v>46230.0</v>
      </c>
      <c r="F3090" s="10" t="s">
        <v>35</v>
      </c>
      <c r="G3090" s="10">
        <v>11.0</v>
      </c>
      <c r="I3090" s="10" t="s">
        <v>22</v>
      </c>
      <c r="J3090" s="9" t="str">
        <f t="shared" si="45"/>
        <v>No</v>
      </c>
      <c r="K3090" s="9" t="str">
        <f t="shared" si="46"/>
        <v/>
      </c>
      <c r="L3090" s="9" t="str">
        <f t="shared" si="47"/>
        <v/>
      </c>
      <c r="M3090" s="9"/>
      <c r="O3090" s="9"/>
    </row>
    <row r="3091" ht="15.75" customHeight="1">
      <c r="A3091" s="9" t="str">
        <f>IFERROR(__xludf.DUMMYFUNCTION("IF(B3091="""","""",RIGHT(REGEXREPLACE(B3091&amp;"""",""[^0-9]"",""""),9))"),"768277518")</f>
        <v>768277518</v>
      </c>
      <c r="B3091" s="48">
        <v>7.68277518E8</v>
      </c>
      <c r="C3091" s="10" t="s">
        <v>1476</v>
      </c>
      <c r="D3091" s="10" t="s">
        <v>105</v>
      </c>
      <c r="E3091" s="13">
        <v>46230.0</v>
      </c>
      <c r="F3091" s="10" t="s">
        <v>35</v>
      </c>
      <c r="G3091" s="10">
        <v>10.0</v>
      </c>
      <c r="I3091" s="10" t="s">
        <v>22</v>
      </c>
      <c r="M3091" s="9"/>
      <c r="O3091" s="9"/>
    </row>
    <row r="3092" ht="15.75" customHeight="1">
      <c r="A3092" s="9" t="str">
        <f>IFERROR(__xludf.DUMMYFUNCTION("IF(B3092="""","""",RIGHT(REGEXREPLACE(B3092&amp;"""",""[^0-9]"",""""),9))"),"764124639")</f>
        <v>764124639</v>
      </c>
      <c r="B3092" s="48">
        <v>7.64124639E8</v>
      </c>
      <c r="C3092" s="10" t="s">
        <v>3142</v>
      </c>
      <c r="D3092" s="10" t="s">
        <v>69</v>
      </c>
      <c r="E3092" s="13">
        <v>46230.0</v>
      </c>
      <c r="F3092" s="10" t="s">
        <v>21</v>
      </c>
      <c r="G3092" s="10">
        <v>11.0</v>
      </c>
      <c r="I3092" s="10" t="s">
        <v>22</v>
      </c>
      <c r="J3092" s="9" t="str">
        <f t="shared" ref="J3092:J3118" si="48">IF(COUNTIF($A$2:A3091,A3092)&gt;0,"Yes - see Previous F-Code","No")</f>
        <v>No</v>
      </c>
      <c r="K3092" s="9" t="str">
        <f t="shared" ref="K3092:K3118" si="49">IF(COUNTIFS($A$2:A3092,A3092,$I$2:I3092,I3092)&gt;1,"DUPLICATE - CHECK","")</f>
        <v/>
      </c>
      <c r="L3092" s="9" t="str">
        <f t="shared" ref="L3092:L3118" si="50">IF(COUNTIF($A$2:A3091,A3092)&gt;0,INDEX($C$2:C3091,MATCH(A3092,$A$2:A3091,0)),"")</f>
        <v/>
      </c>
      <c r="M3092" s="9"/>
      <c r="O3092" s="9"/>
    </row>
    <row r="3093" ht="15.75" customHeight="1">
      <c r="A3093" s="9" t="str">
        <f>IFERROR(__xludf.DUMMYFUNCTION("IF(B3093="""","""",RIGHT(REGEXREPLACE(B3093&amp;"""",""[^0-9]"",""""),9))"),"777758666")</f>
        <v>777758666</v>
      </c>
      <c r="B3093" s="48">
        <v>7.77758666E8</v>
      </c>
      <c r="C3093" s="10" t="s">
        <v>3143</v>
      </c>
      <c r="D3093" s="10" t="s">
        <v>97</v>
      </c>
      <c r="E3093" s="13">
        <v>46230.0</v>
      </c>
      <c r="F3093" s="10" t="s">
        <v>35</v>
      </c>
      <c r="G3093" s="10">
        <v>11.0</v>
      </c>
      <c r="H3093" s="10" t="s">
        <v>1448</v>
      </c>
      <c r="I3093" s="10" t="s">
        <v>22</v>
      </c>
      <c r="J3093" s="9" t="str">
        <f t="shared" si="48"/>
        <v>No</v>
      </c>
      <c r="K3093" s="9" t="str">
        <f t="shared" si="49"/>
        <v/>
      </c>
      <c r="L3093" s="9" t="str">
        <f t="shared" si="50"/>
        <v/>
      </c>
      <c r="M3093" s="9"/>
      <c r="O3093" s="9"/>
    </row>
    <row r="3094" ht="15.75" customHeight="1">
      <c r="A3094" s="9" t="str">
        <f>IFERROR(__xludf.DUMMYFUNCTION("IF(B3094="""","""",RIGHT(REGEXREPLACE(B3094&amp;"""",""[^0-9]"",""""),9))"),"741741121")</f>
        <v>741741121</v>
      </c>
      <c r="B3094" s="48">
        <v>7.41741121E8</v>
      </c>
      <c r="C3094" s="10" t="s">
        <v>698</v>
      </c>
      <c r="D3094" s="10" t="s">
        <v>34</v>
      </c>
      <c r="E3094" s="13">
        <v>46230.0</v>
      </c>
      <c r="F3094" s="10" t="s">
        <v>35</v>
      </c>
      <c r="G3094" s="10">
        <v>11.0</v>
      </c>
      <c r="H3094" s="10" t="s">
        <v>2985</v>
      </c>
      <c r="I3094" s="10" t="s">
        <v>22</v>
      </c>
      <c r="J3094" s="9" t="str">
        <f t="shared" si="48"/>
        <v>No</v>
      </c>
      <c r="K3094" s="9" t="str">
        <f t="shared" si="49"/>
        <v/>
      </c>
      <c r="L3094" s="9" t="str">
        <f t="shared" si="50"/>
        <v/>
      </c>
      <c r="M3094" s="9"/>
      <c r="O3094" s="9"/>
    </row>
    <row r="3095" ht="15.75" customHeight="1">
      <c r="A3095" s="9" t="str">
        <f>IFERROR(__xludf.DUMMYFUNCTION("IF(B3095="""","""",RIGHT(REGEXREPLACE(B3095&amp;"""",""[^0-9]"",""""),9))"),"777243033")</f>
        <v>777243033</v>
      </c>
      <c r="B3095" s="48">
        <v>7.77243033E8</v>
      </c>
      <c r="C3095" s="10" t="s">
        <v>3144</v>
      </c>
      <c r="D3095" s="10" t="s">
        <v>50</v>
      </c>
      <c r="E3095" s="13">
        <v>46230.0</v>
      </c>
      <c r="F3095" s="10" t="s">
        <v>604</v>
      </c>
      <c r="G3095" s="10">
        <v>11.0</v>
      </c>
      <c r="I3095" s="10" t="s">
        <v>22</v>
      </c>
      <c r="J3095" s="9" t="str">
        <f t="shared" si="48"/>
        <v>No</v>
      </c>
      <c r="K3095" s="9" t="str">
        <f t="shared" si="49"/>
        <v/>
      </c>
      <c r="L3095" s="9" t="str">
        <f t="shared" si="50"/>
        <v/>
      </c>
      <c r="M3095" s="9"/>
      <c r="O3095" s="9"/>
    </row>
    <row r="3096" ht="15.75" customHeight="1">
      <c r="A3096" s="9" t="str">
        <f>IFERROR(__xludf.DUMMYFUNCTION("IF(B3096="""","""",RIGHT(REGEXREPLACE(B3096&amp;"""",""[^0-9]"",""""),9))"),"775421631")</f>
        <v>775421631</v>
      </c>
      <c r="B3096" s="48">
        <v>7.75421631E8</v>
      </c>
      <c r="C3096" s="10" t="s">
        <v>3145</v>
      </c>
      <c r="D3096" s="10" t="s">
        <v>105</v>
      </c>
      <c r="E3096" s="13">
        <v>46230.0</v>
      </c>
      <c r="F3096" s="10" t="s">
        <v>35</v>
      </c>
      <c r="G3096" s="10">
        <v>11.0</v>
      </c>
      <c r="I3096" s="10" t="s">
        <v>22</v>
      </c>
      <c r="J3096" s="9" t="str">
        <f t="shared" si="48"/>
        <v>No</v>
      </c>
      <c r="K3096" s="9" t="str">
        <f t="shared" si="49"/>
        <v/>
      </c>
      <c r="L3096" s="9" t="str">
        <f t="shared" si="50"/>
        <v/>
      </c>
      <c r="M3096" s="9"/>
      <c r="O3096" s="9"/>
    </row>
    <row r="3097" ht="15.75" customHeight="1">
      <c r="A3097" s="9" t="str">
        <f>IFERROR(__xludf.DUMMYFUNCTION("IF(B3097="""","""",RIGHT(REGEXREPLACE(B3097&amp;"""",""[^0-9]"",""""),9))"),"761980040")</f>
        <v>761980040</v>
      </c>
      <c r="B3097" s="48">
        <v>7.6198004E8</v>
      </c>
      <c r="C3097" s="10" t="s">
        <v>3146</v>
      </c>
      <c r="D3097" s="10" t="s">
        <v>34</v>
      </c>
      <c r="E3097" s="13">
        <v>46230.0</v>
      </c>
      <c r="F3097" s="10" t="s">
        <v>21</v>
      </c>
      <c r="G3097" s="10">
        <v>11.0</v>
      </c>
      <c r="I3097" s="10" t="s">
        <v>22</v>
      </c>
      <c r="J3097" s="9" t="str">
        <f t="shared" si="48"/>
        <v>No</v>
      </c>
      <c r="K3097" s="9" t="str">
        <f t="shared" si="49"/>
        <v/>
      </c>
      <c r="L3097" s="9" t="str">
        <f t="shared" si="50"/>
        <v/>
      </c>
      <c r="M3097" s="9"/>
      <c r="O3097" s="9"/>
    </row>
    <row r="3098" ht="15.75" customHeight="1">
      <c r="A3098" s="9" t="str">
        <f>IFERROR(__xludf.DUMMYFUNCTION("IF(B3098="""","""",RIGHT(REGEXREPLACE(B3098&amp;"""",""[^0-9]"",""""),9))"),"779972623")</f>
        <v>779972623</v>
      </c>
      <c r="B3098" s="48">
        <v>7.79972623E8</v>
      </c>
      <c r="C3098" s="10" t="s">
        <v>3147</v>
      </c>
      <c r="D3098" s="10" t="s">
        <v>97</v>
      </c>
      <c r="E3098" s="13">
        <v>46230.0</v>
      </c>
      <c r="F3098" s="10" t="s">
        <v>198</v>
      </c>
      <c r="G3098" s="10">
        <v>11.0</v>
      </c>
      <c r="H3098" s="10" t="s">
        <v>1448</v>
      </c>
      <c r="I3098" s="10" t="s">
        <v>22</v>
      </c>
      <c r="J3098" s="9" t="str">
        <f t="shared" si="48"/>
        <v>No</v>
      </c>
      <c r="K3098" s="9" t="str">
        <f t="shared" si="49"/>
        <v/>
      </c>
      <c r="L3098" s="9" t="str">
        <f t="shared" si="50"/>
        <v/>
      </c>
      <c r="M3098" s="9"/>
      <c r="O3098" s="9"/>
    </row>
    <row r="3099" ht="15.75" customHeight="1">
      <c r="A3099" s="9" t="str">
        <f>IFERROR(__xludf.DUMMYFUNCTION("IF(B3099="""","""",RIGHT(REGEXREPLACE(B3099&amp;"""",""[^0-9]"",""""),9))"),"784899035")</f>
        <v>784899035</v>
      </c>
      <c r="B3099" s="48">
        <v>7.84899035E8</v>
      </c>
      <c r="C3099" s="10" t="s">
        <v>3148</v>
      </c>
      <c r="D3099" s="10" t="s">
        <v>120</v>
      </c>
      <c r="E3099" s="13">
        <v>46230.0</v>
      </c>
      <c r="F3099" s="10" t="s">
        <v>21</v>
      </c>
      <c r="G3099" s="10">
        <v>11.0</v>
      </c>
      <c r="I3099" s="10" t="s">
        <v>22</v>
      </c>
      <c r="J3099" s="9" t="str">
        <f t="shared" si="48"/>
        <v>No</v>
      </c>
      <c r="K3099" s="9" t="str">
        <f t="shared" si="49"/>
        <v/>
      </c>
      <c r="L3099" s="9" t="str">
        <f t="shared" si="50"/>
        <v/>
      </c>
      <c r="M3099" s="9"/>
      <c r="O3099" s="9"/>
    </row>
    <row r="3100" ht="15.75" customHeight="1">
      <c r="A3100" s="9" t="str">
        <f>IFERROR(__xludf.DUMMYFUNCTION("IF(B3100="""","""",RIGHT(REGEXREPLACE(B3100&amp;"""",""[^0-9]"",""""),9))"),"740772140")</f>
        <v>740772140</v>
      </c>
      <c r="B3100" s="48">
        <v>7.4077214E8</v>
      </c>
      <c r="C3100" s="10" t="s">
        <v>2848</v>
      </c>
      <c r="D3100" s="10" t="s">
        <v>50</v>
      </c>
      <c r="E3100" s="13">
        <v>46230.0</v>
      </c>
      <c r="F3100" s="10" t="s">
        <v>35</v>
      </c>
      <c r="G3100" s="10">
        <v>11.0</v>
      </c>
      <c r="I3100" s="10" t="s">
        <v>22</v>
      </c>
      <c r="J3100" s="9" t="str">
        <f t="shared" si="48"/>
        <v>No</v>
      </c>
      <c r="K3100" s="9" t="str">
        <f t="shared" si="49"/>
        <v/>
      </c>
      <c r="L3100" s="9" t="str">
        <f t="shared" si="50"/>
        <v/>
      </c>
      <c r="M3100" s="9"/>
      <c r="O3100" s="9"/>
    </row>
    <row r="3101" ht="15.75" customHeight="1">
      <c r="A3101" s="9" t="str">
        <f>IFERROR(__xludf.DUMMYFUNCTION("IF(B3101="""","""",RIGHT(REGEXREPLACE(B3101&amp;"""",""[^0-9]"",""""),9))"),"777456894")</f>
        <v>777456894</v>
      </c>
      <c r="B3101" s="48">
        <v>7.77456894E8</v>
      </c>
      <c r="C3101" s="10" t="s">
        <v>3149</v>
      </c>
      <c r="D3101" s="10" t="s">
        <v>105</v>
      </c>
      <c r="E3101" s="13">
        <v>46230.0</v>
      </c>
      <c r="F3101" s="10" t="s">
        <v>35</v>
      </c>
      <c r="G3101" s="10">
        <v>11.0</v>
      </c>
      <c r="I3101" s="10" t="s">
        <v>22</v>
      </c>
      <c r="J3101" s="9" t="str">
        <f t="shared" si="48"/>
        <v>No</v>
      </c>
      <c r="K3101" s="9" t="str">
        <f t="shared" si="49"/>
        <v/>
      </c>
      <c r="L3101" s="9" t="str">
        <f t="shared" si="50"/>
        <v/>
      </c>
      <c r="M3101" s="9"/>
      <c r="O3101" s="9"/>
    </row>
    <row r="3102" ht="15.75" customHeight="1">
      <c r="A3102" s="9" t="str">
        <f>IFERROR(__xludf.DUMMYFUNCTION("IF(B3102="""","""",RIGHT(REGEXREPLACE(B3102&amp;"""",""[^0-9]"",""""),9))"),"766291878")</f>
        <v>766291878</v>
      </c>
      <c r="B3102" s="48">
        <v>7.66291878E8</v>
      </c>
      <c r="C3102" s="10" t="s">
        <v>3150</v>
      </c>
      <c r="D3102" s="10" t="s">
        <v>120</v>
      </c>
      <c r="E3102" s="13">
        <v>46230.0</v>
      </c>
      <c r="F3102" s="10" t="s">
        <v>35</v>
      </c>
      <c r="I3102" s="10" t="s">
        <v>22</v>
      </c>
      <c r="J3102" s="9" t="str">
        <f t="shared" si="48"/>
        <v>No</v>
      </c>
      <c r="K3102" s="9" t="str">
        <f t="shared" si="49"/>
        <v/>
      </c>
      <c r="L3102" s="9" t="str">
        <f t="shared" si="50"/>
        <v/>
      </c>
      <c r="M3102" s="9"/>
      <c r="O3102" s="9"/>
    </row>
    <row r="3103" ht="15.75" customHeight="1">
      <c r="A3103" s="9" t="str">
        <f>IFERROR(__xludf.DUMMYFUNCTION("IF(B3103="""","""",RIGHT(REGEXREPLACE(B3103&amp;"""",""[^0-9]"",""""),9))"),"763120309")</f>
        <v>763120309</v>
      </c>
      <c r="B3103" s="48">
        <v>7.63120309E8</v>
      </c>
      <c r="C3103" s="10" t="s">
        <v>3151</v>
      </c>
      <c r="D3103" s="10" t="s">
        <v>34</v>
      </c>
      <c r="E3103" s="13">
        <v>46230.0</v>
      </c>
      <c r="F3103" s="10" t="s">
        <v>35</v>
      </c>
      <c r="G3103" s="10">
        <v>11.0</v>
      </c>
      <c r="I3103" s="10" t="s">
        <v>22</v>
      </c>
      <c r="J3103" s="9" t="str">
        <f t="shared" si="48"/>
        <v>No</v>
      </c>
      <c r="K3103" s="9" t="str">
        <f t="shared" si="49"/>
        <v/>
      </c>
      <c r="L3103" s="9" t="str">
        <f t="shared" si="50"/>
        <v/>
      </c>
      <c r="M3103" s="9"/>
      <c r="O3103" s="9"/>
    </row>
    <row r="3104" ht="15.75" customHeight="1">
      <c r="A3104" s="9" t="str">
        <f>IFERROR(__xludf.DUMMYFUNCTION("IF(B3104="""","""",RIGHT(REGEXREPLACE(B3104&amp;"""",""[^0-9]"",""""),9))"),"787159525")</f>
        <v>787159525</v>
      </c>
      <c r="B3104" s="48">
        <v>7.87159525E8</v>
      </c>
      <c r="C3104" s="10" t="s">
        <v>2199</v>
      </c>
      <c r="D3104" s="10" t="s">
        <v>97</v>
      </c>
      <c r="E3104" s="13">
        <v>46230.0</v>
      </c>
      <c r="F3104" s="10" t="s">
        <v>21</v>
      </c>
      <c r="H3104" s="10" t="s">
        <v>1448</v>
      </c>
      <c r="I3104" s="10" t="s">
        <v>22</v>
      </c>
      <c r="J3104" s="9" t="str">
        <f t="shared" si="48"/>
        <v>Yes - see Previous F-Code</v>
      </c>
      <c r="K3104" s="9" t="str">
        <f t="shared" si="49"/>
        <v>DUPLICATE - CHECK</v>
      </c>
      <c r="L3104" s="9" t="str">
        <f t="shared" si="50"/>
        <v>F71973</v>
      </c>
      <c r="M3104" s="9"/>
      <c r="O3104" s="9"/>
    </row>
    <row r="3105" ht="15.75" customHeight="1">
      <c r="A3105" s="9" t="str">
        <f>IFERROR(__xludf.DUMMYFUNCTION("IF(B3105="""","""",RIGHT(REGEXREPLACE(B3105&amp;"""",""[^0-9]"",""""),9))"),"715623321")</f>
        <v>715623321</v>
      </c>
      <c r="B3105" s="48">
        <v>7.15623321E8</v>
      </c>
      <c r="C3105" s="10" t="s">
        <v>3149</v>
      </c>
      <c r="D3105" s="10" t="s">
        <v>69</v>
      </c>
      <c r="E3105" s="13">
        <v>46230.0</v>
      </c>
      <c r="F3105" s="10" t="s">
        <v>35</v>
      </c>
      <c r="G3105" s="10">
        <v>10.0</v>
      </c>
      <c r="I3105" s="10" t="s">
        <v>22</v>
      </c>
      <c r="J3105" s="9" t="str">
        <f t="shared" si="48"/>
        <v>No</v>
      </c>
      <c r="K3105" s="9" t="str">
        <f t="shared" si="49"/>
        <v/>
      </c>
      <c r="L3105" s="9" t="str">
        <f t="shared" si="50"/>
        <v/>
      </c>
      <c r="M3105" s="9"/>
      <c r="O3105" s="9"/>
    </row>
    <row r="3106" ht="15.75" customHeight="1">
      <c r="A3106" s="9" t="str">
        <f>IFERROR(__xludf.DUMMYFUNCTION("IF(B3106="""","""",RIGHT(REGEXREPLACE(B3106&amp;"""",""[^0-9]"",""""),9))"),"764840007")</f>
        <v>764840007</v>
      </c>
      <c r="B3106" s="48">
        <v>7.64840007E8</v>
      </c>
      <c r="C3106" s="10" t="s">
        <v>3152</v>
      </c>
      <c r="D3106" s="10" t="s">
        <v>50</v>
      </c>
      <c r="E3106" s="13">
        <v>46230.0</v>
      </c>
      <c r="F3106" s="10" t="s">
        <v>35</v>
      </c>
      <c r="G3106" s="10">
        <v>11.0</v>
      </c>
      <c r="I3106" s="10" t="s">
        <v>22</v>
      </c>
      <c r="J3106" s="9" t="str">
        <f t="shared" si="48"/>
        <v>No</v>
      </c>
      <c r="K3106" s="9" t="str">
        <f t="shared" si="49"/>
        <v/>
      </c>
      <c r="L3106" s="9" t="str">
        <f t="shared" si="50"/>
        <v/>
      </c>
      <c r="M3106" s="9"/>
      <c r="O3106" s="9"/>
    </row>
    <row r="3107" ht="15.75" customHeight="1">
      <c r="A3107" s="9" t="str">
        <f>IFERROR(__xludf.DUMMYFUNCTION("IF(B3107="""","""",RIGHT(REGEXREPLACE(B3107&amp;"""",""[^0-9]"",""""),9))"),"788303093")</f>
        <v>788303093</v>
      </c>
      <c r="B3107" s="48">
        <v>7.88303093E8</v>
      </c>
      <c r="C3107" s="10" t="s">
        <v>3153</v>
      </c>
      <c r="D3107" s="10" t="s">
        <v>105</v>
      </c>
      <c r="E3107" s="13">
        <v>46230.0</v>
      </c>
      <c r="F3107" s="10" t="s">
        <v>21</v>
      </c>
      <c r="G3107" s="10">
        <v>8.0</v>
      </c>
      <c r="I3107" s="10" t="s">
        <v>22</v>
      </c>
      <c r="J3107" s="9" t="str">
        <f t="shared" si="48"/>
        <v>No</v>
      </c>
      <c r="K3107" s="9" t="str">
        <f t="shared" si="49"/>
        <v/>
      </c>
      <c r="L3107" s="9" t="str">
        <f t="shared" si="50"/>
        <v/>
      </c>
      <c r="M3107" s="9"/>
      <c r="O3107" s="9"/>
    </row>
    <row r="3108" ht="15.75" customHeight="1">
      <c r="A3108" s="9" t="str">
        <f>IFERROR(__xludf.DUMMYFUNCTION("IF(B3108="""","""",RIGHT(REGEXREPLACE(B3108&amp;"""",""[^0-9]"",""""),9))"),"714292947")</f>
        <v>714292947</v>
      </c>
      <c r="B3108" s="48">
        <v>7.14292947E8</v>
      </c>
      <c r="C3108" s="10" t="s">
        <v>3154</v>
      </c>
      <c r="D3108" s="10" t="s">
        <v>34</v>
      </c>
      <c r="E3108" s="13">
        <v>46230.0</v>
      </c>
      <c r="F3108" s="10" t="s">
        <v>35</v>
      </c>
      <c r="G3108" s="10">
        <v>11.0</v>
      </c>
      <c r="I3108" s="10" t="s">
        <v>22</v>
      </c>
      <c r="J3108" s="9" t="str">
        <f t="shared" si="48"/>
        <v>No</v>
      </c>
      <c r="K3108" s="9" t="str">
        <f t="shared" si="49"/>
        <v/>
      </c>
      <c r="L3108" s="9" t="str">
        <f t="shared" si="50"/>
        <v/>
      </c>
      <c r="M3108" s="9"/>
      <c r="O3108" s="9"/>
    </row>
    <row r="3109" ht="15.75" customHeight="1">
      <c r="A3109" s="9" t="str">
        <f>IFERROR(__xludf.DUMMYFUNCTION("IF(B3109="""","""",RIGHT(REGEXREPLACE(B3109&amp;"""",""[^0-9]"",""""),9))"),"740142468")</f>
        <v>740142468</v>
      </c>
      <c r="B3109" s="48">
        <v>7.40142468E8</v>
      </c>
      <c r="C3109" s="10" t="s">
        <v>3155</v>
      </c>
      <c r="D3109" s="10" t="s">
        <v>97</v>
      </c>
      <c r="E3109" s="13">
        <v>46230.0</v>
      </c>
      <c r="F3109" s="10" t="s">
        <v>113</v>
      </c>
      <c r="I3109" s="10" t="s">
        <v>22</v>
      </c>
      <c r="J3109" s="9" t="str">
        <f t="shared" si="48"/>
        <v>No</v>
      </c>
      <c r="K3109" s="9" t="str">
        <f t="shared" si="49"/>
        <v/>
      </c>
      <c r="L3109" s="9" t="str">
        <f t="shared" si="50"/>
        <v/>
      </c>
      <c r="M3109" s="9"/>
      <c r="O3109" s="9"/>
    </row>
    <row r="3110" ht="15.75" customHeight="1">
      <c r="A3110" s="9" t="str">
        <f>IFERROR(__xludf.DUMMYFUNCTION("IF(B3110="""","""",RIGHT(REGEXREPLACE(B3110&amp;"""",""[^0-9]"",""""),9))"),"776118941")</f>
        <v>776118941</v>
      </c>
      <c r="B3110" s="48">
        <v>7.76118941E8</v>
      </c>
      <c r="C3110" s="10" t="s">
        <v>2851</v>
      </c>
      <c r="D3110" s="10" t="s">
        <v>50</v>
      </c>
      <c r="E3110" s="13">
        <v>46230.0</v>
      </c>
      <c r="F3110" s="10" t="s">
        <v>198</v>
      </c>
      <c r="G3110" s="10">
        <v>11.0</v>
      </c>
      <c r="I3110" s="10" t="s">
        <v>22</v>
      </c>
      <c r="J3110" s="9" t="str">
        <f t="shared" si="48"/>
        <v>No</v>
      </c>
      <c r="K3110" s="9" t="str">
        <f t="shared" si="49"/>
        <v/>
      </c>
      <c r="L3110" s="9" t="str">
        <f t="shared" si="50"/>
        <v/>
      </c>
      <c r="M3110" s="9"/>
      <c r="O3110" s="9"/>
    </row>
    <row r="3111" ht="15.75" customHeight="1">
      <c r="A3111" s="9" t="str">
        <f>IFERROR(__xludf.DUMMYFUNCTION("IF(B3111="""","""",RIGHT(REGEXREPLACE(B3111&amp;"""",""[^0-9]"",""""),9))"),"754448268")</f>
        <v>754448268</v>
      </c>
      <c r="B3111" s="48">
        <v>7.54448268E8</v>
      </c>
      <c r="C3111" s="10" t="s">
        <v>2153</v>
      </c>
      <c r="D3111" s="10" t="s">
        <v>105</v>
      </c>
      <c r="E3111" s="13">
        <v>46230.0</v>
      </c>
      <c r="F3111" s="10" t="s">
        <v>35</v>
      </c>
      <c r="G3111" s="10">
        <v>11.0</v>
      </c>
      <c r="I3111" s="10" t="s">
        <v>22</v>
      </c>
      <c r="J3111" s="9" t="str">
        <f t="shared" si="48"/>
        <v>No</v>
      </c>
      <c r="K3111" s="9" t="str">
        <f t="shared" si="49"/>
        <v/>
      </c>
      <c r="L3111" s="9" t="str">
        <f t="shared" si="50"/>
        <v/>
      </c>
      <c r="M3111" s="9"/>
      <c r="O3111" s="9"/>
    </row>
    <row r="3112" ht="15.75" customHeight="1">
      <c r="A3112" s="9" t="str">
        <f>IFERROR(__xludf.DUMMYFUNCTION("IF(B3112="""","""",RIGHT(REGEXREPLACE(B3112&amp;"""",""[^0-9]"",""""),9))"),"773210619")</f>
        <v>773210619</v>
      </c>
      <c r="B3112" s="48">
        <v>7.73210619E8</v>
      </c>
      <c r="C3112" s="10" t="s">
        <v>3156</v>
      </c>
      <c r="D3112" s="10" t="s">
        <v>50</v>
      </c>
      <c r="E3112" s="13">
        <v>46230.0</v>
      </c>
      <c r="F3112" s="10" t="s">
        <v>35</v>
      </c>
      <c r="G3112" s="10">
        <v>11.0</v>
      </c>
      <c r="I3112" s="10" t="s">
        <v>22</v>
      </c>
      <c r="J3112" s="9" t="str">
        <f t="shared" si="48"/>
        <v>No</v>
      </c>
      <c r="K3112" s="9" t="str">
        <f t="shared" si="49"/>
        <v/>
      </c>
      <c r="L3112" s="9" t="str">
        <f t="shared" si="50"/>
        <v/>
      </c>
      <c r="M3112" s="9"/>
      <c r="O3112" s="9"/>
    </row>
    <row r="3113" ht="15.75" customHeight="1">
      <c r="A3113" s="9" t="str">
        <f>IFERROR(__xludf.DUMMYFUNCTION("IF(B3113="""","""",RIGHT(REGEXREPLACE(B3113&amp;"""",""[^0-9]"",""""),9))"),"779925954")</f>
        <v>779925954</v>
      </c>
      <c r="B3113" s="48">
        <v>7.79925954E8</v>
      </c>
      <c r="C3113" s="10" t="s">
        <v>3157</v>
      </c>
      <c r="D3113" s="10" t="s">
        <v>34</v>
      </c>
      <c r="E3113" s="13">
        <v>46230.0</v>
      </c>
      <c r="F3113" s="10" t="s">
        <v>35</v>
      </c>
      <c r="G3113" s="10">
        <v>11.0</v>
      </c>
      <c r="I3113" s="10" t="s">
        <v>22</v>
      </c>
      <c r="J3113" s="9" t="str">
        <f t="shared" si="48"/>
        <v>No</v>
      </c>
      <c r="K3113" s="9" t="str">
        <f t="shared" si="49"/>
        <v/>
      </c>
      <c r="L3113" s="9" t="str">
        <f t="shared" si="50"/>
        <v/>
      </c>
      <c r="M3113" s="9"/>
      <c r="O3113" s="9"/>
    </row>
    <row r="3114" ht="15.75" customHeight="1">
      <c r="A3114" s="9" t="str">
        <f>IFERROR(__xludf.DUMMYFUNCTION("IF(B3114="""","""",RIGHT(REGEXREPLACE(B3114&amp;"""",""[^0-9]"",""""),9))"),"713364163")</f>
        <v>713364163</v>
      </c>
      <c r="B3114" s="48">
        <v>7.13364163E8</v>
      </c>
      <c r="C3114" s="10" t="s">
        <v>2321</v>
      </c>
      <c r="D3114" s="10" t="s">
        <v>97</v>
      </c>
      <c r="E3114" s="13">
        <v>46230.0</v>
      </c>
      <c r="F3114" s="10" t="s">
        <v>648</v>
      </c>
      <c r="I3114" s="10" t="s">
        <v>22</v>
      </c>
      <c r="J3114" s="9" t="str">
        <f t="shared" si="48"/>
        <v>No</v>
      </c>
      <c r="K3114" s="9" t="str">
        <f t="shared" si="49"/>
        <v/>
      </c>
      <c r="L3114" s="9" t="str">
        <f t="shared" si="50"/>
        <v/>
      </c>
      <c r="M3114" s="9"/>
      <c r="O3114" s="9"/>
    </row>
    <row r="3115" ht="15.75" customHeight="1">
      <c r="A3115" s="9" t="str">
        <f>IFERROR(__xludf.DUMMYFUNCTION("IF(B3115="""","""",RIGHT(REGEXREPLACE(B3115&amp;"""",""[^0-9]"",""""),9))"),"768912344")</f>
        <v>768912344</v>
      </c>
      <c r="B3115" s="48">
        <v>7.68912344E8</v>
      </c>
      <c r="C3115" s="10" t="s">
        <v>3158</v>
      </c>
      <c r="D3115" s="10" t="s">
        <v>120</v>
      </c>
      <c r="E3115" s="13">
        <v>46230.0</v>
      </c>
      <c r="F3115" s="10" t="s">
        <v>35</v>
      </c>
      <c r="G3115" s="10">
        <v>11.0</v>
      </c>
      <c r="I3115" s="10" t="s">
        <v>22</v>
      </c>
      <c r="J3115" s="9" t="str">
        <f t="shared" si="48"/>
        <v>No</v>
      </c>
      <c r="K3115" s="9" t="str">
        <f t="shared" si="49"/>
        <v/>
      </c>
      <c r="L3115" s="9" t="str">
        <f t="shared" si="50"/>
        <v/>
      </c>
      <c r="M3115" s="9"/>
      <c r="O3115" s="9"/>
    </row>
    <row r="3116" ht="15.75" customHeight="1">
      <c r="A3116" s="9" t="str">
        <f>IFERROR(__xludf.DUMMYFUNCTION("IF(B3116="""","""",RIGHT(REGEXREPLACE(B3116&amp;"""",""[^0-9]"",""""),9))"),"743804781")</f>
        <v>743804781</v>
      </c>
      <c r="B3116" s="48">
        <v>7.43804781E8</v>
      </c>
      <c r="C3116" s="10" t="s">
        <v>3159</v>
      </c>
      <c r="D3116" s="10" t="s">
        <v>69</v>
      </c>
      <c r="E3116" s="13">
        <v>46230.0</v>
      </c>
      <c r="F3116" s="10" t="s">
        <v>35</v>
      </c>
      <c r="G3116" s="10">
        <v>11.0</v>
      </c>
      <c r="I3116" s="10" t="s">
        <v>22</v>
      </c>
      <c r="J3116" s="9" t="str">
        <f t="shared" si="48"/>
        <v>No</v>
      </c>
      <c r="K3116" s="9" t="str">
        <f t="shared" si="49"/>
        <v/>
      </c>
      <c r="L3116" s="9" t="str">
        <f t="shared" si="50"/>
        <v/>
      </c>
      <c r="M3116" s="9"/>
      <c r="O3116" s="9"/>
    </row>
    <row r="3117" ht="15.75" customHeight="1">
      <c r="A3117" s="9" t="str">
        <f>IFERROR(__xludf.DUMMYFUNCTION("IF(B3117="""","""",RIGHT(REGEXREPLACE(B3117&amp;"""",""[^0-9]"",""""),9))"),"742568550")</f>
        <v>742568550</v>
      </c>
      <c r="B3117" s="48">
        <v>7.4256855E8</v>
      </c>
      <c r="C3117" s="10" t="s">
        <v>3160</v>
      </c>
      <c r="D3117" s="10" t="s">
        <v>50</v>
      </c>
      <c r="E3117" s="13">
        <v>46230.0</v>
      </c>
      <c r="F3117" s="10" t="s">
        <v>35</v>
      </c>
      <c r="G3117" s="10">
        <v>11.0</v>
      </c>
      <c r="I3117" s="10" t="s">
        <v>22</v>
      </c>
      <c r="J3117" s="9" t="str">
        <f t="shared" si="48"/>
        <v>No</v>
      </c>
      <c r="K3117" s="9" t="str">
        <f t="shared" si="49"/>
        <v/>
      </c>
      <c r="L3117" s="9" t="str">
        <f t="shared" si="50"/>
        <v/>
      </c>
      <c r="M3117" s="9"/>
      <c r="O3117" s="9"/>
    </row>
    <row r="3118" ht="15.75" customHeight="1">
      <c r="A3118" s="9" t="str">
        <f>IFERROR(__xludf.DUMMYFUNCTION("IF(B3118="""","""",RIGHT(REGEXREPLACE(B3118&amp;"""",""[^0-9]"",""""),9))"),"742985397")</f>
        <v>742985397</v>
      </c>
      <c r="B3118" s="48">
        <v>7.42985397E8</v>
      </c>
      <c r="C3118" s="10" t="s">
        <v>1013</v>
      </c>
      <c r="D3118" s="10" t="s">
        <v>105</v>
      </c>
      <c r="E3118" s="13">
        <v>46230.0</v>
      </c>
      <c r="F3118" s="10" t="s">
        <v>198</v>
      </c>
      <c r="G3118" s="10">
        <v>11.0</v>
      </c>
      <c r="I3118" s="10" t="s">
        <v>22</v>
      </c>
      <c r="J3118" s="9" t="str">
        <f t="shared" si="48"/>
        <v>No</v>
      </c>
      <c r="K3118" s="9" t="str">
        <f t="shared" si="49"/>
        <v/>
      </c>
      <c r="L3118" s="9" t="str">
        <f t="shared" si="50"/>
        <v/>
      </c>
      <c r="M3118" s="9"/>
      <c r="O3118" s="9"/>
    </row>
    <row r="3119" ht="15.75" customHeight="1">
      <c r="A3119" s="9" t="str">
        <f>IFERROR(__xludf.DUMMYFUNCTION("IF(B3119="""","""",RIGHT(REGEXREPLACE(B3119&amp;"""",""[^0-9]"",""""),9))"),"773686638")</f>
        <v>773686638</v>
      </c>
      <c r="B3119" s="48">
        <v>7.73686638E8</v>
      </c>
      <c r="C3119" s="10" t="s">
        <v>1014</v>
      </c>
      <c r="D3119" s="10" t="s">
        <v>50</v>
      </c>
      <c r="E3119" s="13">
        <v>46230.0</v>
      </c>
      <c r="F3119" s="10" t="s">
        <v>35</v>
      </c>
      <c r="G3119" s="10">
        <v>11.0</v>
      </c>
      <c r="I3119" s="10" t="s">
        <v>22</v>
      </c>
      <c r="M3119" s="9"/>
      <c r="O3119" s="9"/>
    </row>
    <row r="3120" ht="15.75" customHeight="1">
      <c r="A3120" s="9" t="str">
        <f>IFERROR(__xludf.DUMMYFUNCTION("IF(B3120="""","""",RIGHT(REGEXREPLACE(B3120&amp;"""",""[^0-9]"",""""),9))"),"772979966")</f>
        <v>772979966</v>
      </c>
      <c r="B3120" s="48">
        <v>7.72979966E8</v>
      </c>
      <c r="C3120" s="10" t="s">
        <v>1015</v>
      </c>
      <c r="D3120" s="10" t="s">
        <v>105</v>
      </c>
      <c r="E3120" s="13">
        <v>46230.0</v>
      </c>
      <c r="F3120" s="10" t="s">
        <v>21</v>
      </c>
      <c r="G3120" s="10">
        <v>10.0</v>
      </c>
      <c r="I3120" s="10" t="s">
        <v>22</v>
      </c>
      <c r="M3120" s="9"/>
      <c r="O3120" s="9"/>
    </row>
    <row r="3121" ht="15.75" customHeight="1">
      <c r="A3121" s="9" t="str">
        <f>IFERROR(__xludf.DUMMYFUNCTION("IF(B3121="""","""",RIGHT(REGEXREPLACE(B3121&amp;"""",""[^0-9]"",""""),9))"),"779067941")</f>
        <v>779067941</v>
      </c>
      <c r="B3121" s="48">
        <v>7.79067941E8</v>
      </c>
      <c r="C3121" s="10" t="s">
        <v>1016</v>
      </c>
      <c r="D3121" s="10" t="s">
        <v>69</v>
      </c>
      <c r="E3121" s="13">
        <v>46230.0</v>
      </c>
      <c r="F3121" s="10" t="s">
        <v>21</v>
      </c>
      <c r="I3121" s="10" t="s">
        <v>22</v>
      </c>
      <c r="M3121" s="9"/>
      <c r="O3121" s="9"/>
    </row>
    <row r="3122" ht="15.75" customHeight="1">
      <c r="A3122" s="9" t="str">
        <f>IFERROR(__xludf.DUMMYFUNCTION("IF(B3122="""","""",RIGHT(REGEXREPLACE(B3122&amp;"""",""[^0-9]"",""""),9))"),"741025556")</f>
        <v>741025556</v>
      </c>
      <c r="B3122" s="48">
        <v>7.41025556E8</v>
      </c>
      <c r="C3122" s="10" t="s">
        <v>1018</v>
      </c>
      <c r="D3122" s="10" t="s">
        <v>97</v>
      </c>
      <c r="E3122" s="13">
        <v>46230.0</v>
      </c>
      <c r="F3122" s="10" t="s">
        <v>35</v>
      </c>
      <c r="G3122" s="10">
        <v>11.0</v>
      </c>
      <c r="I3122" s="10" t="s">
        <v>22</v>
      </c>
      <c r="M3122" s="9"/>
      <c r="O3122" s="9"/>
    </row>
    <row r="3123" ht="15.75" customHeight="1">
      <c r="A3123" s="9" t="str">
        <f>IFERROR(__xludf.DUMMYFUNCTION("IF(B3123="""","""",RIGHT(REGEXREPLACE(B3123&amp;"""",""[^0-9]"",""""),9))"),"701115167")</f>
        <v>701115167</v>
      </c>
      <c r="B3123" s="48">
        <v>7.01115167E8</v>
      </c>
      <c r="C3123" s="10" t="s">
        <v>1017</v>
      </c>
      <c r="D3123" s="10" t="s">
        <v>120</v>
      </c>
      <c r="E3123" s="13">
        <v>46230.0</v>
      </c>
      <c r="F3123" s="10" t="s">
        <v>35</v>
      </c>
      <c r="G3123" s="10">
        <v>11.0</v>
      </c>
      <c r="I3123" s="10" t="s">
        <v>22</v>
      </c>
      <c r="M3123" s="9"/>
      <c r="O3123" s="9"/>
    </row>
    <row r="3124" ht="15.75" customHeight="1">
      <c r="A3124" s="9" t="str">
        <f>IFERROR(__xludf.DUMMYFUNCTION("IF(B3124="""","""",RIGHT(REGEXREPLACE(B3124&amp;"""",""[^0-9]"",""""),9))"),"779547505")</f>
        <v>779547505</v>
      </c>
      <c r="B3124" s="48">
        <v>7.79547505E8</v>
      </c>
      <c r="C3124" s="10" t="s">
        <v>1020</v>
      </c>
      <c r="D3124" s="10" t="s">
        <v>97</v>
      </c>
      <c r="E3124" s="13">
        <v>46230.0</v>
      </c>
      <c r="F3124" s="10" t="s">
        <v>21</v>
      </c>
      <c r="G3124" s="10">
        <v>11.0</v>
      </c>
      <c r="I3124" s="10" t="s">
        <v>22</v>
      </c>
      <c r="M3124" s="9"/>
      <c r="O3124" s="9"/>
    </row>
    <row r="3125" ht="15.75" customHeight="1">
      <c r="A3125" s="9" t="str">
        <f>IFERROR(__xludf.DUMMYFUNCTION("IF(B3125="""","""",RIGHT(REGEXREPLACE(B3125&amp;"""",""[^0-9]"",""""),9))"),"766073151")</f>
        <v>766073151</v>
      </c>
      <c r="B3125" s="48">
        <v>7.66073151E8</v>
      </c>
      <c r="C3125" s="10" t="s">
        <v>1019</v>
      </c>
      <c r="D3125" s="10" t="s">
        <v>69</v>
      </c>
      <c r="E3125" s="13">
        <v>46230.0</v>
      </c>
      <c r="F3125" s="10" t="s">
        <v>35</v>
      </c>
      <c r="G3125" s="10">
        <v>11.0</v>
      </c>
      <c r="I3125" s="10" t="s">
        <v>22</v>
      </c>
      <c r="M3125" s="9"/>
      <c r="O3125" s="9"/>
    </row>
    <row r="3126" ht="15.75" customHeight="1">
      <c r="A3126" s="9" t="str">
        <f>IFERROR(__xludf.DUMMYFUNCTION("IF(B3126="""","""",RIGHT(REGEXREPLACE(B3126&amp;"""",""[^0-9]"",""""),9))"),"715693995")</f>
        <v>715693995</v>
      </c>
      <c r="B3126" s="48">
        <v>7.15693995E8</v>
      </c>
      <c r="C3126" s="10" t="s">
        <v>1021</v>
      </c>
      <c r="D3126" s="10" t="s">
        <v>34</v>
      </c>
      <c r="E3126" s="13">
        <v>46230.0</v>
      </c>
      <c r="F3126" s="10" t="s">
        <v>35</v>
      </c>
      <c r="G3126" s="10">
        <v>11.0</v>
      </c>
      <c r="I3126" s="10" t="s">
        <v>22</v>
      </c>
      <c r="M3126" s="9"/>
      <c r="O3126" s="9"/>
    </row>
    <row r="3127" ht="15.75" customHeight="1">
      <c r="A3127" s="9" t="str">
        <f>IFERROR(__xludf.DUMMYFUNCTION("IF(B3127="""","""",RIGHT(REGEXREPLACE(B3127&amp;"""",""[^0-9]"",""""),9))"),"")</f>
        <v/>
      </c>
      <c r="B3127" s="48"/>
      <c r="D3127" s="9"/>
      <c r="E3127" s="13">
        <v>46230.0</v>
      </c>
      <c r="F3127" s="9"/>
      <c r="I3127" s="10" t="s">
        <v>22</v>
      </c>
      <c r="J3127" s="9" t="str">
        <f t="shared" ref="J3127:J3131" si="51">IF(COUNTIF($A$2:A3126,A3127)&gt;0,"Yes - see Previous F-Code","No")</f>
        <v>Yes - see Previous F-Code</v>
      </c>
      <c r="K3127" s="9" t="str">
        <f t="shared" ref="K3127:K3131" si="52">IF(COUNTIFS($A$2:A3127,A3127,$I$2:I3127,I3127)&gt;1,"DUPLICATE - CHECK","")</f>
        <v>DUPLICATE - CHECK</v>
      </c>
      <c r="L3127" s="9" t="str">
        <f t="shared" ref="L3127:L3131" si="53">IF(COUNTIF($A$2:A3126,A3127)&gt;0,INDEX($C$2:C3126,MATCH(A3127,$A$2:A3126,0)),"")</f>
        <v/>
      </c>
      <c r="M3127" s="9"/>
      <c r="O3127" s="9"/>
    </row>
    <row r="3128" ht="15.75" customHeight="1">
      <c r="A3128" s="9" t="str">
        <f>IFERROR(__xludf.DUMMYFUNCTION("IF(B3128="""","""",RIGHT(REGEXREPLACE(B3128&amp;"""",""[^0-9]"",""""),9))"),"776360571")</f>
        <v>776360571</v>
      </c>
      <c r="B3128" s="48">
        <v>7.76360571E8</v>
      </c>
      <c r="C3128" s="10" t="s">
        <v>3161</v>
      </c>
      <c r="D3128" s="10" t="s">
        <v>120</v>
      </c>
      <c r="E3128" s="13">
        <v>46230.0</v>
      </c>
      <c r="F3128" s="10" t="s">
        <v>35</v>
      </c>
      <c r="G3128" s="10">
        <v>11.0</v>
      </c>
      <c r="I3128" s="10" t="s">
        <v>22</v>
      </c>
      <c r="J3128" s="9" t="str">
        <f t="shared" si="51"/>
        <v>No</v>
      </c>
      <c r="K3128" s="9" t="str">
        <f t="shared" si="52"/>
        <v/>
      </c>
      <c r="L3128" s="9" t="str">
        <f t="shared" si="53"/>
        <v/>
      </c>
      <c r="M3128" s="9"/>
      <c r="O3128" s="9"/>
    </row>
    <row r="3129" ht="15.75" customHeight="1">
      <c r="A3129" s="9" t="str">
        <f>IFERROR(__xludf.DUMMYFUNCTION("IF(B3129="""","""",RIGHT(REGEXREPLACE(B3129&amp;"""",""[^0-9]"",""""),9))"),"767960196")</f>
        <v>767960196</v>
      </c>
      <c r="B3129" s="48">
        <v>7.67960196E8</v>
      </c>
      <c r="C3129" s="10" t="s">
        <v>3162</v>
      </c>
      <c r="D3129" s="10" t="s">
        <v>97</v>
      </c>
      <c r="E3129" s="13">
        <v>46230.0</v>
      </c>
      <c r="F3129" s="10" t="s">
        <v>21</v>
      </c>
      <c r="G3129" s="10">
        <v>11.0</v>
      </c>
      <c r="I3129" s="10" t="s">
        <v>22</v>
      </c>
      <c r="J3129" s="9" t="str">
        <f t="shared" si="51"/>
        <v>No</v>
      </c>
      <c r="K3129" s="9" t="str">
        <f t="shared" si="52"/>
        <v/>
      </c>
      <c r="L3129" s="9" t="str">
        <f t="shared" si="53"/>
        <v/>
      </c>
      <c r="M3129" s="9"/>
      <c r="O3129" s="9"/>
    </row>
    <row r="3130" ht="15.75" customHeight="1">
      <c r="A3130" s="9" t="str">
        <f>IFERROR(__xludf.DUMMYFUNCTION("IF(B3130="""","""",RIGHT(REGEXREPLACE(B3130&amp;"""",""[^0-9]"",""""),9))"),"763119193")</f>
        <v>763119193</v>
      </c>
      <c r="B3130" s="48">
        <v>7.63119193E8</v>
      </c>
      <c r="C3130" s="10" t="s">
        <v>3163</v>
      </c>
      <c r="D3130" s="10" t="s">
        <v>120</v>
      </c>
      <c r="E3130" s="13">
        <v>46230.0</v>
      </c>
      <c r="F3130" s="10" t="s">
        <v>604</v>
      </c>
      <c r="I3130" s="10" t="s">
        <v>22</v>
      </c>
      <c r="J3130" s="9" t="str">
        <f t="shared" si="51"/>
        <v>No</v>
      </c>
      <c r="K3130" s="9" t="str">
        <f t="shared" si="52"/>
        <v/>
      </c>
      <c r="L3130" s="9" t="str">
        <f t="shared" si="53"/>
        <v/>
      </c>
      <c r="M3130" s="9"/>
      <c r="O3130" s="9"/>
    </row>
    <row r="3131" ht="15.75" customHeight="1">
      <c r="A3131" s="9" t="str">
        <f>IFERROR(__xludf.DUMMYFUNCTION("IF(B3131="""","""",RIGHT(REGEXREPLACE(B3131&amp;"""",""[^0-9]"",""""),9))"),"712154993")</f>
        <v>712154993</v>
      </c>
      <c r="B3131" s="48">
        <v>7.12154993E8</v>
      </c>
      <c r="C3131" s="10" t="s">
        <v>3164</v>
      </c>
      <c r="D3131" s="10" t="s">
        <v>34</v>
      </c>
      <c r="E3131" s="13">
        <v>46230.0</v>
      </c>
      <c r="F3131" s="9"/>
      <c r="G3131" s="9"/>
      <c r="H3131" s="9"/>
      <c r="I3131" s="10" t="s">
        <v>22</v>
      </c>
      <c r="J3131" s="9" t="str">
        <f t="shared" si="51"/>
        <v>No</v>
      </c>
      <c r="K3131" s="9" t="str">
        <f t="shared" si="52"/>
        <v/>
      </c>
      <c r="L3131" s="9" t="str">
        <f t="shared" si="53"/>
        <v/>
      </c>
      <c r="M3131" s="9"/>
      <c r="N3131" s="9"/>
      <c r="O3131" s="9"/>
      <c r="P3131" s="9"/>
    </row>
    <row r="3132" ht="15.75" customHeight="1">
      <c r="A3132" s="9" t="str">
        <f>IFERROR(__xludf.DUMMYFUNCTION("IF(B3132="""","""",RIGHT(REGEXREPLACE(B3132&amp;"""",""[^0-9]"",""""),9))"),"")</f>
        <v/>
      </c>
      <c r="D3132" s="9"/>
      <c r="F3132" s="9"/>
      <c r="I3132" s="10" t="s">
        <v>22</v>
      </c>
      <c r="M3132" s="9"/>
      <c r="O3132" s="9"/>
    </row>
    <row r="3133" ht="15.75" customHeight="1">
      <c r="A3133" s="9" t="str">
        <f>IFERROR(__xludf.DUMMYFUNCTION("IF(B3133="""","""",RIGHT(REGEXREPLACE(B3133&amp;"""",""[^0-9]"",""""),9))"),"776407470")</f>
        <v>776407470</v>
      </c>
      <c r="B3133" s="48">
        <v>7.7640747E8</v>
      </c>
      <c r="C3133" s="10" t="s">
        <v>3165</v>
      </c>
      <c r="D3133" s="10" t="s">
        <v>50</v>
      </c>
      <c r="E3133" s="13">
        <v>46230.0</v>
      </c>
      <c r="F3133" s="10" t="s">
        <v>21</v>
      </c>
      <c r="G3133" s="10">
        <v>10.0</v>
      </c>
      <c r="I3133" s="10" t="s">
        <v>22</v>
      </c>
      <c r="J3133" s="9" t="str">
        <f t="shared" ref="J3133:J3333" si="54">IF(COUNTIF($A$2:A3132,A3133)&gt;0,"Yes - see Previous F-Code","No")</f>
        <v>No</v>
      </c>
      <c r="K3133" s="9" t="str">
        <f t="shared" ref="K3133:K3333" si="55">IF(COUNTIFS($A$2:A3133,A3133,$I$2:I3133,I3133)&gt;1,"DUPLICATE - CHECK","")</f>
        <v/>
      </c>
      <c r="L3133" s="9" t="str">
        <f t="shared" ref="L3133:L3333" si="56">IF(COUNTIF($A$2:A3132,A3133)&gt;0,INDEX($C$2:C3132,MATCH(A3133,$A$2:A3132,0)),"")</f>
        <v/>
      </c>
      <c r="M3133" s="9"/>
      <c r="O3133" s="9"/>
    </row>
    <row r="3134" ht="15.75" customHeight="1">
      <c r="A3134" s="9" t="str">
        <f>IFERROR(__xludf.DUMMYFUNCTION("IF(B3134="""","""",RIGHT(REGEXREPLACE(B3134&amp;"""",""[^0-9]"",""""),9))"),"771273359")</f>
        <v>771273359</v>
      </c>
      <c r="B3134" s="48">
        <v>7.71273359E8</v>
      </c>
      <c r="C3134" s="10" t="s">
        <v>3166</v>
      </c>
      <c r="D3134" s="10" t="s">
        <v>97</v>
      </c>
      <c r="E3134" s="13">
        <v>46230.0</v>
      </c>
      <c r="F3134" s="10" t="s">
        <v>21</v>
      </c>
      <c r="G3134" s="10">
        <v>11.0</v>
      </c>
      <c r="I3134" s="10" t="s">
        <v>22</v>
      </c>
      <c r="J3134" s="9" t="str">
        <f t="shared" si="54"/>
        <v>No</v>
      </c>
      <c r="K3134" s="9" t="str">
        <f t="shared" si="55"/>
        <v/>
      </c>
      <c r="L3134" s="9" t="str">
        <f t="shared" si="56"/>
        <v/>
      </c>
      <c r="M3134" s="9"/>
      <c r="O3134" s="9"/>
    </row>
    <row r="3135" ht="15.75" customHeight="1">
      <c r="A3135" s="9" t="str">
        <f>IFERROR(__xludf.DUMMYFUNCTION("IF(B3135="""","""",RIGHT(REGEXREPLACE(B3135&amp;"""",""[^0-9]"",""""),9))"),"720498733")</f>
        <v>720498733</v>
      </c>
      <c r="B3135" s="48">
        <v>7.20498733E8</v>
      </c>
      <c r="C3135" s="10" t="s">
        <v>3167</v>
      </c>
      <c r="D3135" s="10" t="s">
        <v>69</v>
      </c>
      <c r="E3135" s="13">
        <v>46230.0</v>
      </c>
      <c r="F3135" s="10" t="s">
        <v>198</v>
      </c>
      <c r="I3135" s="10" t="s">
        <v>22</v>
      </c>
      <c r="J3135" s="9" t="str">
        <f t="shared" si="54"/>
        <v>No</v>
      </c>
      <c r="K3135" s="9" t="str">
        <f t="shared" si="55"/>
        <v/>
      </c>
      <c r="L3135" s="9" t="str">
        <f t="shared" si="56"/>
        <v/>
      </c>
      <c r="M3135" s="9"/>
      <c r="O3135" s="9"/>
    </row>
    <row r="3136" ht="15.75" customHeight="1">
      <c r="A3136" s="9" t="str">
        <f>IFERROR(__xludf.DUMMYFUNCTION("IF(B3136="""","""",RIGHT(REGEXREPLACE(B3136&amp;"""",""[^0-9]"",""""),9))"),"742816898")</f>
        <v>742816898</v>
      </c>
      <c r="B3136" s="48">
        <v>7.42816898E8</v>
      </c>
      <c r="C3136" s="10" t="s">
        <v>284</v>
      </c>
      <c r="D3136" s="10" t="s">
        <v>105</v>
      </c>
      <c r="E3136" s="13">
        <v>46230.0</v>
      </c>
      <c r="F3136" s="10" t="s">
        <v>21</v>
      </c>
      <c r="G3136" s="10">
        <v>11.0</v>
      </c>
      <c r="I3136" s="10" t="s">
        <v>22</v>
      </c>
      <c r="J3136" s="9" t="str">
        <f t="shared" si="54"/>
        <v>No</v>
      </c>
      <c r="K3136" s="9" t="str">
        <f t="shared" si="55"/>
        <v/>
      </c>
      <c r="L3136" s="9" t="str">
        <f t="shared" si="56"/>
        <v/>
      </c>
      <c r="M3136" s="9"/>
      <c r="O3136" s="9"/>
    </row>
    <row r="3137" ht="15.75" customHeight="1">
      <c r="A3137" s="9" t="str">
        <f>IFERROR(__xludf.DUMMYFUNCTION("IF(B3137="""","""",RIGHT(REGEXREPLACE(B3137&amp;"""",""[^0-9]"",""""),9))"),"704517852")</f>
        <v>704517852</v>
      </c>
      <c r="B3137" s="48">
        <v>7.04517852E8</v>
      </c>
      <c r="C3137" s="10" t="s">
        <v>3168</v>
      </c>
      <c r="D3137" s="10" t="s">
        <v>50</v>
      </c>
      <c r="E3137" s="13">
        <v>46230.0</v>
      </c>
      <c r="F3137" s="10" t="s">
        <v>35</v>
      </c>
      <c r="G3137" s="10">
        <v>11.0</v>
      </c>
      <c r="I3137" s="10" t="s">
        <v>22</v>
      </c>
      <c r="J3137" s="9" t="str">
        <f t="shared" si="54"/>
        <v>No</v>
      </c>
      <c r="K3137" s="9" t="str">
        <f t="shared" si="55"/>
        <v/>
      </c>
      <c r="L3137" s="9" t="str">
        <f t="shared" si="56"/>
        <v/>
      </c>
      <c r="M3137" s="9"/>
      <c r="O3137" s="9"/>
    </row>
    <row r="3138" ht="15.75" customHeight="1">
      <c r="A3138" s="9" t="str">
        <f>IFERROR(__xludf.DUMMYFUNCTION("IF(B3138="""","""",RIGHT(REGEXREPLACE(B3138&amp;"""",""[^0-9]"",""""),9))"),"762695608")</f>
        <v>762695608</v>
      </c>
      <c r="B3138" s="48">
        <v>7.62695608E8</v>
      </c>
      <c r="C3138" s="10" t="s">
        <v>3169</v>
      </c>
      <c r="D3138" s="10" t="s">
        <v>97</v>
      </c>
      <c r="E3138" s="13">
        <v>46230.0</v>
      </c>
      <c r="F3138" s="10" t="s">
        <v>35</v>
      </c>
      <c r="G3138" s="10">
        <v>11.0</v>
      </c>
      <c r="I3138" s="10" t="s">
        <v>22</v>
      </c>
      <c r="J3138" s="9" t="str">
        <f t="shared" si="54"/>
        <v>No</v>
      </c>
      <c r="K3138" s="9" t="str">
        <f t="shared" si="55"/>
        <v/>
      </c>
      <c r="L3138" s="9" t="str">
        <f t="shared" si="56"/>
        <v/>
      </c>
      <c r="M3138" s="9"/>
      <c r="O3138" s="9"/>
    </row>
    <row r="3139" ht="15.75" customHeight="1">
      <c r="A3139" s="9" t="str">
        <f>IFERROR(__xludf.DUMMYFUNCTION("IF(B3139="""","""",RIGHT(REGEXREPLACE(B3139&amp;"""",""[^0-9]"",""""),9))"),"764934073")</f>
        <v>764934073</v>
      </c>
      <c r="B3139" s="48">
        <v>7.64934073E8</v>
      </c>
      <c r="C3139" s="10" t="s">
        <v>3170</v>
      </c>
      <c r="D3139" s="10" t="s">
        <v>34</v>
      </c>
      <c r="E3139" s="13">
        <v>46230.0</v>
      </c>
      <c r="F3139" s="10" t="s">
        <v>35</v>
      </c>
      <c r="H3139" s="10" t="s">
        <v>2714</v>
      </c>
      <c r="I3139" s="10" t="s">
        <v>22</v>
      </c>
      <c r="J3139" s="9" t="str">
        <f t="shared" si="54"/>
        <v>No</v>
      </c>
      <c r="K3139" s="9" t="str">
        <f t="shared" si="55"/>
        <v/>
      </c>
      <c r="L3139" s="9" t="str">
        <f t="shared" si="56"/>
        <v/>
      </c>
      <c r="M3139" s="9"/>
      <c r="O3139" s="9"/>
    </row>
    <row r="3140" ht="15.75" customHeight="1">
      <c r="A3140" s="9" t="str">
        <f>IFERROR(__xludf.DUMMYFUNCTION("IF(B3140="""","""",RIGHT(REGEXREPLACE(B3140&amp;"""",""[^0-9]"",""""),9))"),"753775955")</f>
        <v>753775955</v>
      </c>
      <c r="B3140" s="48">
        <v>7.53775955E8</v>
      </c>
      <c r="C3140" s="10" t="s">
        <v>3171</v>
      </c>
      <c r="D3140" s="10" t="s">
        <v>97</v>
      </c>
      <c r="E3140" s="13">
        <v>46230.0</v>
      </c>
      <c r="F3140" s="10" t="s">
        <v>604</v>
      </c>
      <c r="G3140" s="10">
        <v>11.0</v>
      </c>
      <c r="I3140" s="10" t="s">
        <v>22</v>
      </c>
      <c r="J3140" s="9" t="str">
        <f t="shared" si="54"/>
        <v>No</v>
      </c>
      <c r="K3140" s="9" t="str">
        <f t="shared" si="55"/>
        <v/>
      </c>
      <c r="L3140" s="9" t="str">
        <f t="shared" si="56"/>
        <v/>
      </c>
      <c r="M3140" s="9"/>
      <c r="O3140" s="9"/>
    </row>
    <row r="3141" ht="15.75" customHeight="1">
      <c r="A3141" s="9" t="str">
        <f>IFERROR(__xludf.DUMMYFUNCTION("IF(B3141="""","""",RIGHT(REGEXREPLACE(B3141&amp;"""",""[^0-9]"",""""),9))"),"764768799")</f>
        <v>764768799</v>
      </c>
      <c r="B3141" s="48">
        <v>7.64768799E8</v>
      </c>
      <c r="C3141" s="10" t="s">
        <v>3172</v>
      </c>
      <c r="D3141" s="10" t="s">
        <v>69</v>
      </c>
      <c r="E3141" s="13">
        <v>46230.0</v>
      </c>
      <c r="F3141" s="10" t="s">
        <v>21</v>
      </c>
      <c r="I3141" s="10" t="s">
        <v>22</v>
      </c>
      <c r="J3141" s="9" t="str">
        <f t="shared" si="54"/>
        <v>No</v>
      </c>
      <c r="K3141" s="9" t="str">
        <f t="shared" si="55"/>
        <v/>
      </c>
      <c r="L3141" s="9" t="str">
        <f t="shared" si="56"/>
        <v/>
      </c>
      <c r="M3141" s="9"/>
      <c r="O3141" s="9"/>
    </row>
    <row r="3142" ht="15.75" customHeight="1">
      <c r="A3142" s="9" t="str">
        <f>IFERROR(__xludf.DUMMYFUNCTION("IF(B3142="""","""",RIGHT(REGEXREPLACE(B3142&amp;"""",""[^0-9]"",""""),9))"),"710581515")</f>
        <v>710581515</v>
      </c>
      <c r="B3142" s="48">
        <v>7.10581515E8</v>
      </c>
      <c r="C3142" s="10" t="s">
        <v>3161</v>
      </c>
      <c r="D3142" s="10" t="s">
        <v>105</v>
      </c>
      <c r="E3142" s="13">
        <v>46230.0</v>
      </c>
      <c r="F3142" s="10" t="s">
        <v>113</v>
      </c>
      <c r="I3142" s="10" t="s">
        <v>22</v>
      </c>
      <c r="J3142" s="9" t="str">
        <f t="shared" si="54"/>
        <v>No</v>
      </c>
      <c r="K3142" s="9" t="str">
        <f t="shared" si="55"/>
        <v/>
      </c>
      <c r="L3142" s="9" t="str">
        <f t="shared" si="56"/>
        <v/>
      </c>
      <c r="M3142" s="9"/>
      <c r="O3142" s="9"/>
    </row>
    <row r="3143" ht="15.75" customHeight="1">
      <c r="A3143" s="9" t="str">
        <f>IFERROR(__xludf.DUMMYFUNCTION("IF(B3143="""","""",RIGHT(REGEXREPLACE(B3143&amp;"""",""[^0-9]"",""""),9))"),"782806641")</f>
        <v>782806641</v>
      </c>
      <c r="B3143" s="48">
        <v>7.82806641E8</v>
      </c>
      <c r="C3143" s="10" t="s">
        <v>3173</v>
      </c>
      <c r="D3143" s="10" t="s">
        <v>97</v>
      </c>
      <c r="E3143" s="13">
        <v>46230.0</v>
      </c>
      <c r="F3143" s="10" t="s">
        <v>35</v>
      </c>
      <c r="G3143" s="10">
        <v>11.0</v>
      </c>
      <c r="I3143" s="10" t="s">
        <v>22</v>
      </c>
      <c r="J3143" s="9" t="str">
        <f t="shared" si="54"/>
        <v>No</v>
      </c>
      <c r="K3143" s="9" t="str">
        <f t="shared" si="55"/>
        <v/>
      </c>
      <c r="L3143" s="9" t="str">
        <f t="shared" si="56"/>
        <v/>
      </c>
      <c r="M3143" s="9"/>
      <c r="O3143" s="9"/>
    </row>
    <row r="3144" ht="15.75" customHeight="1">
      <c r="A3144" s="9" t="str">
        <f>IFERROR(__xludf.DUMMYFUNCTION("IF(B3144="""","""",RIGHT(REGEXREPLACE(B3144&amp;"""",""[^0-9]"",""""),9))"),"771607748")</f>
        <v>771607748</v>
      </c>
      <c r="B3144" s="48">
        <v>7.71607748E8</v>
      </c>
      <c r="C3144" s="10" t="s">
        <v>3174</v>
      </c>
      <c r="D3144" s="10" t="s">
        <v>120</v>
      </c>
      <c r="E3144" s="13">
        <v>46230.0</v>
      </c>
      <c r="F3144" s="9"/>
      <c r="G3144" s="9"/>
      <c r="H3144" s="9"/>
      <c r="I3144" s="10" t="s">
        <v>22</v>
      </c>
      <c r="J3144" s="9" t="str">
        <f t="shared" si="54"/>
        <v>No</v>
      </c>
      <c r="K3144" s="9" t="str">
        <f t="shared" si="55"/>
        <v/>
      </c>
      <c r="L3144" s="9" t="str">
        <f t="shared" si="56"/>
        <v/>
      </c>
      <c r="M3144" s="9"/>
      <c r="N3144" s="9"/>
      <c r="O3144" s="9"/>
      <c r="P3144" s="9"/>
    </row>
    <row r="3145" ht="15.75" customHeight="1">
      <c r="A3145" s="9" t="str">
        <f>IFERROR(__xludf.DUMMYFUNCTION("IF(B3145="""","""",RIGHT(REGEXREPLACE(B3145&amp;"""",""[^0-9]"",""""),9))"),"775765305")</f>
        <v>775765305</v>
      </c>
      <c r="B3145" s="48">
        <v>7.75765305E8</v>
      </c>
      <c r="C3145" s="10" t="s">
        <v>3175</v>
      </c>
      <c r="D3145" s="10" t="s">
        <v>50</v>
      </c>
      <c r="E3145" s="13">
        <v>46230.0</v>
      </c>
      <c r="F3145" s="10" t="s">
        <v>35</v>
      </c>
      <c r="G3145" s="10">
        <v>11.0</v>
      </c>
      <c r="I3145" s="10" t="s">
        <v>22</v>
      </c>
      <c r="J3145" s="9" t="str">
        <f t="shared" si="54"/>
        <v>No</v>
      </c>
      <c r="K3145" s="9" t="str">
        <f t="shared" si="55"/>
        <v/>
      </c>
      <c r="L3145" s="9" t="str">
        <f t="shared" si="56"/>
        <v/>
      </c>
      <c r="M3145" s="9"/>
      <c r="O3145" s="9"/>
    </row>
    <row r="3146" ht="15.75" customHeight="1">
      <c r="A3146" s="9" t="str">
        <f>IFERROR(__xludf.DUMMYFUNCTION("IF(B3146="""","""",RIGHT(REGEXREPLACE(B3146&amp;"""",""[^0-9]"",""""),9))"),"717018554")</f>
        <v>717018554</v>
      </c>
      <c r="B3146" s="48">
        <v>7.17018554E8</v>
      </c>
      <c r="C3146" s="10" t="s">
        <v>3176</v>
      </c>
      <c r="D3146" s="10" t="s">
        <v>69</v>
      </c>
      <c r="E3146" s="13">
        <v>46230.0</v>
      </c>
      <c r="F3146" s="10" t="s">
        <v>35</v>
      </c>
      <c r="G3146" s="10">
        <v>11.0</v>
      </c>
      <c r="I3146" s="10" t="s">
        <v>22</v>
      </c>
      <c r="J3146" s="9" t="str">
        <f t="shared" si="54"/>
        <v>No</v>
      </c>
      <c r="K3146" s="9" t="str">
        <f t="shared" si="55"/>
        <v/>
      </c>
      <c r="L3146" s="9" t="str">
        <f t="shared" si="56"/>
        <v/>
      </c>
      <c r="M3146" s="9"/>
      <c r="O3146" s="9"/>
    </row>
    <row r="3147" ht="15.75" customHeight="1">
      <c r="A3147" s="9" t="str">
        <f>IFERROR(__xludf.DUMMYFUNCTION("IF(B3147="""","""",RIGHT(REGEXREPLACE(B3147&amp;"""",""[^0-9]"",""""),9))"),"788633852")</f>
        <v>788633852</v>
      </c>
      <c r="B3147" s="48">
        <v>7.88633852E8</v>
      </c>
      <c r="C3147" s="10" t="s">
        <v>3177</v>
      </c>
      <c r="D3147" s="10" t="s">
        <v>97</v>
      </c>
      <c r="E3147" s="13">
        <v>46230.0</v>
      </c>
      <c r="F3147" s="9"/>
      <c r="G3147" s="10">
        <v>11.0</v>
      </c>
      <c r="H3147" s="9"/>
      <c r="I3147" s="10" t="s">
        <v>22</v>
      </c>
      <c r="J3147" s="9" t="str">
        <f t="shared" si="54"/>
        <v>No</v>
      </c>
      <c r="K3147" s="9" t="str">
        <f t="shared" si="55"/>
        <v/>
      </c>
      <c r="L3147" s="9" t="str">
        <f t="shared" si="56"/>
        <v/>
      </c>
      <c r="M3147" s="9"/>
      <c r="N3147" s="9"/>
      <c r="O3147" s="9"/>
      <c r="P3147" s="9"/>
    </row>
    <row r="3148" ht="15.75" customHeight="1">
      <c r="A3148" s="9" t="str">
        <f>IFERROR(__xludf.DUMMYFUNCTION("IF(B3148="""","""",RIGHT(REGEXREPLACE(B3148&amp;"""",""[^0-9]"",""""),9))"),"757084906")</f>
        <v>757084906</v>
      </c>
      <c r="B3148" s="48">
        <v>7.57084906E8</v>
      </c>
      <c r="C3148" s="10" t="s">
        <v>3178</v>
      </c>
      <c r="D3148" s="10" t="s">
        <v>120</v>
      </c>
      <c r="E3148" s="13">
        <v>46230.0</v>
      </c>
      <c r="F3148" s="10" t="s">
        <v>21</v>
      </c>
      <c r="G3148" s="10">
        <v>11.0</v>
      </c>
      <c r="I3148" s="10" t="s">
        <v>22</v>
      </c>
      <c r="J3148" s="9" t="str">
        <f t="shared" si="54"/>
        <v>No</v>
      </c>
      <c r="K3148" s="9" t="str">
        <f t="shared" si="55"/>
        <v/>
      </c>
      <c r="L3148" s="9" t="str">
        <f t="shared" si="56"/>
        <v/>
      </c>
      <c r="M3148" s="9"/>
      <c r="O3148" s="9"/>
    </row>
    <row r="3149" ht="15.75" customHeight="1">
      <c r="A3149" s="9" t="str">
        <f>IFERROR(__xludf.DUMMYFUNCTION("IF(B3149="""","""",RIGHT(REGEXREPLACE(B3149&amp;"""",""[^0-9]"",""""),9))"),"701039063")</f>
        <v>701039063</v>
      </c>
      <c r="B3149" s="48">
        <v>7.01039063E8</v>
      </c>
      <c r="C3149" s="10" t="s">
        <v>3179</v>
      </c>
      <c r="D3149" s="10" t="s">
        <v>50</v>
      </c>
      <c r="E3149" s="13">
        <v>46230.0</v>
      </c>
      <c r="F3149" s="10" t="s">
        <v>35</v>
      </c>
      <c r="G3149" s="10">
        <v>11.0</v>
      </c>
      <c r="I3149" s="10" t="s">
        <v>22</v>
      </c>
      <c r="J3149" s="9" t="str">
        <f t="shared" si="54"/>
        <v>No</v>
      </c>
      <c r="K3149" s="9" t="str">
        <f t="shared" si="55"/>
        <v/>
      </c>
      <c r="L3149" s="9" t="str">
        <f t="shared" si="56"/>
        <v/>
      </c>
      <c r="M3149" s="9"/>
      <c r="O3149" s="9"/>
    </row>
    <row r="3150" ht="15.75" customHeight="1">
      <c r="A3150" s="9" t="str">
        <f>IFERROR(__xludf.DUMMYFUNCTION("IF(B3150="""","""",RIGHT(REGEXREPLACE(B3150&amp;"""",""[^0-9]"",""""),9))"),"717679484")</f>
        <v>717679484</v>
      </c>
      <c r="B3150" s="48">
        <v>7.17679484E8</v>
      </c>
      <c r="C3150" s="10" t="s">
        <v>3180</v>
      </c>
      <c r="D3150" s="10" t="s">
        <v>105</v>
      </c>
      <c r="E3150" s="13">
        <v>46230.0</v>
      </c>
      <c r="F3150" s="9"/>
      <c r="G3150" s="9"/>
      <c r="H3150" s="9"/>
      <c r="I3150" s="10" t="s">
        <v>22</v>
      </c>
      <c r="J3150" s="9" t="str">
        <f t="shared" si="54"/>
        <v>No</v>
      </c>
      <c r="K3150" s="9" t="str">
        <f t="shared" si="55"/>
        <v/>
      </c>
      <c r="L3150" s="9" t="str">
        <f t="shared" si="56"/>
        <v/>
      </c>
      <c r="M3150" s="9"/>
      <c r="N3150" s="9"/>
      <c r="O3150" s="9"/>
      <c r="P3150" s="9"/>
    </row>
    <row r="3151" ht="15.75" customHeight="1">
      <c r="A3151" s="9" t="str">
        <f>IFERROR(__xludf.DUMMYFUNCTION("IF(B3151="""","""",RIGHT(REGEXREPLACE(B3151&amp;"""",""[^0-9]"",""""),9))"),"701797652")</f>
        <v>701797652</v>
      </c>
      <c r="B3151" s="48">
        <v>7.01797652E8</v>
      </c>
      <c r="C3151" s="10" t="s">
        <v>3181</v>
      </c>
      <c r="D3151" s="10" t="s">
        <v>97</v>
      </c>
      <c r="E3151" s="13">
        <v>46230.0</v>
      </c>
      <c r="F3151" s="10" t="s">
        <v>35</v>
      </c>
      <c r="G3151" s="10">
        <v>11.0</v>
      </c>
      <c r="I3151" s="10" t="s">
        <v>22</v>
      </c>
      <c r="J3151" s="9" t="str">
        <f t="shared" si="54"/>
        <v>No</v>
      </c>
      <c r="K3151" s="9" t="str">
        <f t="shared" si="55"/>
        <v/>
      </c>
      <c r="L3151" s="9" t="str">
        <f t="shared" si="56"/>
        <v/>
      </c>
      <c r="M3151" s="9"/>
      <c r="O3151" s="9"/>
    </row>
    <row r="3152" ht="15.75" customHeight="1">
      <c r="A3152" s="9" t="str">
        <f>IFERROR(__xludf.DUMMYFUNCTION("IF(B3152="""","""",RIGHT(REGEXREPLACE(B3152&amp;"""",""[^0-9]"",""""),9))"),"773625413")</f>
        <v>773625413</v>
      </c>
      <c r="B3152" s="48">
        <v>7.73625413E8</v>
      </c>
      <c r="C3152" s="10" t="s">
        <v>3182</v>
      </c>
      <c r="D3152" s="10" t="s">
        <v>120</v>
      </c>
      <c r="E3152" s="13">
        <v>46230.0</v>
      </c>
      <c r="F3152" s="10" t="s">
        <v>35</v>
      </c>
      <c r="G3152" s="10">
        <v>11.0</v>
      </c>
      <c r="I3152" s="10" t="s">
        <v>22</v>
      </c>
      <c r="J3152" s="9" t="str">
        <f t="shared" si="54"/>
        <v>No</v>
      </c>
      <c r="K3152" s="9" t="str">
        <f t="shared" si="55"/>
        <v/>
      </c>
      <c r="L3152" s="9" t="str">
        <f t="shared" si="56"/>
        <v/>
      </c>
      <c r="M3152" s="9"/>
      <c r="O3152" s="9"/>
    </row>
    <row r="3153" ht="15.75" customHeight="1">
      <c r="A3153" s="9" t="str">
        <f>IFERROR(__xludf.DUMMYFUNCTION("IF(B3153="""","""",RIGHT(REGEXREPLACE(B3153&amp;"""",""[^0-9]"",""""),9))"),"789549444")</f>
        <v>789549444</v>
      </c>
      <c r="B3153" s="48">
        <v>7.89549444E8</v>
      </c>
      <c r="C3153" s="10" t="s">
        <v>3183</v>
      </c>
      <c r="D3153" s="10" t="s">
        <v>50</v>
      </c>
      <c r="E3153" s="13">
        <v>46230.0</v>
      </c>
      <c r="F3153" s="10" t="s">
        <v>21</v>
      </c>
      <c r="G3153" s="10">
        <v>11.0</v>
      </c>
      <c r="I3153" s="10" t="s">
        <v>22</v>
      </c>
      <c r="J3153" s="9" t="str">
        <f t="shared" si="54"/>
        <v>No</v>
      </c>
      <c r="K3153" s="9" t="str">
        <f t="shared" si="55"/>
        <v/>
      </c>
      <c r="L3153" s="9" t="str">
        <f t="shared" si="56"/>
        <v/>
      </c>
      <c r="M3153" s="9"/>
      <c r="O3153" s="9"/>
    </row>
    <row r="3154" ht="15.75" customHeight="1">
      <c r="A3154" s="9" t="str">
        <f>IFERROR(__xludf.DUMMYFUNCTION("IF(B3154="""","""",RIGHT(REGEXREPLACE(B3154&amp;"""",""[^0-9]"",""""),9))"),"727179821")</f>
        <v>727179821</v>
      </c>
      <c r="B3154" s="48">
        <v>7.27179821E8</v>
      </c>
      <c r="C3154" s="10" t="s">
        <v>1946</v>
      </c>
      <c r="D3154" s="10" t="s">
        <v>34</v>
      </c>
      <c r="E3154" s="13">
        <v>46230.0</v>
      </c>
      <c r="F3154" s="10" t="s">
        <v>35</v>
      </c>
      <c r="G3154" s="10">
        <v>11.0</v>
      </c>
      <c r="I3154" s="10" t="s">
        <v>22</v>
      </c>
      <c r="J3154" s="9" t="str">
        <f t="shared" si="54"/>
        <v>Yes - see Previous F-Code</v>
      </c>
      <c r="K3154" s="9" t="str">
        <f t="shared" si="55"/>
        <v>DUPLICATE - CHECK</v>
      </c>
      <c r="L3154" s="9" t="str">
        <f t="shared" si="56"/>
        <v>F71726</v>
      </c>
      <c r="M3154" s="9"/>
      <c r="O3154" s="9"/>
    </row>
    <row r="3155" ht="15.75" customHeight="1">
      <c r="A3155" s="9" t="str">
        <f>IFERROR(__xludf.DUMMYFUNCTION("IF(B3155="""","""",RIGHT(REGEXREPLACE(B3155&amp;"""",""[^0-9]"",""""),9))"),"710581515")</f>
        <v>710581515</v>
      </c>
      <c r="B3155" s="10">
        <v>7.10581515E8</v>
      </c>
      <c r="C3155" s="10" t="s">
        <v>3161</v>
      </c>
      <c r="D3155" s="10" t="s">
        <v>69</v>
      </c>
      <c r="E3155" s="13">
        <v>46230.0</v>
      </c>
      <c r="F3155" s="10" t="s">
        <v>21</v>
      </c>
      <c r="I3155" s="10" t="s">
        <v>22</v>
      </c>
      <c r="J3155" s="9" t="str">
        <f t="shared" si="54"/>
        <v>Yes - see Previous F-Code</v>
      </c>
      <c r="K3155" s="9" t="str">
        <f t="shared" si="55"/>
        <v>DUPLICATE - CHECK</v>
      </c>
      <c r="L3155" s="9" t="str">
        <f t="shared" si="56"/>
        <v>F72897</v>
      </c>
      <c r="M3155" s="9"/>
      <c r="O3155" s="9"/>
    </row>
    <row r="3156" ht="15.75" customHeight="1">
      <c r="A3156" s="9" t="str">
        <f>IFERROR(__xludf.DUMMYFUNCTION("IF(B3156="""","""",RIGHT(REGEXREPLACE(B3156&amp;"""",""[^0-9]"",""""),9))"),"774560309")</f>
        <v>774560309</v>
      </c>
      <c r="B3156" s="48">
        <v>7.74560309E8</v>
      </c>
      <c r="C3156" s="10" t="s">
        <v>3184</v>
      </c>
      <c r="D3156" s="10" t="s">
        <v>34</v>
      </c>
      <c r="E3156" s="13">
        <v>46230.0</v>
      </c>
      <c r="F3156" s="10" t="s">
        <v>21</v>
      </c>
      <c r="I3156" s="10" t="s">
        <v>22</v>
      </c>
      <c r="J3156" s="9" t="str">
        <f t="shared" si="54"/>
        <v>No</v>
      </c>
      <c r="K3156" s="9" t="str">
        <f t="shared" si="55"/>
        <v/>
      </c>
      <c r="L3156" s="9" t="str">
        <f t="shared" si="56"/>
        <v/>
      </c>
      <c r="M3156" s="9"/>
      <c r="O3156" s="9"/>
    </row>
    <row r="3157" ht="15.75" customHeight="1">
      <c r="A3157" s="9" t="str">
        <f>IFERROR(__xludf.DUMMYFUNCTION("IF(B3157="""","""",RIGHT(REGEXREPLACE(B3157&amp;"""",""[^0-9]"",""""),9))"),"703527915")</f>
        <v>703527915</v>
      </c>
      <c r="B3157" s="48">
        <v>7.03527915E8</v>
      </c>
      <c r="C3157" s="10" t="s">
        <v>3185</v>
      </c>
      <c r="D3157" s="10" t="s">
        <v>120</v>
      </c>
      <c r="E3157" s="13">
        <v>46230.0</v>
      </c>
      <c r="F3157" s="10" t="s">
        <v>21</v>
      </c>
      <c r="I3157" s="10" t="s">
        <v>22</v>
      </c>
      <c r="J3157" s="9" t="str">
        <f t="shared" si="54"/>
        <v>No</v>
      </c>
      <c r="K3157" s="9" t="str">
        <f t="shared" si="55"/>
        <v/>
      </c>
      <c r="L3157" s="9" t="str">
        <f t="shared" si="56"/>
        <v/>
      </c>
      <c r="M3157" s="9"/>
      <c r="O3157" s="9"/>
    </row>
    <row r="3158" ht="15.75" customHeight="1">
      <c r="A3158" s="9" t="str">
        <f>IFERROR(__xludf.DUMMYFUNCTION("IF(B3158="""","""",RIGHT(REGEXREPLACE(B3158&amp;"""",""[^0-9]"",""""),9))"),"763523318")</f>
        <v>763523318</v>
      </c>
      <c r="B3158" s="48">
        <v>7.63523318E8</v>
      </c>
      <c r="C3158" s="10" t="s">
        <v>3170</v>
      </c>
      <c r="D3158" s="10" t="s">
        <v>97</v>
      </c>
      <c r="E3158" s="13">
        <v>46230.0</v>
      </c>
      <c r="F3158" s="9"/>
      <c r="G3158" s="10">
        <v>11.0</v>
      </c>
      <c r="H3158" s="9"/>
      <c r="I3158" s="10" t="s">
        <v>22</v>
      </c>
      <c r="J3158" s="9" t="str">
        <f t="shared" si="54"/>
        <v>No</v>
      </c>
      <c r="K3158" s="9" t="str">
        <f t="shared" si="55"/>
        <v/>
      </c>
      <c r="L3158" s="9" t="str">
        <f t="shared" si="56"/>
        <v/>
      </c>
      <c r="M3158" s="9"/>
      <c r="N3158" s="9"/>
      <c r="O3158" s="9"/>
      <c r="P3158" s="9"/>
    </row>
    <row r="3159" ht="15.75" customHeight="1">
      <c r="A3159" s="9" t="str">
        <f>IFERROR(__xludf.DUMMYFUNCTION("IF(B3159="""","""",RIGHT(REGEXREPLACE(B3159&amp;"""",""[^0-9]"",""""),9))"),"718524365")</f>
        <v>718524365</v>
      </c>
      <c r="B3159" s="48">
        <v>7.18524365E8</v>
      </c>
      <c r="C3159" s="10" t="s">
        <v>3186</v>
      </c>
      <c r="D3159" s="10" t="s">
        <v>50</v>
      </c>
      <c r="E3159" s="13">
        <v>46230.0</v>
      </c>
      <c r="F3159" s="10" t="s">
        <v>21</v>
      </c>
      <c r="G3159" s="10">
        <v>11.0</v>
      </c>
      <c r="I3159" s="10" t="s">
        <v>22</v>
      </c>
      <c r="J3159" s="9" t="str">
        <f t="shared" si="54"/>
        <v>No</v>
      </c>
      <c r="K3159" s="9" t="str">
        <f t="shared" si="55"/>
        <v/>
      </c>
      <c r="L3159" s="9" t="str">
        <f t="shared" si="56"/>
        <v/>
      </c>
      <c r="M3159" s="9"/>
      <c r="O3159" s="9"/>
    </row>
    <row r="3160" ht="15.75" customHeight="1">
      <c r="A3160" s="9" t="str">
        <f>IFERROR(__xludf.DUMMYFUNCTION("IF(B3160="""","""",RIGHT(REGEXREPLACE(B3160&amp;"""",""[^0-9]"",""""),9))"),"")</f>
        <v/>
      </c>
      <c r="B3160" s="48"/>
      <c r="C3160" s="10" t="s">
        <v>1013</v>
      </c>
      <c r="D3160" s="10" t="s">
        <v>69</v>
      </c>
      <c r="E3160" s="13">
        <v>46230.0</v>
      </c>
      <c r="F3160" s="9"/>
      <c r="G3160" s="9"/>
      <c r="H3160" s="9"/>
      <c r="I3160" s="10" t="s">
        <v>22</v>
      </c>
      <c r="J3160" s="9" t="str">
        <f t="shared" si="54"/>
        <v>Yes - see Previous F-Code</v>
      </c>
      <c r="K3160" s="9" t="str">
        <f t="shared" si="55"/>
        <v>DUPLICATE - CHECK</v>
      </c>
      <c r="L3160" s="9" t="str">
        <f t="shared" si="56"/>
        <v/>
      </c>
      <c r="M3160" s="9"/>
      <c r="N3160" s="9"/>
      <c r="O3160" s="9"/>
      <c r="P3160" s="9"/>
    </row>
    <row r="3161" ht="15.75" customHeight="1">
      <c r="A3161" s="9" t="str">
        <f>IFERROR(__xludf.DUMMYFUNCTION("IF(B3161="""","""",RIGHT(REGEXREPLACE(B3161&amp;"""",""[^0-9]"",""""),9))"),"757084906")</f>
        <v>757084906</v>
      </c>
      <c r="B3161" s="48">
        <v>7.57084906E8</v>
      </c>
      <c r="C3161" s="10" t="s">
        <v>3178</v>
      </c>
      <c r="D3161" s="10" t="s">
        <v>34</v>
      </c>
      <c r="E3161" s="13">
        <v>46230.0</v>
      </c>
      <c r="F3161" s="10" t="s">
        <v>21</v>
      </c>
      <c r="G3161" s="10">
        <v>11.0</v>
      </c>
      <c r="I3161" s="10" t="s">
        <v>22</v>
      </c>
      <c r="J3161" s="9" t="str">
        <f t="shared" si="54"/>
        <v>Yes - see Previous F-Code</v>
      </c>
      <c r="K3161" s="9" t="str">
        <f t="shared" si="55"/>
        <v>DUPLICATE - CHECK</v>
      </c>
      <c r="L3161" s="9" t="str">
        <f t="shared" si="56"/>
        <v>F72909</v>
      </c>
      <c r="M3161" s="9"/>
      <c r="O3161" s="9"/>
    </row>
    <row r="3162" ht="15.75" customHeight="1">
      <c r="A3162" s="9" t="str">
        <f>IFERROR(__xludf.DUMMYFUNCTION("IF(B3162="""","""",RIGHT(REGEXREPLACE(B3162&amp;"""",""[^0-9]"",""""),9))"),"769467984")</f>
        <v>769467984</v>
      </c>
      <c r="B3162" s="10">
        <v>7.69467984E8</v>
      </c>
      <c r="C3162" s="10" t="s">
        <v>3187</v>
      </c>
      <c r="D3162" s="10" t="s">
        <v>105</v>
      </c>
      <c r="E3162" s="13">
        <v>46230.0</v>
      </c>
      <c r="F3162" s="10" t="s">
        <v>113</v>
      </c>
      <c r="G3162" s="10">
        <v>11.0</v>
      </c>
      <c r="I3162" s="10" t="s">
        <v>22</v>
      </c>
      <c r="J3162" s="9" t="str">
        <f t="shared" si="54"/>
        <v>No</v>
      </c>
      <c r="K3162" s="9" t="str">
        <f t="shared" si="55"/>
        <v/>
      </c>
      <c r="L3162" s="9" t="str">
        <f t="shared" si="56"/>
        <v/>
      </c>
      <c r="M3162" s="9"/>
      <c r="O3162" s="9"/>
    </row>
    <row r="3163" ht="15.75" customHeight="1">
      <c r="A3163" s="9" t="str">
        <f>IFERROR(__xludf.DUMMYFUNCTION("IF(B3163="""","""",RIGHT(REGEXREPLACE(B3163&amp;"""",""[^0-9]"",""""),9))"),"719864394")</f>
        <v>719864394</v>
      </c>
      <c r="B3163" s="48">
        <v>7.19864394E8</v>
      </c>
      <c r="C3163" s="10" t="s">
        <v>3188</v>
      </c>
      <c r="D3163" s="10" t="s">
        <v>120</v>
      </c>
      <c r="E3163" s="13">
        <v>46230.0</v>
      </c>
      <c r="F3163" s="10" t="s">
        <v>21</v>
      </c>
      <c r="G3163" s="10">
        <v>11.0</v>
      </c>
      <c r="I3163" s="10" t="s">
        <v>22</v>
      </c>
      <c r="J3163" s="9" t="str">
        <f t="shared" si="54"/>
        <v>No</v>
      </c>
      <c r="K3163" s="9" t="str">
        <f t="shared" si="55"/>
        <v/>
      </c>
      <c r="L3163" s="9" t="str">
        <f t="shared" si="56"/>
        <v/>
      </c>
      <c r="M3163" s="9"/>
      <c r="O3163" s="9"/>
    </row>
    <row r="3164" ht="15.75" customHeight="1">
      <c r="A3164" s="9" t="str">
        <f>IFERROR(__xludf.DUMMYFUNCTION("IF(B3164="""","""",RIGHT(REGEXREPLACE(B3164&amp;"""",""[^0-9]"",""""),9))"),"773548840")</f>
        <v>773548840</v>
      </c>
      <c r="B3164" s="48">
        <v>7.7354884E8</v>
      </c>
      <c r="C3164" s="10" t="s">
        <v>3189</v>
      </c>
      <c r="D3164" s="10" t="s">
        <v>105</v>
      </c>
      <c r="E3164" s="13">
        <v>46230.0</v>
      </c>
      <c r="F3164" s="10" t="s">
        <v>35</v>
      </c>
      <c r="G3164" s="10">
        <v>11.0</v>
      </c>
      <c r="I3164" s="10" t="s">
        <v>22</v>
      </c>
      <c r="J3164" s="9" t="str">
        <f t="shared" si="54"/>
        <v>No</v>
      </c>
      <c r="K3164" s="9" t="str">
        <f t="shared" si="55"/>
        <v/>
      </c>
      <c r="L3164" s="9" t="str">
        <f t="shared" si="56"/>
        <v/>
      </c>
      <c r="M3164" s="9"/>
      <c r="O3164" s="9"/>
    </row>
    <row r="3165" ht="15.75" customHeight="1">
      <c r="A3165" s="9" t="str">
        <f>IFERROR(__xludf.DUMMYFUNCTION("IF(B3165="""","""",RIGHT(REGEXREPLACE(B3165&amp;"""",""[^0-9]"",""""),9))"),"719306289")</f>
        <v>719306289</v>
      </c>
      <c r="B3165" s="48">
        <v>7.19306289E8</v>
      </c>
      <c r="C3165" s="10" t="s">
        <v>3190</v>
      </c>
      <c r="D3165" s="10" t="s">
        <v>120</v>
      </c>
      <c r="E3165" s="13">
        <v>46230.0</v>
      </c>
      <c r="F3165" s="10" t="s">
        <v>35</v>
      </c>
      <c r="G3165" s="10">
        <v>11.0</v>
      </c>
      <c r="I3165" s="10" t="s">
        <v>22</v>
      </c>
      <c r="J3165" s="9" t="str">
        <f t="shared" si="54"/>
        <v>No</v>
      </c>
      <c r="K3165" s="9" t="str">
        <f t="shared" si="55"/>
        <v/>
      </c>
      <c r="L3165" s="9" t="str">
        <f t="shared" si="56"/>
        <v/>
      </c>
      <c r="M3165" s="9"/>
      <c r="O3165" s="9"/>
    </row>
    <row r="3166" ht="15.75" customHeight="1">
      <c r="A3166" s="9" t="str">
        <f>IFERROR(__xludf.DUMMYFUNCTION("IF(B3166="""","""",RIGHT(REGEXREPLACE(B3166&amp;"""",""[^0-9]"",""""),9))"),"770700853")</f>
        <v>770700853</v>
      </c>
      <c r="B3166" s="48">
        <v>7.70700853E8</v>
      </c>
      <c r="C3166" s="10" t="s">
        <v>3191</v>
      </c>
      <c r="D3166" s="10" t="s">
        <v>97</v>
      </c>
      <c r="E3166" s="13">
        <v>46230.0</v>
      </c>
      <c r="F3166" s="10" t="s">
        <v>198</v>
      </c>
      <c r="G3166" s="10">
        <v>11.0</v>
      </c>
      <c r="I3166" s="10" t="s">
        <v>22</v>
      </c>
      <c r="J3166" s="9" t="str">
        <f t="shared" si="54"/>
        <v>No</v>
      </c>
      <c r="K3166" s="9" t="str">
        <f t="shared" si="55"/>
        <v/>
      </c>
      <c r="L3166" s="9" t="str">
        <f t="shared" si="56"/>
        <v/>
      </c>
      <c r="M3166" s="9"/>
      <c r="O3166" s="9"/>
    </row>
    <row r="3167" ht="15.75" customHeight="1">
      <c r="A3167" s="9" t="str">
        <f>IFERROR(__xludf.DUMMYFUNCTION("IF(B3167="""","""",RIGHT(REGEXREPLACE(B3167&amp;"""",""[^0-9]"",""""),9))"),"715361253")</f>
        <v>715361253</v>
      </c>
      <c r="B3167" s="48">
        <v>7.15361253E8</v>
      </c>
      <c r="C3167" s="10" t="s">
        <v>3192</v>
      </c>
      <c r="D3167" s="10" t="s">
        <v>69</v>
      </c>
      <c r="E3167" s="13">
        <v>46230.0</v>
      </c>
      <c r="F3167" s="10" t="s">
        <v>21</v>
      </c>
      <c r="G3167" s="10">
        <v>11.0</v>
      </c>
      <c r="I3167" s="10" t="s">
        <v>22</v>
      </c>
      <c r="J3167" s="9" t="str">
        <f t="shared" si="54"/>
        <v>No</v>
      </c>
      <c r="K3167" s="9" t="str">
        <f t="shared" si="55"/>
        <v/>
      </c>
      <c r="L3167" s="9" t="str">
        <f t="shared" si="56"/>
        <v/>
      </c>
      <c r="M3167" s="9"/>
      <c r="O3167" s="9"/>
    </row>
    <row r="3168" ht="15.75" customHeight="1">
      <c r="A3168" s="9" t="str">
        <f>IFERROR(__xludf.DUMMYFUNCTION("IF(B3168="""","""",RIGHT(REGEXREPLACE(B3168&amp;"""",""[^0-9]"",""""),9))"),"760514435")</f>
        <v>760514435</v>
      </c>
      <c r="B3168" s="48">
        <v>7.60514435E8</v>
      </c>
      <c r="C3168" s="10" t="s">
        <v>3193</v>
      </c>
      <c r="D3168" s="10" t="s">
        <v>50</v>
      </c>
      <c r="E3168" s="13">
        <v>46230.0</v>
      </c>
      <c r="F3168" s="10" t="s">
        <v>21</v>
      </c>
      <c r="G3168" s="10">
        <v>11.0</v>
      </c>
      <c r="I3168" s="10" t="s">
        <v>22</v>
      </c>
      <c r="J3168" s="9" t="str">
        <f t="shared" si="54"/>
        <v>No</v>
      </c>
      <c r="K3168" s="9" t="str">
        <f t="shared" si="55"/>
        <v/>
      </c>
      <c r="L3168" s="9" t="str">
        <f t="shared" si="56"/>
        <v/>
      </c>
      <c r="M3168" s="9"/>
      <c r="O3168" s="9"/>
    </row>
    <row r="3169" ht="15.75" customHeight="1">
      <c r="A3169" s="9" t="str">
        <f>IFERROR(__xludf.DUMMYFUNCTION("IF(B3169="""","""",RIGHT(REGEXREPLACE(B3169&amp;"""",""[^0-9]"",""""),9))"),"777776458")</f>
        <v>777776458</v>
      </c>
      <c r="B3169" s="48">
        <v>7.77776458E8</v>
      </c>
      <c r="C3169" s="10" t="s">
        <v>3194</v>
      </c>
      <c r="D3169" s="10" t="s">
        <v>105</v>
      </c>
      <c r="E3169" s="13">
        <v>46230.0</v>
      </c>
      <c r="F3169" s="10" t="s">
        <v>35</v>
      </c>
      <c r="G3169" s="10">
        <v>11.0</v>
      </c>
      <c r="I3169" s="10" t="s">
        <v>22</v>
      </c>
      <c r="J3169" s="9" t="str">
        <f t="shared" si="54"/>
        <v>No</v>
      </c>
      <c r="K3169" s="9" t="str">
        <f t="shared" si="55"/>
        <v/>
      </c>
      <c r="L3169" s="9" t="str">
        <f t="shared" si="56"/>
        <v/>
      </c>
      <c r="M3169" s="9"/>
      <c r="O3169" s="9"/>
    </row>
    <row r="3170" ht="15.75" customHeight="1">
      <c r="A3170" s="9" t="str">
        <f>IFERROR(__xludf.DUMMYFUNCTION("IF(B3170="""","""",RIGHT(REGEXREPLACE(B3170&amp;"""",""[^0-9]"",""""),9))"),"761859202")</f>
        <v>761859202</v>
      </c>
      <c r="B3170" s="48">
        <v>7.61859202E8</v>
      </c>
      <c r="C3170" s="10" t="s">
        <v>3195</v>
      </c>
      <c r="D3170" s="10" t="s">
        <v>97</v>
      </c>
      <c r="E3170" s="13">
        <v>46230.0</v>
      </c>
      <c r="F3170" s="10" t="s">
        <v>35</v>
      </c>
      <c r="G3170" s="10">
        <v>11.0</v>
      </c>
      <c r="I3170" s="10" t="s">
        <v>22</v>
      </c>
      <c r="J3170" s="9" t="str">
        <f t="shared" si="54"/>
        <v>No</v>
      </c>
      <c r="K3170" s="9" t="str">
        <f t="shared" si="55"/>
        <v/>
      </c>
      <c r="L3170" s="9" t="str">
        <f t="shared" si="56"/>
        <v/>
      </c>
      <c r="M3170" s="9"/>
      <c r="O3170" s="9"/>
    </row>
    <row r="3171" ht="15.75" customHeight="1">
      <c r="A3171" s="9" t="str">
        <f>IFERROR(__xludf.DUMMYFUNCTION("IF(B3171="""","""",RIGHT(REGEXREPLACE(B3171&amp;"""",""[^0-9]"",""""),9))"),"776195245")</f>
        <v>776195245</v>
      </c>
      <c r="B3171" s="48">
        <v>7.76195245E8</v>
      </c>
      <c r="C3171" s="10" t="s">
        <v>2236</v>
      </c>
      <c r="D3171" s="10" t="s">
        <v>69</v>
      </c>
      <c r="E3171" s="13">
        <v>46230.0</v>
      </c>
      <c r="F3171" s="10" t="s">
        <v>21</v>
      </c>
      <c r="G3171" s="10">
        <v>11.0</v>
      </c>
      <c r="I3171" s="10" t="s">
        <v>22</v>
      </c>
      <c r="J3171" s="9" t="str">
        <f t="shared" si="54"/>
        <v>No</v>
      </c>
      <c r="K3171" s="9" t="str">
        <f t="shared" si="55"/>
        <v/>
      </c>
      <c r="L3171" s="9" t="str">
        <f t="shared" si="56"/>
        <v/>
      </c>
      <c r="M3171" s="9"/>
      <c r="O3171" s="9"/>
    </row>
    <row r="3172" ht="15.75" customHeight="1">
      <c r="A3172" s="9" t="str">
        <f>IFERROR(__xludf.DUMMYFUNCTION("IF(B3172="""","""",RIGHT(REGEXREPLACE(B3172&amp;"""",""[^0-9]"",""""),9))"),"781755778")</f>
        <v>781755778</v>
      </c>
      <c r="B3172" s="48">
        <v>7.81755778E8</v>
      </c>
      <c r="C3172" s="10" t="s">
        <v>3196</v>
      </c>
      <c r="D3172" s="10" t="s">
        <v>50</v>
      </c>
      <c r="E3172" s="13">
        <v>46230.0</v>
      </c>
      <c r="F3172" s="10" t="s">
        <v>21</v>
      </c>
      <c r="G3172" s="10">
        <v>11.0</v>
      </c>
      <c r="I3172" s="10" t="s">
        <v>22</v>
      </c>
      <c r="J3172" s="9" t="str">
        <f t="shared" si="54"/>
        <v>No</v>
      </c>
      <c r="K3172" s="9" t="str">
        <f t="shared" si="55"/>
        <v/>
      </c>
      <c r="L3172" s="9" t="str">
        <f t="shared" si="56"/>
        <v/>
      </c>
      <c r="M3172" s="9"/>
      <c r="O3172" s="9"/>
    </row>
    <row r="3173" ht="15.75" customHeight="1">
      <c r="A3173" s="9" t="str">
        <f>IFERROR(__xludf.DUMMYFUNCTION("IF(B3173="""","""",RIGHT(REGEXREPLACE(B3173&amp;"""",""[^0-9]"",""""),9))"),"713010725")</f>
        <v>713010725</v>
      </c>
      <c r="B3173" s="48">
        <v>7.13010725E8</v>
      </c>
      <c r="C3173" s="10" t="s">
        <v>3197</v>
      </c>
      <c r="D3173" s="10" t="s">
        <v>120</v>
      </c>
      <c r="E3173" s="13">
        <v>46230.0</v>
      </c>
      <c r="F3173" s="10" t="s">
        <v>21</v>
      </c>
      <c r="I3173" s="10" t="s">
        <v>22</v>
      </c>
      <c r="J3173" s="9" t="str">
        <f t="shared" si="54"/>
        <v>No</v>
      </c>
      <c r="K3173" s="9" t="str">
        <f t="shared" si="55"/>
        <v/>
      </c>
      <c r="L3173" s="9" t="str">
        <f t="shared" si="56"/>
        <v/>
      </c>
      <c r="M3173" s="9"/>
      <c r="O3173" s="9"/>
    </row>
    <row r="3174" ht="15.75" customHeight="1">
      <c r="A3174" s="9" t="str">
        <f>IFERROR(__xludf.DUMMYFUNCTION("IF(B3174="""","""",RIGHT(REGEXREPLACE(B3174&amp;"""",""[^0-9]"",""""),9))"),"714272944")</f>
        <v>714272944</v>
      </c>
      <c r="B3174" s="48">
        <v>7.14272944E8</v>
      </c>
      <c r="C3174" s="10" t="s">
        <v>3198</v>
      </c>
      <c r="D3174" s="10" t="s">
        <v>34</v>
      </c>
      <c r="E3174" s="13">
        <v>46230.0</v>
      </c>
      <c r="F3174" s="10" t="s">
        <v>21</v>
      </c>
      <c r="I3174" s="10" t="s">
        <v>816</v>
      </c>
      <c r="J3174" s="9" t="str">
        <f t="shared" si="54"/>
        <v>No</v>
      </c>
      <c r="K3174" s="9" t="str">
        <f t="shared" si="55"/>
        <v/>
      </c>
      <c r="L3174" s="9" t="str">
        <f t="shared" si="56"/>
        <v/>
      </c>
      <c r="M3174" s="9"/>
      <c r="O3174" s="9"/>
    </row>
    <row r="3175" ht="15.75" customHeight="1">
      <c r="A3175" s="9" t="str">
        <f>IFERROR(__xludf.DUMMYFUNCTION("IF(B3175="""","""",RIGHT(REGEXREPLACE(B3175&amp;"""",""[^0-9]"",""""),9))"),"776576239")</f>
        <v>776576239</v>
      </c>
      <c r="B3175" s="48">
        <v>7.76576239E8</v>
      </c>
      <c r="C3175" s="10" t="s">
        <v>3199</v>
      </c>
      <c r="D3175" s="10" t="s">
        <v>50</v>
      </c>
      <c r="E3175" s="13">
        <v>46230.0</v>
      </c>
      <c r="F3175" s="10" t="s">
        <v>35</v>
      </c>
      <c r="G3175" s="10">
        <v>11.0</v>
      </c>
      <c r="I3175" s="10" t="s">
        <v>22</v>
      </c>
      <c r="J3175" s="9" t="str">
        <f t="shared" si="54"/>
        <v>No</v>
      </c>
      <c r="K3175" s="9" t="str">
        <f t="shared" si="55"/>
        <v/>
      </c>
      <c r="L3175" s="9" t="str">
        <f t="shared" si="56"/>
        <v/>
      </c>
      <c r="M3175" s="9"/>
      <c r="O3175" s="9"/>
    </row>
    <row r="3176" ht="15.75" customHeight="1">
      <c r="A3176" s="9" t="str">
        <f>IFERROR(__xludf.DUMMYFUNCTION("IF(B3176="""","""",RIGHT(REGEXREPLACE(B3176&amp;"""",""[^0-9]"",""""),9))"),"714801604")</f>
        <v>714801604</v>
      </c>
      <c r="B3176" s="48">
        <v>7.14801604E8</v>
      </c>
      <c r="C3176" s="10" t="s">
        <v>3200</v>
      </c>
      <c r="D3176" s="10" t="s">
        <v>69</v>
      </c>
      <c r="E3176" s="13">
        <v>46230.0</v>
      </c>
      <c r="F3176" s="10" t="s">
        <v>542</v>
      </c>
      <c r="G3176" s="10">
        <v>11.0</v>
      </c>
      <c r="I3176" s="10" t="s">
        <v>22</v>
      </c>
      <c r="J3176" s="9" t="str">
        <f t="shared" si="54"/>
        <v>No</v>
      </c>
      <c r="K3176" s="9" t="str">
        <f t="shared" si="55"/>
        <v/>
      </c>
      <c r="L3176" s="9" t="str">
        <f t="shared" si="56"/>
        <v/>
      </c>
      <c r="M3176" s="9"/>
      <c r="O3176" s="9"/>
    </row>
    <row r="3177" ht="15.75" customHeight="1">
      <c r="A3177" s="9" t="str">
        <f>IFERROR(__xludf.DUMMYFUNCTION("IF(B3177="""","""",RIGHT(REGEXREPLACE(B3177&amp;"""",""[^0-9]"",""""),9))"),"743610415")</f>
        <v>743610415</v>
      </c>
      <c r="B3177" s="48">
        <v>7.43610415E8</v>
      </c>
      <c r="C3177" s="10" t="s">
        <v>3201</v>
      </c>
      <c r="D3177" s="10" t="s">
        <v>120</v>
      </c>
      <c r="E3177" s="13">
        <v>46230.0</v>
      </c>
      <c r="F3177" s="10" t="s">
        <v>21</v>
      </c>
      <c r="I3177" s="10" t="s">
        <v>22</v>
      </c>
      <c r="J3177" s="9" t="str">
        <f t="shared" si="54"/>
        <v>No</v>
      </c>
      <c r="K3177" s="9" t="str">
        <f t="shared" si="55"/>
        <v/>
      </c>
      <c r="L3177" s="9" t="str">
        <f t="shared" si="56"/>
        <v/>
      </c>
      <c r="M3177" s="9"/>
      <c r="O3177" s="9"/>
    </row>
    <row r="3178" ht="15.75" customHeight="1">
      <c r="A3178" s="9" t="str">
        <f>IFERROR(__xludf.DUMMYFUNCTION("IF(B3178="""","""",RIGHT(REGEXREPLACE(B3178&amp;"""",""[^0-9]"",""""),9))"),"755929575")</f>
        <v>755929575</v>
      </c>
      <c r="B3178" s="48">
        <v>7.55929575E8</v>
      </c>
      <c r="C3178" s="10" t="s">
        <v>3202</v>
      </c>
      <c r="D3178" s="10" t="s">
        <v>97</v>
      </c>
      <c r="E3178" s="13">
        <v>46230.0</v>
      </c>
      <c r="F3178" s="10" t="s">
        <v>145</v>
      </c>
      <c r="G3178" s="10">
        <v>8.0</v>
      </c>
      <c r="I3178" s="10" t="s">
        <v>22</v>
      </c>
      <c r="J3178" s="9" t="str">
        <f t="shared" si="54"/>
        <v>No</v>
      </c>
      <c r="K3178" s="9" t="str">
        <f t="shared" si="55"/>
        <v/>
      </c>
      <c r="L3178" s="9" t="str">
        <f t="shared" si="56"/>
        <v/>
      </c>
      <c r="M3178" s="9"/>
      <c r="O3178" s="9"/>
    </row>
    <row r="3179" ht="15.75" customHeight="1">
      <c r="A3179" s="9" t="str">
        <f>IFERROR(__xludf.DUMMYFUNCTION("IF(B3179="""","""",RIGHT(REGEXREPLACE(B3179&amp;"""",""[^0-9]"",""""),9))"),"741213264")</f>
        <v>741213264</v>
      </c>
      <c r="B3179" s="48">
        <v>7.41213264E8</v>
      </c>
      <c r="C3179" s="10" t="s">
        <v>668</v>
      </c>
      <c r="D3179" s="10" t="s">
        <v>105</v>
      </c>
      <c r="E3179" s="13">
        <v>46230.0</v>
      </c>
      <c r="F3179" s="10" t="s">
        <v>604</v>
      </c>
      <c r="I3179" s="10" t="s">
        <v>22</v>
      </c>
      <c r="J3179" s="9" t="str">
        <f t="shared" si="54"/>
        <v>No</v>
      </c>
      <c r="K3179" s="9" t="str">
        <f t="shared" si="55"/>
        <v/>
      </c>
      <c r="L3179" s="9" t="str">
        <f t="shared" si="56"/>
        <v/>
      </c>
      <c r="M3179" s="9"/>
      <c r="O3179" s="9"/>
    </row>
    <row r="3180" ht="15.75" customHeight="1">
      <c r="A3180" s="9" t="str">
        <f>IFERROR(__xludf.DUMMYFUNCTION("IF(B3180="""","""",RIGHT(REGEXREPLACE(B3180&amp;"""",""[^0-9]"",""""),9))"),"754733941")</f>
        <v>754733941</v>
      </c>
      <c r="B3180" s="48">
        <v>7.54733941E8</v>
      </c>
      <c r="C3180" s="10" t="s">
        <v>3203</v>
      </c>
      <c r="D3180" s="10" t="s">
        <v>34</v>
      </c>
      <c r="E3180" s="13">
        <v>46230.0</v>
      </c>
      <c r="F3180" s="10" t="s">
        <v>198</v>
      </c>
      <c r="G3180" s="10">
        <v>6.0</v>
      </c>
      <c r="I3180" s="10" t="s">
        <v>816</v>
      </c>
      <c r="J3180" s="9" t="str">
        <f t="shared" si="54"/>
        <v>No</v>
      </c>
      <c r="K3180" s="9" t="str">
        <f t="shared" si="55"/>
        <v/>
      </c>
      <c r="L3180" s="9" t="str">
        <f t="shared" si="56"/>
        <v/>
      </c>
      <c r="M3180" s="9"/>
      <c r="O3180" s="9"/>
    </row>
    <row r="3181" ht="15.75" customHeight="1">
      <c r="A3181" s="9" t="str">
        <f>IFERROR(__xludf.DUMMYFUNCTION("IF(B3181="""","""",RIGHT(REGEXREPLACE(B3181&amp;"""",""[^0-9]"",""""),9))"),"743587927")</f>
        <v>743587927</v>
      </c>
      <c r="B3181" s="10">
        <v>7.43587927E8</v>
      </c>
      <c r="C3181" s="10" t="s">
        <v>3204</v>
      </c>
      <c r="D3181" s="10" t="s">
        <v>20</v>
      </c>
      <c r="E3181" s="13">
        <v>46230.0</v>
      </c>
      <c r="F3181" s="10" t="s">
        <v>35</v>
      </c>
      <c r="G3181" s="10">
        <v>6.0</v>
      </c>
      <c r="H3181" s="10" t="s">
        <v>1157</v>
      </c>
      <c r="I3181" s="10" t="s">
        <v>816</v>
      </c>
      <c r="J3181" s="9" t="str">
        <f t="shared" si="54"/>
        <v>No</v>
      </c>
      <c r="K3181" s="9" t="str">
        <f t="shared" si="55"/>
        <v/>
      </c>
      <c r="L3181" s="9" t="str">
        <f t="shared" si="56"/>
        <v/>
      </c>
      <c r="M3181" s="9"/>
      <c r="O3181" s="9"/>
    </row>
    <row r="3182" ht="15.75" customHeight="1">
      <c r="A3182" s="9" t="str">
        <f>IFERROR(__xludf.DUMMYFUNCTION("IF(B3182="""","""",RIGHT(REGEXREPLACE(B3182&amp;"""",""[^0-9]"",""""),9))"),"762153144")</f>
        <v>762153144</v>
      </c>
      <c r="B3182" s="48">
        <v>7.62153144E8</v>
      </c>
      <c r="C3182" s="10" t="s">
        <v>3205</v>
      </c>
      <c r="D3182" s="10" t="s">
        <v>120</v>
      </c>
      <c r="E3182" s="13">
        <v>46230.0</v>
      </c>
      <c r="F3182" s="10" t="s">
        <v>35</v>
      </c>
      <c r="G3182" s="10">
        <v>11.0</v>
      </c>
      <c r="I3182" s="10" t="s">
        <v>22</v>
      </c>
      <c r="J3182" s="9" t="str">
        <f t="shared" si="54"/>
        <v>No</v>
      </c>
      <c r="K3182" s="9" t="str">
        <f t="shared" si="55"/>
        <v/>
      </c>
      <c r="L3182" s="9" t="str">
        <f t="shared" si="56"/>
        <v/>
      </c>
      <c r="M3182" s="9"/>
      <c r="O3182" s="9"/>
    </row>
    <row r="3183" ht="15.75" customHeight="1">
      <c r="A3183" s="9" t="str">
        <f>IFERROR(__xludf.DUMMYFUNCTION("IF(B3183="""","""",RIGHT(REGEXREPLACE(B3183&amp;"""",""[^0-9]"",""""),9))"),"714486913")</f>
        <v>714486913</v>
      </c>
      <c r="B3183" s="48">
        <v>7.14486913E8</v>
      </c>
      <c r="C3183" s="10" t="s">
        <v>3206</v>
      </c>
      <c r="D3183" s="10" t="s">
        <v>97</v>
      </c>
      <c r="E3183" s="13">
        <v>46230.0</v>
      </c>
      <c r="F3183" s="10" t="s">
        <v>35</v>
      </c>
      <c r="G3183" s="10">
        <v>11.0</v>
      </c>
      <c r="I3183" s="10" t="s">
        <v>22</v>
      </c>
      <c r="J3183" s="9" t="str">
        <f t="shared" si="54"/>
        <v>No</v>
      </c>
      <c r="K3183" s="9" t="str">
        <f t="shared" si="55"/>
        <v/>
      </c>
      <c r="L3183" s="9" t="str">
        <f t="shared" si="56"/>
        <v/>
      </c>
      <c r="M3183" s="9"/>
      <c r="O3183" s="9"/>
    </row>
    <row r="3184" ht="15.75" customHeight="1">
      <c r="A3184" s="9" t="str">
        <f>IFERROR(__xludf.DUMMYFUNCTION("IF(B3184="""","""",RIGHT(REGEXREPLACE(B3184&amp;"""",""[^0-9]"",""""),9))"),"762111973")</f>
        <v>762111973</v>
      </c>
      <c r="B3184" s="48">
        <v>7.62111973E8</v>
      </c>
      <c r="C3184" s="10" t="s">
        <v>3207</v>
      </c>
      <c r="D3184" s="10" t="s">
        <v>105</v>
      </c>
      <c r="E3184" s="13">
        <v>46230.0</v>
      </c>
      <c r="F3184" s="10" t="s">
        <v>35</v>
      </c>
      <c r="G3184" s="10">
        <v>10.0</v>
      </c>
      <c r="I3184" s="10" t="s">
        <v>22</v>
      </c>
      <c r="J3184" s="9" t="str">
        <f t="shared" si="54"/>
        <v>No</v>
      </c>
      <c r="K3184" s="9" t="str">
        <f t="shared" si="55"/>
        <v/>
      </c>
      <c r="L3184" s="9" t="str">
        <f t="shared" si="56"/>
        <v/>
      </c>
      <c r="M3184" s="9"/>
      <c r="O3184" s="9"/>
    </row>
    <row r="3185" ht="15.75" customHeight="1">
      <c r="A3185" s="9" t="str">
        <f>IFERROR(__xludf.DUMMYFUNCTION("IF(B3185="""","""",RIGHT(REGEXREPLACE(B3185&amp;"""",""[^0-9]"",""""),9))"),"703190207")</f>
        <v>703190207</v>
      </c>
      <c r="B3185" s="48">
        <v>7.03190207E8</v>
      </c>
      <c r="C3185" s="10" t="s">
        <v>3208</v>
      </c>
      <c r="D3185" s="10" t="s">
        <v>34</v>
      </c>
      <c r="E3185" s="13">
        <v>46230.0</v>
      </c>
      <c r="F3185" s="10" t="s">
        <v>35</v>
      </c>
      <c r="G3185" s="10">
        <v>6.0</v>
      </c>
      <c r="I3185" s="10" t="s">
        <v>816</v>
      </c>
      <c r="J3185" s="9" t="str">
        <f t="shared" si="54"/>
        <v>No</v>
      </c>
      <c r="K3185" s="9" t="str">
        <f t="shared" si="55"/>
        <v/>
      </c>
      <c r="L3185" s="9" t="str">
        <f t="shared" si="56"/>
        <v/>
      </c>
      <c r="M3185" s="9"/>
      <c r="O3185" s="9"/>
    </row>
    <row r="3186" ht="15.75" customHeight="1">
      <c r="A3186" s="9" t="str">
        <f>IFERROR(__xludf.DUMMYFUNCTION("IF(B3186="""","""",RIGHT(REGEXREPLACE(B3186&amp;"""",""[^0-9]"",""""),9))"),"706407097")</f>
        <v>706407097</v>
      </c>
      <c r="B3186" s="48">
        <v>7.06407097E8</v>
      </c>
      <c r="C3186" s="10" t="s">
        <v>1681</v>
      </c>
      <c r="D3186" s="10" t="s">
        <v>50</v>
      </c>
      <c r="E3186" s="13">
        <v>46230.0</v>
      </c>
      <c r="F3186" s="10" t="s">
        <v>21</v>
      </c>
      <c r="G3186" s="10">
        <v>11.0</v>
      </c>
      <c r="I3186" s="10" t="s">
        <v>22</v>
      </c>
      <c r="J3186" s="9" t="str">
        <f t="shared" si="54"/>
        <v>Yes - see Previous F-Code</v>
      </c>
      <c r="K3186" s="9" t="str">
        <f t="shared" si="55"/>
        <v>DUPLICATE - CHECK</v>
      </c>
      <c r="L3186" s="9" t="str">
        <f t="shared" si="56"/>
        <v>F71469</v>
      </c>
      <c r="M3186" s="9"/>
      <c r="O3186" s="9"/>
    </row>
    <row r="3187" ht="15.75" customHeight="1">
      <c r="A3187" s="9" t="str">
        <f>IFERROR(__xludf.DUMMYFUNCTION("IF(B3187="""","""",RIGHT(REGEXREPLACE(B3187&amp;"""",""[^0-9]"",""""),9))"),"705532811")</f>
        <v>705532811</v>
      </c>
      <c r="B3187" s="10">
        <v>7.05532811E8</v>
      </c>
      <c r="C3187" s="10" t="s">
        <v>3209</v>
      </c>
      <c r="D3187" s="10" t="s">
        <v>20</v>
      </c>
      <c r="E3187" s="13">
        <v>46230.0</v>
      </c>
      <c r="F3187" s="10" t="s">
        <v>35</v>
      </c>
      <c r="H3187" s="10" t="s">
        <v>1369</v>
      </c>
      <c r="I3187" s="10" t="s">
        <v>816</v>
      </c>
      <c r="J3187" s="9" t="str">
        <f t="shared" si="54"/>
        <v>No</v>
      </c>
      <c r="K3187" s="9" t="str">
        <f t="shared" si="55"/>
        <v/>
      </c>
      <c r="L3187" s="9" t="str">
        <f t="shared" si="56"/>
        <v/>
      </c>
      <c r="M3187" s="9"/>
      <c r="O3187" s="9"/>
    </row>
    <row r="3188" ht="15.75" customHeight="1">
      <c r="A3188" s="9" t="str">
        <f>IFERROR(__xludf.DUMMYFUNCTION("IF(B3188="""","""",RIGHT(REGEXREPLACE(B3188&amp;"""",""[^0-9]"",""""),9))"),"704553065")</f>
        <v>704553065</v>
      </c>
      <c r="B3188" s="48">
        <v>7.04553065E8</v>
      </c>
      <c r="C3188" s="10" t="s">
        <v>1870</v>
      </c>
      <c r="D3188" s="10" t="s">
        <v>69</v>
      </c>
      <c r="E3188" s="13">
        <v>46230.0</v>
      </c>
      <c r="F3188" s="10" t="s">
        <v>21</v>
      </c>
      <c r="G3188" s="10">
        <v>11.0</v>
      </c>
      <c r="I3188" s="10" t="s">
        <v>22</v>
      </c>
      <c r="J3188" s="9" t="str">
        <f t="shared" si="54"/>
        <v>No</v>
      </c>
      <c r="K3188" s="9" t="str">
        <f t="shared" si="55"/>
        <v/>
      </c>
      <c r="L3188" s="9" t="str">
        <f t="shared" si="56"/>
        <v/>
      </c>
      <c r="M3188" s="9"/>
      <c r="O3188" s="9"/>
    </row>
    <row r="3189" ht="15.75" customHeight="1">
      <c r="A3189" s="9" t="str">
        <f>IFERROR(__xludf.DUMMYFUNCTION("IF(B3189="""","""",RIGHT(REGEXREPLACE(B3189&amp;"""",""[^0-9]"",""""),9))"),"740736142")</f>
        <v>740736142</v>
      </c>
      <c r="B3189" s="48">
        <v>7.40736142E8</v>
      </c>
      <c r="C3189" s="10" t="s">
        <v>3210</v>
      </c>
      <c r="D3189" s="10" t="s">
        <v>34</v>
      </c>
      <c r="E3189" s="13">
        <v>46230.0</v>
      </c>
      <c r="F3189" s="10" t="s">
        <v>198</v>
      </c>
      <c r="I3189" s="10" t="s">
        <v>816</v>
      </c>
      <c r="J3189" s="9" t="str">
        <f t="shared" si="54"/>
        <v>No</v>
      </c>
      <c r="K3189" s="9" t="str">
        <f t="shared" si="55"/>
        <v/>
      </c>
      <c r="L3189" s="9" t="str">
        <f t="shared" si="56"/>
        <v/>
      </c>
      <c r="M3189" s="9"/>
      <c r="O3189" s="9"/>
    </row>
    <row r="3190" ht="15.75" customHeight="1">
      <c r="A3190" s="9" t="str">
        <f>IFERROR(__xludf.DUMMYFUNCTION("IF(B3190="""","""",RIGHT(REGEXREPLACE(B3190&amp;"""",""[^0-9]"",""""),9))"),"626898260")</f>
        <v>626898260</v>
      </c>
      <c r="B3190" s="10">
        <v>7.62689826E9</v>
      </c>
      <c r="C3190" s="10" t="s">
        <v>3210</v>
      </c>
      <c r="D3190" s="10" t="s">
        <v>20</v>
      </c>
      <c r="E3190" s="13">
        <v>46230.0</v>
      </c>
      <c r="F3190" s="10" t="s">
        <v>35</v>
      </c>
      <c r="G3190" s="10" t="s">
        <v>1970</v>
      </c>
      <c r="I3190" s="10" t="s">
        <v>816</v>
      </c>
      <c r="J3190" s="9" t="str">
        <f t="shared" si="54"/>
        <v>No</v>
      </c>
      <c r="K3190" s="9" t="str">
        <f t="shared" si="55"/>
        <v/>
      </c>
      <c r="L3190" s="9" t="str">
        <f t="shared" si="56"/>
        <v/>
      </c>
      <c r="M3190" s="9"/>
      <c r="O3190" s="9"/>
    </row>
    <row r="3191" ht="15.75" customHeight="1">
      <c r="A3191" s="9" t="str">
        <f>IFERROR(__xludf.DUMMYFUNCTION("IF(B3191="""","""",RIGHT(REGEXREPLACE(B3191&amp;"""",""[^0-9]"",""""),9))"),"766111956")</f>
        <v>766111956</v>
      </c>
      <c r="B3191" s="48">
        <v>7.66111956E8</v>
      </c>
      <c r="C3191" s="10" t="s">
        <v>3211</v>
      </c>
      <c r="D3191" s="10" t="s">
        <v>105</v>
      </c>
      <c r="E3191" s="13">
        <v>46230.0</v>
      </c>
      <c r="F3191" s="10" t="s">
        <v>35</v>
      </c>
      <c r="G3191" s="10">
        <v>11.0</v>
      </c>
      <c r="I3191" s="10" t="s">
        <v>22</v>
      </c>
      <c r="J3191" s="9" t="str">
        <f t="shared" si="54"/>
        <v>No</v>
      </c>
      <c r="K3191" s="9" t="str">
        <f t="shared" si="55"/>
        <v/>
      </c>
      <c r="L3191" s="9" t="str">
        <f t="shared" si="56"/>
        <v/>
      </c>
      <c r="M3191" s="9"/>
      <c r="O3191" s="9"/>
    </row>
    <row r="3192" ht="15.75" customHeight="1">
      <c r="A3192" s="9" t="str">
        <f>IFERROR(__xludf.DUMMYFUNCTION("IF(B3192="""","""",RIGHT(REGEXREPLACE(B3192&amp;"""",""[^0-9]"",""""),9))"),"701339503")</f>
        <v>701339503</v>
      </c>
      <c r="B3192" s="48">
        <v>7.01339503E8</v>
      </c>
      <c r="C3192" s="10" t="s">
        <v>2444</v>
      </c>
      <c r="D3192" s="10" t="s">
        <v>120</v>
      </c>
      <c r="E3192" s="13">
        <v>46230.0</v>
      </c>
      <c r="F3192" s="10" t="s">
        <v>648</v>
      </c>
      <c r="I3192" s="10" t="s">
        <v>22</v>
      </c>
      <c r="J3192" s="9" t="str">
        <f t="shared" si="54"/>
        <v>Yes - see Previous F-Code</v>
      </c>
      <c r="K3192" s="9" t="str">
        <f t="shared" si="55"/>
        <v>DUPLICATE - CHECK</v>
      </c>
      <c r="L3192" s="9" t="str">
        <f t="shared" si="56"/>
        <v>F72215</v>
      </c>
      <c r="M3192" s="9"/>
      <c r="O3192" s="9"/>
    </row>
    <row r="3193" ht="15.75" customHeight="1">
      <c r="A3193" s="9" t="str">
        <f>IFERROR(__xludf.DUMMYFUNCTION("IF(B3193="""","""",RIGHT(REGEXREPLACE(B3193&amp;"""",""[^0-9]"",""""),9))"),"778100111")</f>
        <v>778100111</v>
      </c>
      <c r="B3193" s="48">
        <v>7.78100111E8</v>
      </c>
      <c r="C3193" s="10" t="s">
        <v>3212</v>
      </c>
      <c r="D3193" s="10" t="s">
        <v>97</v>
      </c>
      <c r="E3193" s="13">
        <v>46230.0</v>
      </c>
      <c r="F3193" s="10" t="s">
        <v>35</v>
      </c>
      <c r="G3193" s="10">
        <v>11.0</v>
      </c>
      <c r="I3193" s="10" t="s">
        <v>22</v>
      </c>
      <c r="J3193" s="9" t="str">
        <f t="shared" si="54"/>
        <v>No</v>
      </c>
      <c r="K3193" s="9" t="str">
        <f t="shared" si="55"/>
        <v/>
      </c>
      <c r="L3193" s="9" t="str">
        <f t="shared" si="56"/>
        <v/>
      </c>
      <c r="M3193" s="9"/>
      <c r="O3193" s="9"/>
    </row>
    <row r="3194" ht="15.75" customHeight="1">
      <c r="A3194" s="9" t="str">
        <f>IFERROR(__xludf.DUMMYFUNCTION("IF(B3194="""","""",RIGHT(REGEXREPLACE(B3194&amp;"""",""[^0-9]"",""""),9))"),"718337258")</f>
        <v>718337258</v>
      </c>
      <c r="B3194" s="48">
        <v>7.18337258E8</v>
      </c>
      <c r="C3194" s="10" t="s">
        <v>3213</v>
      </c>
      <c r="D3194" s="10" t="s">
        <v>50</v>
      </c>
      <c r="E3194" s="13">
        <v>46230.0</v>
      </c>
      <c r="F3194" s="10" t="s">
        <v>35</v>
      </c>
      <c r="G3194" s="10">
        <v>11.0</v>
      </c>
      <c r="I3194" s="10" t="s">
        <v>22</v>
      </c>
      <c r="J3194" s="9" t="str">
        <f t="shared" si="54"/>
        <v>No</v>
      </c>
      <c r="K3194" s="9" t="str">
        <f t="shared" si="55"/>
        <v/>
      </c>
      <c r="L3194" s="9" t="str">
        <f t="shared" si="56"/>
        <v/>
      </c>
      <c r="M3194" s="9"/>
      <c r="O3194" s="9"/>
    </row>
    <row r="3195" ht="15.75" customHeight="1">
      <c r="A3195" s="9" t="str">
        <f>IFERROR(__xludf.DUMMYFUNCTION("IF(B3195="""","""",RIGHT(REGEXREPLACE(B3195&amp;"""",""[^0-9]"",""""),9))"),"754661407")</f>
        <v>754661407</v>
      </c>
      <c r="B3195" s="48">
        <v>7.54661407E8</v>
      </c>
      <c r="C3195" s="10" t="s">
        <v>1742</v>
      </c>
      <c r="D3195" s="10" t="s">
        <v>69</v>
      </c>
      <c r="E3195" s="13">
        <v>46230.0</v>
      </c>
      <c r="F3195" s="10" t="s">
        <v>35</v>
      </c>
      <c r="G3195" s="10">
        <v>11.0</v>
      </c>
      <c r="I3195" s="10" t="s">
        <v>22</v>
      </c>
      <c r="J3195" s="9" t="str">
        <f t="shared" si="54"/>
        <v>No</v>
      </c>
      <c r="K3195" s="9" t="str">
        <f t="shared" si="55"/>
        <v/>
      </c>
      <c r="L3195" s="9" t="str">
        <f t="shared" si="56"/>
        <v/>
      </c>
      <c r="M3195" s="9"/>
      <c r="O3195" s="9"/>
    </row>
    <row r="3196" ht="15.75" customHeight="1">
      <c r="A3196" s="9" t="str">
        <f>IFERROR(__xludf.DUMMYFUNCTION("IF(B3196="""","""",RIGHT(REGEXREPLACE(B3196&amp;"""",""[^0-9]"",""""),9))"),"760427442")</f>
        <v>760427442</v>
      </c>
      <c r="B3196" s="48">
        <v>7.60427442E8</v>
      </c>
      <c r="C3196" s="10" t="s">
        <v>3214</v>
      </c>
      <c r="D3196" s="10" t="s">
        <v>120</v>
      </c>
      <c r="E3196" s="13">
        <v>46230.0</v>
      </c>
      <c r="F3196" s="10" t="s">
        <v>35</v>
      </c>
      <c r="G3196" s="10">
        <v>10.0</v>
      </c>
      <c r="I3196" s="10" t="s">
        <v>22</v>
      </c>
      <c r="J3196" s="9" t="str">
        <f t="shared" si="54"/>
        <v>No</v>
      </c>
      <c r="K3196" s="9" t="str">
        <f t="shared" si="55"/>
        <v/>
      </c>
      <c r="L3196" s="9" t="str">
        <f t="shared" si="56"/>
        <v/>
      </c>
      <c r="M3196" s="9"/>
      <c r="O3196" s="9"/>
    </row>
    <row r="3197" ht="15.75" customHeight="1">
      <c r="A3197" s="9" t="str">
        <f>IFERROR(__xludf.DUMMYFUNCTION("IF(B3197="""","""",RIGHT(REGEXREPLACE(B3197&amp;"""",""[^0-9]"",""""),9))"),"713796933")</f>
        <v>713796933</v>
      </c>
      <c r="B3197" s="48">
        <v>7.13796933E8</v>
      </c>
      <c r="C3197" s="10" t="s">
        <v>3215</v>
      </c>
      <c r="D3197" s="10" t="s">
        <v>34</v>
      </c>
      <c r="E3197" s="13">
        <v>46230.0</v>
      </c>
      <c r="F3197" s="10" t="s">
        <v>648</v>
      </c>
      <c r="I3197" s="10" t="s">
        <v>816</v>
      </c>
      <c r="J3197" s="9" t="str">
        <f t="shared" si="54"/>
        <v>No</v>
      </c>
      <c r="K3197" s="9" t="str">
        <f t="shared" si="55"/>
        <v/>
      </c>
      <c r="L3197" s="9" t="str">
        <f t="shared" si="56"/>
        <v/>
      </c>
      <c r="M3197" s="9"/>
      <c r="O3197" s="9"/>
    </row>
    <row r="3198" ht="15.75" customHeight="1">
      <c r="A3198" s="9" t="str">
        <f>IFERROR(__xludf.DUMMYFUNCTION("IF(B3198="""","""",RIGHT(REGEXREPLACE(B3198&amp;"""",""[^0-9]"",""""),9))"),"761568134")</f>
        <v>761568134</v>
      </c>
      <c r="B3198" s="10">
        <v>7.61568134E8</v>
      </c>
      <c r="C3198" s="10" t="s">
        <v>3216</v>
      </c>
      <c r="D3198" s="10" t="s">
        <v>20</v>
      </c>
      <c r="E3198" s="13">
        <v>46230.0</v>
      </c>
      <c r="F3198" s="10" t="s">
        <v>35</v>
      </c>
      <c r="G3198" s="10">
        <v>7.0</v>
      </c>
      <c r="I3198" s="10" t="s">
        <v>816</v>
      </c>
      <c r="J3198" s="9" t="str">
        <f t="shared" si="54"/>
        <v>No</v>
      </c>
      <c r="K3198" s="9" t="str">
        <f t="shared" si="55"/>
        <v/>
      </c>
      <c r="L3198" s="9" t="str">
        <f t="shared" si="56"/>
        <v/>
      </c>
      <c r="M3198" s="9"/>
      <c r="O3198" s="9"/>
    </row>
    <row r="3199" ht="15.75" customHeight="1">
      <c r="A3199" s="9" t="str">
        <f>IFERROR(__xludf.DUMMYFUNCTION("IF(B3199="""","""",RIGHT(REGEXREPLACE(B3199&amp;"""",""[^0-9]"",""""),9))"),"755352520")</f>
        <v>755352520</v>
      </c>
      <c r="B3199" s="48">
        <v>7.5535252E8</v>
      </c>
      <c r="C3199" s="10" t="s">
        <v>3217</v>
      </c>
      <c r="D3199" s="10" t="s">
        <v>50</v>
      </c>
      <c r="E3199" s="13">
        <v>46230.0</v>
      </c>
      <c r="F3199" s="10" t="s">
        <v>21</v>
      </c>
      <c r="I3199" s="10" t="s">
        <v>22</v>
      </c>
      <c r="J3199" s="9" t="str">
        <f t="shared" si="54"/>
        <v>No</v>
      </c>
      <c r="K3199" s="9" t="str">
        <f t="shared" si="55"/>
        <v/>
      </c>
      <c r="L3199" s="9" t="str">
        <f t="shared" si="56"/>
        <v/>
      </c>
      <c r="M3199" s="9"/>
      <c r="O3199" s="9"/>
    </row>
    <row r="3200" ht="15.75" customHeight="1">
      <c r="A3200" s="9" t="str">
        <f>IFERROR(__xludf.DUMMYFUNCTION("IF(B3200="""","""",RIGHT(REGEXREPLACE(B3200&amp;"""",""[^0-9]"",""""),9))"),"768376820")</f>
        <v>768376820</v>
      </c>
      <c r="B3200" s="48">
        <v>7.6837682E8</v>
      </c>
      <c r="C3200" s="10" t="s">
        <v>1912</v>
      </c>
      <c r="D3200" s="10" t="s">
        <v>69</v>
      </c>
      <c r="E3200" s="13">
        <v>46230.0</v>
      </c>
      <c r="F3200" s="10" t="s">
        <v>21</v>
      </c>
      <c r="G3200" s="10">
        <v>11.0</v>
      </c>
      <c r="I3200" s="10" t="s">
        <v>22</v>
      </c>
      <c r="J3200" s="9" t="str">
        <f t="shared" si="54"/>
        <v>No</v>
      </c>
      <c r="K3200" s="9" t="str">
        <f t="shared" si="55"/>
        <v/>
      </c>
      <c r="L3200" s="9" t="str">
        <f t="shared" si="56"/>
        <v/>
      </c>
      <c r="M3200" s="9"/>
      <c r="O3200" s="9"/>
    </row>
    <row r="3201" ht="15.75" customHeight="1">
      <c r="A3201" s="9" t="str">
        <f>IFERROR(__xludf.DUMMYFUNCTION("IF(B3201="""","""",RIGHT(REGEXREPLACE(B3201&amp;"""",""[^0-9]"",""""),9))"),"711752988")</f>
        <v>711752988</v>
      </c>
      <c r="B3201" s="48">
        <v>7.11752988E8</v>
      </c>
      <c r="C3201" s="10" t="s">
        <v>3218</v>
      </c>
      <c r="D3201" s="10" t="s">
        <v>97</v>
      </c>
      <c r="E3201" s="13">
        <v>46230.0</v>
      </c>
      <c r="F3201" s="10" t="s">
        <v>35</v>
      </c>
      <c r="G3201" s="10">
        <v>11.0</v>
      </c>
      <c r="I3201" s="10" t="s">
        <v>22</v>
      </c>
      <c r="J3201" s="9" t="str">
        <f t="shared" si="54"/>
        <v>No</v>
      </c>
      <c r="K3201" s="9" t="str">
        <f t="shared" si="55"/>
        <v/>
      </c>
      <c r="L3201" s="9" t="str">
        <f t="shared" si="56"/>
        <v/>
      </c>
      <c r="M3201" s="9"/>
      <c r="O3201" s="9"/>
    </row>
    <row r="3202" ht="15.75" customHeight="1">
      <c r="A3202" s="9" t="str">
        <f>IFERROR(__xludf.DUMMYFUNCTION("IF(B3202="""","""",RIGHT(REGEXREPLACE(B3202&amp;"""",""[^0-9]"",""""),9))"),"717656125")</f>
        <v>717656125</v>
      </c>
      <c r="B3202" s="48">
        <v>7.17656125E8</v>
      </c>
      <c r="C3202" s="10" t="s">
        <v>2845</v>
      </c>
      <c r="D3202" s="10" t="s">
        <v>34</v>
      </c>
      <c r="E3202" s="13">
        <v>46230.0</v>
      </c>
      <c r="F3202" s="10" t="s">
        <v>35</v>
      </c>
      <c r="G3202" s="10">
        <v>6.0</v>
      </c>
      <c r="I3202" s="10" t="s">
        <v>816</v>
      </c>
      <c r="J3202" s="9" t="str">
        <f t="shared" si="54"/>
        <v>Yes - see Previous F-Code</v>
      </c>
      <c r="K3202" s="9" t="str">
        <f t="shared" si="55"/>
        <v>DUPLICATE - CHECK</v>
      </c>
      <c r="L3202" s="9" t="str">
        <f t="shared" si="56"/>
        <v>F71217</v>
      </c>
      <c r="M3202" s="9"/>
      <c r="O3202" s="9"/>
    </row>
    <row r="3203" ht="15.75" customHeight="1">
      <c r="A3203" s="9" t="str">
        <f>IFERROR(__xludf.DUMMYFUNCTION("IF(B3203="""","""",RIGHT(REGEXREPLACE(B3203&amp;"""",""[^0-9]"",""""),9))"),"773017285")</f>
        <v>773017285</v>
      </c>
      <c r="B3203" s="48">
        <v>7.73017285E8</v>
      </c>
      <c r="C3203" s="10" t="s">
        <v>3218</v>
      </c>
      <c r="D3203" s="10" t="s">
        <v>50</v>
      </c>
      <c r="E3203" s="13">
        <v>46230.0</v>
      </c>
      <c r="F3203" s="10" t="s">
        <v>35</v>
      </c>
      <c r="G3203" s="10">
        <v>11.0</v>
      </c>
      <c r="I3203" s="10" t="s">
        <v>22</v>
      </c>
      <c r="J3203" s="9" t="str">
        <f t="shared" si="54"/>
        <v>No</v>
      </c>
      <c r="K3203" s="9" t="str">
        <f t="shared" si="55"/>
        <v/>
      </c>
      <c r="L3203" s="9" t="str">
        <f t="shared" si="56"/>
        <v/>
      </c>
      <c r="M3203" s="9"/>
      <c r="O3203" s="9"/>
    </row>
    <row r="3204" ht="15.75" customHeight="1">
      <c r="A3204" s="9" t="str">
        <f>IFERROR(__xludf.DUMMYFUNCTION("IF(B3204="""","""",RIGHT(REGEXREPLACE(B3204&amp;"""",""[^0-9]"",""""),9))"),"779771445")</f>
        <v>779771445</v>
      </c>
      <c r="B3204" s="10">
        <v>7.79771445E8</v>
      </c>
      <c r="C3204" s="10" t="s">
        <v>3219</v>
      </c>
      <c r="D3204" s="10" t="s">
        <v>20</v>
      </c>
      <c r="E3204" s="13">
        <v>46230.0</v>
      </c>
      <c r="F3204" s="10" t="s">
        <v>35</v>
      </c>
      <c r="G3204" s="10">
        <v>6.0</v>
      </c>
      <c r="I3204" s="10" t="s">
        <v>816</v>
      </c>
      <c r="J3204" s="9" t="str">
        <f t="shared" si="54"/>
        <v>No</v>
      </c>
      <c r="K3204" s="9" t="str">
        <f t="shared" si="55"/>
        <v/>
      </c>
      <c r="L3204" s="9" t="str">
        <f t="shared" si="56"/>
        <v/>
      </c>
      <c r="M3204" s="9"/>
      <c r="O3204" s="9"/>
    </row>
    <row r="3205" ht="15.75" customHeight="1">
      <c r="A3205" s="9" t="str">
        <f>IFERROR(__xludf.DUMMYFUNCTION("IF(B3205="""","""",RIGHT(REGEXREPLACE(B3205&amp;"""",""[^0-9]"",""""),9))"),"765638604")</f>
        <v>765638604</v>
      </c>
      <c r="B3205" s="48">
        <v>7.65638604E8</v>
      </c>
      <c r="C3205" s="10" t="s">
        <v>3220</v>
      </c>
      <c r="D3205" s="10" t="s">
        <v>120</v>
      </c>
      <c r="E3205" s="13">
        <v>46230.0</v>
      </c>
      <c r="F3205" s="10" t="s">
        <v>21</v>
      </c>
      <c r="G3205" s="10">
        <v>11.0</v>
      </c>
      <c r="I3205" s="10" t="s">
        <v>22</v>
      </c>
      <c r="J3205" s="9" t="str">
        <f t="shared" si="54"/>
        <v>No</v>
      </c>
      <c r="K3205" s="9" t="str">
        <f t="shared" si="55"/>
        <v/>
      </c>
      <c r="L3205" s="9" t="str">
        <f t="shared" si="56"/>
        <v/>
      </c>
      <c r="M3205" s="9"/>
      <c r="O3205" s="9"/>
    </row>
    <row r="3206" ht="15.75" customHeight="1">
      <c r="A3206" s="9" t="str">
        <f>IFERROR(__xludf.DUMMYFUNCTION("IF(B3206="""","""",RIGHT(REGEXREPLACE(B3206&amp;"""",""[^0-9]"",""""),9))"),"765812780")</f>
        <v>765812780</v>
      </c>
      <c r="B3206" s="48">
        <v>7.6581278E8</v>
      </c>
      <c r="C3206" s="10" t="s">
        <v>3221</v>
      </c>
      <c r="D3206" s="10" t="s">
        <v>105</v>
      </c>
      <c r="E3206" s="13">
        <v>46230.0</v>
      </c>
      <c r="F3206" s="10" t="s">
        <v>21</v>
      </c>
      <c r="G3206" s="10">
        <v>11.0</v>
      </c>
      <c r="I3206" s="10" t="s">
        <v>22</v>
      </c>
      <c r="J3206" s="9" t="str">
        <f t="shared" si="54"/>
        <v>No</v>
      </c>
      <c r="K3206" s="9" t="str">
        <f t="shared" si="55"/>
        <v/>
      </c>
      <c r="L3206" s="9" t="str">
        <f t="shared" si="56"/>
        <v/>
      </c>
      <c r="M3206" s="9"/>
      <c r="O3206" s="9"/>
    </row>
    <row r="3207" ht="15.75" customHeight="1">
      <c r="A3207" s="9" t="str">
        <f>IFERROR(__xludf.DUMMYFUNCTION("IF(B3207="""","""",RIGHT(REGEXREPLACE(B3207&amp;"""",""[^0-9]"",""""),9))"),"779374878")</f>
        <v>779374878</v>
      </c>
      <c r="B3207" s="48">
        <v>7.79374878E8</v>
      </c>
      <c r="C3207" s="10" t="s">
        <v>3222</v>
      </c>
      <c r="D3207" s="10" t="s">
        <v>50</v>
      </c>
      <c r="E3207" s="13">
        <v>46230.0</v>
      </c>
      <c r="F3207" s="10" t="s">
        <v>21</v>
      </c>
      <c r="G3207" s="10">
        <v>11.0</v>
      </c>
      <c r="I3207" s="10" t="s">
        <v>22</v>
      </c>
      <c r="J3207" s="9" t="str">
        <f t="shared" si="54"/>
        <v>No</v>
      </c>
      <c r="K3207" s="9" t="str">
        <f t="shared" si="55"/>
        <v/>
      </c>
      <c r="L3207" s="9" t="str">
        <f t="shared" si="56"/>
        <v/>
      </c>
      <c r="M3207" s="9"/>
      <c r="O3207" s="9"/>
    </row>
    <row r="3208" ht="15.75" customHeight="1">
      <c r="A3208" s="9" t="str">
        <f>IFERROR(__xludf.DUMMYFUNCTION("IF(B3208="""","""",RIGHT(REGEXREPLACE(B3208&amp;"""",""[^0-9]"",""""),9))"),"760358859")</f>
        <v>760358859</v>
      </c>
      <c r="B3208" s="48">
        <v>7.60358859E8</v>
      </c>
      <c r="C3208" s="10" t="s">
        <v>3223</v>
      </c>
      <c r="D3208" s="10" t="s">
        <v>69</v>
      </c>
      <c r="E3208" s="13">
        <v>46230.0</v>
      </c>
      <c r="F3208" s="10" t="s">
        <v>35</v>
      </c>
      <c r="G3208" s="10">
        <v>11.0</v>
      </c>
      <c r="I3208" s="10" t="s">
        <v>22</v>
      </c>
      <c r="J3208" s="9" t="str">
        <f t="shared" si="54"/>
        <v>No</v>
      </c>
      <c r="K3208" s="9" t="str">
        <f t="shared" si="55"/>
        <v/>
      </c>
      <c r="L3208" s="9" t="str">
        <f t="shared" si="56"/>
        <v/>
      </c>
      <c r="M3208" s="9"/>
      <c r="O3208" s="9"/>
    </row>
    <row r="3209" ht="15.75" customHeight="1">
      <c r="A3209" s="9" t="str">
        <f>IFERROR(__xludf.DUMMYFUNCTION("IF(B3209="""","""",RIGHT(REGEXREPLACE(B3209&amp;"""",""[^0-9]"",""""),9))"),"778964117")</f>
        <v>778964117</v>
      </c>
      <c r="B3209" s="48">
        <v>7.78964117E8</v>
      </c>
      <c r="C3209" s="10" t="s">
        <v>3224</v>
      </c>
      <c r="D3209" s="10" t="s">
        <v>97</v>
      </c>
      <c r="E3209" s="13">
        <v>46230.0</v>
      </c>
      <c r="F3209" s="10" t="s">
        <v>35</v>
      </c>
      <c r="G3209" s="10">
        <v>11.0</v>
      </c>
      <c r="I3209" s="10" t="s">
        <v>22</v>
      </c>
      <c r="J3209" s="9" t="str">
        <f t="shared" si="54"/>
        <v>No</v>
      </c>
      <c r="K3209" s="9" t="str">
        <f t="shared" si="55"/>
        <v/>
      </c>
      <c r="L3209" s="9" t="str">
        <f t="shared" si="56"/>
        <v/>
      </c>
      <c r="M3209" s="9"/>
      <c r="O3209" s="9"/>
    </row>
    <row r="3210" ht="15.75" customHeight="1">
      <c r="A3210" s="9" t="str">
        <f>IFERROR(__xludf.DUMMYFUNCTION("IF(B3210="""","""",RIGHT(REGEXREPLACE(B3210&amp;"""",""[^0-9]"",""""),9))"),"719428732")</f>
        <v>719428732</v>
      </c>
      <c r="B3210" s="10">
        <v>7.19428732E8</v>
      </c>
      <c r="C3210" s="10" t="s">
        <v>3225</v>
      </c>
      <c r="D3210" s="10" t="s">
        <v>20</v>
      </c>
      <c r="E3210" s="13">
        <v>46230.0</v>
      </c>
      <c r="F3210" s="10" t="s">
        <v>171</v>
      </c>
      <c r="G3210" s="10">
        <v>7.0</v>
      </c>
      <c r="I3210" s="10" t="s">
        <v>816</v>
      </c>
      <c r="J3210" s="9" t="str">
        <f t="shared" si="54"/>
        <v>No</v>
      </c>
      <c r="K3210" s="9" t="str">
        <f t="shared" si="55"/>
        <v/>
      </c>
      <c r="L3210" s="9" t="str">
        <f t="shared" si="56"/>
        <v/>
      </c>
      <c r="M3210" s="9"/>
      <c r="O3210" s="9"/>
    </row>
    <row r="3211" ht="15.75" customHeight="1">
      <c r="A3211" s="9" t="str">
        <f>IFERROR(__xludf.DUMMYFUNCTION("IF(B3211="""","""",RIGHT(REGEXREPLACE(B3211&amp;"""",""[^0-9]"",""""),9))"),"712053630")</f>
        <v>712053630</v>
      </c>
      <c r="B3211" s="48">
        <v>7.1205363E8</v>
      </c>
      <c r="C3211" s="10" t="s">
        <v>3226</v>
      </c>
      <c r="D3211" s="10" t="s">
        <v>120</v>
      </c>
      <c r="E3211" s="13">
        <v>46230.0</v>
      </c>
      <c r="F3211" s="10" t="s">
        <v>198</v>
      </c>
      <c r="I3211" s="10" t="s">
        <v>22</v>
      </c>
      <c r="J3211" s="9" t="str">
        <f t="shared" si="54"/>
        <v>No</v>
      </c>
      <c r="K3211" s="9" t="str">
        <f t="shared" si="55"/>
        <v/>
      </c>
      <c r="L3211" s="9" t="str">
        <f t="shared" si="56"/>
        <v/>
      </c>
      <c r="M3211" s="9"/>
      <c r="O3211" s="9"/>
    </row>
    <row r="3212" ht="15.75" customHeight="1">
      <c r="A3212" s="9" t="str">
        <f>IFERROR(__xludf.DUMMYFUNCTION("IF(B3212="""","""",RIGHT(REGEXREPLACE(B3212&amp;"""",""[^0-9]"",""""),9))"),"779531569")</f>
        <v>779531569</v>
      </c>
      <c r="B3212" s="48">
        <v>7.79531569E8</v>
      </c>
      <c r="C3212" s="10" t="s">
        <v>3227</v>
      </c>
      <c r="D3212" s="10" t="s">
        <v>69</v>
      </c>
      <c r="E3212" s="13">
        <v>46230.0</v>
      </c>
      <c r="F3212" s="10" t="s">
        <v>35</v>
      </c>
      <c r="G3212" s="10">
        <v>11.0</v>
      </c>
      <c r="I3212" s="10" t="s">
        <v>22</v>
      </c>
      <c r="J3212" s="9" t="str">
        <f t="shared" si="54"/>
        <v>No</v>
      </c>
      <c r="K3212" s="9" t="str">
        <f t="shared" si="55"/>
        <v/>
      </c>
      <c r="L3212" s="9" t="str">
        <f t="shared" si="56"/>
        <v/>
      </c>
      <c r="M3212" s="9"/>
      <c r="O3212" s="9"/>
    </row>
    <row r="3213" ht="15.75" customHeight="1">
      <c r="A3213" s="9" t="str">
        <f>IFERROR(__xludf.DUMMYFUNCTION("IF(B3213="""","""",RIGHT(REGEXREPLACE(B3213&amp;"""",""[^0-9]"",""""),9))"),"701085178")</f>
        <v>701085178</v>
      </c>
      <c r="B3213" s="48">
        <v>7.01085178E8</v>
      </c>
      <c r="C3213" s="10" t="s">
        <v>3228</v>
      </c>
      <c r="D3213" s="10" t="s">
        <v>50</v>
      </c>
      <c r="E3213" s="13">
        <v>46230.0</v>
      </c>
      <c r="F3213" s="10" t="s">
        <v>35</v>
      </c>
      <c r="G3213" s="10">
        <v>11.0</v>
      </c>
      <c r="I3213" s="10" t="s">
        <v>22</v>
      </c>
      <c r="J3213" s="9" t="str">
        <f t="shared" si="54"/>
        <v>No</v>
      </c>
      <c r="K3213" s="9" t="str">
        <f t="shared" si="55"/>
        <v/>
      </c>
      <c r="L3213" s="9" t="str">
        <f t="shared" si="56"/>
        <v/>
      </c>
      <c r="M3213" s="9"/>
      <c r="O3213" s="9"/>
    </row>
    <row r="3214" ht="15.75" customHeight="1">
      <c r="A3214" s="9" t="str">
        <f>IFERROR(__xludf.DUMMYFUNCTION("IF(B3214="""","""",RIGHT(REGEXREPLACE(B3214&amp;"""",""[^0-9]"",""""),9))"),"766091082")</f>
        <v>766091082</v>
      </c>
      <c r="B3214" s="48">
        <v>7.66091082E8</v>
      </c>
      <c r="C3214" s="10" t="s">
        <v>3229</v>
      </c>
      <c r="D3214" s="10" t="s">
        <v>97</v>
      </c>
      <c r="E3214" s="13">
        <v>46230.0</v>
      </c>
      <c r="F3214" s="10" t="s">
        <v>145</v>
      </c>
      <c r="I3214" s="10" t="s">
        <v>22</v>
      </c>
      <c r="J3214" s="9" t="str">
        <f t="shared" si="54"/>
        <v>No</v>
      </c>
      <c r="K3214" s="9" t="str">
        <f t="shared" si="55"/>
        <v/>
      </c>
      <c r="L3214" s="9" t="str">
        <f t="shared" si="56"/>
        <v/>
      </c>
      <c r="M3214" s="9"/>
      <c r="O3214" s="9"/>
    </row>
    <row r="3215" ht="15.75" customHeight="1">
      <c r="A3215" s="9" t="str">
        <f>IFERROR(__xludf.DUMMYFUNCTION("IF(B3215="""","""",RIGHT(REGEXREPLACE(B3215&amp;"""",""[^0-9]"",""""),9))"),"716262757")</f>
        <v>716262757</v>
      </c>
      <c r="B3215" s="48">
        <v>7.16262757E8</v>
      </c>
      <c r="C3215" s="10" t="s">
        <v>3230</v>
      </c>
      <c r="D3215" s="10" t="s">
        <v>105</v>
      </c>
      <c r="E3215" s="13">
        <v>46230.0</v>
      </c>
      <c r="F3215" s="10" t="s">
        <v>198</v>
      </c>
      <c r="G3215" s="10">
        <v>11.0</v>
      </c>
      <c r="I3215" s="10" t="s">
        <v>22</v>
      </c>
      <c r="J3215" s="9" t="str">
        <f t="shared" si="54"/>
        <v>No</v>
      </c>
      <c r="K3215" s="9" t="str">
        <f t="shared" si="55"/>
        <v/>
      </c>
      <c r="L3215" s="9" t="str">
        <f t="shared" si="56"/>
        <v/>
      </c>
      <c r="M3215" s="9"/>
      <c r="O3215" s="9"/>
    </row>
    <row r="3216" ht="15.75" customHeight="1">
      <c r="A3216" s="9" t="str">
        <f>IFERROR(__xludf.DUMMYFUNCTION("IF(B3216="""","""",RIGHT(REGEXREPLACE(B3216&amp;"""",""[^0-9]"",""""),9))"),"718224272")</f>
        <v>718224272</v>
      </c>
      <c r="B3216" s="48">
        <v>7.18224272E8</v>
      </c>
      <c r="C3216" s="10" t="s">
        <v>3231</v>
      </c>
      <c r="D3216" s="10" t="s">
        <v>120</v>
      </c>
      <c r="E3216" s="13">
        <v>46230.0</v>
      </c>
      <c r="F3216" s="10" t="s">
        <v>21</v>
      </c>
      <c r="I3216" s="10" t="s">
        <v>22</v>
      </c>
      <c r="J3216" s="9" t="str">
        <f t="shared" si="54"/>
        <v>No</v>
      </c>
      <c r="K3216" s="9" t="str">
        <f t="shared" si="55"/>
        <v/>
      </c>
      <c r="L3216" s="9" t="str">
        <f t="shared" si="56"/>
        <v/>
      </c>
      <c r="M3216" s="9"/>
      <c r="O3216" s="9"/>
    </row>
    <row r="3217" ht="15.75" customHeight="1">
      <c r="A3217" s="9" t="str">
        <f>IFERROR(__xludf.DUMMYFUNCTION("IF(B3217="""","""",RIGHT(REGEXREPLACE(B3217&amp;"""",""[^0-9]"",""""),9))"),"769011810")</f>
        <v>769011810</v>
      </c>
      <c r="B3217" s="48">
        <v>7.6901181E8</v>
      </c>
      <c r="C3217" s="10" t="s">
        <v>3232</v>
      </c>
      <c r="D3217" s="10" t="s">
        <v>50</v>
      </c>
      <c r="E3217" s="13">
        <v>46230.0</v>
      </c>
      <c r="F3217" s="10" t="s">
        <v>198</v>
      </c>
      <c r="I3217" s="10" t="s">
        <v>22</v>
      </c>
      <c r="J3217" s="9" t="str">
        <f t="shared" si="54"/>
        <v>No</v>
      </c>
      <c r="K3217" s="9" t="str">
        <f t="shared" si="55"/>
        <v/>
      </c>
      <c r="L3217" s="9" t="str">
        <f t="shared" si="56"/>
        <v/>
      </c>
      <c r="M3217" s="9"/>
      <c r="O3217" s="9"/>
    </row>
    <row r="3218" ht="15.75" customHeight="1">
      <c r="A3218" s="9" t="str">
        <f>IFERROR(__xludf.DUMMYFUNCTION("IF(B3218="""","""",RIGHT(REGEXREPLACE(B3218&amp;"""",""[^0-9]"",""""),9))"),"714537117")</f>
        <v>714537117</v>
      </c>
      <c r="B3218" s="10">
        <v>7.14537117E8</v>
      </c>
      <c r="C3218" s="10" t="s">
        <v>3233</v>
      </c>
      <c r="D3218" s="10" t="s">
        <v>20</v>
      </c>
      <c r="E3218" s="13">
        <v>46230.0</v>
      </c>
      <c r="F3218" s="10" t="s">
        <v>35</v>
      </c>
      <c r="G3218" s="10">
        <v>6.0</v>
      </c>
      <c r="H3218" s="10" t="s">
        <v>2477</v>
      </c>
      <c r="I3218" s="10" t="s">
        <v>816</v>
      </c>
      <c r="J3218" s="9" t="str">
        <f t="shared" si="54"/>
        <v>No</v>
      </c>
      <c r="K3218" s="9" t="str">
        <f t="shared" si="55"/>
        <v/>
      </c>
      <c r="L3218" s="9" t="str">
        <f t="shared" si="56"/>
        <v/>
      </c>
      <c r="M3218" s="9"/>
      <c r="O3218" s="9"/>
    </row>
    <row r="3219" ht="15.75" customHeight="1">
      <c r="A3219" s="9" t="str">
        <f>IFERROR(__xludf.DUMMYFUNCTION("IF(B3219="""","""",RIGHT(REGEXREPLACE(B3219&amp;"""",""[^0-9]"",""""),9))"),"767400491")</f>
        <v>767400491</v>
      </c>
      <c r="B3219" s="48">
        <v>7.67400491E8</v>
      </c>
      <c r="C3219" s="10" t="s">
        <v>3234</v>
      </c>
      <c r="D3219" s="10" t="s">
        <v>97</v>
      </c>
      <c r="E3219" s="13">
        <v>46230.0</v>
      </c>
      <c r="F3219" s="10" t="s">
        <v>21</v>
      </c>
      <c r="G3219" s="10">
        <v>11.0</v>
      </c>
      <c r="I3219" s="10" t="s">
        <v>22</v>
      </c>
      <c r="J3219" s="9" t="str">
        <f t="shared" si="54"/>
        <v>No</v>
      </c>
      <c r="K3219" s="9" t="str">
        <f t="shared" si="55"/>
        <v/>
      </c>
      <c r="L3219" s="9" t="str">
        <f t="shared" si="56"/>
        <v/>
      </c>
      <c r="M3219" s="9"/>
      <c r="O3219" s="9"/>
    </row>
    <row r="3220" ht="15.75" customHeight="1">
      <c r="A3220" s="9" t="str">
        <f>IFERROR(__xludf.DUMMYFUNCTION("IF(B3220="""","""",RIGHT(REGEXREPLACE(B3220&amp;"""",""[^0-9]"",""""),9))"),"760920384")</f>
        <v>760920384</v>
      </c>
      <c r="B3220" s="48">
        <v>7.60920384E8</v>
      </c>
      <c r="C3220" s="10" t="s">
        <v>3235</v>
      </c>
      <c r="D3220" s="10" t="s">
        <v>120</v>
      </c>
      <c r="E3220" s="13">
        <v>46230.0</v>
      </c>
      <c r="F3220" s="10" t="s">
        <v>35</v>
      </c>
      <c r="G3220" s="10">
        <v>11.0</v>
      </c>
      <c r="I3220" s="10" t="s">
        <v>22</v>
      </c>
      <c r="J3220" s="9" t="str">
        <f t="shared" si="54"/>
        <v>No</v>
      </c>
      <c r="K3220" s="9" t="str">
        <f t="shared" si="55"/>
        <v/>
      </c>
      <c r="L3220" s="9" t="str">
        <f t="shared" si="56"/>
        <v/>
      </c>
      <c r="M3220" s="9"/>
      <c r="O3220" s="9"/>
    </row>
    <row r="3221" ht="15.75" customHeight="1">
      <c r="A3221" s="9" t="str">
        <f>IFERROR(__xludf.DUMMYFUNCTION("IF(B3221="""","""",RIGHT(REGEXREPLACE(B3221&amp;"""",""[^0-9]"",""""),9))"),"740736142")</f>
        <v>740736142</v>
      </c>
      <c r="B3221" s="48">
        <v>7.40736142E8</v>
      </c>
      <c r="C3221" s="10" t="s">
        <v>3210</v>
      </c>
      <c r="D3221" s="10" t="s">
        <v>34</v>
      </c>
      <c r="E3221" s="13">
        <v>46230.0</v>
      </c>
      <c r="F3221" s="10" t="s">
        <v>198</v>
      </c>
      <c r="I3221" s="10" t="s">
        <v>816</v>
      </c>
      <c r="J3221" s="9" t="str">
        <f t="shared" si="54"/>
        <v>Yes - see Previous F-Code</v>
      </c>
      <c r="K3221" s="9" t="str">
        <f t="shared" si="55"/>
        <v>DUPLICATE - CHECK</v>
      </c>
      <c r="L3221" s="9" t="str">
        <f t="shared" si="56"/>
        <v>F72950</v>
      </c>
      <c r="M3221" s="9"/>
      <c r="O3221" s="9"/>
    </row>
    <row r="3222" ht="15.75" customHeight="1">
      <c r="A3222" s="9" t="str">
        <f>IFERROR(__xludf.DUMMYFUNCTION("IF(B3222="""","""",RIGHT(REGEXREPLACE(B3222&amp;"""",""[^0-9]"",""""),9))"),"763034584")</f>
        <v>763034584</v>
      </c>
      <c r="B3222" s="48">
        <v>7.63034584E8</v>
      </c>
      <c r="C3222" s="10" t="s">
        <v>3236</v>
      </c>
      <c r="D3222" s="10" t="s">
        <v>69</v>
      </c>
      <c r="E3222" s="13">
        <v>46230.0</v>
      </c>
      <c r="F3222" s="10" t="s">
        <v>21</v>
      </c>
      <c r="G3222" s="10">
        <v>11.0</v>
      </c>
      <c r="I3222" s="10" t="s">
        <v>22</v>
      </c>
      <c r="J3222" s="9" t="str">
        <f t="shared" si="54"/>
        <v>No</v>
      </c>
      <c r="K3222" s="9" t="str">
        <f t="shared" si="55"/>
        <v/>
      </c>
      <c r="L3222" s="9" t="str">
        <f t="shared" si="56"/>
        <v/>
      </c>
      <c r="M3222" s="9"/>
      <c r="O3222" s="9"/>
    </row>
    <row r="3223" ht="15.75" customHeight="1">
      <c r="A3223" s="9" t="str">
        <f>IFERROR(__xludf.DUMMYFUNCTION("IF(B3223="""","""",RIGHT(REGEXREPLACE(B3223&amp;"""",""[^0-9]"",""""),9))"),"775828767")</f>
        <v>775828767</v>
      </c>
      <c r="B3223" s="48">
        <v>7.75828767E8</v>
      </c>
      <c r="C3223" s="10" t="s">
        <v>3237</v>
      </c>
      <c r="D3223" s="10" t="s">
        <v>50</v>
      </c>
      <c r="E3223" s="13">
        <v>46230.0</v>
      </c>
      <c r="F3223" s="10" t="s">
        <v>35</v>
      </c>
      <c r="G3223" s="10">
        <v>11.0</v>
      </c>
      <c r="I3223" s="10" t="s">
        <v>22</v>
      </c>
      <c r="J3223" s="9" t="str">
        <f t="shared" si="54"/>
        <v>No</v>
      </c>
      <c r="K3223" s="9" t="str">
        <f t="shared" si="55"/>
        <v/>
      </c>
      <c r="L3223" s="9" t="str">
        <f t="shared" si="56"/>
        <v/>
      </c>
      <c r="M3223" s="9"/>
      <c r="O3223" s="9"/>
    </row>
    <row r="3224" ht="15.75" customHeight="1">
      <c r="A3224" s="9" t="str">
        <f>IFERROR(__xludf.DUMMYFUNCTION("IF(B3224="""","""",RIGHT(REGEXREPLACE(B3224&amp;"""",""[^0-9]"",""""),9))"),"713222448")</f>
        <v>713222448</v>
      </c>
      <c r="B3224" s="10">
        <v>7.13222448E8</v>
      </c>
      <c r="C3224" s="10" t="s">
        <v>3238</v>
      </c>
      <c r="D3224" s="10" t="s">
        <v>20</v>
      </c>
      <c r="E3224" s="13">
        <v>46230.0</v>
      </c>
      <c r="F3224" s="10" t="s">
        <v>21</v>
      </c>
      <c r="I3224" s="10" t="s">
        <v>816</v>
      </c>
      <c r="J3224" s="9" t="str">
        <f t="shared" si="54"/>
        <v>No</v>
      </c>
      <c r="K3224" s="9" t="str">
        <f t="shared" si="55"/>
        <v/>
      </c>
      <c r="L3224" s="9" t="str">
        <f t="shared" si="56"/>
        <v/>
      </c>
      <c r="M3224" s="9"/>
      <c r="O3224" s="9"/>
    </row>
    <row r="3225" ht="15.75" customHeight="1">
      <c r="A3225" s="9" t="str">
        <f>IFERROR(__xludf.DUMMYFUNCTION("IF(B3225="""","""",RIGHT(REGEXREPLACE(B3225&amp;"""",""[^0-9]"",""""),9))"),"721563175")</f>
        <v>721563175</v>
      </c>
      <c r="B3225" s="48">
        <v>7.21563175E8</v>
      </c>
      <c r="C3225" s="10" t="s">
        <v>3239</v>
      </c>
      <c r="D3225" s="10" t="s">
        <v>34</v>
      </c>
      <c r="E3225" s="13">
        <v>46230.0</v>
      </c>
      <c r="F3225" s="10" t="s">
        <v>198</v>
      </c>
      <c r="G3225" s="10">
        <v>6.0</v>
      </c>
      <c r="I3225" s="10" t="s">
        <v>816</v>
      </c>
      <c r="J3225" s="9" t="str">
        <f t="shared" si="54"/>
        <v>No</v>
      </c>
      <c r="K3225" s="9" t="str">
        <f t="shared" si="55"/>
        <v/>
      </c>
      <c r="L3225" s="9" t="str">
        <f t="shared" si="56"/>
        <v/>
      </c>
      <c r="M3225" s="9"/>
      <c r="O3225" s="9"/>
    </row>
    <row r="3226" ht="15.75" customHeight="1">
      <c r="A3226" s="9" t="str">
        <f>IFERROR(__xludf.DUMMYFUNCTION("IF(B3226="""","""",RIGHT(REGEXREPLACE(B3226&amp;"""",""[^0-9]"",""""),9))"),"712858961")</f>
        <v>712858961</v>
      </c>
      <c r="B3226" s="48">
        <v>7.12858961E8</v>
      </c>
      <c r="C3226" s="10" t="s">
        <v>3240</v>
      </c>
      <c r="D3226" s="10" t="s">
        <v>97</v>
      </c>
      <c r="E3226" s="13">
        <v>46230.0</v>
      </c>
      <c r="F3226" s="10" t="s">
        <v>35</v>
      </c>
      <c r="G3226" s="10">
        <v>11.0</v>
      </c>
      <c r="I3226" s="10" t="s">
        <v>22</v>
      </c>
      <c r="J3226" s="9" t="str">
        <f t="shared" si="54"/>
        <v>No</v>
      </c>
      <c r="K3226" s="9" t="str">
        <f t="shared" si="55"/>
        <v/>
      </c>
      <c r="L3226" s="9" t="str">
        <f t="shared" si="56"/>
        <v/>
      </c>
      <c r="M3226" s="9"/>
      <c r="O3226" s="9"/>
    </row>
    <row r="3227" ht="15.75" customHeight="1">
      <c r="A3227" s="9" t="str">
        <f>IFERROR(__xludf.DUMMYFUNCTION("IF(B3227="""","""",RIGHT(REGEXREPLACE(B3227&amp;"""",""[^0-9]"",""""),9))"),"706039999")</f>
        <v>706039999</v>
      </c>
      <c r="B3227" s="48">
        <v>7.06039999E8</v>
      </c>
      <c r="C3227" s="10" t="s">
        <v>3241</v>
      </c>
      <c r="D3227" s="10" t="s">
        <v>105</v>
      </c>
      <c r="E3227" s="13">
        <v>46230.0</v>
      </c>
      <c r="F3227" s="10" t="s">
        <v>35</v>
      </c>
      <c r="G3227" s="10">
        <v>11.0</v>
      </c>
      <c r="I3227" s="10" t="s">
        <v>22</v>
      </c>
      <c r="J3227" s="9" t="str">
        <f t="shared" si="54"/>
        <v>No</v>
      </c>
      <c r="K3227" s="9" t="str">
        <f t="shared" si="55"/>
        <v/>
      </c>
      <c r="L3227" s="9" t="str">
        <f t="shared" si="56"/>
        <v/>
      </c>
      <c r="M3227" s="9"/>
      <c r="O3227" s="9"/>
    </row>
    <row r="3228" ht="15.75" customHeight="1">
      <c r="A3228" s="9" t="str">
        <f>IFERROR(__xludf.DUMMYFUNCTION("IF(B3228="""","""",RIGHT(REGEXREPLACE(B3228&amp;"""",""[^0-9]"",""""),9))"),"773838295")</f>
        <v>773838295</v>
      </c>
      <c r="B3228" s="48">
        <v>7.73838295E8</v>
      </c>
      <c r="C3228" s="10" t="s">
        <v>3242</v>
      </c>
      <c r="D3228" s="10" t="s">
        <v>69</v>
      </c>
      <c r="E3228" s="13">
        <v>46230.0</v>
      </c>
      <c r="F3228" s="10" t="s">
        <v>21</v>
      </c>
      <c r="G3228" s="10">
        <v>11.0</v>
      </c>
      <c r="I3228" s="10" t="s">
        <v>22</v>
      </c>
      <c r="J3228" s="9" t="str">
        <f t="shared" si="54"/>
        <v>No</v>
      </c>
      <c r="K3228" s="9" t="str">
        <f t="shared" si="55"/>
        <v/>
      </c>
      <c r="L3228" s="9" t="str">
        <f t="shared" si="56"/>
        <v/>
      </c>
      <c r="M3228" s="9"/>
      <c r="O3228" s="9"/>
    </row>
    <row r="3229" ht="15.75" customHeight="1">
      <c r="A3229" s="9" t="str">
        <f>IFERROR(__xludf.DUMMYFUNCTION("IF(B3229="""","""",RIGHT(REGEXREPLACE(B3229&amp;"""",""[^0-9]"",""""),9))"),"724246860")</f>
        <v>724246860</v>
      </c>
      <c r="B3229" s="10">
        <v>7.2424686E8</v>
      </c>
      <c r="C3229" s="10" t="s">
        <v>3243</v>
      </c>
      <c r="D3229" s="10" t="s">
        <v>20</v>
      </c>
      <c r="E3229" s="13">
        <v>46230.0</v>
      </c>
      <c r="F3229" s="10" t="s">
        <v>35</v>
      </c>
      <c r="G3229" s="10">
        <v>7.0</v>
      </c>
      <c r="H3229" s="10" t="s">
        <v>3244</v>
      </c>
      <c r="I3229" s="10" t="s">
        <v>816</v>
      </c>
      <c r="J3229" s="9" t="str">
        <f t="shared" si="54"/>
        <v>No</v>
      </c>
      <c r="K3229" s="9" t="str">
        <f t="shared" si="55"/>
        <v/>
      </c>
      <c r="L3229" s="9" t="str">
        <f t="shared" si="56"/>
        <v/>
      </c>
      <c r="M3229" s="9"/>
      <c r="O3229" s="9"/>
    </row>
    <row r="3230" ht="15.75" customHeight="1">
      <c r="A3230" s="9" t="str">
        <f>IFERROR(__xludf.DUMMYFUNCTION("IF(B3230="""","""",RIGHT(REGEXREPLACE(B3230&amp;"""",""[^0-9]"",""""),9))"),"773708993")</f>
        <v>773708993</v>
      </c>
      <c r="B3230" s="48">
        <v>7.73708993E8</v>
      </c>
      <c r="C3230" s="10" t="s">
        <v>3245</v>
      </c>
      <c r="D3230" s="10" t="s">
        <v>50</v>
      </c>
      <c r="E3230" s="13">
        <v>46230.0</v>
      </c>
      <c r="F3230" s="10" t="s">
        <v>21</v>
      </c>
      <c r="I3230" s="10" t="s">
        <v>22</v>
      </c>
      <c r="J3230" s="9" t="str">
        <f t="shared" si="54"/>
        <v>No</v>
      </c>
      <c r="K3230" s="9" t="str">
        <f t="shared" si="55"/>
        <v/>
      </c>
      <c r="L3230" s="9" t="str">
        <f t="shared" si="56"/>
        <v/>
      </c>
      <c r="M3230" s="9"/>
      <c r="O3230" s="9"/>
    </row>
    <row r="3231" ht="15.75" customHeight="1">
      <c r="A3231" s="9" t="str">
        <f>IFERROR(__xludf.DUMMYFUNCTION("IF(B3231="""","""",RIGHT(REGEXREPLACE(B3231&amp;"""",""[^0-9]"",""""),9))"),"702288767")</f>
        <v>702288767</v>
      </c>
      <c r="B3231" s="48">
        <v>7.02288767E8</v>
      </c>
      <c r="C3231" s="10" t="s">
        <v>3246</v>
      </c>
      <c r="D3231" s="10" t="s">
        <v>34</v>
      </c>
      <c r="E3231" s="13">
        <v>46230.0</v>
      </c>
      <c r="F3231" s="10" t="s">
        <v>35</v>
      </c>
      <c r="G3231" s="10" t="s">
        <v>1970</v>
      </c>
      <c r="I3231" s="10" t="s">
        <v>816</v>
      </c>
      <c r="J3231" s="9" t="str">
        <f t="shared" si="54"/>
        <v>No</v>
      </c>
      <c r="K3231" s="9" t="str">
        <f t="shared" si="55"/>
        <v/>
      </c>
      <c r="L3231" s="9" t="str">
        <f t="shared" si="56"/>
        <v/>
      </c>
      <c r="M3231" s="9"/>
      <c r="O3231" s="9"/>
    </row>
    <row r="3232" ht="15.75" customHeight="1">
      <c r="A3232" s="9" t="str">
        <f>IFERROR(__xludf.DUMMYFUNCTION("IF(B3232="""","""",RIGHT(REGEXREPLACE(B3232&amp;"""",""[^0-9]"",""""),9))"),"778463214")</f>
        <v>778463214</v>
      </c>
      <c r="B3232" s="48">
        <v>7.78463214E8</v>
      </c>
      <c r="C3232" s="10" t="s">
        <v>3247</v>
      </c>
      <c r="D3232" s="10" t="s">
        <v>120</v>
      </c>
      <c r="E3232" s="13">
        <v>46230.0</v>
      </c>
      <c r="F3232" s="10" t="s">
        <v>35</v>
      </c>
      <c r="G3232" s="10">
        <v>11.0</v>
      </c>
      <c r="I3232" s="10" t="s">
        <v>22</v>
      </c>
      <c r="J3232" s="9" t="str">
        <f t="shared" si="54"/>
        <v>No</v>
      </c>
      <c r="K3232" s="9" t="str">
        <f t="shared" si="55"/>
        <v/>
      </c>
      <c r="L3232" s="9" t="str">
        <f t="shared" si="56"/>
        <v/>
      </c>
      <c r="M3232" s="9"/>
      <c r="O3232" s="9"/>
    </row>
    <row r="3233" ht="15.75" customHeight="1">
      <c r="A3233" s="9" t="str">
        <f>IFERROR(__xludf.DUMMYFUNCTION("IF(B3233="""","""",RIGHT(REGEXREPLACE(B3233&amp;"""",""[^0-9]"",""""),9))"),"779146223")</f>
        <v>779146223</v>
      </c>
      <c r="B3233" s="48">
        <v>7.79146223E8</v>
      </c>
      <c r="C3233" s="10" t="s">
        <v>2259</v>
      </c>
      <c r="D3233" s="10" t="s">
        <v>97</v>
      </c>
      <c r="E3233" s="13">
        <v>46230.0</v>
      </c>
      <c r="F3233" s="10" t="s">
        <v>35</v>
      </c>
      <c r="G3233" s="10">
        <v>11.0</v>
      </c>
      <c r="I3233" s="10" t="s">
        <v>22</v>
      </c>
      <c r="J3233" s="9" t="str">
        <f t="shared" si="54"/>
        <v>Yes - see Previous F-Code</v>
      </c>
      <c r="K3233" s="9" t="str">
        <f t="shared" si="55"/>
        <v>DUPLICATE - CHECK</v>
      </c>
      <c r="L3233" s="9" t="str">
        <f t="shared" si="56"/>
        <v>F72032</v>
      </c>
      <c r="M3233" s="9"/>
      <c r="O3233" s="9"/>
    </row>
    <row r="3234" ht="15.75" customHeight="1">
      <c r="A3234" s="9" t="str">
        <f>IFERROR(__xludf.DUMMYFUNCTION("IF(B3234="""","""",RIGHT(REGEXREPLACE(B3234&amp;"""",""[^0-9]"",""""),9))"),"771307293")</f>
        <v>771307293</v>
      </c>
      <c r="B3234" s="48">
        <v>7.71307293E8</v>
      </c>
      <c r="C3234" s="10" t="s">
        <v>3248</v>
      </c>
      <c r="D3234" s="10" t="s">
        <v>69</v>
      </c>
      <c r="E3234" s="13">
        <v>46230.0</v>
      </c>
      <c r="F3234" s="10" t="s">
        <v>21</v>
      </c>
      <c r="G3234" s="10">
        <v>11.0</v>
      </c>
      <c r="I3234" s="10" t="s">
        <v>22</v>
      </c>
      <c r="J3234" s="9" t="str">
        <f t="shared" si="54"/>
        <v>No</v>
      </c>
      <c r="K3234" s="9" t="str">
        <f t="shared" si="55"/>
        <v/>
      </c>
      <c r="L3234" s="9" t="str">
        <f t="shared" si="56"/>
        <v/>
      </c>
      <c r="M3234" s="9"/>
      <c r="O3234" s="9"/>
    </row>
    <row r="3235" ht="15.75" customHeight="1">
      <c r="A3235" s="9" t="str">
        <f>IFERROR(__xludf.DUMMYFUNCTION("IF(B3235="""","""",RIGHT(REGEXREPLACE(B3235&amp;"""",""[^0-9]"",""""),9))"),"785190615")</f>
        <v>785190615</v>
      </c>
      <c r="B3235" s="48">
        <v>7.85190615E8</v>
      </c>
      <c r="C3235" s="10" t="s">
        <v>3249</v>
      </c>
      <c r="D3235" s="10" t="s">
        <v>50</v>
      </c>
      <c r="E3235" s="13">
        <v>46230.0</v>
      </c>
      <c r="F3235" s="10" t="s">
        <v>35</v>
      </c>
      <c r="G3235" s="10">
        <v>9.0</v>
      </c>
      <c r="I3235" s="10" t="s">
        <v>22</v>
      </c>
      <c r="J3235" s="9" t="str">
        <f t="shared" si="54"/>
        <v>No</v>
      </c>
      <c r="K3235" s="9" t="str">
        <f t="shared" si="55"/>
        <v/>
      </c>
      <c r="L3235" s="9" t="str">
        <f t="shared" si="56"/>
        <v/>
      </c>
      <c r="M3235" s="9"/>
      <c r="O3235" s="9"/>
    </row>
    <row r="3236" ht="15.75" customHeight="1">
      <c r="A3236" s="9" t="str">
        <f>IFERROR(__xludf.DUMMYFUNCTION("IF(B3236="""","""",RIGHT(REGEXREPLACE(B3236&amp;"""",""[^0-9]"",""""),9))"),"771537241")</f>
        <v>771537241</v>
      </c>
      <c r="B3236" s="10">
        <v>7.71537241E8</v>
      </c>
      <c r="C3236" s="10" t="s">
        <v>3250</v>
      </c>
      <c r="D3236" s="10" t="s">
        <v>20</v>
      </c>
      <c r="E3236" s="13">
        <v>46230.0</v>
      </c>
      <c r="F3236" s="10" t="s">
        <v>21</v>
      </c>
      <c r="G3236" s="10">
        <v>8.0</v>
      </c>
      <c r="I3236" s="10" t="s">
        <v>816</v>
      </c>
      <c r="J3236" s="9" t="str">
        <f t="shared" si="54"/>
        <v>No</v>
      </c>
      <c r="K3236" s="9" t="str">
        <f t="shared" si="55"/>
        <v/>
      </c>
      <c r="L3236" s="9" t="str">
        <f t="shared" si="56"/>
        <v/>
      </c>
      <c r="M3236" s="9"/>
      <c r="O3236" s="9"/>
    </row>
    <row r="3237" ht="15.75" customHeight="1">
      <c r="A3237" s="9" t="str">
        <f>IFERROR(__xludf.DUMMYFUNCTION("IF(B3237="""","""",RIGHT(REGEXREPLACE(B3237&amp;"""",""[^0-9]"",""""),9))"),"781751735")</f>
        <v>781751735</v>
      </c>
      <c r="B3237" s="48">
        <v>7.81751735E8</v>
      </c>
      <c r="C3237" s="10" t="s">
        <v>3249</v>
      </c>
      <c r="D3237" s="10" t="s">
        <v>69</v>
      </c>
      <c r="E3237" s="13">
        <v>46230.0</v>
      </c>
      <c r="F3237" s="10" t="s">
        <v>35</v>
      </c>
      <c r="G3237" s="10">
        <v>8.0</v>
      </c>
      <c r="I3237" s="10" t="s">
        <v>22</v>
      </c>
      <c r="J3237" s="9" t="str">
        <f t="shared" si="54"/>
        <v>No</v>
      </c>
      <c r="K3237" s="9" t="str">
        <f t="shared" si="55"/>
        <v/>
      </c>
      <c r="L3237" s="9" t="str">
        <f t="shared" si="56"/>
        <v/>
      </c>
      <c r="M3237" s="9"/>
      <c r="O3237" s="9"/>
    </row>
    <row r="3238" ht="15.75" customHeight="1">
      <c r="A3238" s="9" t="str">
        <f>IFERROR(__xludf.DUMMYFUNCTION("IF(B3238="""","""",RIGHT(REGEXREPLACE(B3238&amp;"""",""[^0-9]"",""""),9))"),"702780926")</f>
        <v>702780926</v>
      </c>
      <c r="B3238" s="48">
        <v>7.02780926E8</v>
      </c>
      <c r="C3238" s="10" t="s">
        <v>3251</v>
      </c>
      <c r="D3238" s="10" t="s">
        <v>120</v>
      </c>
      <c r="E3238" s="13">
        <v>46230.0</v>
      </c>
      <c r="F3238" s="9"/>
      <c r="G3238" s="9"/>
      <c r="H3238" s="9"/>
      <c r="I3238" s="10" t="s">
        <v>22</v>
      </c>
      <c r="J3238" s="9" t="str">
        <f t="shared" si="54"/>
        <v>No</v>
      </c>
      <c r="K3238" s="9" t="str">
        <f t="shared" si="55"/>
        <v/>
      </c>
      <c r="L3238" s="9" t="str">
        <f t="shared" si="56"/>
        <v/>
      </c>
      <c r="M3238" s="9"/>
      <c r="N3238" s="9"/>
      <c r="O3238" s="9"/>
      <c r="P3238" s="9"/>
    </row>
    <row r="3239" ht="15.75" customHeight="1">
      <c r="A3239" s="9" t="str">
        <f>IFERROR(__xludf.DUMMYFUNCTION("IF(B3239="""","""",RIGHT(REGEXREPLACE(B3239&amp;"""",""[^0-9]"",""""),9))"),"779480399")</f>
        <v>779480399</v>
      </c>
      <c r="B3239" s="48">
        <v>7.79480399E8</v>
      </c>
      <c r="C3239" s="10" t="s">
        <v>3252</v>
      </c>
      <c r="D3239" s="10" t="s">
        <v>34</v>
      </c>
      <c r="E3239" s="13">
        <v>46230.0</v>
      </c>
      <c r="F3239" s="10" t="s">
        <v>35</v>
      </c>
      <c r="G3239" s="10">
        <v>9.0</v>
      </c>
      <c r="I3239" s="10" t="s">
        <v>816</v>
      </c>
      <c r="J3239" s="9" t="str">
        <f t="shared" si="54"/>
        <v>No</v>
      </c>
      <c r="K3239" s="9" t="str">
        <f t="shared" si="55"/>
        <v/>
      </c>
      <c r="L3239" s="9" t="str">
        <f t="shared" si="56"/>
        <v/>
      </c>
      <c r="M3239" s="9"/>
      <c r="O3239" s="9"/>
    </row>
    <row r="3240" ht="15.75" customHeight="1">
      <c r="A3240" s="9" t="str">
        <f>IFERROR(__xludf.DUMMYFUNCTION("IF(B3240="""","""",RIGHT(REGEXREPLACE(B3240&amp;"""",""[^0-9]"",""""),9))"),"775992335")</f>
        <v>775992335</v>
      </c>
      <c r="B3240" s="48">
        <v>7.75992335E8</v>
      </c>
      <c r="C3240" s="10" t="s">
        <v>1867</v>
      </c>
      <c r="D3240" s="10" t="s">
        <v>105</v>
      </c>
      <c r="E3240" s="13">
        <v>46230.0</v>
      </c>
      <c r="F3240" s="10" t="s">
        <v>198</v>
      </c>
      <c r="G3240" s="10">
        <v>11.0</v>
      </c>
      <c r="I3240" s="10" t="s">
        <v>22</v>
      </c>
      <c r="J3240" s="9" t="str">
        <f t="shared" si="54"/>
        <v>No</v>
      </c>
      <c r="K3240" s="9" t="str">
        <f t="shared" si="55"/>
        <v/>
      </c>
      <c r="L3240" s="9" t="str">
        <f t="shared" si="56"/>
        <v/>
      </c>
      <c r="M3240" s="9"/>
      <c r="O3240" s="9"/>
    </row>
    <row r="3241" ht="15.75" customHeight="1">
      <c r="A3241" s="9" t="str">
        <f>IFERROR(__xludf.DUMMYFUNCTION("IF(B3241="""","""",RIGHT(REGEXREPLACE(B3241&amp;"""",""[^0-9]"",""""),9))"),"764943199")</f>
        <v>764943199</v>
      </c>
      <c r="B3241" s="48">
        <v>7.64943199E8</v>
      </c>
      <c r="C3241" s="10" t="s">
        <v>3253</v>
      </c>
      <c r="D3241" s="10" t="s">
        <v>69</v>
      </c>
      <c r="E3241" s="13">
        <v>46230.0</v>
      </c>
      <c r="F3241" s="10" t="s">
        <v>35</v>
      </c>
      <c r="G3241" s="10">
        <v>11.0</v>
      </c>
      <c r="H3241" s="10" t="s">
        <v>1570</v>
      </c>
      <c r="I3241" s="10" t="s">
        <v>22</v>
      </c>
      <c r="J3241" s="9" t="str">
        <f t="shared" si="54"/>
        <v>No</v>
      </c>
      <c r="K3241" s="9" t="str">
        <f t="shared" si="55"/>
        <v/>
      </c>
      <c r="L3241" s="9" t="str">
        <f t="shared" si="56"/>
        <v/>
      </c>
      <c r="M3241" s="9"/>
      <c r="O3241" s="9"/>
    </row>
    <row r="3242" ht="15.75" customHeight="1">
      <c r="A3242" s="9" t="str">
        <f>IFERROR(__xludf.DUMMYFUNCTION("IF(B3242="""","""",RIGHT(REGEXREPLACE(B3242&amp;"""",""[^0-9]"",""""),9))"),"779809551")</f>
        <v>779809551</v>
      </c>
      <c r="B3242" s="10">
        <v>7.79809551E8</v>
      </c>
      <c r="C3242" s="10" t="s">
        <v>3254</v>
      </c>
      <c r="D3242" s="10" t="s">
        <v>20</v>
      </c>
      <c r="E3242" s="13">
        <v>46230.0</v>
      </c>
      <c r="F3242" s="10" t="s">
        <v>35</v>
      </c>
      <c r="G3242" s="10">
        <v>6.0</v>
      </c>
      <c r="I3242" s="10" t="s">
        <v>816</v>
      </c>
      <c r="J3242" s="9" t="str">
        <f t="shared" si="54"/>
        <v>No</v>
      </c>
      <c r="K3242" s="9" t="str">
        <f t="shared" si="55"/>
        <v/>
      </c>
      <c r="L3242" s="9" t="str">
        <f t="shared" si="56"/>
        <v/>
      </c>
      <c r="M3242" s="9"/>
      <c r="O3242" s="9"/>
    </row>
    <row r="3243" ht="15.75" customHeight="1">
      <c r="A3243" s="9" t="str">
        <f>IFERROR(__xludf.DUMMYFUNCTION("IF(B3243="""","""",RIGHT(REGEXREPLACE(B3243&amp;"""",""[^0-9]"",""""),9))"),"770880403")</f>
        <v>770880403</v>
      </c>
      <c r="B3243" s="48">
        <v>7.70880403E8</v>
      </c>
      <c r="C3243" s="10" t="s">
        <v>3255</v>
      </c>
      <c r="D3243" s="10" t="s">
        <v>50</v>
      </c>
      <c r="E3243" s="13">
        <v>46230.0</v>
      </c>
      <c r="F3243" s="10" t="s">
        <v>35</v>
      </c>
      <c r="G3243" s="10">
        <v>10.0</v>
      </c>
      <c r="I3243" s="10" t="s">
        <v>22</v>
      </c>
      <c r="J3243" s="9" t="str">
        <f t="shared" si="54"/>
        <v>No</v>
      </c>
      <c r="K3243" s="9" t="str">
        <f t="shared" si="55"/>
        <v/>
      </c>
      <c r="L3243" s="9" t="str">
        <f t="shared" si="56"/>
        <v/>
      </c>
      <c r="M3243" s="9"/>
      <c r="O3243" s="9"/>
    </row>
    <row r="3244" ht="15.75" customHeight="1">
      <c r="A3244" s="9" t="str">
        <f>IFERROR(__xludf.DUMMYFUNCTION("IF(B3244="""","""",RIGHT(REGEXREPLACE(B3244&amp;"""",""[^0-9]"",""""),9))"),"717380885")</f>
        <v>717380885</v>
      </c>
      <c r="B3244" s="48">
        <v>7.17380885E8</v>
      </c>
      <c r="C3244" s="10" t="s">
        <v>3255</v>
      </c>
      <c r="D3244" s="10" t="s">
        <v>105</v>
      </c>
      <c r="E3244" s="13">
        <v>46230.0</v>
      </c>
      <c r="F3244" s="10" t="s">
        <v>113</v>
      </c>
      <c r="G3244" s="10">
        <v>11.0</v>
      </c>
      <c r="I3244" s="10" t="s">
        <v>22</v>
      </c>
      <c r="J3244" s="9" t="str">
        <f t="shared" si="54"/>
        <v>No</v>
      </c>
      <c r="K3244" s="9" t="str">
        <f t="shared" si="55"/>
        <v/>
      </c>
      <c r="L3244" s="9" t="str">
        <f t="shared" si="56"/>
        <v/>
      </c>
      <c r="M3244" s="9"/>
      <c r="O3244" s="9"/>
    </row>
    <row r="3245" ht="15.75" customHeight="1">
      <c r="A3245" s="9" t="str">
        <f>IFERROR(__xludf.DUMMYFUNCTION("IF(B3245="""","""",RIGHT(REGEXREPLACE(B3245&amp;"""",""[^0-9]"",""""),9))"),"171706124")</f>
        <v>171706124</v>
      </c>
      <c r="B3245" s="10">
        <v>7.1171706124E10</v>
      </c>
      <c r="C3245" s="10" t="s">
        <v>3256</v>
      </c>
      <c r="D3245" s="10" t="s">
        <v>20</v>
      </c>
      <c r="E3245" s="13">
        <v>46230.0</v>
      </c>
      <c r="F3245" s="10" t="s">
        <v>171</v>
      </c>
      <c r="G3245" s="10">
        <v>9.0</v>
      </c>
      <c r="I3245" s="10" t="s">
        <v>816</v>
      </c>
      <c r="J3245" s="9" t="str">
        <f t="shared" si="54"/>
        <v>No</v>
      </c>
      <c r="K3245" s="9" t="str">
        <f t="shared" si="55"/>
        <v/>
      </c>
      <c r="L3245" s="9" t="str">
        <f t="shared" si="56"/>
        <v/>
      </c>
      <c r="M3245" s="9"/>
      <c r="O3245" s="9"/>
    </row>
    <row r="3246" ht="15.75" customHeight="1">
      <c r="A3246" s="9" t="str">
        <f>IFERROR(__xludf.DUMMYFUNCTION("IF(B3246="""","""",RIGHT(REGEXREPLACE(B3246&amp;"""",""[^0-9]"",""""),9))"),"763369633")</f>
        <v>763369633</v>
      </c>
      <c r="B3246" s="48">
        <v>7.63369633E8</v>
      </c>
      <c r="C3246" s="10" t="s">
        <v>3257</v>
      </c>
      <c r="D3246" s="10" t="s">
        <v>97</v>
      </c>
      <c r="E3246" s="13">
        <v>46230.0</v>
      </c>
      <c r="F3246" s="10" t="s">
        <v>35</v>
      </c>
      <c r="G3246" s="10">
        <v>10.0</v>
      </c>
      <c r="I3246" s="10" t="s">
        <v>22</v>
      </c>
      <c r="J3246" s="9" t="str">
        <f t="shared" si="54"/>
        <v>No</v>
      </c>
      <c r="K3246" s="9" t="str">
        <f t="shared" si="55"/>
        <v/>
      </c>
      <c r="L3246" s="9" t="str">
        <f t="shared" si="56"/>
        <v/>
      </c>
      <c r="M3246" s="9"/>
      <c r="O3246" s="9"/>
    </row>
    <row r="3247" ht="15.75" customHeight="1">
      <c r="A3247" s="9" t="str">
        <f>IFERROR(__xludf.DUMMYFUNCTION("IF(B3247="""","""",RIGHT(REGEXREPLACE(B3247&amp;"""",""[^0-9]"",""""),9))"),"706258324")</f>
        <v>706258324</v>
      </c>
      <c r="B3247" s="48">
        <v>7.06258324E8</v>
      </c>
      <c r="C3247" s="10" t="s">
        <v>3258</v>
      </c>
      <c r="D3247" s="10" t="s">
        <v>34</v>
      </c>
      <c r="E3247" s="13">
        <v>46230.0</v>
      </c>
      <c r="F3247" s="10" t="s">
        <v>35</v>
      </c>
      <c r="G3247" s="10">
        <v>8.0</v>
      </c>
      <c r="I3247" s="10" t="s">
        <v>816</v>
      </c>
      <c r="J3247" s="9" t="str">
        <f t="shared" si="54"/>
        <v>No</v>
      </c>
      <c r="K3247" s="9" t="str">
        <f t="shared" si="55"/>
        <v/>
      </c>
      <c r="L3247" s="9" t="str">
        <f t="shared" si="56"/>
        <v/>
      </c>
      <c r="M3247" s="9"/>
      <c r="O3247" s="9"/>
    </row>
    <row r="3248" ht="15.75" customHeight="1">
      <c r="A3248" s="9" t="str">
        <f>IFERROR(__xludf.DUMMYFUNCTION("IF(B3248="""","""",RIGHT(REGEXREPLACE(B3248&amp;"""",""[^0-9]"",""""),9))"),"717513098")</f>
        <v>717513098</v>
      </c>
      <c r="B3248" s="48">
        <v>7.17513098E8</v>
      </c>
      <c r="C3248" s="10" t="s">
        <v>3259</v>
      </c>
      <c r="D3248" s="10" t="s">
        <v>50</v>
      </c>
      <c r="E3248" s="13">
        <v>46230.0</v>
      </c>
      <c r="F3248" s="10" t="s">
        <v>35</v>
      </c>
      <c r="G3248" s="10">
        <v>10.0</v>
      </c>
      <c r="I3248" s="10" t="s">
        <v>22</v>
      </c>
      <c r="J3248" s="9" t="str">
        <f t="shared" si="54"/>
        <v>No</v>
      </c>
      <c r="K3248" s="9" t="str">
        <f t="shared" si="55"/>
        <v/>
      </c>
      <c r="L3248" s="9" t="str">
        <f t="shared" si="56"/>
        <v/>
      </c>
      <c r="M3248" s="9"/>
      <c r="O3248" s="9"/>
    </row>
    <row r="3249" ht="15.75" customHeight="1">
      <c r="A3249" s="9" t="str">
        <f>IFERROR(__xludf.DUMMYFUNCTION("IF(B3249="""","""",RIGHT(REGEXREPLACE(B3249&amp;"""",""[^0-9]"",""""),9))"),"771104588")</f>
        <v>771104588</v>
      </c>
      <c r="B3249" s="48">
        <v>7.71104588E8</v>
      </c>
      <c r="C3249" s="10" t="s">
        <v>3260</v>
      </c>
      <c r="D3249" s="10" t="s">
        <v>120</v>
      </c>
      <c r="E3249" s="13">
        <v>46230.0</v>
      </c>
      <c r="F3249" s="10" t="s">
        <v>648</v>
      </c>
      <c r="G3249" s="10">
        <v>11.0</v>
      </c>
      <c r="I3249" s="10" t="s">
        <v>22</v>
      </c>
      <c r="J3249" s="9" t="str">
        <f t="shared" si="54"/>
        <v>No</v>
      </c>
      <c r="K3249" s="9" t="str">
        <f t="shared" si="55"/>
        <v/>
      </c>
      <c r="L3249" s="9" t="str">
        <f t="shared" si="56"/>
        <v/>
      </c>
      <c r="M3249" s="9"/>
      <c r="O3249" s="9"/>
    </row>
    <row r="3250" ht="15.75" customHeight="1">
      <c r="A3250" s="9" t="str">
        <f>IFERROR(__xludf.DUMMYFUNCTION("IF(B3250="""","""",RIGHT(REGEXREPLACE(B3250&amp;"""",""[^0-9]"",""""),9))"),"726219997")</f>
        <v>726219997</v>
      </c>
      <c r="B3250" s="48">
        <v>7.26219997E8</v>
      </c>
      <c r="C3250" s="10" t="s">
        <v>1897</v>
      </c>
      <c r="D3250" s="10" t="s">
        <v>69</v>
      </c>
      <c r="E3250" s="13">
        <v>46230.0</v>
      </c>
      <c r="F3250" s="10" t="s">
        <v>198</v>
      </c>
      <c r="I3250" s="10" t="s">
        <v>22</v>
      </c>
      <c r="J3250" s="9" t="str">
        <f t="shared" si="54"/>
        <v>No</v>
      </c>
      <c r="K3250" s="9" t="str">
        <f t="shared" si="55"/>
        <v/>
      </c>
      <c r="L3250" s="9" t="str">
        <f t="shared" si="56"/>
        <v/>
      </c>
      <c r="M3250" s="9"/>
      <c r="O3250" s="9"/>
    </row>
    <row r="3251" ht="15.75" customHeight="1">
      <c r="A3251" s="9" t="str">
        <f>IFERROR(__xludf.DUMMYFUNCTION("IF(B3251="""","""",RIGHT(REGEXREPLACE(B3251&amp;"""",""[^0-9]"",""""),9))"),"761248568")</f>
        <v>761248568</v>
      </c>
      <c r="B3251" s="48">
        <v>7.61248568E8</v>
      </c>
      <c r="C3251" s="10" t="s">
        <v>3261</v>
      </c>
      <c r="D3251" s="10" t="s">
        <v>120</v>
      </c>
      <c r="E3251" s="13">
        <v>46230.0</v>
      </c>
      <c r="F3251" s="10" t="s">
        <v>21</v>
      </c>
      <c r="I3251" s="10" t="s">
        <v>22</v>
      </c>
      <c r="J3251" s="9" t="str">
        <f t="shared" si="54"/>
        <v>No</v>
      </c>
      <c r="K3251" s="9" t="str">
        <f t="shared" si="55"/>
        <v/>
      </c>
      <c r="L3251" s="9" t="str">
        <f t="shared" si="56"/>
        <v/>
      </c>
      <c r="M3251" s="9"/>
      <c r="O3251" s="9"/>
    </row>
    <row r="3252" ht="15.75" customHeight="1">
      <c r="A3252" s="9" t="str">
        <f>IFERROR(__xludf.DUMMYFUNCTION("IF(B3252="""","""",RIGHT(REGEXREPLACE(B3252&amp;"""",""[^0-9]"",""""),9))"),"777295109")</f>
        <v>777295109</v>
      </c>
      <c r="B3252" s="48">
        <v>7.77295109E8</v>
      </c>
      <c r="C3252" s="10" t="s">
        <v>3262</v>
      </c>
      <c r="D3252" s="10" t="s">
        <v>50</v>
      </c>
      <c r="E3252" s="13">
        <v>46230.0</v>
      </c>
      <c r="F3252" s="10" t="s">
        <v>35</v>
      </c>
      <c r="G3252" s="10">
        <v>11.0</v>
      </c>
      <c r="H3252" s="10" t="s">
        <v>1291</v>
      </c>
      <c r="I3252" s="10" t="s">
        <v>22</v>
      </c>
      <c r="J3252" s="9" t="str">
        <f t="shared" si="54"/>
        <v>No</v>
      </c>
      <c r="K3252" s="9" t="str">
        <f t="shared" si="55"/>
        <v/>
      </c>
      <c r="L3252" s="9" t="str">
        <f t="shared" si="56"/>
        <v/>
      </c>
      <c r="M3252" s="9"/>
      <c r="O3252" s="9"/>
    </row>
    <row r="3253" ht="15.75" customHeight="1">
      <c r="A3253" s="9" t="str">
        <f>IFERROR(__xludf.DUMMYFUNCTION("IF(B3253="""","""",RIGHT(REGEXREPLACE(B3253&amp;"""",""[^0-9]"",""""),9))"),"741189567")</f>
        <v>741189567</v>
      </c>
      <c r="B3253" s="10">
        <v>7.41189567E8</v>
      </c>
      <c r="C3253" s="10" t="s">
        <v>3263</v>
      </c>
      <c r="D3253" s="10" t="s">
        <v>20</v>
      </c>
      <c r="E3253" s="13">
        <v>46230.0</v>
      </c>
      <c r="F3253" s="10" t="s">
        <v>21</v>
      </c>
      <c r="I3253" s="10" t="s">
        <v>22</v>
      </c>
      <c r="J3253" s="9" t="str">
        <f t="shared" si="54"/>
        <v>No</v>
      </c>
      <c r="K3253" s="9" t="str">
        <f t="shared" si="55"/>
        <v/>
      </c>
      <c r="L3253" s="9" t="str">
        <f t="shared" si="56"/>
        <v/>
      </c>
      <c r="M3253" s="9"/>
      <c r="O3253" s="9"/>
    </row>
    <row r="3254" ht="15.75" customHeight="1">
      <c r="A3254" s="9" t="str">
        <f>IFERROR(__xludf.DUMMYFUNCTION("IF(B3254="""","""",RIGHT(REGEXREPLACE(B3254&amp;"""",""[^0-9]"",""""),9))"),"762215662")</f>
        <v>762215662</v>
      </c>
      <c r="B3254" s="48">
        <v>7.62215662E8</v>
      </c>
      <c r="C3254" s="10" t="s">
        <v>3264</v>
      </c>
      <c r="D3254" s="10" t="s">
        <v>97</v>
      </c>
      <c r="E3254" s="13">
        <v>46230.0</v>
      </c>
      <c r="F3254" s="10" t="s">
        <v>145</v>
      </c>
      <c r="I3254" s="10" t="s">
        <v>22</v>
      </c>
      <c r="J3254" s="9" t="str">
        <f t="shared" si="54"/>
        <v>No</v>
      </c>
      <c r="K3254" s="9" t="str">
        <f t="shared" si="55"/>
        <v/>
      </c>
      <c r="L3254" s="9" t="str">
        <f t="shared" si="56"/>
        <v/>
      </c>
      <c r="M3254" s="9"/>
      <c r="O3254" s="9"/>
    </row>
    <row r="3255" ht="15.75" customHeight="1">
      <c r="A3255" s="9" t="str">
        <f>IFERROR(__xludf.DUMMYFUNCTION("IF(B3255="""","""",RIGHT(REGEXREPLACE(B3255&amp;"""",""[^0-9]"",""""),9))"),"770094783")</f>
        <v>770094783</v>
      </c>
      <c r="B3255" s="48">
        <v>7.70094783E8</v>
      </c>
      <c r="C3255" s="10" t="s">
        <v>3265</v>
      </c>
      <c r="D3255" s="10" t="s">
        <v>34</v>
      </c>
      <c r="E3255" s="13">
        <v>46230.0</v>
      </c>
      <c r="F3255" s="10" t="s">
        <v>21</v>
      </c>
      <c r="G3255" s="10">
        <v>11.0</v>
      </c>
      <c r="I3255" s="10" t="s">
        <v>22</v>
      </c>
      <c r="J3255" s="9" t="str">
        <f t="shared" si="54"/>
        <v>No</v>
      </c>
      <c r="K3255" s="9" t="str">
        <f t="shared" si="55"/>
        <v/>
      </c>
      <c r="L3255" s="9" t="str">
        <f t="shared" si="56"/>
        <v/>
      </c>
      <c r="M3255" s="9"/>
      <c r="O3255" s="9"/>
    </row>
    <row r="3256" ht="15.75" customHeight="1">
      <c r="A3256" s="9" t="str">
        <f>IFERROR(__xludf.DUMMYFUNCTION("IF(B3256="""","""",RIGHT(REGEXREPLACE(B3256&amp;"""",""[^0-9]"",""""),9))"),"779470921")</f>
        <v>779470921</v>
      </c>
      <c r="B3256" s="48">
        <v>7.79470921E8</v>
      </c>
      <c r="C3256" s="10" t="s">
        <v>3266</v>
      </c>
      <c r="D3256" s="10" t="s">
        <v>105</v>
      </c>
      <c r="E3256" s="13">
        <v>46230.0</v>
      </c>
      <c r="F3256" s="10" t="s">
        <v>21</v>
      </c>
      <c r="G3256" s="10">
        <v>11.0</v>
      </c>
      <c r="I3256" s="10" t="s">
        <v>22</v>
      </c>
      <c r="J3256" s="9" t="str">
        <f t="shared" si="54"/>
        <v>No</v>
      </c>
      <c r="K3256" s="9" t="str">
        <f t="shared" si="55"/>
        <v/>
      </c>
      <c r="L3256" s="9" t="str">
        <f t="shared" si="56"/>
        <v/>
      </c>
      <c r="M3256" s="9"/>
      <c r="O3256" s="9"/>
    </row>
    <row r="3257" ht="15.75" customHeight="1">
      <c r="A3257" s="9" t="str">
        <f>IFERROR(__xludf.DUMMYFUNCTION("IF(B3257="""","""",RIGHT(REGEXREPLACE(B3257&amp;"""",""[^0-9]"",""""),9))"),"716359231")</f>
        <v>716359231</v>
      </c>
      <c r="B3257" s="48">
        <v>7.16359231E8</v>
      </c>
      <c r="C3257" s="10" t="s">
        <v>3267</v>
      </c>
      <c r="D3257" s="10" t="s">
        <v>69</v>
      </c>
      <c r="E3257" s="13">
        <v>46230.0</v>
      </c>
      <c r="F3257" s="10" t="s">
        <v>35</v>
      </c>
      <c r="G3257" s="10">
        <v>11.0</v>
      </c>
      <c r="I3257" s="10" t="s">
        <v>22</v>
      </c>
      <c r="J3257" s="9" t="str">
        <f t="shared" si="54"/>
        <v>No</v>
      </c>
      <c r="K3257" s="9" t="str">
        <f t="shared" si="55"/>
        <v/>
      </c>
      <c r="L3257" s="9" t="str">
        <f t="shared" si="56"/>
        <v/>
      </c>
      <c r="M3257" s="9"/>
      <c r="O3257" s="9"/>
    </row>
    <row r="3258" ht="15.75" customHeight="1">
      <c r="A3258" s="9" t="str">
        <f>IFERROR(__xludf.DUMMYFUNCTION("IF(B3258="""","""",RIGHT(REGEXREPLACE(B3258&amp;"""",""[^0-9]"",""""),9))"),"776443057")</f>
        <v>776443057</v>
      </c>
      <c r="B3258" s="48">
        <v>7.76443057E8</v>
      </c>
      <c r="C3258" s="10" t="s">
        <v>3268</v>
      </c>
      <c r="D3258" s="10" t="s">
        <v>120</v>
      </c>
      <c r="E3258" s="13">
        <v>46230.0</v>
      </c>
      <c r="F3258" s="10" t="s">
        <v>35</v>
      </c>
      <c r="G3258" s="10">
        <v>11.0</v>
      </c>
      <c r="I3258" s="10" t="s">
        <v>22</v>
      </c>
      <c r="J3258" s="9" t="str">
        <f t="shared" si="54"/>
        <v>No</v>
      </c>
      <c r="K3258" s="9" t="str">
        <f t="shared" si="55"/>
        <v/>
      </c>
      <c r="L3258" s="9" t="str">
        <f t="shared" si="56"/>
        <v/>
      </c>
      <c r="M3258" s="9"/>
      <c r="O3258" s="9"/>
    </row>
    <row r="3259" ht="15.75" customHeight="1">
      <c r="A3259" s="9" t="str">
        <f>IFERROR(__xludf.DUMMYFUNCTION("IF(B3259="""","""",RIGHT(REGEXREPLACE(B3259&amp;"""",""[^0-9]"",""""),9))"),"783785004")</f>
        <v>783785004</v>
      </c>
      <c r="B3259" s="48">
        <v>7.83785004E8</v>
      </c>
      <c r="C3259" s="10" t="s">
        <v>3269</v>
      </c>
      <c r="D3259" s="10" t="s">
        <v>97</v>
      </c>
      <c r="E3259" s="13">
        <v>46230.0</v>
      </c>
      <c r="F3259" s="10" t="s">
        <v>35</v>
      </c>
      <c r="G3259" s="10">
        <v>11.0</v>
      </c>
      <c r="I3259" s="10" t="s">
        <v>22</v>
      </c>
      <c r="J3259" s="9" t="str">
        <f t="shared" si="54"/>
        <v>No</v>
      </c>
      <c r="K3259" s="9" t="str">
        <f t="shared" si="55"/>
        <v/>
      </c>
      <c r="L3259" s="9" t="str">
        <f t="shared" si="56"/>
        <v/>
      </c>
      <c r="M3259" s="9"/>
      <c r="O3259" s="9"/>
    </row>
    <row r="3260" ht="15.75" customHeight="1">
      <c r="A3260" s="9" t="str">
        <f>IFERROR(__xludf.DUMMYFUNCTION("IF(B3260="""","""",RIGHT(REGEXREPLACE(B3260&amp;"""",""[^0-9]"",""""),9))"),"757458730")</f>
        <v>757458730</v>
      </c>
      <c r="B3260" s="48">
        <v>7.5745873E8</v>
      </c>
      <c r="C3260" s="10" t="s">
        <v>3270</v>
      </c>
      <c r="D3260" s="10" t="s">
        <v>50</v>
      </c>
      <c r="E3260" s="13">
        <v>46230.0</v>
      </c>
      <c r="F3260" s="10" t="s">
        <v>604</v>
      </c>
      <c r="G3260" s="10">
        <v>11.0</v>
      </c>
      <c r="I3260" s="10" t="s">
        <v>22</v>
      </c>
      <c r="J3260" s="9" t="str">
        <f t="shared" si="54"/>
        <v>No</v>
      </c>
      <c r="K3260" s="9" t="str">
        <f t="shared" si="55"/>
        <v/>
      </c>
      <c r="L3260" s="9" t="str">
        <f t="shared" si="56"/>
        <v/>
      </c>
      <c r="M3260" s="9"/>
      <c r="O3260" s="9"/>
    </row>
    <row r="3261" ht="15.75" customHeight="1">
      <c r="A3261" s="9" t="str">
        <f>IFERROR(__xludf.DUMMYFUNCTION("IF(B3261="""","""",RIGHT(REGEXREPLACE(B3261&amp;"""",""[^0-9]"",""""),9))"),"743882486")</f>
        <v>743882486</v>
      </c>
      <c r="B3261" s="48">
        <v>7.43882486E8</v>
      </c>
      <c r="C3261" s="10" t="s">
        <v>3271</v>
      </c>
      <c r="D3261" s="10" t="s">
        <v>34</v>
      </c>
      <c r="E3261" s="13">
        <v>46230.0</v>
      </c>
      <c r="F3261" s="10" t="s">
        <v>35</v>
      </c>
      <c r="G3261" s="10">
        <v>11.0</v>
      </c>
      <c r="I3261" s="10" t="s">
        <v>22</v>
      </c>
      <c r="J3261" s="9" t="str">
        <f t="shared" si="54"/>
        <v>No</v>
      </c>
      <c r="K3261" s="9" t="str">
        <f t="shared" si="55"/>
        <v/>
      </c>
      <c r="L3261" s="9" t="str">
        <f t="shared" si="56"/>
        <v/>
      </c>
      <c r="M3261" s="9"/>
      <c r="O3261" s="9"/>
    </row>
    <row r="3262" ht="15.75" customHeight="1">
      <c r="A3262" s="9" t="str">
        <f>IFERROR(__xludf.DUMMYFUNCTION("IF(B3262="""","""",RIGHT(REGEXREPLACE(B3262&amp;"""",""[^0-9]"",""""),9))"),"766589739")</f>
        <v>766589739</v>
      </c>
      <c r="B3262" s="48">
        <v>7.66589739E8</v>
      </c>
      <c r="C3262" s="10" t="s">
        <v>2394</v>
      </c>
      <c r="D3262" s="10" t="s">
        <v>69</v>
      </c>
      <c r="E3262" s="13">
        <v>46230.0</v>
      </c>
      <c r="F3262" s="10" t="s">
        <v>35</v>
      </c>
      <c r="G3262" s="10">
        <v>9.0</v>
      </c>
      <c r="I3262" s="10" t="s">
        <v>22</v>
      </c>
      <c r="J3262" s="9" t="str">
        <f t="shared" si="54"/>
        <v>No</v>
      </c>
      <c r="K3262" s="9" t="str">
        <f t="shared" si="55"/>
        <v/>
      </c>
      <c r="L3262" s="9" t="str">
        <f t="shared" si="56"/>
        <v/>
      </c>
      <c r="M3262" s="9"/>
      <c r="O3262" s="9"/>
    </row>
    <row r="3263" ht="15.75" customHeight="1">
      <c r="A3263" s="9" t="str">
        <f>IFERROR(__xludf.DUMMYFUNCTION("IF(B3263="""","""",RIGHT(REGEXREPLACE(B3263&amp;"""",""[^0-9]"",""""),9))"),"774621894")</f>
        <v>774621894</v>
      </c>
      <c r="B3263" s="48">
        <v>7.74621894E8</v>
      </c>
      <c r="C3263" s="10" t="s">
        <v>3272</v>
      </c>
      <c r="D3263" s="10" t="s">
        <v>120</v>
      </c>
      <c r="E3263" s="13">
        <v>46230.0</v>
      </c>
      <c r="F3263" s="10" t="s">
        <v>21</v>
      </c>
      <c r="I3263" s="10" t="s">
        <v>22</v>
      </c>
      <c r="J3263" s="9" t="str">
        <f t="shared" si="54"/>
        <v>No</v>
      </c>
      <c r="K3263" s="9" t="str">
        <f t="shared" si="55"/>
        <v/>
      </c>
      <c r="L3263" s="9" t="str">
        <f t="shared" si="56"/>
        <v/>
      </c>
      <c r="M3263" s="9"/>
      <c r="O3263" s="9"/>
    </row>
    <row r="3264" ht="15.75" customHeight="1">
      <c r="A3264" s="9" t="str">
        <f>IFERROR(__xludf.DUMMYFUNCTION("IF(B3264="""","""",RIGHT(REGEXREPLACE(B3264&amp;"""",""[^0-9]"",""""),9))"),"740827727")</f>
        <v>740827727</v>
      </c>
      <c r="B3264" s="48">
        <v>7.40827727E8</v>
      </c>
      <c r="C3264" s="10" t="s">
        <v>3273</v>
      </c>
      <c r="D3264" s="10" t="s">
        <v>50</v>
      </c>
      <c r="E3264" s="13">
        <v>46230.0</v>
      </c>
      <c r="F3264" s="10" t="s">
        <v>21</v>
      </c>
      <c r="G3264" s="10">
        <v>11.0</v>
      </c>
      <c r="I3264" s="10" t="s">
        <v>22</v>
      </c>
      <c r="J3264" s="9" t="str">
        <f t="shared" si="54"/>
        <v>No</v>
      </c>
      <c r="K3264" s="9" t="str">
        <f t="shared" si="55"/>
        <v/>
      </c>
      <c r="L3264" s="9" t="str">
        <f t="shared" si="56"/>
        <v/>
      </c>
      <c r="M3264" s="9"/>
      <c r="O3264" s="9"/>
    </row>
    <row r="3265" ht="15.75" customHeight="1">
      <c r="A3265" s="9" t="str">
        <f>IFERROR(__xludf.DUMMYFUNCTION("IF(B3265="""","""",RIGHT(REGEXREPLACE(B3265&amp;"""",""[^0-9]"",""""),9))"),"755750750")</f>
        <v>755750750</v>
      </c>
      <c r="B3265" s="48">
        <v>7.5575075E8</v>
      </c>
      <c r="C3265" s="10" t="s">
        <v>3274</v>
      </c>
      <c r="D3265" s="10" t="s">
        <v>34</v>
      </c>
      <c r="E3265" s="13">
        <v>46230.0</v>
      </c>
      <c r="F3265" s="10" t="s">
        <v>35</v>
      </c>
      <c r="G3265" s="10">
        <v>11.0</v>
      </c>
      <c r="I3265" s="10" t="s">
        <v>22</v>
      </c>
      <c r="J3265" s="9" t="str">
        <f t="shared" si="54"/>
        <v>No</v>
      </c>
      <c r="K3265" s="9" t="str">
        <f t="shared" si="55"/>
        <v/>
      </c>
      <c r="L3265" s="9" t="str">
        <f t="shared" si="56"/>
        <v/>
      </c>
      <c r="M3265" s="9"/>
      <c r="O3265" s="9"/>
    </row>
    <row r="3266" ht="15.75" customHeight="1">
      <c r="A3266" s="9" t="str">
        <f>IFERROR(__xludf.DUMMYFUNCTION("IF(B3266="""","""",RIGHT(REGEXREPLACE(B3266&amp;"""",""[^0-9]"",""""),9))"),"786761404")</f>
        <v>786761404</v>
      </c>
      <c r="B3266" s="48">
        <v>7.86761404E8</v>
      </c>
      <c r="C3266" s="10" t="s">
        <v>3275</v>
      </c>
      <c r="D3266" s="10" t="s">
        <v>97</v>
      </c>
      <c r="E3266" s="13">
        <v>46230.0</v>
      </c>
      <c r="F3266" s="10" t="s">
        <v>21</v>
      </c>
      <c r="I3266" s="10" t="s">
        <v>22</v>
      </c>
      <c r="J3266" s="9" t="str">
        <f t="shared" si="54"/>
        <v>No</v>
      </c>
      <c r="K3266" s="9" t="str">
        <f t="shared" si="55"/>
        <v/>
      </c>
      <c r="L3266" s="9" t="str">
        <f t="shared" si="56"/>
        <v/>
      </c>
      <c r="M3266" s="9"/>
      <c r="O3266" s="9"/>
    </row>
    <row r="3267" ht="15.75" customHeight="1">
      <c r="A3267" s="9" t="str">
        <f>IFERROR(__xludf.DUMMYFUNCTION("IF(B3267="""","""",RIGHT(REGEXREPLACE(B3267&amp;"""",""[^0-9]"",""""),9))"),"707755214")</f>
        <v>707755214</v>
      </c>
      <c r="B3267" s="48">
        <v>7.07755214E8</v>
      </c>
      <c r="C3267" s="10" t="s">
        <v>3276</v>
      </c>
      <c r="D3267" s="10" t="s">
        <v>105</v>
      </c>
      <c r="E3267" s="13">
        <v>46230.0</v>
      </c>
      <c r="F3267" s="10" t="s">
        <v>35</v>
      </c>
      <c r="G3267" s="10">
        <v>11.0</v>
      </c>
      <c r="I3267" s="10" t="s">
        <v>22</v>
      </c>
      <c r="J3267" s="9" t="str">
        <f t="shared" si="54"/>
        <v>No</v>
      </c>
      <c r="K3267" s="9" t="str">
        <f t="shared" si="55"/>
        <v/>
      </c>
      <c r="L3267" s="9" t="str">
        <f t="shared" si="56"/>
        <v/>
      </c>
      <c r="M3267" s="9"/>
      <c r="O3267" s="9"/>
    </row>
    <row r="3268" ht="15.75" customHeight="1">
      <c r="A3268" s="9" t="str">
        <f>IFERROR(__xludf.DUMMYFUNCTION("IF(B3268="""","""",RIGHT(REGEXREPLACE(B3268&amp;"""",""[^0-9]"",""""),9))"),"767235878")</f>
        <v>767235878</v>
      </c>
      <c r="B3268" s="48">
        <v>7.67235878E8</v>
      </c>
      <c r="C3268" s="10" t="s">
        <v>3277</v>
      </c>
      <c r="D3268" s="10" t="s">
        <v>69</v>
      </c>
      <c r="E3268" s="13">
        <v>46230.0</v>
      </c>
      <c r="F3268" s="10" t="s">
        <v>198</v>
      </c>
      <c r="G3268" s="10">
        <v>11.0</v>
      </c>
      <c r="I3268" s="10" t="s">
        <v>22</v>
      </c>
      <c r="J3268" s="9" t="str">
        <f t="shared" si="54"/>
        <v>No</v>
      </c>
      <c r="K3268" s="9" t="str">
        <f t="shared" si="55"/>
        <v/>
      </c>
      <c r="L3268" s="9" t="str">
        <f t="shared" si="56"/>
        <v/>
      </c>
      <c r="M3268" s="9"/>
      <c r="O3268" s="9"/>
    </row>
    <row r="3269" ht="15.75" customHeight="1">
      <c r="A3269" s="9" t="str">
        <f>IFERROR(__xludf.DUMMYFUNCTION("IF(B3269="""","""",RIGHT(REGEXREPLACE(B3269&amp;"""",""[^0-9]"",""""),9))"),"760300511")</f>
        <v>760300511</v>
      </c>
      <c r="B3269" s="48">
        <v>7.60300511E8</v>
      </c>
      <c r="C3269" s="10" t="s">
        <v>3278</v>
      </c>
      <c r="D3269" s="10" t="s">
        <v>120</v>
      </c>
      <c r="E3269" s="13">
        <v>46230.0</v>
      </c>
      <c r="F3269" s="10" t="s">
        <v>21</v>
      </c>
      <c r="I3269" s="10" t="s">
        <v>22</v>
      </c>
      <c r="J3269" s="9" t="str">
        <f t="shared" si="54"/>
        <v>No</v>
      </c>
      <c r="K3269" s="9" t="str">
        <f t="shared" si="55"/>
        <v/>
      </c>
      <c r="L3269" s="9" t="str">
        <f t="shared" si="56"/>
        <v/>
      </c>
      <c r="M3269" s="9"/>
      <c r="O3269" s="9"/>
    </row>
    <row r="3270" ht="15.75" customHeight="1">
      <c r="A3270" s="9" t="str">
        <f>IFERROR(__xludf.DUMMYFUNCTION("IF(B3270="""","""",RIGHT(REGEXREPLACE(B3270&amp;"""",""[^0-9]"",""""),9))"),"711687432")</f>
        <v>711687432</v>
      </c>
      <c r="B3270" s="48">
        <v>7.11687432E8</v>
      </c>
      <c r="C3270" s="10" t="s">
        <v>3279</v>
      </c>
      <c r="D3270" s="10" t="s">
        <v>50</v>
      </c>
      <c r="E3270" s="13">
        <v>46230.0</v>
      </c>
      <c r="F3270" s="10" t="s">
        <v>35</v>
      </c>
      <c r="G3270" s="10">
        <v>10.0</v>
      </c>
      <c r="I3270" s="10" t="s">
        <v>22</v>
      </c>
      <c r="J3270" s="9" t="str">
        <f t="shared" si="54"/>
        <v>No</v>
      </c>
      <c r="K3270" s="9" t="str">
        <f t="shared" si="55"/>
        <v/>
      </c>
      <c r="L3270" s="9" t="str">
        <f t="shared" si="56"/>
        <v/>
      </c>
      <c r="M3270" s="9"/>
      <c r="O3270" s="9"/>
    </row>
    <row r="3271" ht="15.75" customHeight="1">
      <c r="A3271" s="9" t="str">
        <f>IFERROR(__xludf.DUMMYFUNCTION("IF(B3271="""","""",RIGHT(REGEXREPLACE(B3271&amp;"""",""[^0-9]"",""""),9))"),"752787730")</f>
        <v>752787730</v>
      </c>
      <c r="B3271" s="48">
        <v>7.5278773E8</v>
      </c>
      <c r="C3271" s="10" t="s">
        <v>3280</v>
      </c>
      <c r="D3271" s="10" t="s">
        <v>97</v>
      </c>
      <c r="E3271" s="13">
        <v>46230.0</v>
      </c>
      <c r="F3271" s="9"/>
      <c r="G3271" s="9"/>
      <c r="H3271" s="9"/>
      <c r="I3271" s="10" t="s">
        <v>22</v>
      </c>
      <c r="J3271" s="9" t="str">
        <f t="shared" si="54"/>
        <v>No</v>
      </c>
      <c r="K3271" s="9" t="str">
        <f t="shared" si="55"/>
        <v/>
      </c>
      <c r="L3271" s="9" t="str">
        <f t="shared" si="56"/>
        <v/>
      </c>
      <c r="M3271" s="9"/>
      <c r="N3271" s="9"/>
      <c r="O3271" s="9"/>
      <c r="P3271" s="9"/>
    </row>
    <row r="3272" ht="15.75" customHeight="1">
      <c r="A3272" s="9" t="str">
        <f>IFERROR(__xludf.DUMMYFUNCTION("IF(B3272="""","""",RIGHT(REGEXREPLACE(B3272&amp;"""",""[^0-9]"",""""),9))"),"775697363")</f>
        <v>775697363</v>
      </c>
      <c r="B3272" s="48">
        <v>7.75697363E8</v>
      </c>
      <c r="C3272" s="10" t="s">
        <v>1829</v>
      </c>
      <c r="D3272" s="10" t="s">
        <v>69</v>
      </c>
      <c r="E3272" s="13">
        <v>46230.0</v>
      </c>
      <c r="F3272" s="10" t="s">
        <v>21</v>
      </c>
      <c r="G3272" s="10">
        <v>11.0</v>
      </c>
      <c r="I3272" s="10" t="s">
        <v>22</v>
      </c>
      <c r="J3272" s="9" t="str">
        <f t="shared" si="54"/>
        <v>Yes - see Previous F-Code</v>
      </c>
      <c r="K3272" s="9" t="str">
        <f t="shared" si="55"/>
        <v>DUPLICATE - CHECK</v>
      </c>
      <c r="L3272" s="9" t="str">
        <f t="shared" si="56"/>
        <v>F71613</v>
      </c>
      <c r="M3272" s="9"/>
      <c r="O3272" s="9"/>
    </row>
    <row r="3273" ht="15.75" customHeight="1">
      <c r="A3273" s="9" t="str">
        <f>IFERROR(__xludf.DUMMYFUNCTION("IF(B3273="""","""",RIGHT(REGEXREPLACE(B3273&amp;"""",""[^0-9]"",""""),9))"),"719538793")</f>
        <v>719538793</v>
      </c>
      <c r="B3273" s="48">
        <v>7.19538793E8</v>
      </c>
      <c r="C3273" s="10" t="s">
        <v>3281</v>
      </c>
      <c r="D3273" s="10" t="s">
        <v>120</v>
      </c>
      <c r="E3273" s="13">
        <v>46230.0</v>
      </c>
      <c r="F3273" s="10" t="s">
        <v>198</v>
      </c>
      <c r="G3273" s="10">
        <v>11.0</v>
      </c>
      <c r="I3273" s="10" t="s">
        <v>22</v>
      </c>
      <c r="J3273" s="9" t="str">
        <f t="shared" si="54"/>
        <v>No</v>
      </c>
      <c r="K3273" s="9" t="str">
        <f t="shared" si="55"/>
        <v/>
      </c>
      <c r="L3273" s="9" t="str">
        <f t="shared" si="56"/>
        <v/>
      </c>
      <c r="M3273" s="9"/>
      <c r="O3273" s="9"/>
    </row>
    <row r="3274" ht="15.75" customHeight="1">
      <c r="A3274" s="9" t="str">
        <f>IFERROR(__xludf.DUMMYFUNCTION("IF(B3274="""","""",RIGHT(REGEXREPLACE(B3274&amp;"""",""[^0-9]"",""""),9))"),"772150465")</f>
        <v>772150465</v>
      </c>
      <c r="B3274" s="10">
        <v>7.72150465E8</v>
      </c>
      <c r="C3274" s="10" t="s">
        <v>3282</v>
      </c>
      <c r="D3274" s="9"/>
      <c r="E3274" s="13">
        <v>46230.0</v>
      </c>
      <c r="F3274" s="9"/>
      <c r="G3274" s="9"/>
      <c r="H3274" s="9"/>
      <c r="I3274" s="10" t="s">
        <v>22</v>
      </c>
      <c r="J3274" s="9" t="str">
        <f t="shared" si="54"/>
        <v>No</v>
      </c>
      <c r="K3274" s="9" t="str">
        <f t="shared" si="55"/>
        <v/>
      </c>
      <c r="L3274" s="9" t="str">
        <f t="shared" si="56"/>
        <v/>
      </c>
      <c r="M3274" s="9"/>
      <c r="N3274" s="9"/>
      <c r="O3274" s="9"/>
      <c r="P3274" s="9"/>
    </row>
    <row r="3275" ht="15.75" customHeight="1">
      <c r="A3275" s="9" t="str">
        <f>IFERROR(__xludf.DUMMYFUNCTION("IF(B3275="""","""",RIGHT(REGEXREPLACE(B3275&amp;"""",""[^0-9]"",""""),9))"),"767113498")</f>
        <v>767113498</v>
      </c>
      <c r="B3275" s="48">
        <v>7.67113498E8</v>
      </c>
      <c r="C3275" s="10" t="s">
        <v>3283</v>
      </c>
      <c r="D3275" s="10" t="s">
        <v>69</v>
      </c>
      <c r="E3275" s="13">
        <v>46230.0</v>
      </c>
      <c r="F3275" s="10" t="s">
        <v>198</v>
      </c>
      <c r="G3275" s="10">
        <v>11.0</v>
      </c>
      <c r="I3275" s="10" t="s">
        <v>22</v>
      </c>
      <c r="J3275" s="9" t="str">
        <f t="shared" si="54"/>
        <v>No</v>
      </c>
      <c r="K3275" s="9" t="str">
        <f t="shared" si="55"/>
        <v/>
      </c>
      <c r="L3275" s="9" t="str">
        <f t="shared" si="56"/>
        <v/>
      </c>
      <c r="M3275" s="9"/>
      <c r="O3275" s="9"/>
    </row>
    <row r="3276" ht="15.75" customHeight="1">
      <c r="A3276" s="9" t="str">
        <f>IFERROR(__xludf.DUMMYFUNCTION("IF(B3276="""","""",RIGHT(REGEXREPLACE(B3276&amp;"""",""[^0-9]"",""""),9))"),"755384893")</f>
        <v>755384893</v>
      </c>
      <c r="B3276" s="48">
        <v>7.55384893E8</v>
      </c>
      <c r="C3276" s="10" t="s">
        <v>3284</v>
      </c>
      <c r="D3276" s="10" t="s">
        <v>105</v>
      </c>
      <c r="E3276" s="13">
        <v>46230.0</v>
      </c>
      <c r="F3276" s="9"/>
      <c r="G3276" s="9"/>
      <c r="H3276" s="9"/>
      <c r="I3276" s="10" t="s">
        <v>22</v>
      </c>
      <c r="J3276" s="9" t="str">
        <f t="shared" si="54"/>
        <v>No</v>
      </c>
      <c r="K3276" s="9" t="str">
        <f t="shared" si="55"/>
        <v/>
      </c>
      <c r="L3276" s="9" t="str">
        <f t="shared" si="56"/>
        <v/>
      </c>
      <c r="M3276" s="9"/>
      <c r="N3276" s="9"/>
      <c r="O3276" s="9"/>
      <c r="P3276" s="9"/>
    </row>
    <row r="3277" ht="15.75" customHeight="1">
      <c r="A3277" s="9" t="str">
        <f>IFERROR(__xludf.DUMMYFUNCTION("IF(B3277="""","""",RIGHT(REGEXREPLACE(B3277&amp;"""",""[^0-9]"",""""),9))"),"767518463")</f>
        <v>767518463</v>
      </c>
      <c r="B3277" s="48">
        <v>7.67518463E8</v>
      </c>
      <c r="C3277" s="10" t="s">
        <v>3285</v>
      </c>
      <c r="D3277" s="10" t="s">
        <v>97</v>
      </c>
      <c r="E3277" s="13">
        <v>46230.0</v>
      </c>
      <c r="F3277" s="10" t="s">
        <v>21</v>
      </c>
      <c r="G3277" s="10">
        <v>11.0</v>
      </c>
      <c r="I3277" s="10" t="s">
        <v>22</v>
      </c>
      <c r="J3277" s="9" t="str">
        <f t="shared" si="54"/>
        <v>No</v>
      </c>
      <c r="K3277" s="9" t="str">
        <f t="shared" si="55"/>
        <v/>
      </c>
      <c r="L3277" s="9" t="str">
        <f t="shared" si="56"/>
        <v/>
      </c>
      <c r="M3277" s="9"/>
      <c r="O3277" s="9"/>
    </row>
    <row r="3278" ht="15.75" customHeight="1">
      <c r="A3278" s="9" t="str">
        <f>IFERROR(__xludf.DUMMYFUNCTION("IF(B3278="""","""",RIGHT(REGEXREPLACE(B3278&amp;"""",""[^0-9]"",""""),9))"),"778027905")</f>
        <v>778027905</v>
      </c>
      <c r="B3278" s="48">
        <v>7.78027905E8</v>
      </c>
      <c r="C3278" s="10" t="s">
        <v>3286</v>
      </c>
      <c r="D3278" s="10" t="s">
        <v>120</v>
      </c>
      <c r="E3278" s="13">
        <v>46230.0</v>
      </c>
      <c r="F3278" s="10" t="s">
        <v>35</v>
      </c>
      <c r="G3278" s="10">
        <v>11.0</v>
      </c>
      <c r="I3278" s="10" t="s">
        <v>22</v>
      </c>
      <c r="J3278" s="9" t="str">
        <f t="shared" si="54"/>
        <v>No</v>
      </c>
      <c r="K3278" s="9" t="str">
        <f t="shared" si="55"/>
        <v/>
      </c>
      <c r="L3278" s="9" t="str">
        <f t="shared" si="56"/>
        <v/>
      </c>
      <c r="M3278" s="9"/>
      <c r="O3278" s="9"/>
    </row>
    <row r="3279" ht="15.75" customHeight="1">
      <c r="A3279" s="9" t="str">
        <f>IFERROR(__xludf.DUMMYFUNCTION("IF(B3279="""","""",RIGHT(REGEXREPLACE(B3279&amp;"""",""[^0-9]"",""""),9))"),"728084584")</f>
        <v>728084584</v>
      </c>
      <c r="B3279" s="48">
        <v>7.28084584E8</v>
      </c>
      <c r="C3279" s="10" t="s">
        <v>3287</v>
      </c>
      <c r="D3279" s="10" t="s">
        <v>34</v>
      </c>
      <c r="E3279" s="13">
        <v>46230.0</v>
      </c>
      <c r="F3279" s="10" t="s">
        <v>35</v>
      </c>
      <c r="G3279" s="10">
        <v>11.0</v>
      </c>
      <c r="I3279" s="10" t="s">
        <v>22</v>
      </c>
      <c r="J3279" s="9" t="str">
        <f t="shared" si="54"/>
        <v>No</v>
      </c>
      <c r="K3279" s="9" t="str">
        <f t="shared" si="55"/>
        <v/>
      </c>
      <c r="L3279" s="9" t="str">
        <f t="shared" si="56"/>
        <v/>
      </c>
      <c r="M3279" s="9"/>
      <c r="O3279" s="9"/>
    </row>
    <row r="3280" ht="15.75" customHeight="1">
      <c r="A3280" s="9" t="str">
        <f>IFERROR(__xludf.DUMMYFUNCTION("IF(B3280="""","""",RIGHT(REGEXREPLACE(B3280&amp;"""",""[^0-9]"",""""),9))"),"778915594")</f>
        <v>778915594</v>
      </c>
      <c r="B3280" s="48">
        <v>7.78915594E8</v>
      </c>
      <c r="C3280" s="10" t="s">
        <v>3288</v>
      </c>
      <c r="D3280" s="10" t="s">
        <v>69</v>
      </c>
      <c r="E3280" s="13">
        <v>46230.0</v>
      </c>
      <c r="F3280" s="10" t="s">
        <v>35</v>
      </c>
      <c r="G3280" s="10">
        <v>11.0</v>
      </c>
      <c r="I3280" s="10" t="s">
        <v>22</v>
      </c>
      <c r="J3280" s="9" t="str">
        <f t="shared" si="54"/>
        <v>No</v>
      </c>
      <c r="K3280" s="9" t="str">
        <f t="shared" si="55"/>
        <v/>
      </c>
      <c r="L3280" s="9" t="str">
        <f t="shared" si="56"/>
        <v/>
      </c>
      <c r="M3280" s="9"/>
      <c r="O3280" s="9"/>
    </row>
    <row r="3281" ht="15.75" customHeight="1">
      <c r="A3281" s="9" t="str">
        <f>IFERROR(__xludf.DUMMYFUNCTION("IF(B3281="""","""",RIGHT(REGEXREPLACE(B3281&amp;"""",""[^0-9]"",""""),9))"),"763905833")</f>
        <v>763905833</v>
      </c>
      <c r="B3281" s="48">
        <v>7.63905833E8</v>
      </c>
      <c r="C3281" s="10" t="s">
        <v>3289</v>
      </c>
      <c r="D3281" s="10" t="s">
        <v>50</v>
      </c>
      <c r="E3281" s="13">
        <v>46230.0</v>
      </c>
      <c r="F3281" s="10" t="s">
        <v>21</v>
      </c>
      <c r="I3281" s="10" t="s">
        <v>22</v>
      </c>
      <c r="J3281" s="9" t="str">
        <f t="shared" si="54"/>
        <v>No</v>
      </c>
      <c r="K3281" s="9" t="str">
        <f t="shared" si="55"/>
        <v/>
      </c>
      <c r="L3281" s="9" t="str">
        <f t="shared" si="56"/>
        <v/>
      </c>
      <c r="M3281" s="9"/>
      <c r="O3281" s="9"/>
    </row>
    <row r="3282" ht="15.75" customHeight="1">
      <c r="A3282" s="9" t="str">
        <f>IFERROR(__xludf.DUMMYFUNCTION("IF(B3282="""","""",RIGHT(REGEXREPLACE(B3282&amp;"""",""[^0-9]"",""""),9))"),"705146804")</f>
        <v>705146804</v>
      </c>
      <c r="B3282" s="48">
        <v>7.05146804E8</v>
      </c>
      <c r="C3282" s="10" t="s">
        <v>3290</v>
      </c>
      <c r="D3282" s="10" t="s">
        <v>97</v>
      </c>
      <c r="E3282" s="13">
        <v>46230.0</v>
      </c>
      <c r="F3282" s="10" t="s">
        <v>35</v>
      </c>
      <c r="G3282" s="10">
        <v>11.0</v>
      </c>
      <c r="I3282" s="10" t="s">
        <v>22</v>
      </c>
      <c r="J3282" s="9" t="str">
        <f t="shared" si="54"/>
        <v>No</v>
      </c>
      <c r="K3282" s="9" t="str">
        <f t="shared" si="55"/>
        <v/>
      </c>
      <c r="L3282" s="9" t="str">
        <f t="shared" si="56"/>
        <v/>
      </c>
      <c r="M3282" s="9"/>
      <c r="O3282" s="9"/>
    </row>
    <row r="3283" ht="15.75" customHeight="1">
      <c r="A3283" s="9" t="str">
        <f>IFERROR(__xludf.DUMMYFUNCTION("IF(B3283="""","""",RIGHT(REGEXREPLACE(B3283&amp;"""",""[^0-9]"",""""),9))"),"773876908")</f>
        <v>773876908</v>
      </c>
      <c r="B3283" s="48">
        <v>7.73876908E8</v>
      </c>
      <c r="C3283" s="10" t="s">
        <v>3291</v>
      </c>
      <c r="D3283" s="10" t="s">
        <v>69</v>
      </c>
      <c r="E3283" s="13">
        <v>46230.0</v>
      </c>
      <c r="F3283" s="10" t="s">
        <v>21</v>
      </c>
      <c r="G3283" s="10">
        <v>11.0</v>
      </c>
      <c r="I3283" s="10" t="s">
        <v>22</v>
      </c>
      <c r="J3283" s="9" t="str">
        <f t="shared" si="54"/>
        <v>No</v>
      </c>
      <c r="K3283" s="9" t="str">
        <f t="shared" si="55"/>
        <v/>
      </c>
      <c r="L3283" s="9" t="str">
        <f t="shared" si="56"/>
        <v/>
      </c>
      <c r="M3283" s="9"/>
      <c r="O3283" s="9"/>
    </row>
    <row r="3284" ht="15.75" customHeight="1">
      <c r="A3284" s="9" t="str">
        <f>IFERROR(__xludf.DUMMYFUNCTION("IF(B3284="""","""",RIGHT(REGEXREPLACE(B3284&amp;"""",""[^0-9]"",""""),9))"),"719209024")</f>
        <v>719209024</v>
      </c>
      <c r="B3284" s="48">
        <v>7.19209024E8</v>
      </c>
      <c r="C3284" s="10" t="s">
        <v>3292</v>
      </c>
      <c r="D3284" s="10" t="s">
        <v>120</v>
      </c>
      <c r="E3284" s="13">
        <v>46230.0</v>
      </c>
      <c r="F3284" s="10" t="s">
        <v>648</v>
      </c>
      <c r="I3284" s="10" t="s">
        <v>22</v>
      </c>
      <c r="J3284" s="9" t="str">
        <f t="shared" si="54"/>
        <v>No</v>
      </c>
      <c r="K3284" s="9" t="str">
        <f t="shared" si="55"/>
        <v/>
      </c>
      <c r="L3284" s="9" t="str">
        <f t="shared" si="56"/>
        <v/>
      </c>
      <c r="M3284" s="9"/>
      <c r="O3284" s="9"/>
    </row>
    <row r="3285" ht="15.75" customHeight="1">
      <c r="A3285" s="9" t="str">
        <f>IFERROR(__xludf.DUMMYFUNCTION("IF(B3285="""","""",RIGHT(REGEXREPLACE(B3285&amp;"""",""[^0-9]"",""""),9))"),"770656885")</f>
        <v>770656885</v>
      </c>
      <c r="B3285" s="48">
        <v>7.70656885E8</v>
      </c>
      <c r="C3285" s="10" t="s">
        <v>3293</v>
      </c>
      <c r="D3285" s="10" t="s">
        <v>34</v>
      </c>
      <c r="E3285" s="13">
        <v>46230.0</v>
      </c>
      <c r="F3285" s="10" t="s">
        <v>35</v>
      </c>
      <c r="G3285" s="10">
        <v>11.0</v>
      </c>
      <c r="I3285" s="10" t="s">
        <v>22</v>
      </c>
      <c r="J3285" s="9" t="str">
        <f t="shared" si="54"/>
        <v>No</v>
      </c>
      <c r="K3285" s="9" t="str">
        <f t="shared" si="55"/>
        <v/>
      </c>
      <c r="L3285" s="9" t="str">
        <f t="shared" si="56"/>
        <v/>
      </c>
      <c r="M3285" s="9"/>
      <c r="O3285" s="9"/>
    </row>
    <row r="3286" ht="15.75" customHeight="1">
      <c r="A3286" s="9" t="str">
        <f>IFERROR(__xludf.DUMMYFUNCTION("IF(B3286="""","""",RIGHT(REGEXREPLACE(B3286&amp;"""",""[^0-9]"",""""),9))"),"788609397")</f>
        <v>788609397</v>
      </c>
      <c r="B3286" s="48">
        <v>7.88609397E8</v>
      </c>
      <c r="C3286" s="10" t="s">
        <v>3294</v>
      </c>
      <c r="D3286" s="10" t="s">
        <v>50</v>
      </c>
      <c r="E3286" s="13">
        <v>46230.0</v>
      </c>
      <c r="F3286" s="10" t="s">
        <v>198</v>
      </c>
      <c r="I3286" s="10" t="s">
        <v>22</v>
      </c>
      <c r="J3286" s="9" t="str">
        <f t="shared" si="54"/>
        <v>No</v>
      </c>
      <c r="K3286" s="9" t="str">
        <f t="shared" si="55"/>
        <v/>
      </c>
      <c r="L3286" s="9" t="str">
        <f t="shared" si="56"/>
        <v/>
      </c>
      <c r="M3286" s="9"/>
      <c r="O3286" s="9"/>
    </row>
    <row r="3287" ht="15.75" customHeight="1">
      <c r="A3287" s="9" t="str">
        <f>IFERROR(__xludf.DUMMYFUNCTION("IF(B3287="""","""",RIGHT(REGEXREPLACE(B3287&amp;"""",""[^0-9]"",""""),9))"),"741170651")</f>
        <v>741170651</v>
      </c>
      <c r="B3287" s="48">
        <v>7.41170651E8</v>
      </c>
      <c r="C3287" s="10" t="s">
        <v>3295</v>
      </c>
      <c r="D3287" s="10" t="s">
        <v>97</v>
      </c>
      <c r="E3287" s="13">
        <v>46230.0</v>
      </c>
      <c r="F3287" s="10" t="s">
        <v>35</v>
      </c>
      <c r="G3287" s="10">
        <v>11.0</v>
      </c>
      <c r="I3287" s="10" t="s">
        <v>22</v>
      </c>
      <c r="J3287" s="9" t="str">
        <f t="shared" si="54"/>
        <v>No</v>
      </c>
      <c r="K3287" s="9" t="str">
        <f t="shared" si="55"/>
        <v/>
      </c>
      <c r="L3287" s="9" t="str">
        <f t="shared" si="56"/>
        <v/>
      </c>
      <c r="M3287" s="9"/>
      <c r="O3287" s="9"/>
    </row>
    <row r="3288" ht="15.75" customHeight="1">
      <c r="A3288" s="9" t="str">
        <f>IFERROR(__xludf.DUMMYFUNCTION("IF(B3288="""","""",RIGHT(REGEXREPLACE(B3288&amp;"""",""[^0-9]"",""""),9))"),"711974066")</f>
        <v>711974066</v>
      </c>
      <c r="B3288" s="48">
        <v>7.11974066E8</v>
      </c>
      <c r="C3288" s="10" t="s">
        <v>3296</v>
      </c>
      <c r="D3288" s="10" t="s">
        <v>50</v>
      </c>
      <c r="E3288" s="13">
        <v>46230.0</v>
      </c>
      <c r="F3288" s="10" t="s">
        <v>35</v>
      </c>
      <c r="G3288" s="10">
        <v>11.0</v>
      </c>
      <c r="I3288" s="10" t="s">
        <v>22</v>
      </c>
      <c r="J3288" s="9" t="str">
        <f t="shared" si="54"/>
        <v>No</v>
      </c>
      <c r="K3288" s="9" t="str">
        <f t="shared" si="55"/>
        <v/>
      </c>
      <c r="L3288" s="9" t="str">
        <f t="shared" si="56"/>
        <v/>
      </c>
      <c r="M3288" s="9"/>
      <c r="O3288" s="9"/>
    </row>
    <row r="3289" ht="15.75" customHeight="1">
      <c r="A3289" s="9" t="str">
        <f>IFERROR(__xludf.DUMMYFUNCTION("IF(B3289="""","""",RIGHT(REGEXREPLACE(B3289&amp;"""",""[^0-9]"",""""),9))"),"775447688")</f>
        <v>775447688</v>
      </c>
      <c r="B3289" s="48">
        <v>7.75447688E8</v>
      </c>
      <c r="C3289" s="10" t="s">
        <v>3297</v>
      </c>
      <c r="D3289" s="10" t="s">
        <v>69</v>
      </c>
      <c r="E3289" s="13">
        <v>46230.0</v>
      </c>
      <c r="F3289" s="10" t="s">
        <v>35</v>
      </c>
      <c r="G3289" s="10">
        <v>11.0</v>
      </c>
      <c r="I3289" s="10" t="s">
        <v>22</v>
      </c>
      <c r="J3289" s="9" t="str">
        <f t="shared" si="54"/>
        <v>No</v>
      </c>
      <c r="K3289" s="9" t="str">
        <f t="shared" si="55"/>
        <v/>
      </c>
      <c r="L3289" s="9" t="str">
        <f t="shared" si="56"/>
        <v/>
      </c>
      <c r="M3289" s="9"/>
      <c r="O3289" s="9"/>
    </row>
    <row r="3290" ht="15.75" customHeight="1">
      <c r="A3290" s="9" t="str">
        <f>IFERROR(__xludf.DUMMYFUNCTION("IF(B3290="""","""",RIGHT(REGEXREPLACE(B3290&amp;"""",""[^0-9]"",""""),9))"),"772666253")</f>
        <v>772666253</v>
      </c>
      <c r="B3290" s="48">
        <v>7.72666253E8</v>
      </c>
      <c r="C3290" s="10" t="s">
        <v>3298</v>
      </c>
      <c r="D3290" s="10" t="s">
        <v>120</v>
      </c>
      <c r="E3290" s="13">
        <v>46230.0</v>
      </c>
      <c r="F3290" s="10" t="s">
        <v>21</v>
      </c>
      <c r="I3290" s="10" t="s">
        <v>22</v>
      </c>
      <c r="J3290" s="9" t="str">
        <f t="shared" si="54"/>
        <v>No</v>
      </c>
      <c r="K3290" s="9" t="str">
        <f t="shared" si="55"/>
        <v/>
      </c>
      <c r="L3290" s="9" t="str">
        <f t="shared" si="56"/>
        <v/>
      </c>
      <c r="M3290" s="9"/>
      <c r="O3290" s="9"/>
    </row>
    <row r="3291" ht="15.75" customHeight="1">
      <c r="A3291" s="9" t="str">
        <f>IFERROR(__xludf.DUMMYFUNCTION("IF(B3291="""","""",RIGHT(REGEXREPLACE(B3291&amp;"""",""[^0-9]"",""""),9))"),"762817965")</f>
        <v>762817965</v>
      </c>
      <c r="B3291" s="48">
        <v>7.62817965E8</v>
      </c>
      <c r="C3291" s="10" t="s">
        <v>3299</v>
      </c>
      <c r="D3291" s="10" t="s">
        <v>97</v>
      </c>
      <c r="E3291" s="13">
        <v>46230.0</v>
      </c>
      <c r="F3291" s="10" t="s">
        <v>35</v>
      </c>
      <c r="G3291" s="10">
        <v>10.0</v>
      </c>
      <c r="I3291" s="10" t="s">
        <v>22</v>
      </c>
      <c r="J3291" s="9" t="str">
        <f t="shared" si="54"/>
        <v>No</v>
      </c>
      <c r="K3291" s="9" t="str">
        <f t="shared" si="55"/>
        <v/>
      </c>
      <c r="L3291" s="9" t="str">
        <f t="shared" si="56"/>
        <v/>
      </c>
      <c r="M3291" s="9"/>
      <c r="O3291" s="9"/>
    </row>
    <row r="3292" ht="15.75" customHeight="1">
      <c r="A3292" s="9" t="str">
        <f>IFERROR(__xludf.DUMMYFUNCTION("IF(B3292="""","""",RIGHT(REGEXREPLACE(B3292&amp;"""",""[^0-9]"",""""),9))"),"762992258")</f>
        <v>762992258</v>
      </c>
      <c r="B3292" s="48">
        <v>7.62992258E8</v>
      </c>
      <c r="C3292" s="10" t="s">
        <v>3300</v>
      </c>
      <c r="D3292" s="10" t="s">
        <v>69</v>
      </c>
      <c r="E3292" s="13">
        <v>46230.0</v>
      </c>
      <c r="F3292" s="10" t="s">
        <v>35</v>
      </c>
      <c r="G3292" s="10">
        <v>11.0</v>
      </c>
      <c r="I3292" s="10" t="s">
        <v>22</v>
      </c>
      <c r="J3292" s="9" t="str">
        <f t="shared" si="54"/>
        <v>No</v>
      </c>
      <c r="K3292" s="9" t="str">
        <f t="shared" si="55"/>
        <v/>
      </c>
      <c r="L3292" s="9" t="str">
        <f t="shared" si="56"/>
        <v/>
      </c>
      <c r="M3292" s="9"/>
      <c r="O3292" s="9"/>
    </row>
    <row r="3293" ht="15.75" customHeight="1">
      <c r="A3293" s="9" t="str">
        <f>IFERROR(__xludf.DUMMYFUNCTION("IF(B3293="""","""",RIGHT(REGEXREPLACE(B3293&amp;"""",""[^0-9]"",""""),9))"),"743924758")</f>
        <v>743924758</v>
      </c>
      <c r="B3293" s="48">
        <v>7.43924758E8</v>
      </c>
      <c r="C3293" s="10" t="s">
        <v>3301</v>
      </c>
      <c r="D3293" s="10" t="s">
        <v>50</v>
      </c>
      <c r="E3293" s="13">
        <v>46230.0</v>
      </c>
      <c r="F3293" s="10" t="s">
        <v>35</v>
      </c>
      <c r="G3293" s="10">
        <v>11.0</v>
      </c>
      <c r="I3293" s="10" t="s">
        <v>22</v>
      </c>
      <c r="J3293" s="9" t="str">
        <f t="shared" si="54"/>
        <v>No</v>
      </c>
      <c r="K3293" s="9" t="str">
        <f t="shared" si="55"/>
        <v/>
      </c>
      <c r="L3293" s="9" t="str">
        <f t="shared" si="56"/>
        <v/>
      </c>
      <c r="M3293" s="9"/>
      <c r="O3293" s="9"/>
    </row>
    <row r="3294" ht="15.75" customHeight="1">
      <c r="A3294" s="9" t="str">
        <f>IFERROR(__xludf.DUMMYFUNCTION("IF(B3294="""","""",RIGHT(REGEXREPLACE(B3294&amp;"""",""[^0-9]"",""""),9))"),"772202518")</f>
        <v>772202518</v>
      </c>
      <c r="B3294" s="48">
        <v>7.72202518E8</v>
      </c>
      <c r="C3294" s="10" t="s">
        <v>3302</v>
      </c>
      <c r="D3294" s="10" t="s">
        <v>34</v>
      </c>
      <c r="E3294" s="13">
        <v>46230.0</v>
      </c>
      <c r="F3294" s="10" t="s">
        <v>604</v>
      </c>
      <c r="I3294" s="10" t="s">
        <v>22</v>
      </c>
      <c r="J3294" s="9" t="str">
        <f t="shared" si="54"/>
        <v>No</v>
      </c>
      <c r="K3294" s="9" t="str">
        <f t="shared" si="55"/>
        <v/>
      </c>
      <c r="L3294" s="9" t="str">
        <f t="shared" si="56"/>
        <v/>
      </c>
      <c r="M3294" s="9"/>
      <c r="O3294" s="9"/>
    </row>
    <row r="3295" ht="15.75" customHeight="1">
      <c r="A3295" s="9" t="str">
        <f>IFERROR(__xludf.DUMMYFUNCTION("IF(B3295="""","""",RIGHT(REGEXREPLACE(B3295&amp;"""",""[^0-9]"",""""),9))"),"774327917")</f>
        <v>774327917</v>
      </c>
      <c r="B3295" s="48">
        <v>7.74327917E8</v>
      </c>
      <c r="C3295" s="10" t="s">
        <v>3303</v>
      </c>
      <c r="D3295" s="10" t="s">
        <v>34</v>
      </c>
      <c r="E3295" s="13">
        <v>46230.0</v>
      </c>
      <c r="F3295" s="10" t="s">
        <v>35</v>
      </c>
      <c r="G3295" s="10">
        <v>11.0</v>
      </c>
      <c r="I3295" s="10" t="s">
        <v>22</v>
      </c>
      <c r="J3295" s="9" t="str">
        <f t="shared" si="54"/>
        <v>No</v>
      </c>
      <c r="K3295" s="9" t="str">
        <f t="shared" si="55"/>
        <v/>
      </c>
      <c r="L3295" s="9" t="str">
        <f t="shared" si="56"/>
        <v/>
      </c>
      <c r="M3295" s="9"/>
      <c r="O3295" s="9"/>
    </row>
    <row r="3296" ht="15.75" customHeight="1">
      <c r="A3296" s="9" t="str">
        <f>IFERROR(__xludf.DUMMYFUNCTION("IF(B3296="""","""",RIGHT(REGEXREPLACE(B3296&amp;"""",""[^0-9]"",""""),9))"),"711953235")</f>
        <v>711953235</v>
      </c>
      <c r="B3296" s="48">
        <v>7.11953235E8</v>
      </c>
      <c r="C3296" s="10" t="s">
        <v>3304</v>
      </c>
      <c r="D3296" s="10" t="s">
        <v>120</v>
      </c>
      <c r="E3296" s="13">
        <v>46230.0</v>
      </c>
      <c r="F3296" s="9"/>
      <c r="G3296" s="9"/>
      <c r="H3296" s="9"/>
      <c r="I3296" s="10" t="s">
        <v>22</v>
      </c>
      <c r="J3296" s="9" t="str">
        <f t="shared" si="54"/>
        <v>No</v>
      </c>
      <c r="K3296" s="9" t="str">
        <f t="shared" si="55"/>
        <v/>
      </c>
      <c r="L3296" s="9" t="str">
        <f t="shared" si="56"/>
        <v/>
      </c>
      <c r="M3296" s="9"/>
      <c r="N3296" s="9"/>
      <c r="O3296" s="9"/>
      <c r="P3296" s="9"/>
    </row>
    <row r="3297" ht="15.75" customHeight="1">
      <c r="A3297" s="9" t="str">
        <f>IFERROR(__xludf.DUMMYFUNCTION("IF(B3297="""","""",RIGHT(REGEXREPLACE(B3297&amp;"""",""[^0-9]"",""""),9))"),"781966009")</f>
        <v>781966009</v>
      </c>
      <c r="B3297" s="48">
        <v>7.81966009E8</v>
      </c>
      <c r="C3297" s="10" t="s">
        <v>3305</v>
      </c>
      <c r="D3297" s="10" t="s">
        <v>97</v>
      </c>
      <c r="E3297" s="13">
        <v>46230.0</v>
      </c>
      <c r="F3297" s="10" t="s">
        <v>21</v>
      </c>
      <c r="I3297" s="10" t="s">
        <v>22</v>
      </c>
      <c r="J3297" s="9" t="str">
        <f t="shared" si="54"/>
        <v>No</v>
      </c>
      <c r="K3297" s="9" t="str">
        <f t="shared" si="55"/>
        <v/>
      </c>
      <c r="L3297" s="9" t="str">
        <f t="shared" si="56"/>
        <v/>
      </c>
      <c r="M3297" s="9"/>
      <c r="O3297" s="9"/>
    </row>
    <row r="3298" ht="15.75" customHeight="1">
      <c r="A3298" s="9" t="str">
        <f>IFERROR(__xludf.DUMMYFUNCTION("IF(B3298="""","""",RIGHT(REGEXREPLACE(B3298&amp;"""",""[^0-9]"",""""),9))"),"777358838")</f>
        <v>777358838</v>
      </c>
      <c r="B3298" s="48">
        <v>7.77358838E8</v>
      </c>
      <c r="C3298" s="10" t="s">
        <v>3306</v>
      </c>
      <c r="D3298" s="10" t="s">
        <v>50</v>
      </c>
      <c r="E3298" s="13">
        <v>46230.0</v>
      </c>
      <c r="F3298" s="10" t="s">
        <v>21</v>
      </c>
      <c r="I3298" s="10" t="s">
        <v>22</v>
      </c>
      <c r="J3298" s="9" t="str">
        <f t="shared" si="54"/>
        <v>No</v>
      </c>
      <c r="K3298" s="9" t="str">
        <f t="shared" si="55"/>
        <v/>
      </c>
      <c r="L3298" s="9" t="str">
        <f t="shared" si="56"/>
        <v/>
      </c>
      <c r="M3298" s="9"/>
      <c r="O3298" s="9"/>
    </row>
    <row r="3299" ht="15.75" customHeight="1">
      <c r="A3299" s="9" t="str">
        <f>IFERROR(__xludf.DUMMYFUNCTION("IF(B3299="""","""",RIGHT(REGEXREPLACE(B3299&amp;"""",""[^0-9]"",""""),9))"),"775697363")</f>
        <v>775697363</v>
      </c>
      <c r="B3299" s="48">
        <v>7.75697363E8</v>
      </c>
      <c r="C3299" s="10" t="s">
        <v>1829</v>
      </c>
      <c r="D3299" s="10" t="s">
        <v>97</v>
      </c>
      <c r="E3299" s="13">
        <v>46230.0</v>
      </c>
      <c r="F3299" s="10" t="s">
        <v>21</v>
      </c>
      <c r="G3299" s="10">
        <v>11.0</v>
      </c>
      <c r="I3299" s="10" t="s">
        <v>22</v>
      </c>
      <c r="J3299" s="9" t="str">
        <f t="shared" si="54"/>
        <v>Yes - see Previous F-Code</v>
      </c>
      <c r="K3299" s="9" t="str">
        <f t="shared" si="55"/>
        <v>DUPLICATE - CHECK</v>
      </c>
      <c r="L3299" s="9" t="str">
        <f t="shared" si="56"/>
        <v>F71613</v>
      </c>
      <c r="M3299" s="9"/>
      <c r="O3299" s="9"/>
    </row>
    <row r="3300" ht="15.75" customHeight="1">
      <c r="A3300" s="9" t="str">
        <f>IFERROR(__xludf.DUMMYFUNCTION("IF(B3300="""","""",RIGHT(REGEXREPLACE(B3300&amp;"""",""[^0-9]"",""""),9))"),"773638642")</f>
        <v>773638642</v>
      </c>
      <c r="B3300" s="48">
        <v>7.73638642E8</v>
      </c>
      <c r="C3300" s="10" t="s">
        <v>3307</v>
      </c>
      <c r="D3300" s="10" t="s">
        <v>69</v>
      </c>
      <c r="E3300" s="13">
        <v>46230.0</v>
      </c>
      <c r="F3300" s="10" t="s">
        <v>35</v>
      </c>
      <c r="G3300" s="10">
        <v>11.0</v>
      </c>
      <c r="I3300" s="10" t="s">
        <v>22</v>
      </c>
      <c r="J3300" s="9" t="str">
        <f t="shared" si="54"/>
        <v>No</v>
      </c>
      <c r="K3300" s="9" t="str">
        <f t="shared" si="55"/>
        <v/>
      </c>
      <c r="L3300" s="9" t="str">
        <f t="shared" si="56"/>
        <v/>
      </c>
      <c r="M3300" s="9"/>
      <c r="O3300" s="9"/>
    </row>
    <row r="3301" ht="15.75" customHeight="1">
      <c r="A3301" s="9" t="str">
        <f>IFERROR(__xludf.DUMMYFUNCTION("IF(B3301="""","""",RIGHT(REGEXREPLACE(B3301&amp;"""",""[^0-9]"",""""),9))"),"717362797")</f>
        <v>717362797</v>
      </c>
      <c r="B3301" s="48">
        <v>7.17362797E8</v>
      </c>
      <c r="C3301" s="10" t="s">
        <v>3308</v>
      </c>
      <c r="D3301" s="10" t="s">
        <v>50</v>
      </c>
      <c r="E3301" s="13">
        <v>46230.0</v>
      </c>
      <c r="F3301" s="10" t="s">
        <v>35</v>
      </c>
      <c r="G3301" s="10">
        <v>11.0</v>
      </c>
      <c r="I3301" s="10" t="s">
        <v>22</v>
      </c>
      <c r="J3301" s="9" t="str">
        <f t="shared" si="54"/>
        <v>No</v>
      </c>
      <c r="K3301" s="9" t="str">
        <f t="shared" si="55"/>
        <v/>
      </c>
      <c r="L3301" s="9" t="str">
        <f t="shared" si="56"/>
        <v/>
      </c>
      <c r="M3301" s="9"/>
      <c r="O3301" s="9"/>
    </row>
    <row r="3302" ht="15.75" customHeight="1">
      <c r="A3302" s="9" t="str">
        <f>IFERROR(__xludf.DUMMYFUNCTION("IF(B3302="""","""",RIGHT(REGEXREPLACE(B3302&amp;"""",""[^0-9]"",""""),9))"),"779646998")</f>
        <v>779646998</v>
      </c>
      <c r="B3302" s="48">
        <v>7.79646998E8</v>
      </c>
      <c r="C3302" s="10" t="s">
        <v>3309</v>
      </c>
      <c r="D3302" s="10" t="s">
        <v>120</v>
      </c>
      <c r="E3302" s="13">
        <v>46230.0</v>
      </c>
      <c r="F3302" s="10" t="s">
        <v>21</v>
      </c>
      <c r="I3302" s="10" t="s">
        <v>22</v>
      </c>
      <c r="J3302" s="9" t="str">
        <f t="shared" si="54"/>
        <v>No</v>
      </c>
      <c r="K3302" s="9" t="str">
        <f t="shared" si="55"/>
        <v/>
      </c>
      <c r="L3302" s="9" t="str">
        <f t="shared" si="56"/>
        <v/>
      </c>
      <c r="M3302" s="9"/>
      <c r="O3302" s="9"/>
    </row>
    <row r="3303" ht="15.75" customHeight="1">
      <c r="A3303" s="9" t="str">
        <f>IFERROR(__xludf.DUMMYFUNCTION("IF(B3303="""","""",RIGHT(REGEXREPLACE(B3303&amp;"""",""[^0-9]"",""""),9))"),"778455685")</f>
        <v>778455685</v>
      </c>
      <c r="B3303" s="48">
        <v>7.78455685E8</v>
      </c>
      <c r="C3303" s="10" t="s">
        <v>3310</v>
      </c>
      <c r="D3303" s="10" t="s">
        <v>120</v>
      </c>
      <c r="E3303" s="13">
        <v>46230.0</v>
      </c>
      <c r="F3303" s="10" t="s">
        <v>604</v>
      </c>
      <c r="I3303" s="10" t="s">
        <v>22</v>
      </c>
      <c r="J3303" s="9" t="str">
        <f t="shared" si="54"/>
        <v>No</v>
      </c>
      <c r="K3303" s="9" t="str">
        <f t="shared" si="55"/>
        <v/>
      </c>
      <c r="L3303" s="9" t="str">
        <f t="shared" si="56"/>
        <v/>
      </c>
      <c r="M3303" s="9"/>
      <c r="O3303" s="9"/>
    </row>
    <row r="3304" ht="15.75" customHeight="1">
      <c r="A3304" s="9" t="str">
        <f>IFERROR(__xludf.DUMMYFUNCTION("IF(B3304="""","""",RIGHT(REGEXREPLACE(B3304&amp;"""",""[^0-9]"",""""),9))"),"714296767")</f>
        <v>714296767</v>
      </c>
      <c r="B3304" s="48">
        <v>7.14296767E8</v>
      </c>
      <c r="C3304" s="10" t="s">
        <v>3311</v>
      </c>
      <c r="D3304" s="10" t="s">
        <v>97</v>
      </c>
      <c r="E3304" s="13">
        <v>46230.0</v>
      </c>
      <c r="F3304" s="10" t="s">
        <v>604</v>
      </c>
      <c r="I3304" s="10" t="s">
        <v>22</v>
      </c>
      <c r="J3304" s="9" t="str">
        <f t="shared" si="54"/>
        <v>No</v>
      </c>
      <c r="K3304" s="9" t="str">
        <f t="shared" si="55"/>
        <v/>
      </c>
      <c r="L3304" s="9" t="str">
        <f t="shared" si="56"/>
        <v/>
      </c>
      <c r="M3304" s="9"/>
      <c r="O3304" s="9"/>
    </row>
    <row r="3305" ht="15.75" customHeight="1">
      <c r="A3305" s="9" t="str">
        <f>IFERROR(__xludf.DUMMYFUNCTION("IF(B3305="""","""",RIGHT(REGEXREPLACE(B3305&amp;"""",""[^0-9]"",""""),9))"),"766392330")</f>
        <v>766392330</v>
      </c>
      <c r="B3305" s="48">
        <v>7.6639233E8</v>
      </c>
      <c r="C3305" s="10" t="s">
        <v>3312</v>
      </c>
      <c r="D3305" s="10" t="s">
        <v>120</v>
      </c>
      <c r="E3305" s="13">
        <v>46230.0</v>
      </c>
      <c r="F3305" s="10" t="s">
        <v>648</v>
      </c>
      <c r="I3305" s="10" t="s">
        <v>22</v>
      </c>
      <c r="J3305" s="9" t="str">
        <f t="shared" si="54"/>
        <v>No</v>
      </c>
      <c r="K3305" s="9" t="str">
        <f t="shared" si="55"/>
        <v/>
      </c>
      <c r="L3305" s="9" t="str">
        <f t="shared" si="56"/>
        <v/>
      </c>
      <c r="M3305" s="9"/>
      <c r="O3305" s="9"/>
    </row>
    <row r="3306" ht="15.75" customHeight="1">
      <c r="A3306" s="9" t="str">
        <f>IFERROR(__xludf.DUMMYFUNCTION("IF(B3306="""","""",RIGHT(REGEXREPLACE(B3306&amp;"""",""[^0-9]"",""""),9))"),"705193947")</f>
        <v>705193947</v>
      </c>
      <c r="B3306" s="48">
        <v>7.05193947E8</v>
      </c>
      <c r="C3306" s="10" t="s">
        <v>3313</v>
      </c>
      <c r="D3306" s="10" t="s">
        <v>69</v>
      </c>
      <c r="E3306" s="13">
        <v>46230.0</v>
      </c>
      <c r="F3306" s="10" t="s">
        <v>198</v>
      </c>
      <c r="G3306" s="10">
        <v>11.0</v>
      </c>
      <c r="I3306" s="10" t="s">
        <v>22</v>
      </c>
      <c r="J3306" s="9" t="str">
        <f t="shared" si="54"/>
        <v>No</v>
      </c>
      <c r="K3306" s="9" t="str">
        <f t="shared" si="55"/>
        <v/>
      </c>
      <c r="L3306" s="9" t="str">
        <f t="shared" si="56"/>
        <v/>
      </c>
      <c r="M3306" s="9"/>
      <c r="O3306" s="9"/>
    </row>
    <row r="3307" ht="15.75" customHeight="1">
      <c r="A3307" s="9" t="str">
        <f>IFERROR(__xludf.DUMMYFUNCTION("IF(B3307="""","""",RIGHT(REGEXREPLACE(B3307&amp;"""",""[^0-9]"",""""),9))"),"773421430")</f>
        <v>773421430</v>
      </c>
      <c r="B3307" s="48">
        <v>7.7342143E8</v>
      </c>
      <c r="C3307" s="10" t="s">
        <v>3314</v>
      </c>
      <c r="D3307" s="10" t="s">
        <v>50</v>
      </c>
      <c r="E3307" s="13">
        <v>46230.0</v>
      </c>
      <c r="F3307" s="10" t="s">
        <v>35</v>
      </c>
      <c r="G3307" s="10">
        <v>11.0</v>
      </c>
      <c r="I3307" s="10" t="s">
        <v>22</v>
      </c>
      <c r="J3307" s="9" t="str">
        <f t="shared" si="54"/>
        <v>No</v>
      </c>
      <c r="K3307" s="9" t="str">
        <f t="shared" si="55"/>
        <v/>
      </c>
      <c r="L3307" s="9" t="str">
        <f t="shared" si="56"/>
        <v/>
      </c>
      <c r="M3307" s="9"/>
      <c r="O3307" s="9"/>
    </row>
    <row r="3308" ht="15.75" customHeight="1">
      <c r="A3308" s="9" t="str">
        <f>IFERROR(__xludf.DUMMYFUNCTION("IF(B3308="""","""",RIGHT(REGEXREPLACE(B3308&amp;"""",""[^0-9]"",""""),9))"),"725417443")</f>
        <v>725417443</v>
      </c>
      <c r="B3308" s="48">
        <v>7.25417443E8</v>
      </c>
      <c r="C3308" s="10" t="s">
        <v>3315</v>
      </c>
      <c r="D3308" s="10" t="s">
        <v>34</v>
      </c>
      <c r="E3308" s="13">
        <v>46230.0</v>
      </c>
      <c r="F3308" s="10" t="s">
        <v>35</v>
      </c>
      <c r="G3308" s="10">
        <v>11.0</v>
      </c>
      <c r="I3308" s="10" t="s">
        <v>22</v>
      </c>
      <c r="J3308" s="9" t="str">
        <f t="shared" si="54"/>
        <v>No</v>
      </c>
      <c r="K3308" s="9" t="str">
        <f t="shared" si="55"/>
        <v/>
      </c>
      <c r="L3308" s="9" t="str">
        <f t="shared" si="56"/>
        <v/>
      </c>
      <c r="M3308" s="9"/>
      <c r="O3308" s="9"/>
    </row>
    <row r="3309" ht="15.75" customHeight="1">
      <c r="A3309" s="9" t="str">
        <f>IFERROR(__xludf.DUMMYFUNCTION("IF(B3309="""","""",RIGHT(REGEXREPLACE(B3309&amp;"""",""[^0-9]"",""""),9))"),"778860154")</f>
        <v>778860154</v>
      </c>
      <c r="B3309" s="48">
        <v>7.78860154E8</v>
      </c>
      <c r="C3309" s="10" t="s">
        <v>3316</v>
      </c>
      <c r="D3309" s="10" t="s">
        <v>69</v>
      </c>
      <c r="E3309" s="13">
        <v>46230.0</v>
      </c>
      <c r="F3309" s="10" t="s">
        <v>198</v>
      </c>
      <c r="G3309" s="10">
        <v>11.0</v>
      </c>
      <c r="I3309" s="10" t="s">
        <v>22</v>
      </c>
      <c r="J3309" s="9" t="str">
        <f t="shared" si="54"/>
        <v>No</v>
      </c>
      <c r="K3309" s="9" t="str">
        <f t="shared" si="55"/>
        <v/>
      </c>
      <c r="L3309" s="9" t="str">
        <f t="shared" si="56"/>
        <v/>
      </c>
      <c r="M3309" s="9"/>
      <c r="O3309" s="9"/>
    </row>
    <row r="3310" ht="15.75" customHeight="1">
      <c r="A3310" s="9" t="str">
        <f>IFERROR(__xludf.DUMMYFUNCTION("IF(B3310="""","""",RIGHT(REGEXREPLACE(B3310&amp;"""",""[^0-9]"",""""),9))"),"713210297")</f>
        <v>713210297</v>
      </c>
      <c r="B3310" s="48">
        <v>7.13210297E8</v>
      </c>
      <c r="C3310" s="10" t="s">
        <v>3317</v>
      </c>
      <c r="D3310" s="10" t="s">
        <v>50</v>
      </c>
      <c r="E3310" s="13">
        <v>46230.0</v>
      </c>
      <c r="F3310" s="10" t="s">
        <v>198</v>
      </c>
      <c r="G3310" s="10">
        <v>11.0</v>
      </c>
      <c r="I3310" s="10" t="s">
        <v>22</v>
      </c>
      <c r="J3310" s="9" t="str">
        <f t="shared" si="54"/>
        <v>No</v>
      </c>
      <c r="K3310" s="9" t="str">
        <f t="shared" si="55"/>
        <v/>
      </c>
      <c r="L3310" s="9" t="str">
        <f t="shared" si="56"/>
        <v/>
      </c>
      <c r="M3310" s="9"/>
      <c r="O3310" s="9"/>
    </row>
    <row r="3311" ht="15.75" customHeight="1">
      <c r="A3311" s="9" t="str">
        <f>IFERROR(__xludf.DUMMYFUNCTION("IF(B3311="""","""",RIGHT(REGEXREPLACE(B3311&amp;"""",""[^0-9]"",""""),9))"),"765346310")</f>
        <v>765346310</v>
      </c>
      <c r="B3311" s="48">
        <v>7.6534631E8</v>
      </c>
      <c r="C3311" s="10" t="s">
        <v>3318</v>
      </c>
      <c r="D3311" s="10" t="s">
        <v>34</v>
      </c>
      <c r="E3311" s="13">
        <v>46230.0</v>
      </c>
      <c r="F3311" s="10" t="s">
        <v>35</v>
      </c>
      <c r="G3311" s="10">
        <v>11.0</v>
      </c>
      <c r="H3311" s="10" t="s">
        <v>3319</v>
      </c>
      <c r="I3311" s="10" t="s">
        <v>22</v>
      </c>
      <c r="J3311" s="9" t="str">
        <f t="shared" si="54"/>
        <v>No</v>
      </c>
      <c r="K3311" s="9" t="str">
        <f t="shared" si="55"/>
        <v/>
      </c>
      <c r="L3311" s="9" t="str">
        <f t="shared" si="56"/>
        <v/>
      </c>
      <c r="M3311" s="9"/>
      <c r="O3311" s="9"/>
    </row>
    <row r="3312" ht="15.75" customHeight="1">
      <c r="A3312" s="9" t="str">
        <f>IFERROR(__xludf.DUMMYFUNCTION("IF(B3312="""","""",RIGHT(REGEXREPLACE(B3312&amp;"""",""[^0-9]"",""""),9))"),"711126215")</f>
        <v>711126215</v>
      </c>
      <c r="B3312" s="48">
        <v>7.11126215E8</v>
      </c>
      <c r="C3312" s="10" t="s">
        <v>3320</v>
      </c>
      <c r="D3312" s="10" t="s">
        <v>69</v>
      </c>
      <c r="E3312" s="13">
        <v>46230.0</v>
      </c>
      <c r="F3312" s="10" t="s">
        <v>542</v>
      </c>
      <c r="G3312" s="10">
        <v>11.0</v>
      </c>
      <c r="I3312" s="10" t="s">
        <v>22</v>
      </c>
      <c r="J3312" s="9" t="str">
        <f t="shared" si="54"/>
        <v>No</v>
      </c>
      <c r="K3312" s="9" t="str">
        <f t="shared" si="55"/>
        <v/>
      </c>
      <c r="L3312" s="9" t="str">
        <f t="shared" si="56"/>
        <v/>
      </c>
      <c r="M3312" s="9"/>
      <c r="O3312" s="9"/>
    </row>
    <row r="3313" ht="15.75" customHeight="1">
      <c r="A3313" s="9" t="str">
        <f>IFERROR(__xludf.DUMMYFUNCTION("IF(B3313="""","""",RIGHT(REGEXREPLACE(B3313&amp;"""",""[^0-9]"",""""),9))"),"720920291")</f>
        <v>720920291</v>
      </c>
      <c r="B3313" s="48">
        <v>7.20920291E8</v>
      </c>
      <c r="C3313" s="10" t="s">
        <v>3321</v>
      </c>
      <c r="D3313" s="10" t="s">
        <v>50</v>
      </c>
      <c r="E3313" s="13">
        <v>46230.0</v>
      </c>
      <c r="F3313" s="10" t="s">
        <v>198</v>
      </c>
      <c r="I3313" s="10" t="s">
        <v>22</v>
      </c>
      <c r="J3313" s="9" t="str">
        <f t="shared" si="54"/>
        <v>No</v>
      </c>
      <c r="K3313" s="9" t="str">
        <f t="shared" si="55"/>
        <v/>
      </c>
      <c r="L3313" s="9" t="str">
        <f t="shared" si="56"/>
        <v/>
      </c>
      <c r="M3313" s="9"/>
      <c r="O3313" s="9"/>
    </row>
    <row r="3314" ht="15.75" customHeight="1">
      <c r="A3314" s="9" t="str">
        <f>IFERROR(__xludf.DUMMYFUNCTION("IF(B3314="""","""",RIGHT(REGEXREPLACE(B3314&amp;"""",""[^0-9]"",""""),9))"),"761061334")</f>
        <v>761061334</v>
      </c>
      <c r="B3314" s="48">
        <v>7.61061334E8</v>
      </c>
      <c r="C3314" s="10" t="s">
        <v>3322</v>
      </c>
      <c r="D3314" s="10" t="s">
        <v>50</v>
      </c>
      <c r="E3314" s="13">
        <v>46230.0</v>
      </c>
      <c r="F3314" s="10" t="s">
        <v>21</v>
      </c>
      <c r="I3314" s="10" t="s">
        <v>22</v>
      </c>
      <c r="J3314" s="9" t="str">
        <f t="shared" si="54"/>
        <v>No</v>
      </c>
      <c r="K3314" s="9" t="str">
        <f t="shared" si="55"/>
        <v/>
      </c>
      <c r="L3314" s="9" t="str">
        <f t="shared" si="56"/>
        <v/>
      </c>
      <c r="M3314" s="9"/>
      <c r="O3314" s="9"/>
    </row>
    <row r="3315" ht="15.75" customHeight="1">
      <c r="A3315" s="9" t="str">
        <f>IFERROR(__xludf.DUMMYFUNCTION("IF(B3315="""","""",RIGHT(REGEXREPLACE(B3315&amp;"""",""[^0-9]"",""""),9))"),"714835797")</f>
        <v>714835797</v>
      </c>
      <c r="B3315" s="48">
        <v>7.14835797E8</v>
      </c>
      <c r="C3315" s="10" t="s">
        <v>3323</v>
      </c>
      <c r="D3315" s="10" t="s">
        <v>120</v>
      </c>
      <c r="E3315" s="13">
        <v>46230.0</v>
      </c>
      <c r="F3315" s="10" t="s">
        <v>35</v>
      </c>
      <c r="G3315" s="10">
        <v>11.0</v>
      </c>
      <c r="I3315" s="10" t="s">
        <v>22</v>
      </c>
      <c r="J3315" s="9" t="str">
        <f t="shared" si="54"/>
        <v>No</v>
      </c>
      <c r="K3315" s="9" t="str">
        <f t="shared" si="55"/>
        <v/>
      </c>
      <c r="L3315" s="9" t="str">
        <f t="shared" si="56"/>
        <v/>
      </c>
      <c r="M3315" s="9"/>
      <c r="O3315" s="9"/>
    </row>
    <row r="3316" ht="15.75" customHeight="1">
      <c r="A3316" s="9" t="str">
        <f>IFERROR(__xludf.DUMMYFUNCTION("IF(B3316="""","""",RIGHT(REGEXREPLACE(B3316&amp;"""",""[^0-9]"",""""),9))"),"705301420")</f>
        <v>705301420</v>
      </c>
      <c r="B3316" s="48">
        <v>7.0530142E8</v>
      </c>
      <c r="C3316" s="10" t="s">
        <v>3324</v>
      </c>
      <c r="D3316" s="10" t="s">
        <v>50</v>
      </c>
      <c r="E3316" s="13">
        <v>46230.0</v>
      </c>
      <c r="F3316" s="10" t="s">
        <v>21</v>
      </c>
      <c r="G3316" s="10">
        <v>11.0</v>
      </c>
      <c r="I3316" s="10" t="s">
        <v>22</v>
      </c>
      <c r="J3316" s="9" t="str">
        <f t="shared" si="54"/>
        <v>No</v>
      </c>
      <c r="K3316" s="9" t="str">
        <f t="shared" si="55"/>
        <v/>
      </c>
      <c r="L3316" s="9" t="str">
        <f t="shared" si="56"/>
        <v/>
      </c>
      <c r="M3316" s="9"/>
      <c r="O3316" s="9"/>
    </row>
    <row r="3317" ht="15.75" customHeight="1">
      <c r="A3317" s="9" t="str">
        <f>IFERROR(__xludf.DUMMYFUNCTION("IF(B3317="""","""",RIGHT(REGEXREPLACE(B3317&amp;"""",""[^0-9]"",""""),9))"),"763340023")</f>
        <v>763340023</v>
      </c>
      <c r="B3317" s="48">
        <v>7.63340023E8</v>
      </c>
      <c r="C3317" s="10" t="s">
        <v>871</v>
      </c>
      <c r="D3317" s="10" t="s">
        <v>69</v>
      </c>
      <c r="E3317" s="13">
        <v>46230.0</v>
      </c>
      <c r="F3317" s="10" t="s">
        <v>35</v>
      </c>
      <c r="G3317" s="10">
        <v>11.0</v>
      </c>
      <c r="I3317" s="10" t="s">
        <v>22</v>
      </c>
      <c r="J3317" s="9" t="str">
        <f t="shared" si="54"/>
        <v>No</v>
      </c>
      <c r="K3317" s="9" t="str">
        <f t="shared" si="55"/>
        <v/>
      </c>
      <c r="L3317" s="9" t="str">
        <f t="shared" si="56"/>
        <v/>
      </c>
      <c r="M3317" s="9"/>
      <c r="O3317" s="9"/>
    </row>
    <row r="3318" ht="15.75" customHeight="1">
      <c r="A3318" s="9" t="str">
        <f>IFERROR(__xludf.DUMMYFUNCTION("IF(B3318="""","""",RIGHT(REGEXREPLACE(B3318&amp;"""",""[^0-9]"",""""),9))"),"713194991")</f>
        <v>713194991</v>
      </c>
      <c r="B3318" s="48">
        <v>7.13194991E8</v>
      </c>
      <c r="C3318" s="10" t="s">
        <v>3325</v>
      </c>
      <c r="D3318" s="10" t="s">
        <v>120</v>
      </c>
      <c r="E3318" s="13">
        <v>46230.0</v>
      </c>
      <c r="F3318" s="10" t="s">
        <v>145</v>
      </c>
      <c r="G3318" s="10">
        <v>11.0</v>
      </c>
      <c r="I3318" s="10" t="s">
        <v>22</v>
      </c>
      <c r="J3318" s="9" t="str">
        <f t="shared" si="54"/>
        <v>No</v>
      </c>
      <c r="K3318" s="9" t="str">
        <f t="shared" si="55"/>
        <v/>
      </c>
      <c r="L3318" s="9" t="str">
        <f t="shared" si="56"/>
        <v/>
      </c>
      <c r="M3318" s="9"/>
      <c r="O3318" s="9"/>
    </row>
    <row r="3319" ht="15.75" customHeight="1">
      <c r="A3319" s="9" t="str">
        <f>IFERROR(__xludf.DUMMYFUNCTION("IF(B3319="""","""",RIGHT(REGEXREPLACE(B3319&amp;"""",""[^0-9]"",""""),9))"),"742719874")</f>
        <v>742719874</v>
      </c>
      <c r="B3319" s="48">
        <v>7.42719874E8</v>
      </c>
      <c r="C3319" s="10" t="s">
        <v>3326</v>
      </c>
      <c r="D3319" s="10" t="s">
        <v>50</v>
      </c>
      <c r="E3319" s="13">
        <v>46230.0</v>
      </c>
      <c r="F3319" s="10" t="s">
        <v>35</v>
      </c>
      <c r="G3319" s="10">
        <v>8.0</v>
      </c>
      <c r="I3319" s="10" t="s">
        <v>22</v>
      </c>
      <c r="J3319" s="9" t="str">
        <f t="shared" si="54"/>
        <v>No</v>
      </c>
      <c r="K3319" s="9" t="str">
        <f t="shared" si="55"/>
        <v/>
      </c>
      <c r="L3319" s="9" t="str">
        <f t="shared" si="56"/>
        <v/>
      </c>
      <c r="M3319" s="9"/>
      <c r="O3319" s="9"/>
    </row>
    <row r="3320" ht="15.75" customHeight="1">
      <c r="A3320" s="9" t="str">
        <f>IFERROR(__xludf.DUMMYFUNCTION("IF(B3320="""","""",RIGHT(REGEXREPLACE(B3320&amp;"""",""[^0-9]"",""""),9))"),"773554094")</f>
        <v>773554094</v>
      </c>
      <c r="B3320" s="48">
        <v>7.73554094E8</v>
      </c>
      <c r="C3320" s="10" t="s">
        <v>3327</v>
      </c>
      <c r="D3320" s="10" t="s">
        <v>34</v>
      </c>
      <c r="E3320" s="13">
        <v>46230.0</v>
      </c>
      <c r="F3320" s="10" t="s">
        <v>173</v>
      </c>
      <c r="G3320" s="10">
        <v>9.0</v>
      </c>
      <c r="I3320" s="10" t="s">
        <v>22</v>
      </c>
      <c r="J3320" s="9" t="str">
        <f t="shared" si="54"/>
        <v>No</v>
      </c>
      <c r="K3320" s="9" t="str">
        <f t="shared" si="55"/>
        <v/>
      </c>
      <c r="L3320" s="9" t="str">
        <f t="shared" si="56"/>
        <v/>
      </c>
      <c r="M3320" s="9"/>
      <c r="O3320" s="9"/>
    </row>
    <row r="3321" ht="15.75" customHeight="1">
      <c r="A3321" s="9" t="str">
        <f>IFERROR(__xludf.DUMMYFUNCTION("IF(B3321="""","""",RIGHT(REGEXREPLACE(B3321&amp;"""",""[^0-9]"",""""),9))"),"740337961")</f>
        <v>740337961</v>
      </c>
      <c r="B3321" s="48">
        <v>7.40337961E8</v>
      </c>
      <c r="C3321" s="10" t="s">
        <v>3328</v>
      </c>
      <c r="D3321" s="10" t="s">
        <v>120</v>
      </c>
      <c r="E3321" s="13">
        <v>46230.0</v>
      </c>
      <c r="F3321" s="10" t="s">
        <v>35</v>
      </c>
      <c r="G3321" s="10">
        <v>11.0</v>
      </c>
      <c r="I3321" s="10" t="s">
        <v>22</v>
      </c>
      <c r="J3321" s="9" t="str">
        <f t="shared" si="54"/>
        <v>No</v>
      </c>
      <c r="K3321" s="9" t="str">
        <f t="shared" si="55"/>
        <v/>
      </c>
      <c r="L3321" s="9" t="str">
        <f t="shared" si="56"/>
        <v/>
      </c>
      <c r="M3321" s="9"/>
      <c r="O3321" s="9"/>
    </row>
    <row r="3322" ht="15.75" customHeight="1">
      <c r="A3322" s="9" t="str">
        <f>IFERROR(__xludf.DUMMYFUNCTION("IF(B3322="""","""",RIGHT(REGEXREPLACE(B3322&amp;"""",""[^0-9]"",""""),9))"),"741233916")</f>
        <v>741233916</v>
      </c>
      <c r="B3322" s="48">
        <v>7.41233916E8</v>
      </c>
      <c r="C3322" s="10" t="s">
        <v>3329</v>
      </c>
      <c r="D3322" s="10" t="s">
        <v>69</v>
      </c>
      <c r="E3322" s="13">
        <v>46230.0</v>
      </c>
      <c r="F3322" s="9"/>
      <c r="G3322" s="9"/>
      <c r="H3322" s="9"/>
      <c r="I3322" s="10" t="s">
        <v>22</v>
      </c>
      <c r="J3322" s="9" t="str">
        <f t="shared" si="54"/>
        <v>No</v>
      </c>
      <c r="K3322" s="9" t="str">
        <f t="shared" si="55"/>
        <v/>
      </c>
      <c r="L3322" s="9" t="str">
        <f t="shared" si="56"/>
        <v/>
      </c>
      <c r="M3322" s="9"/>
      <c r="N3322" s="9"/>
      <c r="O3322" s="9"/>
      <c r="P3322" s="9"/>
    </row>
    <row r="3323" ht="15.75" customHeight="1">
      <c r="A3323" s="9" t="str">
        <f>IFERROR(__xludf.DUMMYFUNCTION("IF(B3323="""","""",RIGHT(REGEXREPLACE(B3323&amp;"""",""[^0-9]"",""""),9))"),"764782428")</f>
        <v>764782428</v>
      </c>
      <c r="B3323" s="48">
        <v>7.64782428E8</v>
      </c>
      <c r="C3323" s="10" t="s">
        <v>3330</v>
      </c>
      <c r="D3323" s="10" t="s">
        <v>50</v>
      </c>
      <c r="E3323" s="13">
        <v>46230.0</v>
      </c>
      <c r="F3323" s="10" t="s">
        <v>198</v>
      </c>
      <c r="I3323" s="10" t="s">
        <v>22</v>
      </c>
      <c r="J3323" s="9" t="str">
        <f t="shared" si="54"/>
        <v>No</v>
      </c>
      <c r="K3323" s="9" t="str">
        <f t="shared" si="55"/>
        <v/>
      </c>
      <c r="L3323" s="9" t="str">
        <f t="shared" si="56"/>
        <v/>
      </c>
      <c r="M3323" s="9"/>
      <c r="O3323" s="9"/>
    </row>
    <row r="3324" ht="15.75" customHeight="1">
      <c r="A3324" s="9" t="str">
        <f>IFERROR(__xludf.DUMMYFUNCTION("IF(B3324="""","""",RIGHT(REGEXREPLACE(B3324&amp;"""",""[^0-9]"",""""),9))"),"741233916")</f>
        <v>741233916</v>
      </c>
      <c r="B3324" s="48">
        <v>7.41233916E8</v>
      </c>
      <c r="C3324" s="10" t="s">
        <v>3329</v>
      </c>
      <c r="D3324" s="10" t="s">
        <v>69</v>
      </c>
      <c r="E3324" s="13">
        <v>46230.0</v>
      </c>
      <c r="F3324" s="10" t="s">
        <v>35</v>
      </c>
      <c r="G3324" s="10">
        <v>11.0</v>
      </c>
      <c r="I3324" s="10" t="s">
        <v>22</v>
      </c>
      <c r="J3324" s="9" t="str">
        <f t="shared" si="54"/>
        <v>Yes - see Previous F-Code</v>
      </c>
      <c r="K3324" s="9" t="str">
        <f t="shared" si="55"/>
        <v>DUPLICATE - CHECK</v>
      </c>
      <c r="L3324" s="9" t="str">
        <f t="shared" si="56"/>
        <v>F73066</v>
      </c>
      <c r="M3324" s="9"/>
      <c r="O3324" s="9"/>
    </row>
    <row r="3325" ht="15.75" customHeight="1">
      <c r="A3325" s="9" t="str">
        <f>IFERROR(__xludf.DUMMYFUNCTION("IF(B3325="""","""",RIGHT(REGEXREPLACE(B3325&amp;"""",""[^0-9]"",""""),9))"),"760162669")</f>
        <v>760162669</v>
      </c>
      <c r="B3325" s="48">
        <v>7.60162669E8</v>
      </c>
      <c r="C3325" s="10" t="s">
        <v>3331</v>
      </c>
      <c r="D3325" s="10" t="s">
        <v>34</v>
      </c>
      <c r="E3325" s="13">
        <v>46230.0</v>
      </c>
      <c r="F3325" s="10" t="s">
        <v>21</v>
      </c>
      <c r="G3325" s="10">
        <v>11.0</v>
      </c>
      <c r="I3325" s="10" t="s">
        <v>22</v>
      </c>
      <c r="J3325" s="9" t="str">
        <f t="shared" si="54"/>
        <v>No</v>
      </c>
      <c r="K3325" s="9" t="str">
        <f t="shared" si="55"/>
        <v/>
      </c>
      <c r="L3325" s="9" t="str">
        <f t="shared" si="56"/>
        <v/>
      </c>
      <c r="M3325" s="9"/>
      <c r="O3325" s="9"/>
    </row>
    <row r="3326" ht="15.75" customHeight="1">
      <c r="A3326" s="9" t="str">
        <f>IFERROR(__xludf.DUMMYFUNCTION("IF(B3326="""","""",RIGHT(REGEXREPLACE(B3326&amp;"""",""[^0-9]"",""""),9))"),"776336854")</f>
        <v>776336854</v>
      </c>
      <c r="B3326" s="48">
        <v>7.76336854E8</v>
      </c>
      <c r="C3326" s="10" t="s">
        <v>3332</v>
      </c>
      <c r="D3326" s="10" t="s">
        <v>50</v>
      </c>
      <c r="E3326" s="13">
        <v>46230.0</v>
      </c>
      <c r="F3326" s="10" t="s">
        <v>35</v>
      </c>
      <c r="G3326" s="10">
        <v>11.0</v>
      </c>
      <c r="I3326" s="10" t="s">
        <v>22</v>
      </c>
      <c r="J3326" s="9" t="str">
        <f t="shared" si="54"/>
        <v>No</v>
      </c>
      <c r="K3326" s="9" t="str">
        <f t="shared" si="55"/>
        <v/>
      </c>
      <c r="L3326" s="9" t="str">
        <f t="shared" si="56"/>
        <v/>
      </c>
      <c r="M3326" s="9"/>
      <c r="O3326" s="9"/>
    </row>
    <row r="3327" ht="15.75" customHeight="1">
      <c r="A3327" s="9" t="str">
        <f>IFERROR(__xludf.DUMMYFUNCTION("IF(B3327="""","""",RIGHT(REGEXREPLACE(B3327&amp;"""",""[^0-9]"",""""),9))"),"711354039")</f>
        <v>711354039</v>
      </c>
      <c r="B3327" s="48">
        <v>7.11354039E8</v>
      </c>
      <c r="C3327" s="10" t="s">
        <v>3333</v>
      </c>
      <c r="D3327" s="10" t="s">
        <v>120</v>
      </c>
      <c r="E3327" s="13">
        <v>46230.0</v>
      </c>
      <c r="F3327" s="10" t="s">
        <v>35</v>
      </c>
      <c r="G3327" s="10">
        <v>11.0</v>
      </c>
      <c r="I3327" s="10" t="s">
        <v>22</v>
      </c>
      <c r="J3327" s="9" t="str">
        <f t="shared" si="54"/>
        <v>No</v>
      </c>
      <c r="K3327" s="9" t="str">
        <f t="shared" si="55"/>
        <v/>
      </c>
      <c r="L3327" s="9" t="str">
        <f t="shared" si="56"/>
        <v/>
      </c>
      <c r="M3327" s="9"/>
      <c r="O3327" s="9"/>
    </row>
    <row r="3328" ht="15.75" customHeight="1">
      <c r="A3328" s="9" t="str">
        <f>IFERROR(__xludf.DUMMYFUNCTION("IF(B3328="""","""",RIGHT(REGEXREPLACE(B3328&amp;"""",""[^0-9]"",""""),9))"),"750602305")</f>
        <v>750602305</v>
      </c>
      <c r="B3328" s="48">
        <v>7.50602305E8</v>
      </c>
      <c r="C3328" s="10" t="s">
        <v>3334</v>
      </c>
      <c r="D3328" s="10" t="s">
        <v>50</v>
      </c>
      <c r="E3328" s="13">
        <v>46230.0</v>
      </c>
      <c r="F3328" s="10" t="s">
        <v>35</v>
      </c>
      <c r="G3328" s="10">
        <v>11.0</v>
      </c>
      <c r="I3328" s="10" t="s">
        <v>22</v>
      </c>
      <c r="J3328" s="9" t="str">
        <f t="shared" si="54"/>
        <v>No</v>
      </c>
      <c r="K3328" s="9" t="str">
        <f t="shared" si="55"/>
        <v/>
      </c>
      <c r="L3328" s="9" t="str">
        <f t="shared" si="56"/>
        <v/>
      </c>
      <c r="M3328" s="9"/>
      <c r="O3328" s="9"/>
    </row>
    <row r="3329" ht="15.75" customHeight="1">
      <c r="A3329" s="9" t="str">
        <f>IFERROR(__xludf.DUMMYFUNCTION("IF(B3329="""","""",RIGHT(REGEXREPLACE(B3329&amp;"""",""[^0-9]"",""""),9))"),"773799895")</f>
        <v>773799895</v>
      </c>
      <c r="B3329" s="48">
        <v>7.73799895E8</v>
      </c>
      <c r="C3329" s="10" t="s">
        <v>3335</v>
      </c>
      <c r="D3329" s="10" t="s">
        <v>69</v>
      </c>
      <c r="E3329" s="13">
        <v>46230.0</v>
      </c>
      <c r="F3329" s="10" t="s">
        <v>21</v>
      </c>
      <c r="G3329" s="10">
        <v>11.0</v>
      </c>
      <c r="I3329" s="10" t="s">
        <v>22</v>
      </c>
      <c r="J3329" s="9" t="str">
        <f t="shared" si="54"/>
        <v>No</v>
      </c>
      <c r="K3329" s="9" t="str">
        <f t="shared" si="55"/>
        <v/>
      </c>
      <c r="L3329" s="9" t="str">
        <f t="shared" si="56"/>
        <v/>
      </c>
      <c r="M3329" s="9"/>
      <c r="O3329" s="9"/>
    </row>
    <row r="3330" ht="15.75" customHeight="1">
      <c r="A3330" s="9" t="str">
        <f>IFERROR(__xludf.DUMMYFUNCTION("IF(B3330="""","""",RIGHT(REGEXREPLACE(B3330&amp;"""",""[^0-9]"",""""),9))"),"776088982")</f>
        <v>776088982</v>
      </c>
      <c r="B3330" s="48">
        <v>7.76088982E8</v>
      </c>
      <c r="C3330" s="10" t="s">
        <v>3336</v>
      </c>
      <c r="D3330" s="10" t="s">
        <v>34</v>
      </c>
      <c r="E3330" s="13">
        <v>46230.0</v>
      </c>
      <c r="F3330" s="10" t="s">
        <v>21</v>
      </c>
      <c r="I3330" s="10" t="s">
        <v>22</v>
      </c>
      <c r="J3330" s="9" t="str">
        <f t="shared" si="54"/>
        <v>No</v>
      </c>
      <c r="K3330" s="9" t="str">
        <f t="shared" si="55"/>
        <v/>
      </c>
      <c r="L3330" s="9" t="str">
        <f t="shared" si="56"/>
        <v/>
      </c>
      <c r="M3330" s="9"/>
      <c r="O3330" s="9"/>
    </row>
    <row r="3331" ht="15.75" customHeight="1">
      <c r="A3331" s="9" t="str">
        <f>IFERROR(__xludf.DUMMYFUNCTION("IF(B3331="""","""",RIGHT(REGEXREPLACE(B3331&amp;"""",""[^0-9]"",""""),9))"),"770895231")</f>
        <v>770895231</v>
      </c>
      <c r="B3331" s="48">
        <v>7.70895231E8</v>
      </c>
      <c r="C3331" s="10" t="s">
        <v>3337</v>
      </c>
      <c r="D3331" s="10" t="s">
        <v>34</v>
      </c>
      <c r="E3331" s="13">
        <v>46230.0</v>
      </c>
      <c r="F3331" s="10" t="s">
        <v>21</v>
      </c>
      <c r="I3331" s="10" t="s">
        <v>22</v>
      </c>
      <c r="J3331" s="9" t="str">
        <f t="shared" si="54"/>
        <v>No</v>
      </c>
      <c r="K3331" s="9" t="str">
        <f t="shared" si="55"/>
        <v/>
      </c>
      <c r="L3331" s="9" t="str">
        <f t="shared" si="56"/>
        <v/>
      </c>
      <c r="M3331" s="9"/>
      <c r="O3331" s="9"/>
    </row>
    <row r="3332" ht="15.75" customHeight="1">
      <c r="A3332" s="9" t="str">
        <f>IFERROR(__xludf.DUMMYFUNCTION("IF(B3332="""","""",RIGHT(REGEXREPLACE(B3332&amp;"""",""[^0-9]"",""""),9))"),"751423642")</f>
        <v>751423642</v>
      </c>
      <c r="B3332" s="48">
        <v>7.51423642E8</v>
      </c>
      <c r="C3332" s="10" t="s">
        <v>3338</v>
      </c>
      <c r="D3332" s="10" t="s">
        <v>50</v>
      </c>
      <c r="E3332" s="13">
        <v>46230.0</v>
      </c>
      <c r="F3332" s="10" t="s">
        <v>35</v>
      </c>
      <c r="G3332" s="10">
        <v>11.0</v>
      </c>
      <c r="I3332" s="10" t="s">
        <v>22</v>
      </c>
      <c r="J3332" s="9" t="str">
        <f t="shared" si="54"/>
        <v>No</v>
      </c>
      <c r="K3332" s="9" t="str">
        <f t="shared" si="55"/>
        <v/>
      </c>
      <c r="L3332" s="9" t="str">
        <f t="shared" si="56"/>
        <v/>
      </c>
      <c r="M3332" s="9"/>
      <c r="O3332" s="9"/>
    </row>
    <row r="3333" ht="15.75" customHeight="1">
      <c r="A3333" s="9" t="str">
        <f>IFERROR(__xludf.DUMMYFUNCTION("IF(B3333="""","""",RIGHT(REGEXREPLACE(B3333&amp;"""",""[^0-9]"",""""),9))"),"755584376")</f>
        <v>755584376</v>
      </c>
      <c r="B3333" s="48">
        <v>7.55584376E8</v>
      </c>
      <c r="C3333" s="10" t="s">
        <v>3339</v>
      </c>
      <c r="D3333" s="10" t="s">
        <v>120</v>
      </c>
      <c r="E3333" s="13">
        <v>46230.0</v>
      </c>
      <c r="F3333" s="10" t="s">
        <v>35</v>
      </c>
      <c r="I3333" s="10" t="s">
        <v>22</v>
      </c>
      <c r="J3333" s="9" t="str">
        <f t="shared" si="54"/>
        <v>No</v>
      </c>
      <c r="K3333" s="9" t="str">
        <f t="shared" si="55"/>
        <v/>
      </c>
      <c r="L3333" s="9" t="str">
        <f t="shared" si="56"/>
        <v/>
      </c>
      <c r="M3333" s="9"/>
      <c r="O3333" s="9"/>
    </row>
    <row r="3334" ht="15.75" customHeight="1">
      <c r="A3334" s="9" t="str">
        <f>IFERROR(__xludf.DUMMYFUNCTION("IF(B3334="""","""",RIGHT(REGEXREPLACE(B3334&amp;"""",""[^0-9]"",""""),9))"),"")</f>
        <v/>
      </c>
      <c r="D3334" s="9"/>
      <c r="F3334" s="9"/>
      <c r="I3334" s="10" t="s">
        <v>22</v>
      </c>
      <c r="M3334" s="9"/>
      <c r="O3334" s="9"/>
    </row>
    <row r="3335" ht="15.75" customHeight="1">
      <c r="A3335" s="9" t="str">
        <f>IFERROR(__xludf.DUMMYFUNCTION("IF(B3335="""","""",RIGHT(REGEXREPLACE(B3335&amp;"""",""[^0-9]"",""""),9))"),"")</f>
        <v/>
      </c>
      <c r="D3335" s="9"/>
      <c r="F3335" s="9"/>
      <c r="I3335" s="10" t="s">
        <v>22</v>
      </c>
      <c r="M3335" s="9"/>
      <c r="O3335" s="9"/>
    </row>
    <row r="3336" ht="15.75" customHeight="1">
      <c r="A3336" s="9" t="str">
        <f>IFERROR(__xludf.DUMMYFUNCTION("IF(B3336="""","""",RIGHT(REGEXREPLACE(B3336&amp;"""",""[^0-9]"",""""),9))"),"")</f>
        <v/>
      </c>
      <c r="D3336" s="9"/>
      <c r="F3336" s="9"/>
      <c r="I3336" s="10" t="s">
        <v>22</v>
      </c>
      <c r="M3336" s="9"/>
      <c r="O3336" s="9"/>
    </row>
    <row r="3337" ht="15.75" customHeight="1">
      <c r="A3337" s="9" t="str">
        <f>IFERROR(__xludf.DUMMYFUNCTION("IF(B3337="""","""",RIGHT(REGEXREPLACE(B3337&amp;"""",""[^0-9]"",""""),9))"),"")</f>
        <v/>
      </c>
      <c r="D3337" s="9"/>
      <c r="F3337" s="9"/>
      <c r="I3337" s="10" t="s">
        <v>22</v>
      </c>
      <c r="M3337" s="9"/>
      <c r="O3337" s="9"/>
    </row>
    <row r="3338" ht="15.75" customHeight="1">
      <c r="A3338" s="9" t="str">
        <f>IFERROR(__xludf.DUMMYFUNCTION("IF(B3338="""","""",RIGHT(REGEXREPLACE(B3338&amp;"""",""[^0-9]"",""""),9))"),"")</f>
        <v/>
      </c>
      <c r="D3338" s="9"/>
      <c r="F3338" s="9"/>
      <c r="I3338" s="10" t="s">
        <v>22</v>
      </c>
      <c r="M3338" s="9"/>
      <c r="O3338" s="9"/>
    </row>
    <row r="3339" ht="15.75" customHeight="1">
      <c r="A3339" s="9" t="str">
        <f>IFERROR(__xludf.DUMMYFUNCTION("IF(B3339="""","""",RIGHT(REGEXREPLACE(B3339&amp;"""",""[^0-9]"",""""),9))"),"")</f>
        <v/>
      </c>
      <c r="D3339" s="9"/>
      <c r="F3339" s="9"/>
      <c r="I3339" s="10" t="s">
        <v>22</v>
      </c>
      <c r="M3339" s="9"/>
      <c r="O3339" s="9"/>
    </row>
    <row r="3340" ht="15.75" customHeight="1">
      <c r="A3340" s="9" t="str">
        <f>IFERROR(__xludf.DUMMYFUNCTION("IF(B3340="""","""",RIGHT(REGEXREPLACE(B3340&amp;"""",""[^0-9]"",""""),9))"),"")</f>
        <v/>
      </c>
      <c r="D3340" s="9"/>
      <c r="F3340" s="9"/>
      <c r="I3340" s="10" t="s">
        <v>22</v>
      </c>
      <c r="M3340" s="9"/>
      <c r="O3340" s="9"/>
    </row>
    <row r="3341" ht="15.75" customHeight="1">
      <c r="A3341" s="9" t="str">
        <f>IFERROR(__xludf.DUMMYFUNCTION("IF(B3341="""","""",RIGHT(REGEXREPLACE(B3341&amp;"""",""[^0-9]"",""""),9))"),"")</f>
        <v/>
      </c>
      <c r="D3341" s="9"/>
      <c r="F3341" s="9"/>
      <c r="I3341" s="10" t="s">
        <v>22</v>
      </c>
      <c r="M3341" s="9"/>
      <c r="O3341" s="9"/>
    </row>
    <row r="3342" ht="15.75" customHeight="1">
      <c r="A3342" s="9" t="str">
        <f>IFERROR(__xludf.DUMMYFUNCTION("IF(B3342="""","""",RIGHT(REGEXREPLACE(B3342&amp;"""",""[^0-9]"",""""),9))"),"")</f>
        <v/>
      </c>
      <c r="D3342" s="9"/>
      <c r="F3342" s="9"/>
      <c r="I3342" s="10" t="s">
        <v>22</v>
      </c>
      <c r="M3342" s="9"/>
      <c r="O3342" s="9"/>
    </row>
    <row r="3343" ht="15.75" customHeight="1">
      <c r="A3343" s="9" t="str">
        <f>IFERROR(__xludf.DUMMYFUNCTION("IF(B3343="""","""",RIGHT(REGEXREPLACE(B3343&amp;"""",""[^0-9]"",""""),9))"),"")</f>
        <v/>
      </c>
      <c r="D3343" s="9"/>
      <c r="F3343" s="9"/>
      <c r="I3343" s="10" t="s">
        <v>22</v>
      </c>
      <c r="M3343" s="9"/>
      <c r="O3343" s="9"/>
    </row>
    <row r="3344" ht="15.75" customHeight="1">
      <c r="A3344" s="9" t="str">
        <f>IFERROR(__xludf.DUMMYFUNCTION("IF(B3344="""","""",RIGHT(REGEXREPLACE(B3344&amp;"""",""[^0-9]"",""""),9))"),"")</f>
        <v/>
      </c>
      <c r="D3344" s="9"/>
      <c r="F3344" s="9"/>
      <c r="I3344" s="10" t="s">
        <v>22</v>
      </c>
      <c r="M3344" s="9"/>
      <c r="O3344" s="9"/>
    </row>
    <row r="3345" ht="15.75" customHeight="1">
      <c r="A3345" s="9" t="str">
        <f>IFERROR(__xludf.DUMMYFUNCTION("IF(B3345="""","""",RIGHT(REGEXREPLACE(B3345&amp;"""",""[^0-9]"",""""),9))"),"")</f>
        <v/>
      </c>
      <c r="D3345" s="9"/>
      <c r="F3345" s="9"/>
      <c r="I3345" s="10" t="s">
        <v>22</v>
      </c>
      <c r="M3345" s="9"/>
      <c r="O3345" s="9"/>
    </row>
    <row r="3346" ht="15.75" customHeight="1">
      <c r="A3346" s="9" t="str">
        <f>IFERROR(__xludf.DUMMYFUNCTION("IF(B3346="""","""",RIGHT(REGEXREPLACE(B3346&amp;"""",""[^0-9]"",""""),9))"),"")</f>
        <v/>
      </c>
      <c r="D3346" s="9"/>
      <c r="F3346" s="9"/>
      <c r="I3346" s="10" t="s">
        <v>22</v>
      </c>
      <c r="M3346" s="9"/>
      <c r="O3346" s="9"/>
    </row>
    <row r="3347" ht="15.75" customHeight="1">
      <c r="A3347" s="9" t="str">
        <f>IFERROR(__xludf.DUMMYFUNCTION("IF(B3347="""","""",RIGHT(REGEXREPLACE(B3347&amp;"""",""[^0-9]"",""""),9))"),"")</f>
        <v/>
      </c>
      <c r="D3347" s="9"/>
      <c r="F3347" s="9"/>
      <c r="I3347" s="10" t="s">
        <v>22</v>
      </c>
      <c r="M3347" s="9"/>
      <c r="O3347" s="9"/>
    </row>
    <row r="3348" ht="15.75" customHeight="1">
      <c r="A3348" s="9" t="str">
        <f>IFERROR(__xludf.DUMMYFUNCTION("IF(B3348="""","""",RIGHT(REGEXREPLACE(B3348&amp;"""",""[^0-9]"",""""),9))"),"")</f>
        <v/>
      </c>
      <c r="D3348" s="9"/>
      <c r="F3348" s="9"/>
      <c r="I3348" s="10" t="s">
        <v>22</v>
      </c>
      <c r="M3348" s="9"/>
      <c r="O3348" s="9"/>
    </row>
    <row r="3349" ht="15.75" customHeight="1">
      <c r="A3349" s="9" t="str">
        <f>IFERROR(__xludf.DUMMYFUNCTION("IF(B3349="""","""",RIGHT(REGEXREPLACE(B3349&amp;"""",""[^0-9]"",""""),9))"),"")</f>
        <v/>
      </c>
      <c r="D3349" s="9"/>
      <c r="F3349" s="9"/>
      <c r="I3349" s="10" t="s">
        <v>22</v>
      </c>
      <c r="M3349" s="9"/>
      <c r="O3349" s="9"/>
    </row>
    <row r="3350" ht="15.75" customHeight="1">
      <c r="A3350" s="9" t="str">
        <f>IFERROR(__xludf.DUMMYFUNCTION("IF(B3350="""","""",RIGHT(REGEXREPLACE(B3350&amp;"""",""[^0-9]"",""""),9))"),"")</f>
        <v/>
      </c>
      <c r="D3350" s="9"/>
      <c r="F3350" s="9"/>
      <c r="I3350" s="10" t="s">
        <v>22</v>
      </c>
      <c r="M3350" s="9"/>
      <c r="O3350" s="9"/>
    </row>
    <row r="3351" ht="15.75" customHeight="1">
      <c r="A3351" s="9" t="str">
        <f>IFERROR(__xludf.DUMMYFUNCTION("IF(B3351="""","""",RIGHT(REGEXREPLACE(B3351&amp;"""",""[^0-9]"",""""),9))"),"")</f>
        <v/>
      </c>
      <c r="D3351" s="9"/>
      <c r="F3351" s="9"/>
      <c r="I3351" s="10" t="s">
        <v>22</v>
      </c>
      <c r="M3351" s="9"/>
      <c r="O3351" s="9"/>
    </row>
    <row r="3352" ht="15.75" customHeight="1">
      <c r="A3352" s="9" t="str">
        <f>IFERROR(__xludf.DUMMYFUNCTION("IF(B3352="""","""",RIGHT(REGEXREPLACE(B3352&amp;"""",""[^0-9]"",""""),9))"),"")</f>
        <v/>
      </c>
      <c r="D3352" s="9"/>
      <c r="F3352" s="9"/>
      <c r="I3352" s="10" t="s">
        <v>22</v>
      </c>
      <c r="M3352" s="9"/>
      <c r="O3352" s="9"/>
    </row>
    <row r="3353" ht="15.75" customHeight="1">
      <c r="A3353" s="9" t="str">
        <f>IFERROR(__xludf.DUMMYFUNCTION("IF(B3353="""","""",RIGHT(REGEXREPLACE(B3353&amp;"""",""[^0-9]"",""""),9))"),"")</f>
        <v/>
      </c>
      <c r="D3353" s="9"/>
      <c r="F3353" s="9"/>
      <c r="I3353" s="10" t="s">
        <v>22</v>
      </c>
      <c r="M3353" s="9"/>
      <c r="O3353" s="9"/>
    </row>
    <row r="3354" ht="15.75" customHeight="1">
      <c r="A3354" s="9" t="str">
        <f>IFERROR(__xludf.DUMMYFUNCTION("IF(B3354="""","""",RIGHT(REGEXREPLACE(B3354&amp;"""",""[^0-9]"",""""),9))"),"")</f>
        <v/>
      </c>
      <c r="D3354" s="9"/>
      <c r="F3354" s="9"/>
      <c r="I3354" s="10" t="s">
        <v>22</v>
      </c>
      <c r="M3354" s="9"/>
      <c r="O3354" s="9"/>
    </row>
    <row r="3355" ht="15.75" customHeight="1">
      <c r="A3355" s="9" t="str">
        <f>IFERROR(__xludf.DUMMYFUNCTION("IF(B3355="""","""",RIGHT(REGEXREPLACE(B3355&amp;"""",""[^0-9]"",""""),9))"),"")</f>
        <v/>
      </c>
      <c r="D3355" s="9"/>
      <c r="F3355" s="9"/>
      <c r="I3355" s="10" t="s">
        <v>22</v>
      </c>
      <c r="M3355" s="9"/>
      <c r="O3355" s="9"/>
    </row>
    <row r="3356" ht="15.75" customHeight="1">
      <c r="A3356" s="9" t="str">
        <f>IFERROR(__xludf.DUMMYFUNCTION("IF(B3356="""","""",RIGHT(REGEXREPLACE(B3356&amp;"""",""[^0-9]"",""""),9))"),"")</f>
        <v/>
      </c>
      <c r="D3356" s="9"/>
      <c r="F3356" s="9"/>
      <c r="I3356" s="10" t="s">
        <v>22</v>
      </c>
      <c r="M3356" s="9"/>
      <c r="O3356" s="9"/>
    </row>
    <row r="3357" ht="15.75" customHeight="1">
      <c r="A3357" s="9" t="str">
        <f>IFERROR(__xludf.DUMMYFUNCTION("IF(B3357="""","""",RIGHT(REGEXREPLACE(B3357&amp;"""",""[^0-9]"",""""),9))"),"")</f>
        <v/>
      </c>
      <c r="D3357" s="9"/>
      <c r="F3357" s="9"/>
      <c r="I3357" s="10" t="s">
        <v>22</v>
      </c>
      <c r="M3357" s="9"/>
      <c r="O3357" s="9"/>
    </row>
    <row r="3358" ht="15.75" customHeight="1">
      <c r="A3358" s="9" t="str">
        <f>IFERROR(__xludf.DUMMYFUNCTION("IF(B3358="""","""",RIGHT(REGEXREPLACE(B3358&amp;"""",""[^0-9]"",""""),9))"),"")</f>
        <v/>
      </c>
      <c r="D3358" s="9"/>
      <c r="F3358" s="9"/>
      <c r="I3358" s="10" t="s">
        <v>22</v>
      </c>
      <c r="M3358" s="9"/>
      <c r="O3358" s="9"/>
    </row>
    <row r="3359" ht="15.75" customHeight="1">
      <c r="A3359" s="9" t="str">
        <f>IFERROR(__xludf.DUMMYFUNCTION("IF(B3359="""","""",RIGHT(REGEXREPLACE(B3359&amp;"""",""[^0-9]"",""""),9))"),"")</f>
        <v/>
      </c>
      <c r="D3359" s="9"/>
      <c r="F3359" s="9"/>
      <c r="I3359" s="10" t="s">
        <v>22</v>
      </c>
      <c r="M3359" s="9"/>
      <c r="O3359" s="9"/>
    </row>
    <row r="3360" ht="15.75" customHeight="1">
      <c r="A3360" s="9" t="str">
        <f>IFERROR(__xludf.DUMMYFUNCTION("IF(B3360="""","""",RIGHT(REGEXREPLACE(B3360&amp;"""",""[^0-9]"",""""),9))"),"")</f>
        <v/>
      </c>
      <c r="D3360" s="9"/>
      <c r="F3360" s="9"/>
      <c r="I3360" s="10" t="s">
        <v>22</v>
      </c>
      <c r="M3360" s="9"/>
      <c r="O3360" s="9"/>
    </row>
    <row r="3361" ht="15.75" customHeight="1">
      <c r="A3361" s="9" t="str">
        <f>IFERROR(__xludf.DUMMYFUNCTION("IF(B3361="""","""",RIGHT(REGEXREPLACE(B3361&amp;"""",""[^0-9]"",""""),9))"),"")</f>
        <v/>
      </c>
      <c r="D3361" s="9"/>
      <c r="F3361" s="9"/>
      <c r="I3361" s="10" t="s">
        <v>22</v>
      </c>
      <c r="M3361" s="9"/>
      <c r="O3361" s="9"/>
    </row>
    <row r="3362" ht="15.75" customHeight="1">
      <c r="A3362" s="9" t="str">
        <f>IFERROR(__xludf.DUMMYFUNCTION("IF(B3362="""","""",RIGHT(REGEXREPLACE(B3362&amp;"""",""[^0-9]"",""""),9))"),"")</f>
        <v/>
      </c>
      <c r="D3362" s="9"/>
      <c r="F3362" s="9"/>
      <c r="I3362" s="10" t="s">
        <v>22</v>
      </c>
      <c r="M3362" s="9"/>
      <c r="O3362" s="9"/>
    </row>
    <row r="3363" ht="15.75" customHeight="1">
      <c r="A3363" s="9" t="str">
        <f>IFERROR(__xludf.DUMMYFUNCTION("IF(B3363="""","""",RIGHT(REGEXREPLACE(B3363&amp;"""",""[^0-9]"",""""),9))"),"")</f>
        <v/>
      </c>
      <c r="D3363" s="9"/>
      <c r="F3363" s="9"/>
      <c r="I3363" s="10" t="s">
        <v>22</v>
      </c>
      <c r="M3363" s="9"/>
      <c r="O3363" s="9"/>
    </row>
    <row r="3364" ht="15.75" customHeight="1">
      <c r="A3364" s="9" t="str">
        <f>IFERROR(__xludf.DUMMYFUNCTION("IF(B3364="""","""",RIGHT(REGEXREPLACE(B3364&amp;"""",""[^0-9]"",""""),9))"),"")</f>
        <v/>
      </c>
      <c r="D3364" s="9"/>
      <c r="F3364" s="9"/>
      <c r="I3364" s="10" t="s">
        <v>22</v>
      </c>
      <c r="M3364" s="9"/>
      <c r="O3364" s="9"/>
    </row>
    <row r="3365" ht="15.75" customHeight="1">
      <c r="A3365" s="9" t="str">
        <f>IFERROR(__xludf.DUMMYFUNCTION("IF(B3365="""","""",RIGHT(REGEXREPLACE(B3365&amp;"""",""[^0-9]"",""""),9))"),"")</f>
        <v/>
      </c>
      <c r="D3365" s="9"/>
      <c r="F3365" s="9"/>
      <c r="I3365" s="10" t="s">
        <v>22</v>
      </c>
      <c r="M3365" s="9"/>
      <c r="O3365" s="9"/>
    </row>
    <row r="3366" ht="15.75" customHeight="1">
      <c r="A3366" s="9" t="str">
        <f>IFERROR(__xludf.DUMMYFUNCTION("IF(B3366="""","""",RIGHT(REGEXREPLACE(B3366&amp;"""",""[^0-9]"",""""),9))"),"")</f>
        <v/>
      </c>
      <c r="D3366" s="9"/>
      <c r="F3366" s="9"/>
      <c r="I3366" s="10" t="s">
        <v>22</v>
      </c>
      <c r="M3366" s="9"/>
      <c r="O3366" s="9"/>
    </row>
    <row r="3367" ht="15.75" customHeight="1">
      <c r="A3367" s="9" t="str">
        <f>IFERROR(__xludf.DUMMYFUNCTION("IF(B3367="""","""",RIGHT(REGEXREPLACE(B3367&amp;"""",""[^0-9]"",""""),9))"),"")</f>
        <v/>
      </c>
      <c r="D3367" s="9"/>
      <c r="F3367" s="9"/>
      <c r="I3367" s="10" t="s">
        <v>22</v>
      </c>
      <c r="M3367" s="9"/>
      <c r="O3367" s="9"/>
    </row>
    <row r="3368" ht="15.75" customHeight="1">
      <c r="A3368" s="9" t="str">
        <f>IFERROR(__xludf.DUMMYFUNCTION("IF(B3368="""","""",RIGHT(REGEXREPLACE(B3368&amp;"""",""[^0-9]"",""""),9))"),"")</f>
        <v/>
      </c>
      <c r="D3368" s="9"/>
      <c r="F3368" s="9"/>
      <c r="I3368" s="10" t="s">
        <v>22</v>
      </c>
      <c r="M3368" s="9"/>
      <c r="O3368" s="9"/>
    </row>
    <row r="3369" ht="15.75" customHeight="1">
      <c r="A3369" s="9" t="str">
        <f>IFERROR(__xludf.DUMMYFUNCTION("IF(B3369="""","""",RIGHT(REGEXREPLACE(B3369&amp;"""",""[^0-9]"",""""),9))"),"")</f>
        <v/>
      </c>
      <c r="D3369" s="9"/>
      <c r="F3369" s="9"/>
      <c r="I3369" s="10" t="s">
        <v>22</v>
      </c>
      <c r="M3369" s="9"/>
      <c r="O3369" s="9"/>
    </row>
    <row r="3370" ht="15.75" customHeight="1">
      <c r="A3370" s="9" t="str">
        <f>IFERROR(__xludf.DUMMYFUNCTION("IF(B3370="""","""",RIGHT(REGEXREPLACE(B3370&amp;"""",""[^0-9]"",""""),9))"),"")</f>
        <v/>
      </c>
      <c r="D3370" s="9"/>
      <c r="F3370" s="9"/>
      <c r="I3370" s="10" t="s">
        <v>22</v>
      </c>
      <c r="M3370" s="9"/>
      <c r="O3370" s="9"/>
    </row>
    <row r="3371" ht="15.75" customHeight="1">
      <c r="A3371" s="9" t="str">
        <f>IFERROR(__xludf.DUMMYFUNCTION("IF(B3371="""","""",RIGHT(REGEXREPLACE(B3371&amp;"""",""[^0-9]"",""""),9))"),"")</f>
        <v/>
      </c>
      <c r="D3371" s="9"/>
      <c r="F3371" s="9"/>
      <c r="I3371" s="10" t="s">
        <v>22</v>
      </c>
      <c r="M3371" s="9"/>
      <c r="O3371" s="9"/>
    </row>
    <row r="3372" ht="15.75" customHeight="1">
      <c r="A3372" s="9" t="str">
        <f>IFERROR(__xludf.DUMMYFUNCTION("IF(B3372="""","""",RIGHT(REGEXREPLACE(B3372&amp;"""",""[^0-9]"",""""),9))"),"")</f>
        <v/>
      </c>
      <c r="D3372" s="9"/>
      <c r="F3372" s="9"/>
      <c r="I3372" s="10" t="s">
        <v>22</v>
      </c>
      <c r="M3372" s="9"/>
      <c r="O3372" s="9"/>
    </row>
    <row r="3373" ht="15.75" customHeight="1">
      <c r="A3373" s="9" t="str">
        <f>IFERROR(__xludf.DUMMYFUNCTION("IF(B3373="""","""",RIGHT(REGEXREPLACE(B3373&amp;"""",""[^0-9]"",""""),9))"),"")</f>
        <v/>
      </c>
      <c r="D3373" s="9"/>
      <c r="F3373" s="9"/>
      <c r="I3373" s="10" t="s">
        <v>22</v>
      </c>
      <c r="M3373" s="9"/>
      <c r="O3373" s="9"/>
    </row>
    <row r="3374" ht="15.75" customHeight="1">
      <c r="A3374" s="9" t="str">
        <f>IFERROR(__xludf.DUMMYFUNCTION("IF(B3374="""","""",RIGHT(REGEXREPLACE(B3374&amp;"""",""[^0-9]"",""""),9))"),"")</f>
        <v/>
      </c>
      <c r="D3374" s="9"/>
      <c r="F3374" s="9"/>
      <c r="I3374" s="10" t="s">
        <v>22</v>
      </c>
      <c r="M3374" s="9"/>
      <c r="O3374" s="9"/>
    </row>
    <row r="3375" ht="15.75" customHeight="1">
      <c r="A3375" s="9" t="str">
        <f>IFERROR(__xludf.DUMMYFUNCTION("IF(B3375="""","""",RIGHT(REGEXREPLACE(B3375&amp;"""",""[^0-9]"",""""),9))"),"")</f>
        <v/>
      </c>
      <c r="D3375" s="9"/>
      <c r="F3375" s="9"/>
      <c r="I3375" s="10" t="s">
        <v>22</v>
      </c>
      <c r="M3375" s="9"/>
      <c r="O3375" s="9"/>
    </row>
    <row r="3376" ht="15.75" customHeight="1">
      <c r="A3376" s="9" t="str">
        <f>IFERROR(__xludf.DUMMYFUNCTION("IF(B3376="""","""",RIGHT(REGEXREPLACE(B3376&amp;"""",""[^0-9]"",""""),9))"),"")</f>
        <v/>
      </c>
      <c r="D3376" s="9"/>
      <c r="F3376" s="9"/>
      <c r="I3376" s="10" t="s">
        <v>22</v>
      </c>
      <c r="M3376" s="9"/>
      <c r="O3376" s="9"/>
    </row>
    <row r="3377" ht="15.75" customHeight="1">
      <c r="A3377" s="9" t="str">
        <f>IFERROR(__xludf.DUMMYFUNCTION("IF(B3377="""","""",RIGHT(REGEXREPLACE(B3377&amp;"""",""[^0-9]"",""""),9))"),"")</f>
        <v/>
      </c>
      <c r="D3377" s="9"/>
      <c r="F3377" s="9"/>
      <c r="I3377" s="10" t="s">
        <v>22</v>
      </c>
      <c r="M3377" s="9"/>
      <c r="O3377" s="9"/>
    </row>
    <row r="3378" ht="15.75" customHeight="1">
      <c r="A3378" s="9" t="str">
        <f>IFERROR(__xludf.DUMMYFUNCTION("IF(B3378="""","""",RIGHT(REGEXREPLACE(B3378&amp;"""",""[^0-9]"",""""),9))"),"")</f>
        <v/>
      </c>
      <c r="D3378" s="9"/>
      <c r="F3378" s="9"/>
      <c r="I3378" s="10" t="s">
        <v>22</v>
      </c>
      <c r="M3378" s="9"/>
      <c r="O3378" s="9"/>
    </row>
    <row r="3379" ht="15.75" customHeight="1">
      <c r="A3379" s="9" t="str">
        <f>IFERROR(__xludf.DUMMYFUNCTION("IF(B3379="""","""",RIGHT(REGEXREPLACE(B3379&amp;"""",""[^0-9]"",""""),9))"),"")</f>
        <v/>
      </c>
      <c r="D3379" s="9"/>
      <c r="F3379" s="9"/>
      <c r="I3379" s="10" t="s">
        <v>22</v>
      </c>
      <c r="M3379" s="9"/>
      <c r="O3379" s="9"/>
    </row>
    <row r="3380" ht="15.75" customHeight="1">
      <c r="A3380" s="9" t="str">
        <f>IFERROR(__xludf.DUMMYFUNCTION("IF(B3380="""","""",RIGHT(REGEXREPLACE(B3380&amp;"""",""[^0-9]"",""""),9))"),"")</f>
        <v/>
      </c>
      <c r="D3380" s="9"/>
      <c r="F3380" s="9"/>
      <c r="I3380" s="10" t="s">
        <v>22</v>
      </c>
      <c r="M3380" s="9"/>
      <c r="O3380" s="9"/>
    </row>
    <row r="3381" ht="15.75" customHeight="1">
      <c r="A3381" s="9" t="str">
        <f>IFERROR(__xludf.DUMMYFUNCTION("IF(B3381="""","""",RIGHT(REGEXREPLACE(B3381&amp;"""",""[^0-9]"",""""),9))"),"")</f>
        <v/>
      </c>
      <c r="D3381" s="9"/>
      <c r="F3381" s="9"/>
      <c r="I3381" s="10" t="s">
        <v>22</v>
      </c>
      <c r="M3381" s="9"/>
      <c r="O3381" s="9"/>
    </row>
    <row r="3382" ht="15.75" customHeight="1">
      <c r="A3382" s="9" t="str">
        <f>IFERROR(__xludf.DUMMYFUNCTION("IF(B3382="""","""",RIGHT(REGEXREPLACE(B3382&amp;"""",""[^0-9]"",""""),9))"),"")</f>
        <v/>
      </c>
      <c r="D3382" s="9"/>
      <c r="F3382" s="9"/>
      <c r="I3382" s="10" t="s">
        <v>22</v>
      </c>
      <c r="M3382" s="9"/>
      <c r="O3382" s="9"/>
    </row>
    <row r="3383" ht="15.75" customHeight="1">
      <c r="A3383" s="9" t="str">
        <f>IFERROR(__xludf.DUMMYFUNCTION("IF(B3383="""","""",RIGHT(REGEXREPLACE(B3383&amp;"""",""[^0-9]"",""""),9))"),"")</f>
        <v/>
      </c>
      <c r="D3383" s="9"/>
      <c r="F3383" s="9"/>
      <c r="I3383" s="10" t="s">
        <v>22</v>
      </c>
      <c r="M3383" s="9"/>
      <c r="O3383" s="9"/>
    </row>
    <row r="3384" ht="15.75" customHeight="1">
      <c r="A3384" s="9" t="str">
        <f>IFERROR(__xludf.DUMMYFUNCTION("IF(B3384="""","""",RIGHT(REGEXREPLACE(B3384&amp;"""",""[^0-9]"",""""),9))"),"")</f>
        <v/>
      </c>
      <c r="D3384" s="9"/>
      <c r="F3384" s="9"/>
      <c r="I3384" s="10" t="s">
        <v>22</v>
      </c>
      <c r="M3384" s="9"/>
      <c r="O3384" s="9"/>
    </row>
    <row r="3385" ht="15.75" customHeight="1">
      <c r="A3385" s="9" t="str">
        <f>IFERROR(__xludf.DUMMYFUNCTION("IF(B3385="""","""",RIGHT(REGEXREPLACE(B3385&amp;"""",""[^0-9]"",""""),9))"),"")</f>
        <v/>
      </c>
      <c r="D3385" s="9"/>
      <c r="F3385" s="9"/>
      <c r="I3385" s="10" t="s">
        <v>22</v>
      </c>
      <c r="M3385" s="9"/>
      <c r="O3385" s="9"/>
    </row>
    <row r="3386" ht="15.75" customHeight="1">
      <c r="A3386" s="9" t="str">
        <f>IFERROR(__xludf.DUMMYFUNCTION("IF(B3386="""","""",RIGHT(REGEXREPLACE(B3386&amp;"""",""[^0-9]"",""""),9))"),"")</f>
        <v/>
      </c>
      <c r="D3386" s="9"/>
      <c r="F3386" s="9"/>
      <c r="I3386" s="10" t="s">
        <v>22</v>
      </c>
      <c r="M3386" s="9"/>
      <c r="O3386" s="9"/>
    </row>
    <row r="3387" ht="15.75" customHeight="1">
      <c r="A3387" s="9" t="str">
        <f>IFERROR(__xludf.DUMMYFUNCTION("IF(B3387="""","""",RIGHT(REGEXREPLACE(B3387&amp;"""",""[^0-9]"",""""),9))"),"")</f>
        <v/>
      </c>
      <c r="D3387" s="9"/>
      <c r="F3387" s="9"/>
      <c r="I3387" s="10" t="s">
        <v>22</v>
      </c>
      <c r="M3387" s="9"/>
      <c r="O3387" s="9"/>
    </row>
    <row r="3388" ht="15.75" customHeight="1">
      <c r="A3388" s="9" t="str">
        <f>IFERROR(__xludf.DUMMYFUNCTION("IF(B3388="""","""",RIGHT(REGEXREPLACE(B3388&amp;"""",""[^0-9]"",""""),9))"),"")</f>
        <v/>
      </c>
      <c r="D3388" s="9"/>
      <c r="F3388" s="9"/>
      <c r="I3388" s="10" t="s">
        <v>22</v>
      </c>
      <c r="M3388" s="9"/>
      <c r="O3388" s="9"/>
    </row>
    <row r="3389" ht="15.75" customHeight="1">
      <c r="A3389" s="9" t="str">
        <f>IFERROR(__xludf.DUMMYFUNCTION("IF(B3389="""","""",RIGHT(REGEXREPLACE(B3389&amp;"""",""[^0-9]"",""""),9))"),"")</f>
        <v/>
      </c>
      <c r="D3389" s="9"/>
      <c r="F3389" s="9"/>
      <c r="I3389" s="10" t="s">
        <v>22</v>
      </c>
      <c r="M3389" s="9"/>
      <c r="O3389" s="9"/>
    </row>
    <row r="3390" ht="15.75" customHeight="1">
      <c r="A3390" s="9" t="str">
        <f>IFERROR(__xludf.DUMMYFUNCTION("IF(B3390="""","""",RIGHT(REGEXREPLACE(B3390&amp;"""",""[^0-9]"",""""),9))"),"")</f>
        <v/>
      </c>
      <c r="D3390" s="9"/>
      <c r="F3390" s="9"/>
      <c r="I3390" s="10" t="s">
        <v>22</v>
      </c>
      <c r="M3390" s="9"/>
      <c r="O3390" s="9"/>
    </row>
    <row r="3391" ht="15.75" customHeight="1">
      <c r="A3391" s="9" t="str">
        <f>IFERROR(__xludf.DUMMYFUNCTION("IF(B3391="""","""",RIGHT(REGEXREPLACE(B3391&amp;"""",""[^0-9]"",""""),9))"),"")</f>
        <v/>
      </c>
      <c r="D3391" s="9"/>
      <c r="F3391" s="9"/>
      <c r="I3391" s="10" t="s">
        <v>22</v>
      </c>
      <c r="M3391" s="9"/>
      <c r="O3391" s="9"/>
    </row>
    <row r="3392" ht="15.75" customHeight="1">
      <c r="A3392" s="9" t="str">
        <f>IFERROR(__xludf.DUMMYFUNCTION("IF(B3392="""","""",RIGHT(REGEXREPLACE(B3392&amp;"""",""[^0-9]"",""""),9))"),"")</f>
        <v/>
      </c>
      <c r="D3392" s="9"/>
      <c r="F3392" s="9"/>
      <c r="I3392" s="10" t="s">
        <v>22</v>
      </c>
      <c r="M3392" s="9"/>
      <c r="O3392" s="9"/>
    </row>
    <row r="3393" ht="15.75" customHeight="1">
      <c r="A3393" s="9" t="str">
        <f>IFERROR(__xludf.DUMMYFUNCTION("IF(B3393="""","""",RIGHT(REGEXREPLACE(B3393&amp;"""",""[^0-9]"",""""),9))"),"")</f>
        <v/>
      </c>
      <c r="D3393" s="9"/>
      <c r="F3393" s="9"/>
      <c r="I3393" s="10" t="s">
        <v>22</v>
      </c>
      <c r="M3393" s="9"/>
      <c r="O3393" s="9"/>
    </row>
    <row r="3394" ht="15.75" customHeight="1">
      <c r="A3394" s="9" t="str">
        <f>IFERROR(__xludf.DUMMYFUNCTION("IF(B3394="""","""",RIGHT(REGEXREPLACE(B3394&amp;"""",""[^0-9]"",""""),9))"),"")</f>
        <v/>
      </c>
      <c r="D3394" s="9"/>
      <c r="F3394" s="9"/>
      <c r="I3394" s="10" t="s">
        <v>22</v>
      </c>
      <c r="M3394" s="9"/>
      <c r="O3394" s="9"/>
    </row>
    <row r="3395" ht="15.75" customHeight="1">
      <c r="A3395" s="9" t="str">
        <f>IFERROR(__xludf.DUMMYFUNCTION("IF(B3395="""","""",RIGHT(REGEXREPLACE(B3395&amp;"""",""[^0-9]"",""""),9))"),"")</f>
        <v/>
      </c>
      <c r="D3395" s="9"/>
      <c r="F3395" s="9"/>
      <c r="I3395" s="10" t="s">
        <v>22</v>
      </c>
      <c r="M3395" s="9"/>
      <c r="O3395" s="9"/>
    </row>
    <row r="3396" ht="15.75" customHeight="1">
      <c r="A3396" s="9" t="str">
        <f>IFERROR(__xludf.DUMMYFUNCTION("IF(B3396="""","""",RIGHT(REGEXREPLACE(B3396&amp;"""",""[^0-9]"",""""),9))"),"")</f>
        <v/>
      </c>
      <c r="D3396" s="9"/>
      <c r="F3396" s="9"/>
      <c r="I3396" s="10" t="s">
        <v>22</v>
      </c>
      <c r="M3396" s="9"/>
      <c r="O3396" s="9"/>
    </row>
    <row r="3397" ht="15.75" customHeight="1">
      <c r="A3397" s="9" t="str">
        <f>IFERROR(__xludf.DUMMYFUNCTION("IF(B3397="""","""",RIGHT(REGEXREPLACE(B3397&amp;"""",""[^0-9]"",""""),9))"),"")</f>
        <v/>
      </c>
      <c r="D3397" s="9"/>
      <c r="F3397" s="9"/>
      <c r="I3397" s="10" t="s">
        <v>22</v>
      </c>
      <c r="M3397" s="9"/>
      <c r="O3397" s="9"/>
    </row>
    <row r="3398" ht="15.75" customHeight="1">
      <c r="A3398" s="9" t="str">
        <f>IFERROR(__xludf.DUMMYFUNCTION("IF(B3398="""","""",RIGHT(REGEXREPLACE(B3398&amp;"""",""[^0-9]"",""""),9))"),"")</f>
        <v/>
      </c>
      <c r="D3398" s="9"/>
      <c r="F3398" s="9"/>
      <c r="I3398" s="10" t="s">
        <v>22</v>
      </c>
      <c r="M3398" s="9"/>
      <c r="O3398" s="9"/>
    </row>
    <row r="3399" ht="15.75" customHeight="1">
      <c r="A3399" s="9" t="str">
        <f>IFERROR(__xludf.DUMMYFUNCTION("IF(B3399="""","""",RIGHT(REGEXREPLACE(B3399&amp;"""",""[^0-9]"",""""),9))"),"")</f>
        <v/>
      </c>
      <c r="D3399" s="9"/>
      <c r="F3399" s="9"/>
      <c r="I3399" s="10" t="s">
        <v>22</v>
      </c>
      <c r="M3399" s="9"/>
      <c r="O3399" s="9"/>
    </row>
    <row r="3400" ht="15.75" customHeight="1">
      <c r="A3400" s="9" t="str">
        <f>IFERROR(__xludf.DUMMYFUNCTION("IF(B3400="""","""",RIGHT(REGEXREPLACE(B3400&amp;"""",""[^0-9]"",""""),9))"),"")</f>
        <v/>
      </c>
      <c r="D3400" s="9"/>
      <c r="F3400" s="9"/>
      <c r="I3400" s="10" t="s">
        <v>22</v>
      </c>
      <c r="M3400" s="9"/>
      <c r="O3400" s="9"/>
    </row>
    <row r="3401" ht="15.75" customHeight="1">
      <c r="A3401" s="9" t="str">
        <f>IFERROR(__xludf.DUMMYFUNCTION("IF(B3401="""","""",RIGHT(REGEXREPLACE(B3401&amp;"""",""[^0-9]"",""""),9))"),"")</f>
        <v/>
      </c>
      <c r="D3401" s="9"/>
      <c r="F3401" s="9"/>
      <c r="I3401" s="10" t="s">
        <v>22</v>
      </c>
      <c r="M3401" s="9"/>
      <c r="O3401" s="9"/>
    </row>
    <row r="3402" ht="15.75" customHeight="1">
      <c r="A3402" s="9" t="str">
        <f>IFERROR(__xludf.DUMMYFUNCTION("IF(B3402="""","""",RIGHT(REGEXREPLACE(B3402&amp;"""",""[^0-9]"",""""),9))"),"")</f>
        <v/>
      </c>
      <c r="D3402" s="9"/>
      <c r="F3402" s="9"/>
      <c r="I3402" s="10" t="s">
        <v>22</v>
      </c>
      <c r="M3402" s="9"/>
      <c r="O3402" s="9"/>
    </row>
    <row r="3403" ht="15.75" customHeight="1">
      <c r="A3403" s="9" t="str">
        <f>IFERROR(__xludf.DUMMYFUNCTION("IF(B3403="""","""",RIGHT(REGEXREPLACE(B3403&amp;"""",""[^0-9]"",""""),9))"),"")</f>
        <v/>
      </c>
      <c r="D3403" s="9"/>
      <c r="F3403" s="9"/>
      <c r="I3403" s="10" t="s">
        <v>22</v>
      </c>
      <c r="M3403" s="9"/>
      <c r="O3403" s="9"/>
    </row>
    <row r="3404" ht="15.75" customHeight="1">
      <c r="A3404" s="9" t="str">
        <f>IFERROR(__xludf.DUMMYFUNCTION("IF(B3404="""","""",RIGHT(REGEXREPLACE(B3404&amp;"""",""[^0-9]"",""""),9))"),"")</f>
        <v/>
      </c>
      <c r="D3404" s="9"/>
      <c r="F3404" s="9"/>
      <c r="I3404" s="10" t="s">
        <v>22</v>
      </c>
      <c r="M3404" s="9"/>
      <c r="O3404" s="9"/>
    </row>
    <row r="3405" ht="15.75" customHeight="1">
      <c r="A3405" s="9" t="str">
        <f>IFERROR(__xludf.DUMMYFUNCTION("IF(B3405="""","""",RIGHT(REGEXREPLACE(B3405&amp;"""",""[^0-9]"",""""),9))"),"")</f>
        <v/>
      </c>
      <c r="D3405" s="9"/>
      <c r="F3405" s="9"/>
      <c r="I3405" s="10" t="s">
        <v>22</v>
      </c>
      <c r="M3405" s="9"/>
      <c r="O3405" s="9"/>
    </row>
    <row r="3406" ht="15.75" customHeight="1">
      <c r="A3406" s="9" t="str">
        <f>IFERROR(__xludf.DUMMYFUNCTION("IF(B3406="""","""",RIGHT(REGEXREPLACE(B3406&amp;"""",""[^0-9]"",""""),9))"),"")</f>
        <v/>
      </c>
      <c r="D3406" s="9"/>
      <c r="F3406" s="9"/>
      <c r="I3406" s="10" t="s">
        <v>22</v>
      </c>
      <c r="M3406" s="9"/>
      <c r="O3406" s="9"/>
    </row>
    <row r="3407" ht="15.75" customHeight="1">
      <c r="A3407" s="9" t="str">
        <f>IFERROR(__xludf.DUMMYFUNCTION("IF(B3407="""","""",RIGHT(REGEXREPLACE(B3407&amp;"""",""[^0-9]"",""""),9))"),"")</f>
        <v/>
      </c>
      <c r="D3407" s="9"/>
      <c r="F3407" s="9"/>
      <c r="I3407" s="10" t="s">
        <v>22</v>
      </c>
      <c r="M3407" s="9"/>
      <c r="O3407" s="9"/>
    </row>
    <row r="3408" ht="15.75" customHeight="1">
      <c r="A3408" s="9" t="str">
        <f>IFERROR(__xludf.DUMMYFUNCTION("IF(B3408="""","""",RIGHT(REGEXREPLACE(B3408&amp;"""",""[^0-9]"",""""),9))"),"")</f>
        <v/>
      </c>
      <c r="D3408" s="9"/>
      <c r="F3408" s="9"/>
      <c r="I3408" s="10" t="s">
        <v>22</v>
      </c>
      <c r="M3408" s="9"/>
      <c r="O3408" s="9"/>
    </row>
    <row r="3409" ht="15.75" customHeight="1">
      <c r="A3409" s="9" t="str">
        <f>IFERROR(__xludf.DUMMYFUNCTION("IF(B3409="""","""",RIGHT(REGEXREPLACE(B3409&amp;"""",""[^0-9]"",""""),9))"),"")</f>
        <v/>
      </c>
      <c r="D3409" s="9"/>
      <c r="F3409" s="9"/>
      <c r="I3409" s="10" t="s">
        <v>22</v>
      </c>
      <c r="M3409" s="9"/>
      <c r="O3409" s="9"/>
    </row>
    <row r="3410" ht="15.75" customHeight="1">
      <c r="A3410" s="9" t="str">
        <f>IFERROR(__xludf.DUMMYFUNCTION("IF(B3410="""","""",RIGHT(REGEXREPLACE(B3410&amp;"""",""[^0-9]"",""""),9))"),"")</f>
        <v/>
      </c>
      <c r="D3410" s="9"/>
      <c r="F3410" s="9"/>
      <c r="I3410" s="10" t="s">
        <v>22</v>
      </c>
      <c r="M3410" s="9"/>
      <c r="O3410" s="9"/>
    </row>
    <row r="3411" ht="15.75" customHeight="1">
      <c r="A3411" s="9" t="str">
        <f>IFERROR(__xludf.DUMMYFUNCTION("IF(B3411="""","""",RIGHT(REGEXREPLACE(B3411&amp;"""",""[^0-9]"",""""),9))"),"")</f>
        <v/>
      </c>
      <c r="D3411" s="9"/>
      <c r="F3411" s="9"/>
      <c r="I3411" s="10" t="s">
        <v>22</v>
      </c>
      <c r="M3411" s="9"/>
      <c r="O3411" s="9"/>
    </row>
    <row r="3412" ht="15.75" customHeight="1">
      <c r="A3412" s="9" t="str">
        <f>IFERROR(__xludf.DUMMYFUNCTION("IF(B3412="""","""",RIGHT(REGEXREPLACE(B3412&amp;"""",""[^0-9]"",""""),9))"),"")</f>
        <v/>
      </c>
      <c r="D3412" s="9"/>
      <c r="F3412" s="9"/>
      <c r="I3412" s="10" t="s">
        <v>22</v>
      </c>
      <c r="M3412" s="9"/>
      <c r="O3412" s="9"/>
    </row>
    <row r="3413" ht="15.75" customHeight="1">
      <c r="A3413" s="9" t="str">
        <f>IFERROR(__xludf.DUMMYFUNCTION("IF(B3413="""","""",RIGHT(REGEXREPLACE(B3413&amp;"""",""[^0-9]"",""""),9))"),"")</f>
        <v/>
      </c>
      <c r="D3413" s="9"/>
      <c r="F3413" s="9"/>
      <c r="I3413" s="10" t="s">
        <v>22</v>
      </c>
      <c r="M3413" s="9"/>
      <c r="O3413" s="9"/>
    </row>
    <row r="3414" ht="15.75" customHeight="1">
      <c r="A3414" s="9" t="str">
        <f>IFERROR(__xludf.DUMMYFUNCTION("IF(B3414="""","""",RIGHT(REGEXREPLACE(B3414&amp;"""",""[^0-9]"",""""),9))"),"")</f>
        <v/>
      </c>
      <c r="D3414" s="9"/>
      <c r="F3414" s="9"/>
      <c r="I3414" s="10" t="s">
        <v>22</v>
      </c>
      <c r="M3414" s="9"/>
      <c r="O3414" s="9"/>
    </row>
    <row r="3415" ht="15.75" customHeight="1">
      <c r="A3415" s="9" t="str">
        <f>IFERROR(__xludf.DUMMYFUNCTION("IF(B3415="""","""",RIGHT(REGEXREPLACE(B3415&amp;"""",""[^0-9]"",""""),9))"),"")</f>
        <v/>
      </c>
      <c r="D3415" s="9"/>
      <c r="F3415" s="9"/>
      <c r="I3415" s="10" t="s">
        <v>22</v>
      </c>
      <c r="M3415" s="9"/>
      <c r="O3415" s="9"/>
    </row>
    <row r="3416" ht="15.75" customHeight="1">
      <c r="A3416" s="9" t="str">
        <f>IFERROR(__xludf.DUMMYFUNCTION("IF(B3416="""","""",RIGHT(REGEXREPLACE(B3416&amp;"""",""[^0-9]"",""""),9))"),"")</f>
        <v/>
      </c>
      <c r="D3416" s="9"/>
      <c r="F3416" s="9"/>
      <c r="I3416" s="10" t="s">
        <v>22</v>
      </c>
      <c r="M3416" s="9"/>
      <c r="O3416" s="9"/>
    </row>
    <row r="3417" ht="15.75" customHeight="1">
      <c r="A3417" s="9" t="str">
        <f>IFERROR(__xludf.DUMMYFUNCTION("IF(B3417="""","""",RIGHT(REGEXREPLACE(B3417&amp;"""",""[^0-9]"",""""),9))"),"")</f>
        <v/>
      </c>
      <c r="D3417" s="9"/>
      <c r="F3417" s="9"/>
      <c r="I3417" s="10" t="s">
        <v>22</v>
      </c>
      <c r="M3417" s="9"/>
      <c r="O3417" s="9"/>
    </row>
    <row r="3418" ht="15.75" customHeight="1">
      <c r="A3418" s="9" t="str">
        <f>IFERROR(__xludf.DUMMYFUNCTION("IF(B3418="""","""",RIGHT(REGEXREPLACE(B3418&amp;"""",""[^0-9]"",""""),9))"),"")</f>
        <v/>
      </c>
      <c r="D3418" s="9"/>
      <c r="F3418" s="9"/>
      <c r="I3418" s="10" t="s">
        <v>22</v>
      </c>
      <c r="M3418" s="9"/>
      <c r="O3418" s="9"/>
    </row>
    <row r="3419" ht="15.75" customHeight="1">
      <c r="A3419" s="9" t="str">
        <f>IFERROR(__xludf.DUMMYFUNCTION("IF(B3419="""","""",RIGHT(REGEXREPLACE(B3419&amp;"""",""[^0-9]"",""""),9))"),"")</f>
        <v/>
      </c>
      <c r="D3419" s="9"/>
      <c r="F3419" s="9"/>
      <c r="I3419" s="10" t="s">
        <v>22</v>
      </c>
      <c r="M3419" s="9"/>
      <c r="O3419" s="9"/>
    </row>
    <row r="3420" ht="15.75" customHeight="1">
      <c r="A3420" s="9" t="str">
        <f>IFERROR(__xludf.DUMMYFUNCTION("IF(B3420="""","""",RIGHT(REGEXREPLACE(B3420&amp;"""",""[^0-9]"",""""),9))"),"")</f>
        <v/>
      </c>
      <c r="D3420" s="9"/>
      <c r="F3420" s="9"/>
      <c r="I3420" s="10" t="s">
        <v>22</v>
      </c>
      <c r="M3420" s="9"/>
      <c r="O3420" s="9"/>
    </row>
    <row r="3421" ht="15.75" customHeight="1">
      <c r="A3421" s="9" t="str">
        <f>IFERROR(__xludf.DUMMYFUNCTION("IF(B3421="""","""",RIGHT(REGEXREPLACE(B3421&amp;"""",""[^0-9]"",""""),9))"),"")</f>
        <v/>
      </c>
      <c r="D3421" s="9"/>
      <c r="F3421" s="9"/>
      <c r="I3421" s="10" t="s">
        <v>22</v>
      </c>
      <c r="M3421" s="9"/>
      <c r="O3421" s="9"/>
    </row>
    <row r="3422" ht="15.75" customHeight="1">
      <c r="A3422" s="9" t="str">
        <f>IFERROR(__xludf.DUMMYFUNCTION("IF(B3422="""","""",RIGHT(REGEXREPLACE(B3422&amp;"""",""[^0-9]"",""""),9))"),"")</f>
        <v/>
      </c>
      <c r="D3422" s="9"/>
      <c r="F3422" s="9"/>
      <c r="I3422" s="10" t="s">
        <v>22</v>
      </c>
      <c r="M3422" s="9"/>
      <c r="O3422" s="9"/>
    </row>
    <row r="3423" ht="15.75" customHeight="1">
      <c r="A3423" s="9" t="str">
        <f>IFERROR(__xludf.DUMMYFUNCTION("IF(B3423="""","""",RIGHT(REGEXREPLACE(B3423&amp;"""",""[^0-9]"",""""),9))"),"")</f>
        <v/>
      </c>
      <c r="D3423" s="9"/>
      <c r="F3423" s="9"/>
      <c r="I3423" s="10"/>
      <c r="M3423" s="9"/>
      <c r="O3423" s="9"/>
    </row>
    <row r="3424" ht="15.75" customHeight="1">
      <c r="A3424" s="9" t="str">
        <f>IFERROR(__xludf.DUMMYFUNCTION("IF(B3424="""","""",RIGHT(REGEXREPLACE(B3424&amp;"""",""[^0-9]"",""""),9))"),"")</f>
        <v/>
      </c>
      <c r="D3424" s="9"/>
      <c r="F3424" s="9"/>
      <c r="I3424" s="10"/>
      <c r="M3424" s="9"/>
      <c r="O3424" s="9"/>
    </row>
    <row r="3425" ht="15.75" customHeight="1">
      <c r="A3425" s="9" t="str">
        <f>IFERROR(__xludf.DUMMYFUNCTION("IF(B3425="""","""",RIGHT(REGEXREPLACE(B3425&amp;"""",""[^0-9]"",""""),9))"),"")</f>
        <v/>
      </c>
      <c r="D3425" s="9"/>
      <c r="F3425" s="9"/>
      <c r="I3425" s="10"/>
      <c r="M3425" s="9"/>
      <c r="O3425" s="9"/>
    </row>
    <row r="3426" ht="15.75" customHeight="1">
      <c r="A3426" s="9" t="str">
        <f>IFERROR(__xludf.DUMMYFUNCTION("IF(B3426="""","""",RIGHT(REGEXREPLACE(B3426&amp;"""",""[^0-9]"",""""),9))"),"")</f>
        <v/>
      </c>
      <c r="D3426" s="9"/>
      <c r="F3426" s="9"/>
      <c r="I3426" s="10"/>
      <c r="M3426" s="9"/>
      <c r="O3426" s="9"/>
    </row>
    <row r="3427" ht="15.75" customHeight="1">
      <c r="A3427" s="9" t="str">
        <f>IFERROR(__xludf.DUMMYFUNCTION("IF(B3427="""","""",RIGHT(REGEXREPLACE(B3427&amp;"""",""[^0-9]"",""""),9))"),"")</f>
        <v/>
      </c>
      <c r="D3427" s="9"/>
      <c r="F3427" s="9"/>
      <c r="I3427" s="10"/>
      <c r="M3427" s="9"/>
      <c r="O3427" s="9"/>
    </row>
    <row r="3428" ht="15.75" customHeight="1">
      <c r="A3428" s="9" t="str">
        <f>IFERROR(__xludf.DUMMYFUNCTION("IF(B3428="""","""",RIGHT(REGEXREPLACE(B3428&amp;"""",""[^0-9]"",""""),9))"),"")</f>
        <v/>
      </c>
      <c r="D3428" s="9"/>
      <c r="F3428" s="9"/>
      <c r="I3428" s="10"/>
      <c r="M3428" s="9"/>
      <c r="O3428" s="9"/>
    </row>
    <row r="3429" ht="15.75" customHeight="1">
      <c r="A3429" s="9" t="str">
        <f>IFERROR(__xludf.DUMMYFUNCTION("IF(B3429="""","""",RIGHT(REGEXREPLACE(B3429&amp;"""",""[^0-9]"",""""),9))"),"")</f>
        <v/>
      </c>
      <c r="D3429" s="9"/>
      <c r="F3429" s="9"/>
      <c r="I3429" s="10"/>
      <c r="M3429" s="9"/>
      <c r="O3429" s="9"/>
    </row>
    <row r="3430" ht="15.75" customHeight="1">
      <c r="A3430" s="9" t="str">
        <f>IFERROR(__xludf.DUMMYFUNCTION("IF(B3430="""","""",RIGHT(REGEXREPLACE(B3430&amp;"""",""[^0-9]"",""""),9))"),"")</f>
        <v/>
      </c>
      <c r="D3430" s="9"/>
      <c r="F3430" s="9"/>
      <c r="I3430" s="10"/>
      <c r="M3430" s="9"/>
      <c r="O3430" s="9"/>
    </row>
    <row r="3431" ht="15.75" customHeight="1">
      <c r="A3431" s="9" t="str">
        <f>IFERROR(__xludf.DUMMYFUNCTION("IF(B3431="""","""",RIGHT(REGEXREPLACE(B3431&amp;"""",""[^0-9]"",""""),9))"),"")</f>
        <v/>
      </c>
      <c r="D3431" s="9"/>
      <c r="F3431" s="9"/>
      <c r="I3431" s="10"/>
      <c r="M3431" s="9"/>
      <c r="O3431" s="9"/>
    </row>
    <row r="3432" ht="15.75" customHeight="1">
      <c r="A3432" s="9" t="str">
        <f>IFERROR(__xludf.DUMMYFUNCTION("IF(B3432="""","""",RIGHT(REGEXREPLACE(B3432&amp;"""",""[^0-9]"",""""),9))"),"")</f>
        <v/>
      </c>
      <c r="D3432" s="9"/>
      <c r="F3432" s="9"/>
      <c r="I3432" s="10"/>
      <c r="M3432" s="9"/>
      <c r="O3432" s="9"/>
    </row>
    <row r="3433" ht="15.75" customHeight="1">
      <c r="A3433" s="9" t="str">
        <f>IFERROR(__xludf.DUMMYFUNCTION("IF(B3433="""","""",RIGHT(REGEXREPLACE(B3433&amp;"""",""[^0-9]"",""""),9))"),"")</f>
        <v/>
      </c>
      <c r="D3433" s="9"/>
      <c r="F3433" s="9"/>
      <c r="I3433" s="10"/>
      <c r="M3433" s="9"/>
      <c r="O3433" s="9"/>
    </row>
    <row r="3434" ht="15.75" customHeight="1">
      <c r="A3434" s="9" t="str">
        <f>IFERROR(__xludf.DUMMYFUNCTION("IF(B3434="""","""",RIGHT(REGEXREPLACE(B3434&amp;"""",""[^0-9]"",""""),9))"),"")</f>
        <v/>
      </c>
      <c r="D3434" s="9"/>
      <c r="F3434" s="9"/>
      <c r="I3434" s="10"/>
      <c r="M3434" s="9"/>
      <c r="O3434" s="9"/>
    </row>
    <row r="3435" ht="15.75" customHeight="1">
      <c r="A3435" s="9" t="str">
        <f>IFERROR(__xludf.DUMMYFUNCTION("IF(B3435="""","""",RIGHT(REGEXREPLACE(B3435&amp;"""",""[^0-9]"",""""),9))"),"")</f>
        <v/>
      </c>
      <c r="D3435" s="9"/>
      <c r="F3435" s="9"/>
      <c r="I3435" s="10"/>
      <c r="M3435" s="9"/>
      <c r="O3435" s="9"/>
    </row>
    <row r="3436" ht="15.75" customHeight="1">
      <c r="A3436" s="9" t="str">
        <f>IFERROR(__xludf.DUMMYFUNCTION("IF(B3436="""","""",RIGHT(REGEXREPLACE(B3436&amp;"""",""[^0-9]"",""""),9))"),"")</f>
        <v/>
      </c>
      <c r="D3436" s="9"/>
      <c r="F3436" s="9"/>
      <c r="I3436" s="10"/>
      <c r="M3436" s="9"/>
      <c r="O3436" s="9"/>
    </row>
    <row r="3437" ht="15.75" customHeight="1">
      <c r="A3437" s="9" t="str">
        <f>IFERROR(__xludf.DUMMYFUNCTION("IF(B3437="""","""",RIGHT(REGEXREPLACE(B3437&amp;"""",""[^0-9]"",""""),9))"),"")</f>
        <v/>
      </c>
      <c r="D3437" s="9"/>
      <c r="F3437" s="9"/>
      <c r="I3437" s="10"/>
      <c r="M3437" s="9"/>
      <c r="O3437" s="9"/>
    </row>
    <row r="3438" ht="15.75" customHeight="1">
      <c r="A3438" s="9" t="str">
        <f>IFERROR(__xludf.DUMMYFUNCTION("IF(B3438="""","""",RIGHT(REGEXREPLACE(B3438&amp;"""",""[^0-9]"",""""),9))"),"")</f>
        <v/>
      </c>
      <c r="D3438" s="9"/>
      <c r="F3438" s="9"/>
      <c r="I3438" s="10"/>
      <c r="M3438" s="9"/>
      <c r="O3438" s="9"/>
    </row>
    <row r="3439" ht="15.75" customHeight="1">
      <c r="A3439" s="9" t="str">
        <f>IFERROR(__xludf.DUMMYFUNCTION("IF(B3439="""","""",RIGHT(REGEXREPLACE(B3439&amp;"""",""[^0-9]"",""""),9))"),"")</f>
        <v/>
      </c>
      <c r="D3439" s="9"/>
      <c r="F3439" s="9"/>
      <c r="I3439" s="10"/>
      <c r="M3439" s="9"/>
      <c r="O3439" s="9"/>
    </row>
    <row r="3440" ht="15.75" customHeight="1">
      <c r="A3440" s="9" t="str">
        <f>IFERROR(__xludf.DUMMYFUNCTION("IF(B3440="""","""",RIGHT(REGEXREPLACE(B3440&amp;"""",""[^0-9]"",""""),9))"),"")</f>
        <v/>
      </c>
      <c r="D3440" s="9"/>
      <c r="F3440" s="9"/>
      <c r="I3440" s="10"/>
      <c r="M3440" s="9"/>
      <c r="O3440" s="9"/>
    </row>
    <row r="3441" ht="15.75" customHeight="1">
      <c r="A3441" s="9" t="str">
        <f>IFERROR(__xludf.DUMMYFUNCTION("IF(B3441="""","""",RIGHT(REGEXREPLACE(B3441&amp;"""",""[^0-9]"",""""),9))"),"")</f>
        <v/>
      </c>
      <c r="D3441" s="9"/>
      <c r="F3441" s="9"/>
      <c r="I3441" s="10"/>
      <c r="M3441" s="9"/>
      <c r="O3441" s="9"/>
    </row>
    <row r="3442" ht="15.75" customHeight="1">
      <c r="A3442" s="9" t="str">
        <f>IFERROR(__xludf.DUMMYFUNCTION("IF(B3442="""","""",RIGHT(REGEXREPLACE(B3442&amp;"""",""[^0-9]"",""""),9))"),"")</f>
        <v/>
      </c>
      <c r="D3442" s="9"/>
      <c r="F3442" s="9"/>
      <c r="I3442" s="10"/>
      <c r="M3442" s="9"/>
      <c r="O3442" s="9"/>
    </row>
    <row r="3443" ht="15.75" customHeight="1">
      <c r="A3443" s="9" t="str">
        <f>IFERROR(__xludf.DUMMYFUNCTION("IF(B3443="""","""",RIGHT(REGEXREPLACE(B3443&amp;"""",""[^0-9]"",""""),9))"),"")</f>
        <v/>
      </c>
      <c r="D3443" s="9"/>
      <c r="F3443" s="9"/>
      <c r="I3443" s="10"/>
      <c r="M3443" s="9"/>
      <c r="O3443" s="9"/>
    </row>
    <row r="3444" ht="15.75" customHeight="1">
      <c r="A3444" s="9" t="str">
        <f>IFERROR(__xludf.DUMMYFUNCTION("IF(B3444="""","""",RIGHT(REGEXREPLACE(B3444&amp;"""",""[^0-9]"",""""),9))"),"")</f>
        <v/>
      </c>
      <c r="D3444" s="9"/>
      <c r="F3444" s="9"/>
      <c r="I3444" s="10"/>
      <c r="M3444" s="9"/>
      <c r="O3444" s="9"/>
    </row>
    <row r="3445" ht="15.75" customHeight="1">
      <c r="A3445" s="9" t="str">
        <f>IFERROR(__xludf.DUMMYFUNCTION("IF(B3445="""","""",RIGHT(REGEXREPLACE(B3445&amp;"""",""[^0-9]"",""""),9))"),"")</f>
        <v/>
      </c>
      <c r="D3445" s="9"/>
      <c r="F3445" s="9"/>
      <c r="I3445" s="10"/>
      <c r="M3445" s="9"/>
      <c r="O3445" s="9"/>
    </row>
    <row r="3446" ht="15.75" customHeight="1">
      <c r="A3446" s="9" t="str">
        <f>IFERROR(__xludf.DUMMYFUNCTION("IF(B3446="""","""",RIGHT(REGEXREPLACE(B3446&amp;"""",""[^0-9]"",""""),9))"),"")</f>
        <v/>
      </c>
      <c r="D3446" s="9"/>
      <c r="F3446" s="9"/>
      <c r="I3446" s="10"/>
      <c r="M3446" s="9"/>
      <c r="O3446" s="9"/>
    </row>
    <row r="3447" ht="15.75" customHeight="1">
      <c r="A3447" s="9" t="str">
        <f>IFERROR(__xludf.DUMMYFUNCTION("IF(B3447="""","""",RIGHT(REGEXREPLACE(B3447&amp;"""",""[^0-9]"",""""),9))"),"")</f>
        <v/>
      </c>
      <c r="D3447" s="9"/>
      <c r="F3447" s="9"/>
      <c r="I3447" s="10"/>
      <c r="M3447" s="9"/>
      <c r="O3447" s="9"/>
    </row>
    <row r="3448" ht="15.75" customHeight="1">
      <c r="A3448" s="9" t="str">
        <f>IFERROR(__xludf.DUMMYFUNCTION("IF(B3448="""","""",RIGHT(REGEXREPLACE(B3448&amp;"""",""[^0-9]"",""""),9))"),"")</f>
        <v/>
      </c>
      <c r="D3448" s="9"/>
      <c r="F3448" s="9"/>
      <c r="I3448" s="10"/>
      <c r="M3448" s="9"/>
      <c r="O3448" s="9"/>
    </row>
    <row r="3449" ht="15.75" customHeight="1">
      <c r="A3449" s="9" t="str">
        <f>IFERROR(__xludf.DUMMYFUNCTION("IF(B3449="""","""",RIGHT(REGEXREPLACE(B3449&amp;"""",""[^0-9]"",""""),9))"),"")</f>
        <v/>
      </c>
      <c r="D3449" s="9"/>
      <c r="F3449" s="9"/>
      <c r="I3449" s="10"/>
      <c r="M3449" s="9"/>
      <c r="O3449" s="9"/>
    </row>
    <row r="3450" ht="15.75" customHeight="1">
      <c r="A3450" s="9" t="str">
        <f>IFERROR(__xludf.DUMMYFUNCTION("IF(B3450="""","""",RIGHT(REGEXREPLACE(B3450&amp;"""",""[^0-9]"",""""),9))"),"")</f>
        <v/>
      </c>
      <c r="D3450" s="9"/>
      <c r="F3450" s="9"/>
      <c r="I3450" s="10"/>
      <c r="M3450" s="9"/>
      <c r="O3450" s="9"/>
    </row>
    <row r="3451" ht="15.75" customHeight="1">
      <c r="A3451" s="9" t="str">
        <f>IFERROR(__xludf.DUMMYFUNCTION("IF(B3451="""","""",RIGHT(REGEXREPLACE(B3451&amp;"""",""[^0-9]"",""""),9))"),"")</f>
        <v/>
      </c>
      <c r="D3451" s="9"/>
      <c r="F3451" s="9"/>
      <c r="I3451" s="10"/>
      <c r="M3451" s="9"/>
      <c r="O3451" s="9"/>
    </row>
    <row r="3452" ht="15.75" customHeight="1">
      <c r="A3452" s="9" t="str">
        <f>IFERROR(__xludf.DUMMYFUNCTION("IF(B3452="""","""",RIGHT(REGEXREPLACE(B3452&amp;"""",""[^0-9]"",""""),9))"),"")</f>
        <v/>
      </c>
      <c r="D3452" s="9"/>
      <c r="F3452" s="9"/>
      <c r="I3452" s="10"/>
      <c r="M3452" s="9"/>
      <c r="O3452" s="9"/>
    </row>
    <row r="3453" ht="15.75" customHeight="1">
      <c r="A3453" s="9" t="str">
        <f>IFERROR(__xludf.DUMMYFUNCTION("IF(B3453="""","""",RIGHT(REGEXREPLACE(B3453&amp;"""",""[^0-9]"",""""),9))"),"")</f>
        <v/>
      </c>
      <c r="D3453" s="9"/>
      <c r="F3453" s="9"/>
      <c r="I3453" s="10"/>
      <c r="M3453" s="9"/>
      <c r="O3453" s="9"/>
    </row>
    <row r="3454" ht="15.75" customHeight="1">
      <c r="A3454" s="9" t="str">
        <f>IFERROR(__xludf.DUMMYFUNCTION("IF(B3454="""","""",RIGHT(REGEXREPLACE(B3454&amp;"""",""[^0-9]"",""""),9))"),"")</f>
        <v/>
      </c>
      <c r="D3454" s="9"/>
      <c r="F3454" s="9"/>
      <c r="I3454" s="10"/>
      <c r="M3454" s="9"/>
      <c r="O3454" s="9"/>
    </row>
    <row r="3455" ht="15.75" customHeight="1">
      <c r="A3455" s="9" t="str">
        <f>IFERROR(__xludf.DUMMYFUNCTION("IF(B3455="""","""",RIGHT(REGEXREPLACE(B3455&amp;"""",""[^0-9]"",""""),9))"),"")</f>
        <v/>
      </c>
      <c r="D3455" s="9"/>
      <c r="F3455" s="9"/>
      <c r="I3455" s="10"/>
      <c r="M3455" s="9"/>
      <c r="O3455" s="9"/>
    </row>
    <row r="3456" ht="15.75" customHeight="1">
      <c r="A3456" s="9" t="str">
        <f>IFERROR(__xludf.DUMMYFUNCTION("IF(B3456="""","""",RIGHT(REGEXREPLACE(B3456&amp;"""",""[^0-9]"",""""),9))"),"")</f>
        <v/>
      </c>
      <c r="D3456" s="9"/>
      <c r="F3456" s="9"/>
      <c r="I3456" s="10"/>
      <c r="M3456" s="9"/>
      <c r="O3456" s="9"/>
    </row>
    <row r="3457" ht="15.75" customHeight="1">
      <c r="A3457" s="9" t="str">
        <f>IFERROR(__xludf.DUMMYFUNCTION("IF(B3457="""","""",RIGHT(REGEXREPLACE(B3457&amp;"""",""[^0-9]"",""""),9))"),"")</f>
        <v/>
      </c>
      <c r="D3457" s="9"/>
      <c r="F3457" s="9"/>
      <c r="I3457" s="10"/>
      <c r="M3457" s="9"/>
      <c r="O3457" s="9"/>
    </row>
    <row r="3458" ht="15.75" customHeight="1">
      <c r="A3458" s="9" t="str">
        <f>IFERROR(__xludf.DUMMYFUNCTION("IF(B3458="""","""",RIGHT(REGEXREPLACE(B3458&amp;"""",""[^0-9]"",""""),9))"),"")</f>
        <v/>
      </c>
      <c r="D3458" s="9"/>
      <c r="F3458" s="9"/>
      <c r="I3458" s="10"/>
      <c r="M3458" s="9"/>
      <c r="O3458" s="9"/>
    </row>
    <row r="3459" ht="15.75" customHeight="1">
      <c r="A3459" s="9" t="str">
        <f>IFERROR(__xludf.DUMMYFUNCTION("IF(B3459="""","""",RIGHT(REGEXREPLACE(B3459&amp;"""",""[^0-9]"",""""),9))"),"")</f>
        <v/>
      </c>
      <c r="D3459" s="9"/>
      <c r="F3459" s="9"/>
      <c r="I3459" s="10"/>
      <c r="M3459" s="9"/>
      <c r="O3459" s="9"/>
    </row>
    <row r="3460" ht="15.75" customHeight="1">
      <c r="A3460" s="9" t="str">
        <f>IFERROR(__xludf.DUMMYFUNCTION("IF(B3460="""","""",RIGHT(REGEXREPLACE(B3460&amp;"""",""[^0-9]"",""""),9))"),"")</f>
        <v/>
      </c>
      <c r="D3460" s="9"/>
      <c r="F3460" s="9"/>
      <c r="I3460" s="10"/>
      <c r="M3460" s="9"/>
      <c r="O3460" s="9"/>
    </row>
    <row r="3461" ht="15.75" customHeight="1">
      <c r="A3461" s="9" t="str">
        <f>IFERROR(__xludf.DUMMYFUNCTION("IF(B3461="""","""",RIGHT(REGEXREPLACE(B3461&amp;"""",""[^0-9]"",""""),9))"),"")</f>
        <v/>
      </c>
      <c r="D3461" s="9"/>
      <c r="F3461" s="9"/>
      <c r="I3461" s="10"/>
      <c r="M3461" s="9"/>
      <c r="O3461" s="9"/>
    </row>
    <row r="3462" ht="15.75" customHeight="1">
      <c r="A3462" s="9" t="str">
        <f>IFERROR(__xludf.DUMMYFUNCTION("IF(B3462="""","""",RIGHT(REGEXREPLACE(B3462&amp;"""",""[^0-9]"",""""),9))"),"")</f>
        <v/>
      </c>
      <c r="D3462" s="9"/>
      <c r="F3462" s="9"/>
      <c r="I3462" s="10"/>
      <c r="M3462" s="9"/>
      <c r="O3462" s="9"/>
    </row>
    <row r="3463" ht="15.75" customHeight="1">
      <c r="A3463" s="9" t="str">
        <f>IFERROR(__xludf.DUMMYFUNCTION("IF(B3463="""","""",RIGHT(REGEXREPLACE(B3463&amp;"""",""[^0-9]"",""""),9))"),"")</f>
        <v/>
      </c>
      <c r="D3463" s="9"/>
      <c r="F3463" s="9"/>
      <c r="I3463" s="10"/>
      <c r="M3463" s="9"/>
      <c r="O3463" s="9"/>
    </row>
    <row r="3464" ht="15.75" customHeight="1">
      <c r="A3464" s="9" t="str">
        <f>IFERROR(__xludf.DUMMYFUNCTION("IF(B3464="""","""",RIGHT(REGEXREPLACE(B3464&amp;"""",""[^0-9]"",""""),9))"),"")</f>
        <v/>
      </c>
      <c r="D3464" s="9"/>
      <c r="F3464" s="9"/>
      <c r="I3464" s="10"/>
      <c r="M3464" s="9"/>
      <c r="O3464" s="9"/>
    </row>
    <row r="3465" ht="15.75" customHeight="1">
      <c r="A3465" s="9" t="str">
        <f>IFERROR(__xludf.DUMMYFUNCTION("IF(B3465="""","""",RIGHT(REGEXREPLACE(B3465&amp;"""",""[^0-9]"",""""),9))"),"")</f>
        <v/>
      </c>
      <c r="D3465" s="9"/>
      <c r="F3465" s="9"/>
      <c r="I3465" s="10"/>
      <c r="M3465" s="9"/>
      <c r="O3465" s="9"/>
    </row>
    <row r="3466" ht="15.75" customHeight="1">
      <c r="A3466" s="9" t="str">
        <f>IFERROR(__xludf.DUMMYFUNCTION("IF(B3466="""","""",RIGHT(REGEXREPLACE(B3466&amp;"""",""[^0-9]"",""""),9))"),"")</f>
        <v/>
      </c>
      <c r="D3466" s="9"/>
      <c r="F3466" s="9"/>
      <c r="I3466" s="10"/>
      <c r="M3466" s="9"/>
      <c r="O3466" s="9"/>
    </row>
    <row r="3467" ht="15.75" customHeight="1">
      <c r="A3467" s="9" t="str">
        <f>IFERROR(__xludf.DUMMYFUNCTION("IF(B3467="""","""",RIGHT(REGEXREPLACE(B3467&amp;"""",""[^0-9]"",""""),9))"),"")</f>
        <v/>
      </c>
      <c r="D3467" s="9"/>
      <c r="F3467" s="9"/>
      <c r="I3467" s="10"/>
      <c r="M3467" s="9"/>
      <c r="O3467" s="9"/>
    </row>
    <row r="3468" ht="15.75" customHeight="1">
      <c r="A3468" s="9" t="str">
        <f>IFERROR(__xludf.DUMMYFUNCTION("IF(B3468="""","""",RIGHT(REGEXREPLACE(B3468&amp;"""",""[^0-9]"",""""),9))"),"")</f>
        <v/>
      </c>
      <c r="D3468" s="9"/>
      <c r="F3468" s="9"/>
      <c r="I3468" s="10"/>
      <c r="M3468" s="9"/>
      <c r="O3468" s="9"/>
    </row>
    <row r="3469" ht="15.75" customHeight="1">
      <c r="A3469" s="9" t="str">
        <f>IFERROR(__xludf.DUMMYFUNCTION("IF(B3469="""","""",RIGHT(REGEXREPLACE(B3469&amp;"""",""[^0-9]"",""""),9))"),"")</f>
        <v/>
      </c>
      <c r="D3469" s="9"/>
      <c r="F3469" s="9"/>
      <c r="I3469" s="10"/>
      <c r="M3469" s="9"/>
      <c r="O3469" s="9"/>
    </row>
    <row r="3470" ht="15.75" customHeight="1">
      <c r="A3470" s="9" t="str">
        <f>IFERROR(__xludf.DUMMYFUNCTION("IF(B3470="""","""",RIGHT(REGEXREPLACE(B3470&amp;"""",""[^0-9]"",""""),9))"),"")</f>
        <v/>
      </c>
      <c r="D3470" s="9"/>
      <c r="F3470" s="9"/>
      <c r="I3470" s="10"/>
      <c r="M3470" s="9"/>
      <c r="O3470" s="9"/>
    </row>
    <row r="3471" ht="15.75" customHeight="1">
      <c r="A3471" s="9" t="str">
        <f>IFERROR(__xludf.DUMMYFUNCTION("IF(B3471="""","""",RIGHT(REGEXREPLACE(B3471&amp;"""",""[^0-9]"",""""),9))"),"")</f>
        <v/>
      </c>
      <c r="D3471" s="9"/>
      <c r="F3471" s="9"/>
      <c r="I3471" s="10"/>
      <c r="M3471" s="9"/>
      <c r="O3471" s="9"/>
    </row>
    <row r="3472" ht="15.75" customHeight="1">
      <c r="A3472" s="9" t="str">
        <f>IFERROR(__xludf.DUMMYFUNCTION("IF(B3472="""","""",RIGHT(REGEXREPLACE(B3472&amp;"""",""[^0-9]"",""""),9))"),"")</f>
        <v/>
      </c>
      <c r="D3472" s="9"/>
      <c r="F3472" s="9"/>
      <c r="I3472" s="10"/>
      <c r="M3472" s="9"/>
      <c r="O3472" s="9"/>
    </row>
    <row r="3473" ht="15.75" customHeight="1">
      <c r="A3473" s="9" t="str">
        <f>IFERROR(__xludf.DUMMYFUNCTION("IF(B3473="""","""",RIGHT(REGEXREPLACE(B3473&amp;"""",""[^0-9]"",""""),9))"),"")</f>
        <v/>
      </c>
      <c r="D3473" s="9"/>
      <c r="F3473" s="9"/>
      <c r="I3473" s="10"/>
      <c r="M3473" s="9"/>
      <c r="O3473" s="9"/>
    </row>
    <row r="3474" ht="15.75" customHeight="1">
      <c r="A3474" s="9" t="str">
        <f>IFERROR(__xludf.DUMMYFUNCTION("IF(B3474="""","""",RIGHT(REGEXREPLACE(B3474&amp;"""",""[^0-9]"",""""),9))"),"")</f>
        <v/>
      </c>
      <c r="D3474" s="9"/>
      <c r="F3474" s="9"/>
      <c r="I3474" s="10"/>
      <c r="M3474" s="9"/>
      <c r="O3474" s="9"/>
    </row>
    <row r="3475" ht="15.75" customHeight="1">
      <c r="A3475" s="9" t="str">
        <f>IFERROR(__xludf.DUMMYFUNCTION("IF(B3475="""","""",RIGHT(REGEXREPLACE(B3475&amp;"""",""[^0-9]"",""""),9))"),"")</f>
        <v/>
      </c>
      <c r="D3475" s="9"/>
      <c r="F3475" s="9"/>
      <c r="I3475" s="10"/>
      <c r="M3475" s="9"/>
      <c r="O3475" s="9"/>
    </row>
    <row r="3476" ht="15.75" customHeight="1">
      <c r="A3476" s="9" t="str">
        <f>IFERROR(__xludf.DUMMYFUNCTION("IF(B3476="""","""",RIGHT(REGEXREPLACE(B3476&amp;"""",""[^0-9]"",""""),9))"),"")</f>
        <v/>
      </c>
      <c r="D3476" s="9"/>
      <c r="F3476" s="9"/>
      <c r="I3476" s="10"/>
      <c r="M3476" s="9"/>
      <c r="O3476" s="9"/>
    </row>
    <row r="3477" ht="15.75" customHeight="1">
      <c r="A3477" s="9" t="str">
        <f>IFERROR(__xludf.DUMMYFUNCTION("IF(B3477="""","""",RIGHT(REGEXREPLACE(B3477&amp;"""",""[^0-9]"",""""),9))"),"")</f>
        <v/>
      </c>
      <c r="D3477" s="9"/>
      <c r="F3477" s="9"/>
      <c r="I3477" s="10"/>
      <c r="M3477" s="9"/>
      <c r="O3477" s="9"/>
    </row>
    <row r="3478" ht="15.75" customHeight="1">
      <c r="A3478" s="9" t="str">
        <f>IFERROR(__xludf.DUMMYFUNCTION("IF(B3478="""","""",RIGHT(REGEXREPLACE(B3478&amp;"""",""[^0-9]"",""""),9))"),"")</f>
        <v/>
      </c>
      <c r="D3478" s="9"/>
      <c r="F3478" s="9"/>
      <c r="I3478" s="10"/>
      <c r="M3478" s="9"/>
      <c r="O3478" s="9"/>
    </row>
    <row r="3479" ht="15.75" customHeight="1">
      <c r="A3479" s="9" t="str">
        <f>IFERROR(__xludf.DUMMYFUNCTION("IF(B3479="""","""",RIGHT(REGEXREPLACE(B3479&amp;"""",""[^0-9]"",""""),9))"),"")</f>
        <v/>
      </c>
      <c r="D3479" s="9"/>
      <c r="F3479" s="9"/>
      <c r="I3479" s="10"/>
      <c r="M3479" s="9"/>
      <c r="O3479" s="9"/>
    </row>
    <row r="3480" ht="15.75" customHeight="1">
      <c r="A3480" s="9" t="str">
        <f>IFERROR(__xludf.DUMMYFUNCTION("IF(B3480="""","""",RIGHT(REGEXREPLACE(B3480&amp;"""",""[^0-9]"",""""),9))"),"")</f>
        <v/>
      </c>
      <c r="D3480" s="9"/>
      <c r="F3480" s="9"/>
      <c r="I3480" s="10"/>
      <c r="M3480" s="9"/>
      <c r="O3480" s="9"/>
    </row>
    <row r="3481" ht="15.75" customHeight="1">
      <c r="A3481" s="9" t="str">
        <f>IFERROR(__xludf.DUMMYFUNCTION("IF(B3481="""","""",RIGHT(REGEXREPLACE(B3481&amp;"""",""[^0-9]"",""""),9))"),"")</f>
        <v/>
      </c>
      <c r="D3481" s="9"/>
      <c r="F3481" s="9"/>
      <c r="I3481" s="10"/>
      <c r="M3481" s="9"/>
      <c r="O3481" s="9"/>
    </row>
    <row r="3482" ht="15.75" customHeight="1">
      <c r="A3482" s="9" t="str">
        <f>IFERROR(__xludf.DUMMYFUNCTION("IF(B3482="""","""",RIGHT(REGEXREPLACE(B3482&amp;"""",""[^0-9]"",""""),9))"),"")</f>
        <v/>
      </c>
      <c r="D3482" s="9"/>
      <c r="F3482" s="9"/>
      <c r="I3482" s="10"/>
      <c r="M3482" s="9"/>
      <c r="O3482" s="9"/>
    </row>
    <row r="3483" ht="15.75" customHeight="1">
      <c r="A3483" s="9" t="str">
        <f>IFERROR(__xludf.DUMMYFUNCTION("IF(B3483="""","""",RIGHT(REGEXREPLACE(B3483&amp;"""",""[^0-9]"",""""),9))"),"")</f>
        <v/>
      </c>
      <c r="D3483" s="9"/>
      <c r="F3483" s="9"/>
      <c r="I3483" s="10"/>
      <c r="M3483" s="9"/>
      <c r="O3483" s="9"/>
    </row>
    <row r="3484" ht="15.75" customHeight="1">
      <c r="A3484" s="9" t="str">
        <f>IFERROR(__xludf.DUMMYFUNCTION("IF(B3484="""","""",RIGHT(REGEXREPLACE(B3484&amp;"""",""[^0-9]"",""""),9))"),"")</f>
        <v/>
      </c>
      <c r="D3484" s="9"/>
      <c r="F3484" s="9"/>
      <c r="I3484" s="10"/>
      <c r="M3484" s="9"/>
      <c r="O3484" s="9"/>
    </row>
    <row r="3485" ht="15.75" customHeight="1">
      <c r="A3485" s="9" t="str">
        <f>IFERROR(__xludf.DUMMYFUNCTION("IF(B3485="""","""",RIGHT(REGEXREPLACE(B3485&amp;"""",""[^0-9]"",""""),9))"),"")</f>
        <v/>
      </c>
      <c r="D3485" s="9"/>
      <c r="F3485" s="9"/>
      <c r="I3485" s="10"/>
      <c r="M3485" s="9"/>
      <c r="O3485" s="9"/>
    </row>
    <row r="3486" ht="15.75" customHeight="1">
      <c r="A3486" s="9" t="str">
        <f>IFERROR(__xludf.DUMMYFUNCTION("IF(B3486="""","""",RIGHT(REGEXREPLACE(B3486&amp;"""",""[^0-9]"",""""),9))"),"")</f>
        <v/>
      </c>
      <c r="D3486" s="9"/>
      <c r="F3486" s="9"/>
      <c r="I3486" s="10"/>
      <c r="M3486" s="9"/>
      <c r="O3486" s="9"/>
    </row>
    <row r="3487" ht="15.75" customHeight="1">
      <c r="A3487" s="9" t="str">
        <f>IFERROR(__xludf.DUMMYFUNCTION("IF(B3487="""","""",RIGHT(REGEXREPLACE(B3487&amp;"""",""[^0-9]"",""""),9))"),"")</f>
        <v/>
      </c>
      <c r="D3487" s="9"/>
      <c r="F3487" s="9"/>
      <c r="I3487" s="10"/>
      <c r="M3487" s="9"/>
      <c r="O3487" s="9"/>
    </row>
    <row r="3488" ht="15.75" customHeight="1">
      <c r="A3488" s="9" t="str">
        <f>IFERROR(__xludf.DUMMYFUNCTION("IF(B3488="""","""",RIGHT(REGEXREPLACE(B3488&amp;"""",""[^0-9]"",""""),9))"),"")</f>
        <v/>
      </c>
      <c r="D3488" s="9"/>
      <c r="F3488" s="9"/>
      <c r="I3488" s="10"/>
      <c r="M3488" s="9"/>
      <c r="O3488" s="9"/>
    </row>
    <row r="3489" ht="15.75" customHeight="1">
      <c r="A3489" s="9" t="str">
        <f>IFERROR(__xludf.DUMMYFUNCTION("IF(B3489="""","""",RIGHT(REGEXREPLACE(B3489&amp;"""",""[^0-9]"",""""),9))"),"")</f>
        <v/>
      </c>
      <c r="D3489" s="9"/>
      <c r="F3489" s="9"/>
      <c r="I3489" s="10"/>
      <c r="M3489" s="9"/>
      <c r="O3489" s="9"/>
    </row>
    <row r="3490" ht="15.75" customHeight="1">
      <c r="A3490" s="9" t="str">
        <f>IFERROR(__xludf.DUMMYFUNCTION("IF(B3490="""","""",RIGHT(REGEXREPLACE(B3490&amp;"""",""[^0-9]"",""""),9))"),"")</f>
        <v/>
      </c>
      <c r="D3490" s="9"/>
      <c r="F3490" s="9"/>
      <c r="I3490" s="10"/>
      <c r="M3490" s="9"/>
      <c r="O3490" s="9"/>
    </row>
    <row r="3491" ht="15.75" customHeight="1">
      <c r="A3491" s="9" t="str">
        <f>IFERROR(__xludf.DUMMYFUNCTION("IF(B3491="""","""",RIGHT(REGEXREPLACE(B3491&amp;"""",""[^0-9]"",""""),9))"),"")</f>
        <v/>
      </c>
      <c r="D3491" s="9"/>
      <c r="F3491" s="9"/>
      <c r="I3491" s="10"/>
      <c r="M3491" s="9"/>
      <c r="O3491" s="9"/>
    </row>
    <row r="3492" ht="15.75" customHeight="1">
      <c r="A3492" s="9" t="str">
        <f>IFERROR(__xludf.DUMMYFUNCTION("IF(B3492="""","""",RIGHT(REGEXREPLACE(B3492&amp;"""",""[^0-9]"",""""),9))"),"")</f>
        <v/>
      </c>
      <c r="D3492" s="9"/>
      <c r="F3492" s="9"/>
      <c r="I3492" s="10"/>
      <c r="M3492" s="9"/>
      <c r="O3492" s="9"/>
    </row>
    <row r="3493" ht="15.75" customHeight="1">
      <c r="A3493" s="9" t="str">
        <f>IFERROR(__xludf.DUMMYFUNCTION("IF(B3493="""","""",RIGHT(REGEXREPLACE(B3493&amp;"""",""[^0-9]"",""""),9))"),"")</f>
        <v/>
      </c>
      <c r="D3493" s="9"/>
      <c r="F3493" s="9"/>
      <c r="I3493" s="10"/>
      <c r="M3493" s="9"/>
      <c r="O3493" s="9"/>
    </row>
    <row r="3494" ht="15.75" customHeight="1">
      <c r="A3494" s="9" t="str">
        <f>IFERROR(__xludf.DUMMYFUNCTION("IF(B3494="""","""",RIGHT(REGEXREPLACE(B3494&amp;"""",""[^0-9]"",""""),9))"),"")</f>
        <v/>
      </c>
      <c r="D3494" s="9"/>
      <c r="F3494" s="9"/>
      <c r="I3494" s="10"/>
      <c r="M3494" s="9"/>
      <c r="O3494" s="9"/>
    </row>
    <row r="3495" ht="15.75" customHeight="1">
      <c r="A3495" s="9" t="str">
        <f>IFERROR(__xludf.DUMMYFUNCTION("IF(B3495="""","""",RIGHT(REGEXREPLACE(B3495&amp;"""",""[^0-9]"",""""),9))"),"")</f>
        <v/>
      </c>
      <c r="D3495" s="9"/>
      <c r="F3495" s="9"/>
      <c r="I3495" s="10"/>
      <c r="M3495" s="9"/>
      <c r="O3495" s="9"/>
    </row>
    <row r="3496" ht="15.75" customHeight="1">
      <c r="A3496" s="9" t="str">
        <f>IFERROR(__xludf.DUMMYFUNCTION("IF(B3496="""","""",RIGHT(REGEXREPLACE(B3496&amp;"""",""[^0-9]"",""""),9))"),"")</f>
        <v/>
      </c>
      <c r="D3496" s="9"/>
      <c r="F3496" s="9"/>
      <c r="I3496" s="10"/>
      <c r="M3496" s="9"/>
      <c r="O3496" s="9"/>
    </row>
    <row r="3497" ht="15.75" customHeight="1">
      <c r="A3497" s="9" t="str">
        <f>IFERROR(__xludf.DUMMYFUNCTION("IF(B3497="""","""",RIGHT(REGEXREPLACE(B3497&amp;"""",""[^0-9]"",""""),9))"),"")</f>
        <v/>
      </c>
      <c r="D3497" s="9"/>
      <c r="F3497" s="9"/>
      <c r="I3497" s="10"/>
      <c r="M3497" s="9"/>
      <c r="O3497" s="9"/>
    </row>
    <row r="3498" ht="15.75" customHeight="1">
      <c r="A3498" s="9" t="str">
        <f>IFERROR(__xludf.DUMMYFUNCTION("IF(B3498="""","""",RIGHT(REGEXREPLACE(B3498&amp;"""",""[^0-9]"",""""),9))"),"")</f>
        <v/>
      </c>
      <c r="D3498" s="9"/>
      <c r="F3498" s="9"/>
      <c r="I3498" s="10"/>
      <c r="M3498" s="9"/>
      <c r="O3498" s="9"/>
    </row>
    <row r="3499" ht="15.75" customHeight="1">
      <c r="A3499" s="9" t="str">
        <f>IFERROR(__xludf.DUMMYFUNCTION("IF(B3499="""","""",RIGHT(REGEXREPLACE(B3499&amp;"""",""[^0-9]"",""""),9))"),"")</f>
        <v/>
      </c>
      <c r="D3499" s="9"/>
      <c r="F3499" s="9"/>
      <c r="I3499" s="10"/>
      <c r="M3499" s="9"/>
      <c r="O3499" s="9"/>
    </row>
    <row r="3500" ht="15.75" customHeight="1">
      <c r="A3500" s="9" t="str">
        <f>IFERROR(__xludf.DUMMYFUNCTION("IF(B3500="""","""",RIGHT(REGEXREPLACE(B3500&amp;"""",""[^0-9]"",""""),9))"),"")</f>
        <v/>
      </c>
      <c r="D3500" s="9"/>
      <c r="F3500" s="9"/>
      <c r="I3500" s="10"/>
      <c r="M3500" s="9"/>
      <c r="O3500" s="9"/>
    </row>
    <row r="3501" ht="15.75" customHeight="1">
      <c r="A3501" s="9" t="str">
        <f>IFERROR(__xludf.DUMMYFUNCTION("IF(B3501="""","""",RIGHT(REGEXREPLACE(B3501&amp;"""",""[^0-9]"",""""),9))"),"")</f>
        <v/>
      </c>
      <c r="D3501" s="9"/>
      <c r="F3501" s="9"/>
      <c r="I3501" s="10"/>
      <c r="M3501" s="9"/>
      <c r="O3501" s="9"/>
    </row>
    <row r="3502" ht="15.75" customHeight="1">
      <c r="A3502" s="9" t="str">
        <f>IFERROR(__xludf.DUMMYFUNCTION("IF(B3502="""","""",RIGHT(REGEXREPLACE(B3502&amp;"""",""[^0-9]"",""""),9))"),"")</f>
        <v/>
      </c>
      <c r="D3502" s="9"/>
      <c r="F3502" s="9"/>
      <c r="I3502" s="10"/>
      <c r="M3502" s="9"/>
      <c r="O3502" s="9"/>
    </row>
    <row r="3503" ht="15.75" customHeight="1">
      <c r="A3503" s="9" t="str">
        <f>IFERROR(__xludf.DUMMYFUNCTION("IF(B3503="""","""",RIGHT(REGEXREPLACE(B3503&amp;"""",""[^0-9]"",""""),9))"),"")</f>
        <v/>
      </c>
      <c r="D3503" s="9"/>
      <c r="F3503" s="9"/>
      <c r="I3503" s="10"/>
      <c r="M3503" s="9"/>
      <c r="O3503" s="9"/>
    </row>
    <row r="3504" ht="15.75" customHeight="1">
      <c r="A3504" s="9" t="str">
        <f>IFERROR(__xludf.DUMMYFUNCTION("IF(B3504="""","""",RIGHT(REGEXREPLACE(B3504&amp;"""",""[^0-9]"",""""),9))"),"")</f>
        <v/>
      </c>
      <c r="D3504" s="9"/>
      <c r="F3504" s="9"/>
      <c r="I3504" s="10"/>
      <c r="M3504" s="9"/>
      <c r="O3504" s="9"/>
    </row>
    <row r="3505" ht="15.75" customHeight="1">
      <c r="A3505" s="9" t="str">
        <f>IFERROR(__xludf.DUMMYFUNCTION("IF(B3505="""","""",RIGHT(REGEXREPLACE(B3505&amp;"""",""[^0-9]"",""""),9))"),"")</f>
        <v/>
      </c>
      <c r="D3505" s="9"/>
      <c r="F3505" s="9"/>
      <c r="I3505" s="10"/>
      <c r="M3505" s="9"/>
      <c r="O3505" s="9"/>
    </row>
    <row r="3506" ht="15.75" customHeight="1">
      <c r="A3506" s="9" t="str">
        <f>IFERROR(__xludf.DUMMYFUNCTION("IF(B3506="""","""",RIGHT(REGEXREPLACE(B3506&amp;"""",""[^0-9]"",""""),9))"),"")</f>
        <v/>
      </c>
      <c r="D3506" s="9"/>
      <c r="F3506" s="9"/>
      <c r="I3506" s="10"/>
      <c r="M3506" s="9"/>
      <c r="O3506" s="9"/>
    </row>
    <row r="3507" ht="15.75" customHeight="1">
      <c r="A3507" s="9" t="str">
        <f>IFERROR(__xludf.DUMMYFUNCTION("IF(B3507="""","""",RIGHT(REGEXREPLACE(B3507&amp;"""",""[^0-9]"",""""),9))"),"")</f>
        <v/>
      </c>
      <c r="D3507" s="9"/>
      <c r="F3507" s="9"/>
      <c r="I3507" s="10"/>
      <c r="M3507" s="9"/>
      <c r="O3507" s="9"/>
    </row>
    <row r="3508" ht="15.75" customHeight="1">
      <c r="A3508" s="9" t="str">
        <f>IFERROR(__xludf.DUMMYFUNCTION("IF(B3508="""","""",RIGHT(REGEXREPLACE(B3508&amp;"""",""[^0-9]"",""""),9))"),"")</f>
        <v/>
      </c>
      <c r="D3508" s="9"/>
      <c r="F3508" s="9"/>
      <c r="I3508" s="10"/>
      <c r="M3508" s="9"/>
      <c r="O3508" s="9"/>
    </row>
    <row r="3509" ht="15.75" customHeight="1">
      <c r="A3509" s="9" t="str">
        <f>IFERROR(__xludf.DUMMYFUNCTION("IF(B3509="""","""",RIGHT(REGEXREPLACE(B3509&amp;"""",""[^0-9]"",""""),9))"),"")</f>
        <v/>
      </c>
      <c r="D3509" s="9"/>
      <c r="F3509" s="9"/>
      <c r="I3509" s="10"/>
      <c r="M3509" s="9"/>
      <c r="O3509" s="9"/>
    </row>
    <row r="3510" ht="15.75" customHeight="1">
      <c r="A3510" s="9" t="str">
        <f>IFERROR(__xludf.DUMMYFUNCTION("IF(B3510="""","""",RIGHT(REGEXREPLACE(B3510&amp;"""",""[^0-9]"",""""),9))"),"")</f>
        <v/>
      </c>
      <c r="D3510" s="9"/>
      <c r="F3510" s="9"/>
      <c r="I3510" s="10"/>
      <c r="M3510" s="9"/>
      <c r="O3510" s="9"/>
    </row>
    <row r="3511" ht="15.75" customHeight="1">
      <c r="A3511" s="9" t="str">
        <f>IFERROR(__xludf.DUMMYFUNCTION("IF(B3511="""","""",RIGHT(REGEXREPLACE(B3511&amp;"""",""[^0-9]"",""""),9))"),"")</f>
        <v/>
      </c>
      <c r="D3511" s="9"/>
      <c r="F3511" s="9"/>
      <c r="I3511" s="10"/>
      <c r="M3511" s="9"/>
      <c r="O3511" s="9"/>
    </row>
    <row r="3512" ht="15.75" customHeight="1">
      <c r="A3512" s="9" t="str">
        <f>IFERROR(__xludf.DUMMYFUNCTION("IF(B3512="""","""",RIGHT(REGEXREPLACE(B3512&amp;"""",""[^0-9]"",""""),9))"),"")</f>
        <v/>
      </c>
      <c r="D3512" s="9"/>
      <c r="F3512" s="9"/>
      <c r="I3512" s="10"/>
      <c r="M3512" s="9"/>
      <c r="O3512" s="9"/>
    </row>
    <row r="3513" ht="15.75" customHeight="1">
      <c r="A3513" s="9" t="str">
        <f>IFERROR(__xludf.DUMMYFUNCTION("IF(B3513="""","""",RIGHT(REGEXREPLACE(B3513&amp;"""",""[^0-9]"",""""),9))"),"")</f>
        <v/>
      </c>
      <c r="D3513" s="9"/>
      <c r="F3513" s="9"/>
      <c r="I3513" s="10"/>
      <c r="M3513" s="9"/>
      <c r="O3513" s="9"/>
    </row>
    <row r="3514" ht="15.75" customHeight="1">
      <c r="A3514" s="9" t="str">
        <f>IFERROR(__xludf.DUMMYFUNCTION("IF(B3514="""","""",RIGHT(REGEXREPLACE(B3514&amp;"""",""[^0-9]"",""""),9))"),"")</f>
        <v/>
      </c>
      <c r="D3514" s="9"/>
      <c r="F3514" s="9"/>
      <c r="I3514" s="10"/>
      <c r="M3514" s="9"/>
      <c r="O3514" s="9"/>
    </row>
    <row r="3515" ht="15.75" customHeight="1">
      <c r="A3515" s="9" t="str">
        <f>IFERROR(__xludf.DUMMYFUNCTION("IF(B3515="""","""",RIGHT(REGEXREPLACE(B3515&amp;"""",""[^0-9]"",""""),9))"),"")</f>
        <v/>
      </c>
      <c r="D3515" s="9"/>
      <c r="F3515" s="9"/>
      <c r="I3515" s="10"/>
      <c r="M3515" s="9"/>
      <c r="O3515" s="9"/>
    </row>
    <row r="3516" ht="15.75" customHeight="1">
      <c r="A3516" s="9" t="str">
        <f>IFERROR(__xludf.DUMMYFUNCTION("IF(B3516="""","""",RIGHT(REGEXREPLACE(B3516&amp;"""",""[^0-9]"",""""),9))"),"")</f>
        <v/>
      </c>
      <c r="D3516" s="9"/>
      <c r="F3516" s="9"/>
      <c r="I3516" s="10"/>
      <c r="M3516" s="9"/>
      <c r="O3516" s="9"/>
    </row>
    <row r="3517" ht="15.75" customHeight="1">
      <c r="A3517" s="9" t="str">
        <f>IFERROR(__xludf.DUMMYFUNCTION("IF(B3517="""","""",RIGHT(REGEXREPLACE(B3517&amp;"""",""[^0-9]"",""""),9))"),"")</f>
        <v/>
      </c>
      <c r="D3517" s="9"/>
      <c r="F3517" s="9"/>
      <c r="I3517" s="10"/>
      <c r="M3517" s="9"/>
      <c r="O3517" s="9"/>
    </row>
    <row r="3518" ht="15.75" customHeight="1">
      <c r="A3518" s="9" t="str">
        <f>IFERROR(__xludf.DUMMYFUNCTION("IF(B3518="""","""",RIGHT(REGEXREPLACE(B3518&amp;"""",""[^0-9]"",""""),9))"),"")</f>
        <v/>
      </c>
      <c r="D3518" s="9"/>
      <c r="F3518" s="9"/>
      <c r="I3518" s="10"/>
      <c r="M3518" s="9"/>
      <c r="O3518" s="9"/>
    </row>
    <row r="3519" ht="15.75" customHeight="1">
      <c r="A3519" s="9" t="str">
        <f>IFERROR(__xludf.DUMMYFUNCTION("IF(B3519="""","""",RIGHT(REGEXREPLACE(B3519&amp;"""",""[^0-9]"",""""),9))"),"")</f>
        <v/>
      </c>
      <c r="D3519" s="9"/>
      <c r="F3519" s="9"/>
      <c r="I3519" s="10"/>
      <c r="M3519" s="9"/>
      <c r="O3519" s="9"/>
    </row>
    <row r="3520" ht="15.75" customHeight="1">
      <c r="A3520" s="9" t="str">
        <f>IFERROR(__xludf.DUMMYFUNCTION("IF(B3520="""","""",RIGHT(REGEXREPLACE(B3520&amp;"""",""[^0-9]"",""""),9))"),"")</f>
        <v/>
      </c>
      <c r="D3520" s="9"/>
      <c r="F3520" s="9"/>
      <c r="I3520" s="10"/>
      <c r="M3520" s="9"/>
      <c r="O3520" s="9"/>
    </row>
    <row r="3521" ht="15.75" customHeight="1">
      <c r="A3521" s="9" t="str">
        <f>IFERROR(__xludf.DUMMYFUNCTION("IF(B3521="""","""",RIGHT(REGEXREPLACE(B3521&amp;"""",""[^0-9]"",""""),9))"),"")</f>
        <v/>
      </c>
      <c r="D3521" s="9"/>
      <c r="F3521" s="9"/>
      <c r="I3521" s="10"/>
      <c r="M3521" s="9"/>
      <c r="O3521" s="9"/>
    </row>
    <row r="3522" ht="15.75" customHeight="1">
      <c r="A3522" s="9" t="str">
        <f>IFERROR(__xludf.DUMMYFUNCTION("IF(B3522="""","""",RIGHT(REGEXREPLACE(B3522&amp;"""",""[^0-9]"",""""),9))"),"")</f>
        <v/>
      </c>
      <c r="D3522" s="9"/>
      <c r="F3522" s="9"/>
      <c r="I3522" s="10"/>
      <c r="M3522" s="9"/>
      <c r="O3522" s="9"/>
    </row>
    <row r="3523" ht="15.75" customHeight="1">
      <c r="A3523" s="9" t="str">
        <f>IFERROR(__xludf.DUMMYFUNCTION("IF(B3523="""","""",RIGHT(REGEXREPLACE(B3523&amp;"""",""[^0-9]"",""""),9))"),"")</f>
        <v/>
      </c>
      <c r="D3523" s="9"/>
      <c r="F3523" s="9"/>
      <c r="I3523" s="10"/>
      <c r="M3523" s="9"/>
      <c r="O3523" s="9"/>
    </row>
    <row r="3524" ht="15.75" customHeight="1">
      <c r="A3524" s="9" t="str">
        <f>IFERROR(__xludf.DUMMYFUNCTION("IF(B3524="""","""",RIGHT(REGEXREPLACE(B3524&amp;"""",""[^0-9]"",""""),9))"),"")</f>
        <v/>
      </c>
      <c r="D3524" s="9"/>
      <c r="F3524" s="9"/>
      <c r="I3524" s="10"/>
      <c r="M3524" s="9"/>
      <c r="O3524" s="9"/>
    </row>
    <row r="3525" ht="15.75" customHeight="1">
      <c r="A3525" s="9" t="str">
        <f>IFERROR(__xludf.DUMMYFUNCTION("IF(B3525="""","""",RIGHT(REGEXREPLACE(B3525&amp;"""",""[^0-9]"",""""),9))"),"")</f>
        <v/>
      </c>
      <c r="D3525" s="9"/>
      <c r="F3525" s="9"/>
      <c r="I3525" s="10"/>
      <c r="M3525" s="9"/>
      <c r="O3525" s="9"/>
    </row>
    <row r="3526" ht="15.75" customHeight="1">
      <c r="A3526" s="9" t="str">
        <f>IFERROR(__xludf.DUMMYFUNCTION("IF(B3526="""","""",RIGHT(REGEXREPLACE(B3526&amp;"""",""[^0-9]"",""""),9))"),"")</f>
        <v/>
      </c>
      <c r="D3526" s="9"/>
      <c r="F3526" s="9"/>
      <c r="I3526" s="10"/>
      <c r="M3526" s="9"/>
      <c r="O3526" s="9"/>
    </row>
    <row r="3527" ht="15.75" customHeight="1">
      <c r="A3527" s="9" t="str">
        <f>IFERROR(__xludf.DUMMYFUNCTION("IF(B3527="""","""",RIGHT(REGEXREPLACE(B3527&amp;"""",""[^0-9]"",""""),9))"),"")</f>
        <v/>
      </c>
      <c r="D3527" s="9"/>
      <c r="F3527" s="9"/>
      <c r="I3527" s="10"/>
      <c r="M3527" s="9"/>
      <c r="O3527" s="9"/>
    </row>
    <row r="3528" ht="15.75" customHeight="1">
      <c r="A3528" s="9" t="str">
        <f>IFERROR(__xludf.DUMMYFUNCTION("IF(B3528="""","""",RIGHT(REGEXREPLACE(B3528&amp;"""",""[^0-9]"",""""),9))"),"")</f>
        <v/>
      </c>
      <c r="D3528" s="9"/>
      <c r="F3528" s="9"/>
      <c r="I3528" s="10"/>
      <c r="M3528" s="9"/>
      <c r="O3528" s="9"/>
    </row>
    <row r="3529" ht="15.75" customHeight="1">
      <c r="A3529" s="9" t="str">
        <f>IFERROR(__xludf.DUMMYFUNCTION("IF(B3529="""","""",RIGHT(REGEXREPLACE(B3529&amp;"""",""[^0-9]"",""""),9))"),"")</f>
        <v/>
      </c>
      <c r="D3529" s="9"/>
      <c r="F3529" s="9"/>
      <c r="I3529" s="10"/>
      <c r="M3529" s="9"/>
      <c r="O3529" s="9"/>
    </row>
    <row r="3530" ht="15.75" customHeight="1">
      <c r="A3530" s="9" t="str">
        <f>IFERROR(__xludf.DUMMYFUNCTION("IF(B3530="""","""",RIGHT(REGEXREPLACE(B3530&amp;"""",""[^0-9]"",""""),9))"),"")</f>
        <v/>
      </c>
      <c r="D3530" s="9"/>
      <c r="F3530" s="9"/>
      <c r="I3530" s="10"/>
      <c r="M3530" s="9"/>
      <c r="O3530" s="9"/>
    </row>
    <row r="3531" ht="15.75" customHeight="1">
      <c r="A3531" s="9" t="str">
        <f>IFERROR(__xludf.DUMMYFUNCTION("IF(B3531="""","""",RIGHT(REGEXREPLACE(B3531&amp;"""",""[^0-9]"",""""),9))"),"")</f>
        <v/>
      </c>
      <c r="D3531" s="9"/>
      <c r="F3531" s="9"/>
      <c r="I3531" s="10"/>
      <c r="M3531" s="9"/>
      <c r="O3531" s="9"/>
    </row>
    <row r="3532" ht="15.75" customHeight="1">
      <c r="A3532" s="9" t="str">
        <f>IFERROR(__xludf.DUMMYFUNCTION("IF(B3532="""","""",RIGHT(REGEXREPLACE(B3532&amp;"""",""[^0-9]"",""""),9))"),"")</f>
        <v/>
      </c>
      <c r="D3532" s="9"/>
      <c r="F3532" s="9"/>
      <c r="I3532" s="10"/>
      <c r="M3532" s="9"/>
      <c r="O3532" s="9"/>
    </row>
    <row r="3533" ht="15.75" customHeight="1">
      <c r="A3533" s="9" t="str">
        <f>IFERROR(__xludf.DUMMYFUNCTION("IF(B3533="""","""",RIGHT(REGEXREPLACE(B3533&amp;"""",""[^0-9]"",""""),9))"),"")</f>
        <v/>
      </c>
      <c r="D3533" s="9"/>
      <c r="F3533" s="9"/>
      <c r="I3533" s="10"/>
      <c r="M3533" s="9"/>
      <c r="O3533" s="9"/>
    </row>
    <row r="3534" ht="15.75" customHeight="1">
      <c r="A3534" s="9" t="str">
        <f>IFERROR(__xludf.DUMMYFUNCTION("IF(B3534="""","""",RIGHT(REGEXREPLACE(B3534&amp;"""",""[^0-9]"",""""),9))"),"")</f>
        <v/>
      </c>
      <c r="D3534" s="9"/>
      <c r="F3534" s="9"/>
      <c r="I3534" s="10"/>
      <c r="M3534" s="9"/>
      <c r="O3534" s="9"/>
    </row>
    <row r="3535" ht="15.75" customHeight="1">
      <c r="A3535" s="9" t="str">
        <f>IFERROR(__xludf.DUMMYFUNCTION("IF(B3535="""","""",RIGHT(REGEXREPLACE(B3535&amp;"""",""[^0-9]"",""""),9))"),"")</f>
        <v/>
      </c>
      <c r="D3535" s="9"/>
      <c r="F3535" s="9"/>
      <c r="I3535" s="10"/>
      <c r="M3535" s="9"/>
      <c r="O3535" s="9"/>
    </row>
    <row r="3536" ht="15.75" customHeight="1">
      <c r="A3536" s="9" t="str">
        <f>IFERROR(__xludf.DUMMYFUNCTION("IF(B3536="""","""",RIGHT(REGEXREPLACE(B3536&amp;"""",""[^0-9]"",""""),9))"),"")</f>
        <v/>
      </c>
      <c r="D3536" s="9"/>
      <c r="F3536" s="9"/>
      <c r="I3536" s="10"/>
      <c r="M3536" s="9"/>
      <c r="O3536" s="9"/>
    </row>
    <row r="3537" ht="15.75" customHeight="1">
      <c r="A3537" s="9" t="str">
        <f>IFERROR(__xludf.DUMMYFUNCTION("IF(B3537="""","""",RIGHT(REGEXREPLACE(B3537&amp;"""",""[^0-9]"",""""),9))"),"")</f>
        <v/>
      </c>
      <c r="D3537" s="9"/>
      <c r="F3537" s="9"/>
      <c r="I3537" s="10"/>
      <c r="M3537" s="9"/>
      <c r="O3537" s="9"/>
    </row>
    <row r="3538" ht="15.75" customHeight="1">
      <c r="A3538" s="9" t="str">
        <f>IFERROR(__xludf.DUMMYFUNCTION("IF(B3538="""","""",RIGHT(REGEXREPLACE(B3538&amp;"""",""[^0-9]"",""""),9))"),"")</f>
        <v/>
      </c>
      <c r="D3538" s="9"/>
      <c r="F3538" s="9"/>
      <c r="I3538" s="10"/>
      <c r="M3538" s="9"/>
      <c r="O3538" s="9"/>
    </row>
    <row r="3539" ht="15.75" customHeight="1">
      <c r="A3539" s="9" t="str">
        <f>IFERROR(__xludf.DUMMYFUNCTION("IF(B3539="""","""",RIGHT(REGEXREPLACE(B3539&amp;"""",""[^0-9]"",""""),9))"),"")</f>
        <v/>
      </c>
      <c r="D3539" s="9"/>
      <c r="F3539" s="9"/>
      <c r="I3539" s="10"/>
      <c r="M3539" s="9"/>
      <c r="O3539" s="9"/>
    </row>
    <row r="3540" ht="15.75" customHeight="1">
      <c r="A3540" s="9" t="str">
        <f>IFERROR(__xludf.DUMMYFUNCTION("IF(B3540="""","""",RIGHT(REGEXREPLACE(B3540&amp;"""",""[^0-9]"",""""),9))"),"")</f>
        <v/>
      </c>
      <c r="D3540" s="9"/>
      <c r="F3540" s="9"/>
      <c r="I3540" s="10"/>
      <c r="M3540" s="9"/>
      <c r="O3540" s="9"/>
    </row>
    <row r="3541" ht="15.75" customHeight="1">
      <c r="A3541" s="9" t="str">
        <f>IFERROR(__xludf.DUMMYFUNCTION("IF(B3541="""","""",RIGHT(REGEXREPLACE(B3541&amp;"""",""[^0-9]"",""""),9))"),"")</f>
        <v/>
      </c>
      <c r="D3541" s="9"/>
      <c r="F3541" s="9"/>
      <c r="I3541" s="10"/>
      <c r="M3541" s="9"/>
      <c r="O3541" s="9"/>
    </row>
    <row r="3542" ht="15.75" customHeight="1">
      <c r="A3542" s="9" t="str">
        <f>IFERROR(__xludf.DUMMYFUNCTION("IF(B3542="""","""",RIGHT(REGEXREPLACE(B3542&amp;"""",""[^0-9]"",""""),9))"),"")</f>
        <v/>
      </c>
      <c r="D3542" s="9"/>
      <c r="F3542" s="9"/>
      <c r="I3542" s="10"/>
      <c r="M3542" s="9"/>
      <c r="O3542" s="9"/>
    </row>
    <row r="3543" ht="15.75" customHeight="1">
      <c r="A3543" s="9" t="str">
        <f>IFERROR(__xludf.DUMMYFUNCTION("IF(B3543="""","""",RIGHT(REGEXREPLACE(B3543&amp;"""",""[^0-9]"",""""),9))"),"")</f>
        <v/>
      </c>
      <c r="D3543" s="9"/>
      <c r="F3543" s="9"/>
      <c r="I3543" s="10"/>
      <c r="M3543" s="9"/>
      <c r="O3543" s="9"/>
    </row>
    <row r="3544" ht="15.75" customHeight="1">
      <c r="A3544" s="9" t="str">
        <f>IFERROR(__xludf.DUMMYFUNCTION("IF(B3544="""","""",RIGHT(REGEXREPLACE(B3544&amp;"""",""[^0-9]"",""""),9))"),"")</f>
        <v/>
      </c>
      <c r="D3544" s="9"/>
      <c r="F3544" s="9"/>
      <c r="I3544" s="10"/>
      <c r="M3544" s="9"/>
      <c r="O3544" s="9"/>
    </row>
    <row r="3545" ht="15.75" customHeight="1">
      <c r="A3545" s="9" t="str">
        <f>IFERROR(__xludf.DUMMYFUNCTION("IF(B3545="""","""",RIGHT(REGEXREPLACE(B3545&amp;"""",""[^0-9]"",""""),9))"),"")</f>
        <v/>
      </c>
      <c r="D3545" s="9"/>
      <c r="F3545" s="9"/>
      <c r="I3545" s="10"/>
      <c r="M3545" s="9"/>
      <c r="O3545" s="9"/>
    </row>
    <row r="3546" ht="15.75" customHeight="1">
      <c r="A3546" s="9" t="str">
        <f>IFERROR(__xludf.DUMMYFUNCTION("IF(B3546="""","""",RIGHT(REGEXREPLACE(B3546&amp;"""",""[^0-9]"",""""),9))"),"")</f>
        <v/>
      </c>
      <c r="D3546" s="9"/>
      <c r="F3546" s="9"/>
      <c r="I3546" s="10"/>
      <c r="M3546" s="9"/>
      <c r="O3546" s="9"/>
    </row>
    <row r="3547" ht="15.75" customHeight="1">
      <c r="A3547" s="9" t="str">
        <f>IFERROR(__xludf.DUMMYFUNCTION("IF(B3547="""","""",RIGHT(REGEXREPLACE(B3547&amp;"""",""[^0-9]"",""""),9))"),"")</f>
        <v/>
      </c>
      <c r="D3547" s="9"/>
      <c r="F3547" s="9"/>
      <c r="I3547" s="10"/>
      <c r="M3547" s="9"/>
      <c r="O3547" s="9"/>
    </row>
    <row r="3548" ht="15.75" customHeight="1">
      <c r="A3548" s="9" t="str">
        <f>IFERROR(__xludf.DUMMYFUNCTION("IF(B3548="""","""",RIGHT(REGEXREPLACE(B3548&amp;"""",""[^0-9]"",""""),9))"),"")</f>
        <v/>
      </c>
      <c r="D3548" s="9"/>
      <c r="F3548" s="9"/>
      <c r="I3548" s="10"/>
      <c r="M3548" s="9"/>
      <c r="O3548" s="9"/>
    </row>
    <row r="3549" ht="15.75" customHeight="1">
      <c r="A3549" s="9" t="str">
        <f>IFERROR(__xludf.DUMMYFUNCTION("IF(B3549="""","""",RIGHT(REGEXREPLACE(B3549&amp;"""",""[^0-9]"",""""),9))"),"")</f>
        <v/>
      </c>
      <c r="D3549" s="9"/>
      <c r="F3549" s="9"/>
      <c r="I3549" s="10"/>
      <c r="M3549" s="9"/>
      <c r="O3549" s="9"/>
    </row>
    <row r="3550" ht="15.75" customHeight="1">
      <c r="A3550" s="9" t="str">
        <f>IFERROR(__xludf.DUMMYFUNCTION("IF(B3550="""","""",RIGHT(REGEXREPLACE(B3550&amp;"""",""[^0-9]"",""""),9))"),"")</f>
        <v/>
      </c>
      <c r="D3550" s="9"/>
      <c r="F3550" s="9"/>
      <c r="I3550" s="10"/>
      <c r="M3550" s="9"/>
      <c r="O3550" s="9"/>
    </row>
    <row r="3551" ht="15.75" customHeight="1">
      <c r="A3551" s="9" t="str">
        <f>IFERROR(__xludf.DUMMYFUNCTION("IF(B3551="""","""",RIGHT(REGEXREPLACE(B3551&amp;"""",""[^0-9]"",""""),9))"),"")</f>
        <v/>
      </c>
      <c r="D3551" s="9"/>
      <c r="F3551" s="9"/>
      <c r="I3551" s="10"/>
      <c r="M3551" s="9"/>
      <c r="O3551" s="9"/>
    </row>
    <row r="3552" ht="15.75" customHeight="1">
      <c r="A3552" s="9" t="str">
        <f>IFERROR(__xludf.DUMMYFUNCTION("IF(B3552="""","""",RIGHT(REGEXREPLACE(B3552&amp;"""",""[^0-9]"",""""),9))"),"")</f>
        <v/>
      </c>
      <c r="D3552" s="9"/>
      <c r="F3552" s="9"/>
      <c r="I3552" s="10"/>
      <c r="M3552" s="9"/>
      <c r="O3552" s="9"/>
    </row>
    <row r="3553" ht="15.75" customHeight="1">
      <c r="A3553" s="9" t="str">
        <f>IFERROR(__xludf.DUMMYFUNCTION("IF(B3553="""","""",RIGHT(REGEXREPLACE(B3553&amp;"""",""[^0-9]"",""""),9))"),"")</f>
        <v/>
      </c>
      <c r="D3553" s="9"/>
      <c r="F3553" s="9"/>
      <c r="I3553" s="10"/>
      <c r="M3553" s="9"/>
      <c r="O3553" s="9"/>
    </row>
    <row r="3554" ht="15.75" customHeight="1">
      <c r="A3554" s="9" t="str">
        <f>IFERROR(__xludf.DUMMYFUNCTION("IF(B3554="""","""",RIGHT(REGEXREPLACE(B3554&amp;"""",""[^0-9]"",""""),9))"),"")</f>
        <v/>
      </c>
      <c r="D3554" s="9"/>
      <c r="F3554" s="9"/>
      <c r="I3554" s="10"/>
      <c r="M3554" s="9"/>
      <c r="O3554" s="9"/>
    </row>
    <row r="3555" ht="15.75" customHeight="1">
      <c r="A3555" s="9" t="str">
        <f>IFERROR(__xludf.DUMMYFUNCTION("IF(B3555="""","""",RIGHT(REGEXREPLACE(B3555&amp;"""",""[^0-9]"",""""),9))"),"")</f>
        <v/>
      </c>
      <c r="D3555" s="9"/>
      <c r="F3555" s="9"/>
      <c r="I3555" s="10"/>
      <c r="M3555" s="9"/>
      <c r="O3555" s="9"/>
    </row>
    <row r="3556" ht="15.75" customHeight="1">
      <c r="A3556" s="9" t="str">
        <f>IFERROR(__xludf.DUMMYFUNCTION("IF(B3556="""","""",RIGHT(REGEXREPLACE(B3556&amp;"""",""[^0-9]"",""""),9))"),"")</f>
        <v/>
      </c>
      <c r="D3556" s="9"/>
      <c r="F3556" s="9"/>
      <c r="I3556" s="10"/>
      <c r="M3556" s="9"/>
      <c r="O3556" s="9"/>
    </row>
    <row r="3557" ht="15.75" customHeight="1">
      <c r="A3557" s="9" t="str">
        <f>IFERROR(__xludf.DUMMYFUNCTION("IF(B3557="""","""",RIGHT(REGEXREPLACE(B3557&amp;"""",""[^0-9]"",""""),9))"),"")</f>
        <v/>
      </c>
      <c r="D3557" s="9"/>
      <c r="F3557" s="9"/>
      <c r="I3557" s="10"/>
      <c r="M3557" s="9"/>
      <c r="O3557" s="9"/>
    </row>
    <row r="3558" ht="15.75" customHeight="1">
      <c r="A3558" s="9" t="str">
        <f>IFERROR(__xludf.DUMMYFUNCTION("IF(B3558="""","""",RIGHT(REGEXREPLACE(B3558&amp;"""",""[^0-9]"",""""),9))"),"")</f>
        <v/>
      </c>
      <c r="D3558" s="9"/>
      <c r="F3558" s="9"/>
      <c r="I3558" s="10"/>
      <c r="M3558" s="9"/>
      <c r="O3558" s="9"/>
    </row>
    <row r="3559" ht="15.75" customHeight="1">
      <c r="A3559" s="9" t="str">
        <f>IFERROR(__xludf.DUMMYFUNCTION("IF(B3559="""","""",RIGHT(REGEXREPLACE(B3559&amp;"""",""[^0-9]"",""""),9))"),"")</f>
        <v/>
      </c>
      <c r="D3559" s="9"/>
      <c r="F3559" s="9"/>
      <c r="I3559" s="10"/>
      <c r="M3559" s="9"/>
      <c r="O3559" s="9"/>
    </row>
    <row r="3560" ht="15.75" customHeight="1">
      <c r="A3560" s="9" t="str">
        <f>IFERROR(__xludf.DUMMYFUNCTION("IF(B3560="""","""",RIGHT(REGEXREPLACE(B3560&amp;"""",""[^0-9]"",""""),9))"),"")</f>
        <v/>
      </c>
      <c r="D3560" s="9"/>
      <c r="F3560" s="9"/>
      <c r="I3560" s="10"/>
      <c r="M3560" s="9"/>
      <c r="O3560" s="9"/>
    </row>
    <row r="3561" ht="15.75" customHeight="1">
      <c r="A3561" s="9" t="str">
        <f>IFERROR(__xludf.DUMMYFUNCTION("IF(B3561="""","""",RIGHT(REGEXREPLACE(B3561&amp;"""",""[^0-9]"",""""),9))"),"")</f>
        <v/>
      </c>
      <c r="D3561" s="9"/>
      <c r="F3561" s="9"/>
      <c r="I3561" s="10"/>
      <c r="M3561" s="9"/>
      <c r="O3561" s="9"/>
    </row>
    <row r="3562" ht="15.75" customHeight="1">
      <c r="A3562" s="9" t="str">
        <f>IFERROR(__xludf.DUMMYFUNCTION("IF(B3562="""","""",RIGHT(REGEXREPLACE(B3562&amp;"""",""[^0-9]"",""""),9))"),"")</f>
        <v/>
      </c>
      <c r="D3562" s="9"/>
      <c r="F3562" s="9"/>
      <c r="I3562" s="10"/>
      <c r="M3562" s="9"/>
      <c r="O3562" s="9"/>
    </row>
    <row r="3563" ht="15.75" customHeight="1">
      <c r="A3563" s="9" t="str">
        <f>IFERROR(__xludf.DUMMYFUNCTION("IF(B3563="""","""",RIGHT(REGEXREPLACE(B3563&amp;"""",""[^0-9]"",""""),9))"),"")</f>
        <v/>
      </c>
      <c r="D3563" s="9"/>
      <c r="F3563" s="9"/>
      <c r="I3563" s="10"/>
      <c r="M3563" s="9"/>
      <c r="O3563" s="9"/>
    </row>
    <row r="3564" ht="15.75" customHeight="1">
      <c r="A3564" s="9" t="str">
        <f>IFERROR(__xludf.DUMMYFUNCTION("IF(B3564="""","""",RIGHT(REGEXREPLACE(B3564&amp;"""",""[^0-9]"",""""),9))"),"")</f>
        <v/>
      </c>
      <c r="D3564" s="9"/>
      <c r="F3564" s="9"/>
      <c r="I3564" s="10"/>
      <c r="M3564" s="9"/>
      <c r="O3564" s="9"/>
    </row>
    <row r="3565" ht="15.75" customHeight="1">
      <c r="A3565" s="9" t="str">
        <f>IFERROR(__xludf.DUMMYFUNCTION("IF(B3565="""","""",RIGHT(REGEXREPLACE(B3565&amp;"""",""[^0-9]"",""""),9))"),"")</f>
        <v/>
      </c>
      <c r="D3565" s="9"/>
      <c r="F3565" s="9"/>
      <c r="I3565" s="10"/>
      <c r="M3565" s="9"/>
      <c r="O3565" s="9"/>
    </row>
    <row r="3566" ht="15.75" customHeight="1">
      <c r="A3566" s="9" t="str">
        <f>IFERROR(__xludf.DUMMYFUNCTION("IF(B3566="""","""",RIGHT(REGEXREPLACE(B3566&amp;"""",""[^0-9]"",""""),9))"),"")</f>
        <v/>
      </c>
      <c r="D3566" s="9"/>
      <c r="F3566" s="9"/>
      <c r="I3566" s="10"/>
      <c r="M3566" s="9"/>
      <c r="O3566" s="9"/>
    </row>
    <row r="3567" ht="15.75" customHeight="1">
      <c r="A3567" s="9" t="str">
        <f>IFERROR(__xludf.DUMMYFUNCTION("IF(B3567="""","""",RIGHT(REGEXREPLACE(B3567&amp;"""",""[^0-9]"",""""),9))"),"")</f>
        <v/>
      </c>
      <c r="D3567" s="9"/>
      <c r="F3567" s="9"/>
      <c r="I3567" s="10"/>
      <c r="M3567" s="9"/>
      <c r="O3567" s="9"/>
    </row>
    <row r="3568" ht="15.75" customHeight="1">
      <c r="A3568" s="9" t="str">
        <f>IFERROR(__xludf.DUMMYFUNCTION("IF(B3568="""","""",RIGHT(REGEXREPLACE(B3568&amp;"""",""[^0-9]"",""""),9))"),"")</f>
        <v/>
      </c>
      <c r="D3568" s="9"/>
      <c r="F3568" s="9"/>
      <c r="I3568" s="10"/>
      <c r="M3568" s="9"/>
      <c r="O3568" s="9"/>
    </row>
    <row r="3569" ht="15.75" customHeight="1">
      <c r="A3569" s="9" t="str">
        <f>IFERROR(__xludf.DUMMYFUNCTION("IF(B3569="""","""",RIGHT(REGEXREPLACE(B3569&amp;"""",""[^0-9]"",""""),9))"),"")</f>
        <v/>
      </c>
      <c r="D3569" s="9"/>
      <c r="F3569" s="9"/>
      <c r="I3569" s="10"/>
      <c r="M3569" s="9"/>
      <c r="O3569" s="9"/>
    </row>
    <row r="3570" ht="15.75" customHeight="1">
      <c r="A3570" s="9" t="str">
        <f>IFERROR(__xludf.DUMMYFUNCTION("IF(B3570="""","""",RIGHT(REGEXREPLACE(B3570&amp;"""",""[^0-9]"",""""),9))"),"")</f>
        <v/>
      </c>
      <c r="D3570" s="9"/>
      <c r="F3570" s="9"/>
      <c r="I3570" s="10"/>
      <c r="M3570" s="9"/>
      <c r="O3570" s="9"/>
    </row>
    <row r="3571" ht="15.75" customHeight="1">
      <c r="A3571" s="9" t="str">
        <f>IFERROR(__xludf.DUMMYFUNCTION("IF(B3571="""","""",RIGHT(REGEXREPLACE(B3571&amp;"""",""[^0-9]"",""""),9))"),"")</f>
        <v/>
      </c>
      <c r="D3571" s="9"/>
      <c r="F3571" s="9"/>
      <c r="I3571" s="10"/>
      <c r="M3571" s="9"/>
      <c r="O3571" s="9"/>
    </row>
    <row r="3572" ht="15.75" customHeight="1">
      <c r="A3572" s="9" t="str">
        <f>IFERROR(__xludf.DUMMYFUNCTION("IF(B3572="""","""",RIGHT(REGEXREPLACE(B3572&amp;"""",""[^0-9]"",""""),9))"),"")</f>
        <v/>
      </c>
      <c r="D3572" s="9"/>
      <c r="F3572" s="9"/>
      <c r="I3572" s="10"/>
      <c r="M3572" s="9"/>
      <c r="O3572" s="9"/>
    </row>
    <row r="3573" ht="15.75" customHeight="1">
      <c r="A3573" s="9" t="str">
        <f>IFERROR(__xludf.DUMMYFUNCTION("IF(B3573="""","""",RIGHT(REGEXREPLACE(B3573&amp;"""",""[^0-9]"",""""),9))"),"")</f>
        <v/>
      </c>
      <c r="D3573" s="9"/>
      <c r="F3573" s="9"/>
      <c r="I3573" s="10"/>
      <c r="M3573" s="9"/>
      <c r="O3573" s="9"/>
    </row>
    <row r="3574" ht="15.75" customHeight="1">
      <c r="A3574" s="9" t="str">
        <f>IFERROR(__xludf.DUMMYFUNCTION("IF(B3574="""","""",RIGHT(REGEXREPLACE(B3574&amp;"""",""[^0-9]"",""""),9))"),"")</f>
        <v/>
      </c>
      <c r="D3574" s="9"/>
      <c r="F3574" s="9"/>
      <c r="I3574" s="10"/>
      <c r="M3574" s="9"/>
      <c r="O3574" s="9"/>
    </row>
    <row r="3575" ht="15.75" customHeight="1">
      <c r="A3575" s="9" t="str">
        <f>IFERROR(__xludf.DUMMYFUNCTION("IF(B3575="""","""",RIGHT(REGEXREPLACE(B3575&amp;"""",""[^0-9]"",""""),9))"),"")</f>
        <v/>
      </c>
      <c r="D3575" s="9"/>
      <c r="F3575" s="9"/>
      <c r="I3575" s="10"/>
      <c r="M3575" s="9"/>
      <c r="O3575" s="9"/>
    </row>
    <row r="3576" ht="15.75" customHeight="1">
      <c r="A3576" s="9" t="str">
        <f>IFERROR(__xludf.DUMMYFUNCTION("IF(B3576="""","""",RIGHT(REGEXREPLACE(B3576&amp;"""",""[^0-9]"",""""),9))"),"")</f>
        <v/>
      </c>
      <c r="D3576" s="9"/>
      <c r="F3576" s="9"/>
      <c r="I3576" s="10"/>
      <c r="M3576" s="9"/>
      <c r="O3576" s="9"/>
    </row>
    <row r="3577" ht="15.75" customHeight="1">
      <c r="A3577" s="9" t="str">
        <f>IFERROR(__xludf.DUMMYFUNCTION("IF(B3577="""","""",RIGHT(REGEXREPLACE(B3577&amp;"""",""[^0-9]"",""""),9))"),"")</f>
        <v/>
      </c>
      <c r="D3577" s="9"/>
      <c r="F3577" s="9"/>
      <c r="I3577" s="10"/>
      <c r="M3577" s="9"/>
      <c r="O3577" s="9"/>
    </row>
    <row r="3578" ht="15.75" customHeight="1">
      <c r="A3578" s="9" t="str">
        <f>IFERROR(__xludf.DUMMYFUNCTION("IF(B3578="""","""",RIGHT(REGEXREPLACE(B3578&amp;"""",""[^0-9]"",""""),9))"),"")</f>
        <v/>
      </c>
      <c r="D3578" s="9"/>
      <c r="F3578" s="9"/>
      <c r="I3578" s="10"/>
      <c r="M3578" s="9"/>
      <c r="O3578" s="9"/>
    </row>
    <row r="3579" ht="15.75" customHeight="1">
      <c r="A3579" s="9" t="str">
        <f>IFERROR(__xludf.DUMMYFUNCTION("IF(B3579="""","""",RIGHT(REGEXREPLACE(B3579&amp;"""",""[^0-9]"",""""),9))"),"")</f>
        <v/>
      </c>
      <c r="D3579" s="9"/>
      <c r="F3579" s="9"/>
      <c r="I3579" s="10"/>
      <c r="M3579" s="9"/>
      <c r="O3579" s="9"/>
    </row>
    <row r="3580" ht="15.75" customHeight="1">
      <c r="A3580" s="9" t="str">
        <f>IFERROR(__xludf.DUMMYFUNCTION("IF(B3580="""","""",RIGHT(REGEXREPLACE(B3580&amp;"""",""[^0-9]"",""""),9))"),"")</f>
        <v/>
      </c>
      <c r="D3580" s="9"/>
      <c r="F3580" s="9"/>
      <c r="I3580" s="10"/>
      <c r="M3580" s="9"/>
      <c r="O3580" s="9"/>
    </row>
    <row r="3581" ht="15.75" customHeight="1">
      <c r="A3581" s="9" t="str">
        <f>IFERROR(__xludf.DUMMYFUNCTION("IF(B3581="""","""",RIGHT(REGEXREPLACE(B3581&amp;"""",""[^0-9]"",""""),9))"),"")</f>
        <v/>
      </c>
      <c r="D3581" s="9"/>
      <c r="F3581" s="9"/>
      <c r="I3581" s="10"/>
      <c r="M3581" s="9"/>
      <c r="O3581" s="9"/>
    </row>
    <row r="3582" ht="15.75" customHeight="1">
      <c r="A3582" s="9" t="str">
        <f>IFERROR(__xludf.DUMMYFUNCTION("IF(B3582="""","""",RIGHT(REGEXREPLACE(B3582&amp;"""",""[^0-9]"",""""),9))"),"")</f>
        <v/>
      </c>
      <c r="D3582" s="9"/>
      <c r="F3582" s="9"/>
      <c r="I3582" s="10"/>
      <c r="M3582" s="9"/>
      <c r="O3582" s="9"/>
    </row>
    <row r="3583" ht="15.75" customHeight="1">
      <c r="A3583" s="9" t="str">
        <f>IFERROR(__xludf.DUMMYFUNCTION("IF(B3583="""","""",RIGHT(REGEXREPLACE(B3583&amp;"""",""[^0-9]"",""""),9))"),"")</f>
        <v/>
      </c>
      <c r="D3583" s="9"/>
      <c r="F3583" s="9"/>
      <c r="I3583" s="10"/>
      <c r="M3583" s="9"/>
      <c r="O3583" s="9"/>
    </row>
    <row r="3584" ht="15.75" customHeight="1">
      <c r="A3584" s="9" t="str">
        <f>IFERROR(__xludf.DUMMYFUNCTION("IF(B3584="""","""",RIGHT(REGEXREPLACE(B3584&amp;"""",""[^0-9]"",""""),9))"),"")</f>
        <v/>
      </c>
      <c r="D3584" s="9"/>
      <c r="F3584" s="9"/>
      <c r="I3584" s="10"/>
      <c r="M3584" s="9"/>
      <c r="O3584" s="9"/>
    </row>
    <row r="3585" ht="15.75" customHeight="1">
      <c r="A3585" s="9" t="str">
        <f>IFERROR(__xludf.DUMMYFUNCTION("IF(B3585="""","""",RIGHT(REGEXREPLACE(B3585&amp;"""",""[^0-9]"",""""),9))"),"")</f>
        <v/>
      </c>
      <c r="D3585" s="9"/>
      <c r="F3585" s="9"/>
      <c r="I3585" s="10"/>
      <c r="M3585" s="9"/>
      <c r="O3585" s="9"/>
    </row>
    <row r="3586" ht="15.75" customHeight="1">
      <c r="A3586" s="9" t="str">
        <f>IFERROR(__xludf.DUMMYFUNCTION("IF(B3586="""","""",RIGHT(REGEXREPLACE(B3586&amp;"""",""[^0-9]"",""""),9))"),"")</f>
        <v/>
      </c>
      <c r="D3586" s="9"/>
      <c r="F3586" s="9"/>
      <c r="I3586" s="10"/>
      <c r="M3586" s="9"/>
      <c r="O3586" s="9"/>
    </row>
    <row r="3587" ht="15.75" customHeight="1">
      <c r="A3587" s="9" t="str">
        <f>IFERROR(__xludf.DUMMYFUNCTION("IF(B3587="""","""",RIGHT(REGEXREPLACE(B3587&amp;"""",""[^0-9]"",""""),9))"),"")</f>
        <v/>
      </c>
      <c r="D3587" s="9"/>
      <c r="F3587" s="9"/>
      <c r="I3587" s="10"/>
      <c r="M3587" s="9"/>
      <c r="O3587" s="9"/>
    </row>
    <row r="3588" ht="15.75" customHeight="1">
      <c r="A3588" s="9" t="str">
        <f>IFERROR(__xludf.DUMMYFUNCTION("IF(B3588="""","""",RIGHT(REGEXREPLACE(B3588&amp;"""",""[^0-9]"",""""),9))"),"")</f>
        <v/>
      </c>
      <c r="D3588" s="9"/>
      <c r="F3588" s="9"/>
      <c r="I3588" s="10"/>
      <c r="M3588" s="9"/>
      <c r="O3588" s="9"/>
    </row>
    <row r="3589" ht="15.75" customHeight="1">
      <c r="A3589" s="9" t="str">
        <f>IFERROR(__xludf.DUMMYFUNCTION("IF(B3589="""","""",RIGHT(REGEXREPLACE(B3589&amp;"""",""[^0-9]"",""""),9))"),"")</f>
        <v/>
      </c>
      <c r="D3589" s="9"/>
      <c r="F3589" s="9"/>
      <c r="I3589" s="10"/>
      <c r="M3589" s="9"/>
      <c r="O3589" s="9"/>
    </row>
    <row r="3590" ht="15.75" customHeight="1">
      <c r="A3590" s="9" t="str">
        <f>IFERROR(__xludf.DUMMYFUNCTION("IF(B3590="""","""",RIGHT(REGEXREPLACE(B3590&amp;"""",""[^0-9]"",""""),9))"),"")</f>
        <v/>
      </c>
      <c r="D3590" s="9"/>
      <c r="F3590" s="9"/>
      <c r="I3590" s="10"/>
      <c r="M3590" s="9"/>
      <c r="O3590" s="9"/>
    </row>
    <row r="3591" ht="15.75" customHeight="1">
      <c r="A3591" s="9" t="str">
        <f>IFERROR(__xludf.DUMMYFUNCTION("IF(B3591="""","""",RIGHT(REGEXREPLACE(B3591&amp;"""",""[^0-9]"",""""),9))"),"")</f>
        <v/>
      </c>
      <c r="D3591" s="9"/>
      <c r="F3591" s="9"/>
      <c r="I3591" s="10"/>
      <c r="M3591" s="9"/>
      <c r="O3591" s="9"/>
    </row>
    <row r="3592" ht="15.75" customHeight="1">
      <c r="A3592" s="9" t="str">
        <f>IFERROR(__xludf.DUMMYFUNCTION("IF(B3592="""","""",RIGHT(REGEXREPLACE(B3592&amp;"""",""[^0-9]"",""""),9))"),"")</f>
        <v/>
      </c>
      <c r="D3592" s="9"/>
      <c r="F3592" s="9"/>
      <c r="I3592" s="10"/>
      <c r="M3592" s="9"/>
      <c r="O3592" s="9"/>
    </row>
    <row r="3593" ht="15.75" customHeight="1">
      <c r="A3593" s="9" t="str">
        <f>IFERROR(__xludf.DUMMYFUNCTION("IF(B3593="""","""",RIGHT(REGEXREPLACE(B3593&amp;"""",""[^0-9]"",""""),9))"),"")</f>
        <v/>
      </c>
      <c r="D3593" s="9"/>
      <c r="F3593" s="9"/>
      <c r="I3593" s="10"/>
      <c r="M3593" s="9"/>
      <c r="O3593" s="9"/>
    </row>
    <row r="3594" ht="15.75" customHeight="1">
      <c r="A3594" s="9" t="str">
        <f>IFERROR(__xludf.DUMMYFUNCTION("IF(B3594="""","""",RIGHT(REGEXREPLACE(B3594&amp;"""",""[^0-9]"",""""),9))"),"")</f>
        <v/>
      </c>
      <c r="D3594" s="9"/>
      <c r="F3594" s="9"/>
      <c r="I3594" s="10"/>
      <c r="M3594" s="9"/>
      <c r="O3594" s="9"/>
    </row>
    <row r="3595" ht="15.75" customHeight="1">
      <c r="A3595" s="9" t="str">
        <f>IFERROR(__xludf.DUMMYFUNCTION("IF(B3595="""","""",RIGHT(REGEXREPLACE(B3595&amp;"""",""[^0-9]"",""""),9))"),"")</f>
        <v/>
      </c>
      <c r="D3595" s="9"/>
      <c r="F3595" s="9"/>
      <c r="I3595" s="10"/>
      <c r="M3595" s="9"/>
      <c r="O3595" s="9"/>
    </row>
    <row r="3596" ht="15.75" customHeight="1">
      <c r="A3596" s="9" t="str">
        <f>IFERROR(__xludf.DUMMYFUNCTION("IF(B3596="""","""",RIGHT(REGEXREPLACE(B3596&amp;"""",""[^0-9]"",""""),9))"),"")</f>
        <v/>
      </c>
      <c r="D3596" s="9"/>
      <c r="F3596" s="9"/>
      <c r="I3596" s="10"/>
      <c r="M3596" s="9"/>
      <c r="O3596" s="9"/>
    </row>
    <row r="3597" ht="15.75" customHeight="1">
      <c r="A3597" s="9" t="str">
        <f>IFERROR(__xludf.DUMMYFUNCTION("IF(B3597="""","""",RIGHT(REGEXREPLACE(B3597&amp;"""",""[^0-9]"",""""),9))"),"")</f>
        <v/>
      </c>
      <c r="D3597" s="9"/>
      <c r="F3597" s="9"/>
      <c r="I3597" s="10"/>
      <c r="M3597" s="9"/>
      <c r="O3597" s="9"/>
    </row>
    <row r="3598" ht="15.75" customHeight="1">
      <c r="A3598" s="9" t="str">
        <f>IFERROR(__xludf.DUMMYFUNCTION("IF(B3598="""","""",RIGHT(REGEXREPLACE(B3598&amp;"""",""[^0-9]"",""""),9))"),"")</f>
        <v/>
      </c>
      <c r="D3598" s="9"/>
      <c r="F3598" s="9"/>
      <c r="I3598" s="10"/>
      <c r="M3598" s="9"/>
      <c r="O3598" s="9"/>
    </row>
    <row r="3599" ht="15.75" customHeight="1">
      <c r="A3599" s="9" t="str">
        <f>IFERROR(__xludf.DUMMYFUNCTION("IF(B3599="""","""",RIGHT(REGEXREPLACE(B3599&amp;"""",""[^0-9]"",""""),9))"),"")</f>
        <v/>
      </c>
      <c r="D3599" s="9"/>
      <c r="F3599" s="9"/>
      <c r="I3599" s="10"/>
      <c r="M3599" s="9"/>
      <c r="O3599" s="9"/>
    </row>
    <row r="3600" ht="15.75" customHeight="1">
      <c r="A3600" s="9" t="str">
        <f>IFERROR(__xludf.DUMMYFUNCTION("IF(B3600="""","""",RIGHT(REGEXREPLACE(B3600&amp;"""",""[^0-9]"",""""),9))"),"")</f>
        <v/>
      </c>
      <c r="D3600" s="9"/>
      <c r="F3600" s="9"/>
      <c r="I3600" s="10"/>
      <c r="M3600" s="9"/>
      <c r="O3600" s="9"/>
    </row>
    <row r="3601" ht="15.75" customHeight="1">
      <c r="A3601" s="9" t="str">
        <f>IFERROR(__xludf.DUMMYFUNCTION("IF(B3601="""","""",RIGHT(REGEXREPLACE(B3601&amp;"""",""[^0-9]"",""""),9))"),"")</f>
        <v/>
      </c>
      <c r="D3601" s="9"/>
      <c r="F3601" s="9"/>
      <c r="I3601" s="10"/>
      <c r="M3601" s="9"/>
      <c r="O3601" s="9"/>
    </row>
    <row r="3602" ht="15.75" customHeight="1">
      <c r="A3602" s="9" t="str">
        <f>IFERROR(__xludf.DUMMYFUNCTION("IF(B3602="""","""",RIGHT(REGEXREPLACE(B3602&amp;"""",""[^0-9]"",""""),9))"),"")</f>
        <v/>
      </c>
      <c r="D3602" s="9"/>
      <c r="F3602" s="9"/>
      <c r="I3602" s="10"/>
      <c r="M3602" s="9"/>
      <c r="O3602" s="9"/>
    </row>
    <row r="3603" ht="15.75" customHeight="1">
      <c r="A3603" s="9" t="str">
        <f>IFERROR(__xludf.DUMMYFUNCTION("IF(B3603="""","""",RIGHT(REGEXREPLACE(B3603&amp;"""",""[^0-9]"",""""),9))"),"")</f>
        <v/>
      </c>
      <c r="D3603" s="9"/>
      <c r="F3603" s="9"/>
      <c r="I3603" s="10"/>
      <c r="M3603" s="9"/>
      <c r="O3603" s="9"/>
    </row>
    <row r="3604" ht="15.75" customHeight="1">
      <c r="A3604" s="9" t="str">
        <f>IFERROR(__xludf.DUMMYFUNCTION("IF(B3604="""","""",RIGHT(REGEXREPLACE(B3604&amp;"""",""[^0-9]"",""""),9))"),"")</f>
        <v/>
      </c>
      <c r="D3604" s="9"/>
      <c r="F3604" s="9"/>
      <c r="I3604" s="10"/>
      <c r="M3604" s="9"/>
      <c r="O3604" s="9"/>
    </row>
    <row r="3605" ht="15.75" customHeight="1">
      <c r="A3605" s="9" t="str">
        <f>IFERROR(__xludf.DUMMYFUNCTION("IF(B3605="""","""",RIGHT(REGEXREPLACE(B3605&amp;"""",""[^0-9]"",""""),9))"),"")</f>
        <v/>
      </c>
      <c r="D3605" s="9"/>
      <c r="F3605" s="9"/>
      <c r="I3605" s="10"/>
      <c r="M3605" s="9"/>
      <c r="O3605" s="9"/>
    </row>
    <row r="3606" ht="15.75" customHeight="1">
      <c r="A3606" s="9" t="str">
        <f>IFERROR(__xludf.DUMMYFUNCTION("IF(B3606="""","""",RIGHT(REGEXREPLACE(B3606&amp;"""",""[^0-9]"",""""),9))"),"")</f>
        <v/>
      </c>
      <c r="D3606" s="9"/>
      <c r="F3606" s="9"/>
      <c r="I3606" s="10"/>
      <c r="M3606" s="9"/>
      <c r="O3606" s="9"/>
    </row>
    <row r="3607" ht="15.75" customHeight="1">
      <c r="A3607" s="9" t="str">
        <f>IFERROR(__xludf.DUMMYFUNCTION("IF(B3607="""","""",RIGHT(REGEXREPLACE(B3607&amp;"""",""[^0-9]"",""""),9))"),"")</f>
        <v/>
      </c>
      <c r="D3607" s="9"/>
      <c r="F3607" s="9"/>
      <c r="I3607" s="10"/>
      <c r="M3607" s="9"/>
      <c r="O3607" s="9"/>
    </row>
    <row r="3608" ht="15.75" customHeight="1">
      <c r="A3608" s="9" t="str">
        <f>IFERROR(__xludf.DUMMYFUNCTION("IF(B3608="""","""",RIGHT(REGEXREPLACE(B3608&amp;"""",""[^0-9]"",""""),9))"),"")</f>
        <v/>
      </c>
      <c r="D3608" s="9"/>
      <c r="F3608" s="9"/>
      <c r="I3608" s="10"/>
      <c r="M3608" s="9"/>
      <c r="O3608" s="9"/>
    </row>
    <row r="3609" ht="15.75" customHeight="1">
      <c r="A3609" s="9" t="str">
        <f>IFERROR(__xludf.DUMMYFUNCTION("IF(B3609="""","""",RIGHT(REGEXREPLACE(B3609&amp;"""",""[^0-9]"",""""),9))"),"")</f>
        <v/>
      </c>
      <c r="D3609" s="9"/>
      <c r="F3609" s="9"/>
      <c r="I3609" s="10"/>
      <c r="M3609" s="9"/>
      <c r="O3609" s="9"/>
    </row>
    <row r="3610" ht="15.75" customHeight="1">
      <c r="A3610" s="9" t="str">
        <f>IFERROR(__xludf.DUMMYFUNCTION("IF(B3610="""","""",RIGHT(REGEXREPLACE(B3610&amp;"""",""[^0-9]"",""""),9))"),"")</f>
        <v/>
      </c>
      <c r="D3610" s="9"/>
      <c r="F3610" s="9"/>
      <c r="I3610" s="10"/>
      <c r="M3610" s="9"/>
      <c r="O3610" s="9"/>
    </row>
    <row r="3611" ht="15.75" customHeight="1">
      <c r="A3611" s="9" t="str">
        <f>IFERROR(__xludf.DUMMYFUNCTION("IF(B3611="""","""",RIGHT(REGEXREPLACE(B3611&amp;"""",""[^0-9]"",""""),9))"),"")</f>
        <v/>
      </c>
      <c r="D3611" s="9"/>
      <c r="F3611" s="9"/>
      <c r="I3611" s="10"/>
      <c r="M3611" s="9"/>
      <c r="O3611" s="9"/>
    </row>
    <row r="3612" ht="15.75" customHeight="1">
      <c r="A3612" s="9" t="str">
        <f>IFERROR(__xludf.DUMMYFUNCTION("IF(B3612="""","""",RIGHT(REGEXREPLACE(B3612&amp;"""",""[^0-9]"",""""),9))"),"")</f>
        <v/>
      </c>
      <c r="D3612" s="9"/>
      <c r="F3612" s="9"/>
      <c r="I3612" s="10"/>
      <c r="M3612" s="9"/>
      <c r="O3612" s="9"/>
    </row>
    <row r="3613" ht="15.75" customHeight="1">
      <c r="A3613" s="9" t="str">
        <f>IFERROR(__xludf.DUMMYFUNCTION("IF(B3613="""","""",RIGHT(REGEXREPLACE(B3613&amp;"""",""[^0-9]"",""""),9))"),"")</f>
        <v/>
      </c>
      <c r="D3613" s="9"/>
      <c r="F3613" s="9"/>
      <c r="I3613" s="10"/>
      <c r="M3613" s="9"/>
      <c r="O3613" s="9"/>
    </row>
    <row r="3614" ht="15.75" customHeight="1">
      <c r="A3614" s="9" t="str">
        <f>IFERROR(__xludf.DUMMYFUNCTION("IF(B3614="""","""",RIGHT(REGEXREPLACE(B3614&amp;"""",""[^0-9]"",""""),9))"),"")</f>
        <v/>
      </c>
      <c r="D3614" s="9"/>
      <c r="F3614" s="9"/>
      <c r="I3614" s="10"/>
      <c r="M3614" s="9"/>
      <c r="O3614" s="9"/>
    </row>
    <row r="3615" ht="15.75" customHeight="1">
      <c r="A3615" s="9" t="str">
        <f>IFERROR(__xludf.DUMMYFUNCTION("IF(B3615="""","""",RIGHT(REGEXREPLACE(B3615&amp;"""",""[^0-9]"",""""),9))"),"")</f>
        <v/>
      </c>
      <c r="D3615" s="9"/>
      <c r="F3615" s="9"/>
      <c r="I3615" s="10"/>
      <c r="M3615" s="9"/>
      <c r="O3615" s="9"/>
    </row>
    <row r="3616" ht="15.75" customHeight="1">
      <c r="A3616" s="9" t="str">
        <f>IFERROR(__xludf.DUMMYFUNCTION("IF(B3616="""","""",RIGHT(REGEXREPLACE(B3616&amp;"""",""[^0-9]"",""""),9))"),"")</f>
        <v/>
      </c>
      <c r="D3616" s="9"/>
      <c r="F3616" s="9"/>
      <c r="I3616" s="10"/>
      <c r="M3616" s="9"/>
      <c r="O3616" s="9"/>
    </row>
    <row r="3617" ht="15.75" customHeight="1">
      <c r="A3617" s="9" t="str">
        <f>IFERROR(__xludf.DUMMYFUNCTION("IF(B3617="""","""",RIGHT(REGEXREPLACE(B3617&amp;"""",""[^0-9]"",""""),9))"),"")</f>
        <v/>
      </c>
      <c r="D3617" s="9"/>
      <c r="F3617" s="9"/>
      <c r="I3617" s="10"/>
      <c r="M3617" s="9"/>
      <c r="O3617" s="9"/>
    </row>
    <row r="3618" ht="15.75" customHeight="1">
      <c r="A3618" s="9" t="str">
        <f>IFERROR(__xludf.DUMMYFUNCTION("IF(B3618="""","""",RIGHT(REGEXREPLACE(B3618&amp;"""",""[^0-9]"",""""),9))"),"")</f>
        <v/>
      </c>
      <c r="D3618" s="9"/>
      <c r="F3618" s="9"/>
      <c r="I3618" s="10"/>
      <c r="M3618" s="9"/>
      <c r="O3618" s="9"/>
    </row>
    <row r="3619" ht="15.75" customHeight="1">
      <c r="A3619" s="9" t="str">
        <f>IFERROR(__xludf.DUMMYFUNCTION("IF(B3619="""","""",RIGHT(REGEXREPLACE(B3619&amp;"""",""[^0-9]"",""""),9))"),"")</f>
        <v/>
      </c>
      <c r="D3619" s="9"/>
      <c r="F3619" s="9"/>
      <c r="I3619" s="10"/>
      <c r="M3619" s="9"/>
      <c r="O3619" s="9"/>
    </row>
    <row r="3620" ht="15.75" customHeight="1">
      <c r="A3620" s="9" t="str">
        <f>IFERROR(__xludf.DUMMYFUNCTION("IF(B3620="""","""",RIGHT(REGEXREPLACE(B3620&amp;"""",""[^0-9]"",""""),9))"),"")</f>
        <v/>
      </c>
      <c r="D3620" s="9"/>
      <c r="F3620" s="9"/>
      <c r="I3620" s="10"/>
      <c r="M3620" s="9"/>
      <c r="O3620" s="9"/>
    </row>
    <row r="3621" ht="15.75" customHeight="1">
      <c r="A3621" s="9" t="str">
        <f>IFERROR(__xludf.DUMMYFUNCTION("IF(B3621="""","""",RIGHT(REGEXREPLACE(B3621&amp;"""",""[^0-9]"",""""),9))"),"")</f>
        <v/>
      </c>
      <c r="D3621" s="9"/>
      <c r="F3621" s="9"/>
      <c r="I3621" s="10"/>
      <c r="M3621" s="9"/>
      <c r="O3621" s="9"/>
    </row>
    <row r="3622" ht="15.75" customHeight="1">
      <c r="A3622" s="9" t="str">
        <f>IFERROR(__xludf.DUMMYFUNCTION("IF(B3622="""","""",RIGHT(REGEXREPLACE(B3622&amp;"""",""[^0-9]"",""""),9))"),"")</f>
        <v/>
      </c>
      <c r="D3622" s="9"/>
      <c r="F3622" s="9"/>
      <c r="I3622" s="10"/>
      <c r="M3622" s="9"/>
      <c r="O3622" s="9"/>
    </row>
    <row r="3623" ht="15.75" customHeight="1">
      <c r="A3623" s="9" t="str">
        <f>IFERROR(__xludf.DUMMYFUNCTION("IF(B3623="""","""",RIGHT(REGEXREPLACE(B3623&amp;"""",""[^0-9]"",""""),9))"),"")</f>
        <v/>
      </c>
      <c r="D3623" s="9"/>
      <c r="F3623" s="9"/>
      <c r="I3623" s="10"/>
      <c r="M3623" s="9"/>
      <c r="O3623" s="9"/>
    </row>
    <row r="3624" ht="15.75" customHeight="1">
      <c r="A3624" s="9" t="str">
        <f>IFERROR(__xludf.DUMMYFUNCTION("IF(B3624="""","""",RIGHT(REGEXREPLACE(B3624&amp;"""",""[^0-9]"",""""),9))"),"")</f>
        <v/>
      </c>
      <c r="D3624" s="9"/>
      <c r="F3624" s="9"/>
      <c r="I3624" s="10"/>
      <c r="M3624" s="9"/>
      <c r="O3624" s="9"/>
    </row>
    <row r="3625" ht="15.75" customHeight="1">
      <c r="A3625" s="9" t="str">
        <f>IFERROR(__xludf.DUMMYFUNCTION("IF(B3625="""","""",RIGHT(REGEXREPLACE(B3625&amp;"""",""[^0-9]"",""""),9))"),"")</f>
        <v/>
      </c>
      <c r="D3625" s="9"/>
      <c r="F3625" s="9"/>
      <c r="I3625" s="10"/>
      <c r="M3625" s="9"/>
      <c r="O3625" s="9"/>
    </row>
    <row r="3626" ht="15.75" customHeight="1">
      <c r="A3626" s="9" t="str">
        <f>IFERROR(__xludf.DUMMYFUNCTION("IF(B3626="""","""",RIGHT(REGEXREPLACE(B3626&amp;"""",""[^0-9]"",""""),9))"),"")</f>
        <v/>
      </c>
      <c r="D3626" s="9"/>
      <c r="F3626" s="9"/>
      <c r="I3626" s="10"/>
      <c r="M3626" s="9"/>
      <c r="O3626" s="9"/>
    </row>
    <row r="3627" ht="15.75" customHeight="1">
      <c r="A3627" s="9" t="str">
        <f>IFERROR(__xludf.DUMMYFUNCTION("IF(B3627="""","""",RIGHT(REGEXREPLACE(B3627&amp;"""",""[^0-9]"",""""),9))"),"")</f>
        <v/>
      </c>
      <c r="D3627" s="9"/>
      <c r="F3627" s="9"/>
      <c r="I3627" s="10"/>
      <c r="M3627" s="9"/>
      <c r="O3627" s="9"/>
    </row>
    <row r="3628" ht="15.75" customHeight="1">
      <c r="A3628" s="9" t="str">
        <f>IFERROR(__xludf.DUMMYFUNCTION("IF(B3628="""","""",RIGHT(REGEXREPLACE(B3628&amp;"""",""[^0-9]"",""""),9))"),"")</f>
        <v/>
      </c>
      <c r="D3628" s="9"/>
      <c r="F3628" s="9"/>
      <c r="I3628" s="10"/>
      <c r="M3628" s="9"/>
      <c r="O3628" s="9"/>
    </row>
    <row r="3629" ht="15.75" customHeight="1">
      <c r="A3629" s="9" t="str">
        <f>IFERROR(__xludf.DUMMYFUNCTION("IF(B3629="""","""",RIGHT(REGEXREPLACE(B3629&amp;"""",""[^0-9]"",""""),9))"),"")</f>
        <v/>
      </c>
      <c r="D3629" s="9"/>
      <c r="F3629" s="9"/>
      <c r="I3629" s="10"/>
      <c r="M3629" s="9"/>
      <c r="O3629" s="9"/>
    </row>
    <row r="3630" ht="15.75" customHeight="1">
      <c r="A3630" s="9" t="str">
        <f>IFERROR(__xludf.DUMMYFUNCTION("IF(B3630="""","""",RIGHT(REGEXREPLACE(B3630&amp;"""",""[^0-9]"",""""),9))"),"")</f>
        <v/>
      </c>
      <c r="D3630" s="9"/>
      <c r="F3630" s="9"/>
      <c r="I3630" s="10"/>
      <c r="M3630" s="9"/>
      <c r="O3630" s="9"/>
    </row>
    <row r="3631" ht="15.75" customHeight="1">
      <c r="A3631" s="9" t="str">
        <f>IFERROR(__xludf.DUMMYFUNCTION("IF(B3631="""","""",RIGHT(REGEXREPLACE(B3631&amp;"""",""[^0-9]"",""""),9))"),"")</f>
        <v/>
      </c>
      <c r="D3631" s="9"/>
      <c r="F3631" s="9"/>
      <c r="I3631" s="10"/>
      <c r="M3631" s="9"/>
      <c r="O3631" s="9"/>
    </row>
    <row r="3632" ht="15.75" customHeight="1">
      <c r="A3632" s="9" t="str">
        <f>IFERROR(__xludf.DUMMYFUNCTION("IF(B3632="""","""",RIGHT(REGEXREPLACE(B3632&amp;"""",""[^0-9]"",""""),9))"),"")</f>
        <v/>
      </c>
      <c r="D3632" s="9"/>
      <c r="F3632" s="9"/>
      <c r="I3632" s="10"/>
      <c r="M3632" s="9"/>
      <c r="O3632" s="9"/>
    </row>
    <row r="3633" ht="15.75" customHeight="1">
      <c r="A3633" s="9" t="str">
        <f>IFERROR(__xludf.DUMMYFUNCTION("IF(B3633="""","""",RIGHT(REGEXREPLACE(B3633&amp;"""",""[^0-9]"",""""),9))"),"")</f>
        <v/>
      </c>
      <c r="D3633" s="9"/>
      <c r="F3633" s="9"/>
      <c r="I3633" s="10"/>
      <c r="M3633" s="9"/>
      <c r="O3633" s="9"/>
    </row>
    <row r="3634" ht="15.75" customHeight="1">
      <c r="A3634" s="9" t="str">
        <f>IFERROR(__xludf.DUMMYFUNCTION("IF(B3634="""","""",RIGHT(REGEXREPLACE(B3634&amp;"""",""[^0-9]"",""""),9))"),"")</f>
        <v/>
      </c>
      <c r="D3634" s="9"/>
      <c r="F3634" s="9"/>
      <c r="I3634" s="10"/>
      <c r="M3634" s="9"/>
      <c r="O3634" s="9"/>
    </row>
    <row r="3635" ht="15.75" customHeight="1">
      <c r="A3635" s="9" t="str">
        <f>IFERROR(__xludf.DUMMYFUNCTION("IF(B3635="""","""",RIGHT(REGEXREPLACE(B3635&amp;"""",""[^0-9]"",""""),9))"),"")</f>
        <v/>
      </c>
      <c r="D3635" s="9"/>
      <c r="F3635" s="9"/>
      <c r="I3635" s="10"/>
      <c r="M3635" s="9"/>
      <c r="O3635" s="9"/>
    </row>
    <row r="3636" ht="15.75" customHeight="1">
      <c r="A3636" s="9" t="str">
        <f>IFERROR(__xludf.DUMMYFUNCTION("IF(B3636="""","""",RIGHT(REGEXREPLACE(B3636&amp;"""",""[^0-9]"",""""),9))"),"")</f>
        <v/>
      </c>
      <c r="D3636" s="9"/>
      <c r="F3636" s="9"/>
      <c r="I3636" s="10"/>
      <c r="M3636" s="9"/>
      <c r="O3636" s="9"/>
    </row>
    <row r="3637" ht="15.75" customHeight="1">
      <c r="A3637" s="9" t="str">
        <f>IFERROR(__xludf.DUMMYFUNCTION("IF(B3637="""","""",RIGHT(REGEXREPLACE(B3637&amp;"""",""[^0-9]"",""""),9))"),"")</f>
        <v/>
      </c>
      <c r="D3637" s="9"/>
      <c r="F3637" s="9"/>
      <c r="I3637" s="10"/>
      <c r="M3637" s="9"/>
      <c r="O3637" s="9"/>
    </row>
    <row r="3638" ht="15.75" customHeight="1">
      <c r="A3638" s="9" t="str">
        <f>IFERROR(__xludf.DUMMYFUNCTION("IF(B3638="""","""",RIGHT(REGEXREPLACE(B3638&amp;"""",""[^0-9]"",""""),9))"),"")</f>
        <v/>
      </c>
      <c r="D3638" s="9"/>
      <c r="F3638" s="9"/>
      <c r="I3638" s="10"/>
      <c r="M3638" s="9"/>
      <c r="O3638" s="9"/>
    </row>
    <row r="3639" ht="15.75" customHeight="1">
      <c r="A3639" s="9" t="str">
        <f>IFERROR(__xludf.DUMMYFUNCTION("IF(B3639="""","""",RIGHT(REGEXREPLACE(B3639&amp;"""",""[^0-9]"",""""),9))"),"")</f>
        <v/>
      </c>
      <c r="D3639" s="9"/>
      <c r="F3639" s="9"/>
      <c r="I3639" s="10"/>
      <c r="M3639" s="9"/>
      <c r="O3639" s="9"/>
    </row>
    <row r="3640" ht="15.75" customHeight="1">
      <c r="A3640" s="9" t="str">
        <f>IFERROR(__xludf.DUMMYFUNCTION("IF(B3640="""","""",RIGHT(REGEXREPLACE(B3640&amp;"""",""[^0-9]"",""""),9))"),"")</f>
        <v/>
      </c>
      <c r="D3640" s="9"/>
      <c r="F3640" s="9"/>
      <c r="I3640" s="10"/>
      <c r="M3640" s="9"/>
      <c r="O3640" s="9"/>
    </row>
    <row r="3641" ht="15.75" customHeight="1">
      <c r="A3641" s="9" t="str">
        <f>IFERROR(__xludf.DUMMYFUNCTION("IF(B3641="""","""",RIGHT(REGEXREPLACE(B3641&amp;"""",""[^0-9]"",""""),9))"),"")</f>
        <v/>
      </c>
      <c r="D3641" s="9"/>
      <c r="F3641" s="9"/>
      <c r="I3641" s="10"/>
      <c r="M3641" s="9"/>
      <c r="O3641" s="9"/>
    </row>
    <row r="3642" ht="15.75" customHeight="1">
      <c r="A3642" s="9" t="str">
        <f>IFERROR(__xludf.DUMMYFUNCTION("IF(B3642="""","""",RIGHT(REGEXREPLACE(B3642&amp;"""",""[^0-9]"",""""),9))"),"")</f>
        <v/>
      </c>
      <c r="D3642" s="9"/>
      <c r="F3642" s="9"/>
      <c r="I3642" s="10"/>
      <c r="M3642" s="9"/>
      <c r="O3642" s="9"/>
    </row>
    <row r="3643" ht="15.75" customHeight="1">
      <c r="A3643" s="9" t="str">
        <f>IFERROR(__xludf.DUMMYFUNCTION("IF(B3643="""","""",RIGHT(REGEXREPLACE(B3643&amp;"""",""[^0-9]"",""""),9))"),"")</f>
        <v/>
      </c>
      <c r="D3643" s="9"/>
      <c r="F3643" s="9"/>
      <c r="I3643" s="10"/>
      <c r="M3643" s="9"/>
      <c r="O3643" s="9"/>
    </row>
    <row r="3644" ht="15.75" customHeight="1">
      <c r="A3644" s="9" t="str">
        <f>IFERROR(__xludf.DUMMYFUNCTION("IF(B3644="""","""",RIGHT(REGEXREPLACE(B3644&amp;"""",""[^0-9]"",""""),9))"),"")</f>
        <v/>
      </c>
      <c r="D3644" s="9"/>
      <c r="F3644" s="9"/>
      <c r="I3644" s="10"/>
      <c r="M3644" s="9"/>
      <c r="O3644" s="9"/>
    </row>
    <row r="3645" ht="15.75" customHeight="1">
      <c r="A3645" s="9" t="str">
        <f>IFERROR(__xludf.DUMMYFUNCTION("IF(B3645="""","""",RIGHT(REGEXREPLACE(B3645&amp;"""",""[^0-9]"",""""),9))"),"")</f>
        <v/>
      </c>
      <c r="D3645" s="9"/>
      <c r="F3645" s="9"/>
      <c r="I3645" s="10"/>
      <c r="M3645" s="9"/>
      <c r="O3645" s="9"/>
    </row>
    <row r="3646" ht="15.75" customHeight="1">
      <c r="A3646" s="9" t="str">
        <f>IFERROR(__xludf.DUMMYFUNCTION("IF(B3646="""","""",RIGHT(REGEXREPLACE(B3646&amp;"""",""[^0-9]"",""""),9))"),"")</f>
        <v/>
      </c>
      <c r="D3646" s="9"/>
      <c r="F3646" s="9"/>
      <c r="I3646" s="10"/>
      <c r="M3646" s="9"/>
      <c r="O3646" s="9"/>
    </row>
    <row r="3647" ht="15.75" customHeight="1">
      <c r="A3647" s="9" t="str">
        <f>IFERROR(__xludf.DUMMYFUNCTION("IF(B3647="""","""",RIGHT(REGEXREPLACE(B3647&amp;"""",""[^0-9]"",""""),9))"),"")</f>
        <v/>
      </c>
      <c r="D3647" s="9"/>
      <c r="F3647" s="9"/>
      <c r="I3647" s="10"/>
      <c r="M3647" s="9"/>
      <c r="O3647" s="9"/>
    </row>
    <row r="3648" ht="15.75" customHeight="1">
      <c r="A3648" s="9" t="str">
        <f>IFERROR(__xludf.DUMMYFUNCTION("IF(B3648="""","""",RIGHT(REGEXREPLACE(B3648&amp;"""",""[^0-9]"",""""),9))"),"")</f>
        <v/>
      </c>
      <c r="D3648" s="9"/>
      <c r="F3648" s="9"/>
      <c r="I3648" s="10"/>
      <c r="M3648" s="9"/>
      <c r="O3648" s="9"/>
    </row>
    <row r="3649" ht="15.75" customHeight="1">
      <c r="A3649" s="9" t="str">
        <f>IFERROR(__xludf.DUMMYFUNCTION("IF(B3649="""","""",RIGHT(REGEXREPLACE(B3649&amp;"""",""[^0-9]"",""""),9))"),"")</f>
        <v/>
      </c>
      <c r="D3649" s="9"/>
      <c r="F3649" s="9"/>
      <c r="I3649" s="10"/>
      <c r="M3649" s="9"/>
      <c r="O3649" s="9"/>
    </row>
    <row r="3650" ht="15.75" customHeight="1">
      <c r="A3650" s="9" t="str">
        <f>IFERROR(__xludf.DUMMYFUNCTION("IF(B3650="""","""",RIGHT(REGEXREPLACE(B3650&amp;"""",""[^0-9]"",""""),9))"),"")</f>
        <v/>
      </c>
      <c r="D3650" s="9"/>
      <c r="F3650" s="9"/>
      <c r="I3650" s="10"/>
      <c r="M3650" s="9"/>
      <c r="O3650" s="9"/>
    </row>
    <row r="3651" ht="15.75" customHeight="1">
      <c r="A3651" s="9" t="str">
        <f>IFERROR(__xludf.DUMMYFUNCTION("IF(B3651="""","""",RIGHT(REGEXREPLACE(B3651&amp;"""",""[^0-9]"",""""),9))"),"")</f>
        <v/>
      </c>
      <c r="D3651" s="9"/>
      <c r="F3651" s="9"/>
      <c r="I3651" s="10"/>
      <c r="M3651" s="9"/>
      <c r="O3651" s="9"/>
    </row>
    <row r="3652" ht="15.75" customHeight="1">
      <c r="A3652" s="9" t="str">
        <f>IFERROR(__xludf.DUMMYFUNCTION("IF(B3652="""","""",RIGHT(REGEXREPLACE(B3652&amp;"""",""[^0-9]"",""""),9))"),"")</f>
        <v/>
      </c>
      <c r="D3652" s="9"/>
      <c r="F3652" s="9"/>
      <c r="I3652" s="10"/>
      <c r="M3652" s="9"/>
      <c r="O3652" s="9"/>
    </row>
    <row r="3653" ht="15.75" customHeight="1">
      <c r="A3653" s="9" t="str">
        <f>IFERROR(__xludf.DUMMYFUNCTION("IF(B3653="""","""",RIGHT(REGEXREPLACE(B3653&amp;"""",""[^0-9]"",""""),9))"),"")</f>
        <v/>
      </c>
      <c r="D3653" s="9"/>
      <c r="F3653" s="9"/>
      <c r="I3653" s="10"/>
      <c r="M3653" s="9"/>
      <c r="O3653" s="9"/>
    </row>
    <row r="3654" ht="15.75" customHeight="1">
      <c r="A3654" s="9" t="str">
        <f>IFERROR(__xludf.DUMMYFUNCTION("IF(B3654="""","""",RIGHT(REGEXREPLACE(B3654&amp;"""",""[^0-9]"",""""),9))"),"")</f>
        <v/>
      </c>
      <c r="D3654" s="9"/>
      <c r="F3654" s="9"/>
      <c r="I3654" s="10"/>
      <c r="M3654" s="9"/>
      <c r="O3654" s="9"/>
    </row>
    <row r="3655" ht="15.75" customHeight="1">
      <c r="A3655" s="9" t="str">
        <f>IFERROR(__xludf.DUMMYFUNCTION("IF(B3655="""","""",RIGHT(REGEXREPLACE(B3655&amp;"""",""[^0-9]"",""""),9))"),"")</f>
        <v/>
      </c>
      <c r="D3655" s="9"/>
      <c r="F3655" s="9"/>
      <c r="I3655" s="10"/>
      <c r="M3655" s="9"/>
      <c r="O3655" s="9"/>
    </row>
    <row r="3656" ht="15.75" customHeight="1">
      <c r="A3656" s="9" t="str">
        <f>IFERROR(__xludf.DUMMYFUNCTION("IF(B3656="""","""",RIGHT(REGEXREPLACE(B3656&amp;"""",""[^0-9]"",""""),9))"),"")</f>
        <v/>
      </c>
      <c r="D3656" s="9"/>
      <c r="F3656" s="9"/>
      <c r="I3656" s="10"/>
      <c r="M3656" s="9"/>
      <c r="O3656" s="9"/>
    </row>
    <row r="3657" ht="15.75" customHeight="1">
      <c r="A3657" s="9" t="str">
        <f>IFERROR(__xludf.DUMMYFUNCTION("IF(B3657="""","""",RIGHT(REGEXREPLACE(B3657&amp;"""",""[^0-9]"",""""),9))"),"")</f>
        <v/>
      </c>
      <c r="D3657" s="9"/>
      <c r="F3657" s="9"/>
      <c r="I3657" s="10"/>
      <c r="M3657" s="9"/>
      <c r="O3657" s="9"/>
    </row>
    <row r="3658" ht="15.75" customHeight="1">
      <c r="A3658" s="9" t="str">
        <f>IFERROR(__xludf.DUMMYFUNCTION("IF(B3658="""","""",RIGHT(REGEXREPLACE(B3658&amp;"""",""[^0-9]"",""""),9))"),"")</f>
        <v/>
      </c>
      <c r="D3658" s="9"/>
      <c r="F3658" s="9"/>
      <c r="I3658" s="10"/>
      <c r="M3658" s="9"/>
      <c r="O3658" s="9"/>
    </row>
    <row r="3659" ht="15.75" customHeight="1">
      <c r="A3659" s="9" t="str">
        <f>IFERROR(__xludf.DUMMYFUNCTION("IF(B3659="""","""",RIGHT(REGEXREPLACE(B3659&amp;"""",""[^0-9]"",""""),9))"),"")</f>
        <v/>
      </c>
      <c r="D3659" s="9"/>
      <c r="F3659" s="9"/>
      <c r="I3659" s="10"/>
      <c r="M3659" s="9"/>
      <c r="O3659" s="9"/>
    </row>
    <row r="3660" ht="15.75" customHeight="1">
      <c r="A3660" s="9" t="str">
        <f>IFERROR(__xludf.DUMMYFUNCTION("IF(B3660="""","""",RIGHT(REGEXREPLACE(B3660&amp;"""",""[^0-9]"",""""),9))"),"")</f>
        <v/>
      </c>
      <c r="D3660" s="9"/>
      <c r="F3660" s="9"/>
      <c r="I3660" s="10"/>
      <c r="M3660" s="9"/>
      <c r="O3660" s="9"/>
    </row>
    <row r="3661" ht="15.75" customHeight="1">
      <c r="A3661" s="9" t="str">
        <f>IFERROR(__xludf.DUMMYFUNCTION("IF(B3661="""","""",RIGHT(REGEXREPLACE(B3661&amp;"""",""[^0-9]"",""""),9))"),"")</f>
        <v/>
      </c>
      <c r="D3661" s="9"/>
      <c r="F3661" s="9"/>
      <c r="I3661" s="10"/>
      <c r="M3661" s="9"/>
      <c r="O3661" s="9"/>
    </row>
    <row r="3662" ht="15.75" customHeight="1">
      <c r="A3662" s="9" t="str">
        <f>IFERROR(__xludf.DUMMYFUNCTION("IF(B3662="""","""",RIGHT(REGEXREPLACE(B3662&amp;"""",""[^0-9]"",""""),9))"),"")</f>
        <v/>
      </c>
      <c r="D3662" s="9"/>
      <c r="F3662" s="9"/>
      <c r="I3662" s="10"/>
      <c r="M3662" s="9"/>
      <c r="O3662" s="9"/>
    </row>
    <row r="3663" ht="15.75" customHeight="1">
      <c r="A3663" s="9" t="str">
        <f>IFERROR(__xludf.DUMMYFUNCTION("IF(B3663="""","""",RIGHT(REGEXREPLACE(B3663&amp;"""",""[^0-9]"",""""),9))"),"")</f>
        <v/>
      </c>
      <c r="D3663" s="9"/>
      <c r="F3663" s="9"/>
      <c r="I3663" s="10"/>
      <c r="M3663" s="9"/>
      <c r="O3663" s="9"/>
    </row>
    <row r="3664" ht="15.75" customHeight="1">
      <c r="A3664" s="9" t="str">
        <f>IFERROR(__xludf.DUMMYFUNCTION("IF(B3664="""","""",RIGHT(REGEXREPLACE(B3664&amp;"""",""[^0-9]"",""""),9))"),"")</f>
        <v/>
      </c>
      <c r="D3664" s="9"/>
      <c r="F3664" s="9"/>
      <c r="I3664" s="10"/>
      <c r="M3664" s="9"/>
      <c r="O3664" s="9"/>
    </row>
    <row r="3665" ht="15.75" customHeight="1">
      <c r="A3665" s="9" t="str">
        <f>IFERROR(__xludf.DUMMYFUNCTION("IF(B3665="""","""",RIGHT(REGEXREPLACE(B3665&amp;"""",""[^0-9]"",""""),9))"),"")</f>
        <v/>
      </c>
      <c r="D3665" s="9"/>
      <c r="F3665" s="9"/>
      <c r="I3665" s="10"/>
      <c r="M3665" s="9"/>
      <c r="O3665" s="9"/>
    </row>
    <row r="3666" ht="15.75" customHeight="1">
      <c r="A3666" s="9" t="str">
        <f>IFERROR(__xludf.DUMMYFUNCTION("IF(B3666="""","""",RIGHT(REGEXREPLACE(B3666&amp;"""",""[^0-9]"",""""),9))"),"")</f>
        <v/>
      </c>
      <c r="D3666" s="9"/>
      <c r="F3666" s="9"/>
      <c r="I3666" s="10"/>
      <c r="M3666" s="9"/>
      <c r="O3666" s="9"/>
    </row>
    <row r="3667" ht="15.75" customHeight="1">
      <c r="A3667" s="9" t="str">
        <f>IFERROR(__xludf.DUMMYFUNCTION("IF(B3667="""","""",RIGHT(REGEXREPLACE(B3667&amp;"""",""[^0-9]"",""""),9))"),"")</f>
        <v/>
      </c>
      <c r="D3667" s="9"/>
      <c r="F3667" s="9"/>
      <c r="I3667" s="10"/>
      <c r="M3667" s="9"/>
      <c r="O3667" s="9"/>
    </row>
    <row r="3668" ht="15.75" customHeight="1">
      <c r="A3668" s="9" t="str">
        <f>IFERROR(__xludf.DUMMYFUNCTION("IF(B3668="""","""",RIGHT(REGEXREPLACE(B3668&amp;"""",""[^0-9]"",""""),9))"),"")</f>
        <v/>
      </c>
      <c r="D3668" s="9"/>
      <c r="F3668" s="9"/>
      <c r="I3668" s="10"/>
      <c r="M3668" s="9"/>
      <c r="O3668" s="9"/>
    </row>
    <row r="3669" ht="15.75" customHeight="1">
      <c r="A3669" s="9" t="str">
        <f>IFERROR(__xludf.DUMMYFUNCTION("IF(B3669="""","""",RIGHT(REGEXREPLACE(B3669&amp;"""",""[^0-9]"",""""),9))"),"")</f>
        <v/>
      </c>
      <c r="D3669" s="9"/>
      <c r="F3669" s="9"/>
      <c r="I3669" s="10"/>
      <c r="M3669" s="9"/>
      <c r="O3669" s="9"/>
    </row>
    <row r="3670" ht="15.75" customHeight="1">
      <c r="A3670" s="9" t="str">
        <f>IFERROR(__xludf.DUMMYFUNCTION("IF(B3670="""","""",RIGHT(REGEXREPLACE(B3670&amp;"""",""[^0-9]"",""""),9))"),"")</f>
        <v/>
      </c>
      <c r="D3670" s="9"/>
      <c r="F3670" s="9"/>
      <c r="I3670" s="10"/>
      <c r="M3670" s="9"/>
      <c r="O3670" s="9"/>
    </row>
    <row r="3671" ht="15.75" customHeight="1">
      <c r="A3671" s="9" t="str">
        <f>IFERROR(__xludf.DUMMYFUNCTION("IF(B3671="""","""",RIGHT(REGEXREPLACE(B3671&amp;"""",""[^0-9]"",""""),9))"),"")</f>
        <v/>
      </c>
      <c r="D3671" s="9"/>
      <c r="F3671" s="9"/>
      <c r="I3671" s="10"/>
      <c r="M3671" s="9"/>
      <c r="O3671" s="9"/>
    </row>
    <row r="3672" ht="15.75" customHeight="1">
      <c r="A3672" s="9" t="str">
        <f>IFERROR(__xludf.DUMMYFUNCTION("IF(B3672="""","""",RIGHT(REGEXREPLACE(B3672&amp;"""",""[^0-9]"",""""),9))"),"")</f>
        <v/>
      </c>
      <c r="D3672" s="9"/>
      <c r="F3672" s="9"/>
      <c r="I3672" s="10"/>
      <c r="M3672" s="9"/>
      <c r="O3672" s="9"/>
    </row>
    <row r="3673" ht="15.75" customHeight="1">
      <c r="A3673" s="9" t="str">
        <f>IFERROR(__xludf.DUMMYFUNCTION("IF(B3673="""","""",RIGHT(REGEXREPLACE(B3673&amp;"""",""[^0-9]"",""""),9))"),"")</f>
        <v/>
      </c>
      <c r="D3673" s="9"/>
      <c r="F3673" s="9"/>
      <c r="I3673" s="10"/>
      <c r="M3673" s="9"/>
      <c r="O3673" s="9"/>
    </row>
    <row r="3674" ht="15.75" customHeight="1">
      <c r="A3674" s="9" t="str">
        <f>IFERROR(__xludf.DUMMYFUNCTION("IF(B3674="""","""",RIGHT(REGEXREPLACE(B3674&amp;"""",""[^0-9]"",""""),9))"),"")</f>
        <v/>
      </c>
      <c r="D3674" s="9"/>
      <c r="F3674" s="9"/>
      <c r="I3674" s="10"/>
      <c r="M3674" s="9"/>
      <c r="O3674" s="9"/>
    </row>
    <row r="3675" ht="15.75" customHeight="1">
      <c r="A3675" s="9" t="str">
        <f>IFERROR(__xludf.DUMMYFUNCTION("IF(B3675="""","""",RIGHT(REGEXREPLACE(B3675&amp;"""",""[^0-9]"",""""),9))"),"")</f>
        <v/>
      </c>
      <c r="D3675" s="9"/>
      <c r="F3675" s="9"/>
      <c r="I3675" s="10"/>
      <c r="M3675" s="9"/>
      <c r="O3675" s="9"/>
    </row>
    <row r="3676" ht="15.75" customHeight="1">
      <c r="A3676" s="9" t="str">
        <f>IFERROR(__xludf.DUMMYFUNCTION("IF(B3676="""","""",RIGHT(REGEXREPLACE(B3676&amp;"""",""[^0-9]"",""""),9))"),"")</f>
        <v/>
      </c>
      <c r="D3676" s="9"/>
      <c r="F3676" s="9"/>
      <c r="I3676" s="10"/>
      <c r="M3676" s="9"/>
      <c r="O3676" s="9"/>
    </row>
    <row r="3677" ht="15.75" customHeight="1">
      <c r="A3677" s="9" t="str">
        <f>IFERROR(__xludf.DUMMYFUNCTION("IF(B3677="""","""",RIGHT(REGEXREPLACE(B3677&amp;"""",""[^0-9]"",""""),9))"),"")</f>
        <v/>
      </c>
      <c r="D3677" s="9"/>
      <c r="F3677" s="9"/>
      <c r="I3677" s="10"/>
      <c r="M3677" s="9"/>
      <c r="O3677" s="9"/>
    </row>
    <row r="3678" ht="15.75" customHeight="1">
      <c r="A3678" s="9" t="str">
        <f>IFERROR(__xludf.DUMMYFUNCTION("IF(B3678="""","""",RIGHT(REGEXREPLACE(B3678&amp;"""",""[^0-9]"",""""),9))"),"")</f>
        <v/>
      </c>
      <c r="D3678" s="9"/>
      <c r="F3678" s="9"/>
      <c r="I3678" s="10"/>
      <c r="M3678" s="9"/>
      <c r="O3678" s="9"/>
    </row>
    <row r="3679" ht="15.75" customHeight="1">
      <c r="A3679" s="9" t="str">
        <f>IFERROR(__xludf.DUMMYFUNCTION("IF(B3679="""","""",RIGHT(REGEXREPLACE(B3679&amp;"""",""[^0-9]"",""""),9))"),"")</f>
        <v/>
      </c>
      <c r="D3679" s="9"/>
      <c r="F3679" s="9"/>
      <c r="I3679" s="10"/>
      <c r="M3679" s="9"/>
      <c r="O3679" s="9"/>
    </row>
    <row r="3680" ht="15.75" customHeight="1">
      <c r="A3680" s="9" t="str">
        <f>IFERROR(__xludf.DUMMYFUNCTION("IF(B3680="""","""",RIGHT(REGEXREPLACE(B3680&amp;"""",""[^0-9]"",""""),9))"),"")</f>
        <v/>
      </c>
      <c r="D3680" s="9"/>
      <c r="F3680" s="9"/>
      <c r="I3680" s="10"/>
      <c r="M3680" s="9"/>
      <c r="O3680" s="9"/>
    </row>
    <row r="3681" ht="15.75" customHeight="1">
      <c r="A3681" s="9" t="str">
        <f>IFERROR(__xludf.DUMMYFUNCTION("IF(B3681="""","""",RIGHT(REGEXREPLACE(B3681&amp;"""",""[^0-9]"",""""),9))"),"")</f>
        <v/>
      </c>
      <c r="D3681" s="9"/>
      <c r="F3681" s="9"/>
      <c r="I3681" s="10"/>
      <c r="M3681" s="9"/>
      <c r="O3681" s="9"/>
    </row>
    <row r="3682" ht="15.75" customHeight="1">
      <c r="A3682" s="9" t="str">
        <f>IFERROR(__xludf.DUMMYFUNCTION("IF(B3682="""","""",RIGHT(REGEXREPLACE(B3682&amp;"""",""[^0-9]"",""""),9))"),"")</f>
        <v/>
      </c>
      <c r="D3682" s="9"/>
      <c r="F3682" s="9"/>
      <c r="I3682" s="10"/>
      <c r="M3682" s="9"/>
      <c r="O3682" s="9"/>
    </row>
    <row r="3683" ht="15.75" customHeight="1">
      <c r="A3683" s="9" t="str">
        <f>IFERROR(__xludf.DUMMYFUNCTION("IF(B3683="""","""",RIGHT(REGEXREPLACE(B3683&amp;"""",""[^0-9]"",""""),9))"),"")</f>
        <v/>
      </c>
      <c r="D3683" s="9"/>
      <c r="F3683" s="9"/>
      <c r="I3683" s="10"/>
      <c r="M3683" s="9"/>
      <c r="O3683" s="9"/>
    </row>
    <row r="3684" ht="15.75" customHeight="1">
      <c r="A3684" s="9" t="str">
        <f>IFERROR(__xludf.DUMMYFUNCTION("IF(B3684="""","""",RIGHT(REGEXREPLACE(B3684&amp;"""",""[^0-9]"",""""),9))"),"")</f>
        <v/>
      </c>
      <c r="D3684" s="9"/>
      <c r="F3684" s="9"/>
      <c r="I3684" s="10"/>
      <c r="M3684" s="9"/>
      <c r="O3684" s="9"/>
    </row>
    <row r="3685" ht="15.75" customHeight="1">
      <c r="A3685" s="9" t="str">
        <f>IFERROR(__xludf.DUMMYFUNCTION("IF(B3685="""","""",RIGHT(REGEXREPLACE(B3685&amp;"""",""[^0-9]"",""""),9))"),"")</f>
        <v/>
      </c>
      <c r="D3685" s="9"/>
      <c r="F3685" s="9"/>
      <c r="I3685" s="10"/>
      <c r="M3685" s="9"/>
      <c r="O3685" s="9"/>
    </row>
    <row r="3686" ht="15.75" customHeight="1">
      <c r="A3686" s="9" t="str">
        <f>IFERROR(__xludf.DUMMYFUNCTION("IF(B3686="""","""",RIGHT(REGEXREPLACE(B3686&amp;"""",""[^0-9]"",""""),9))"),"")</f>
        <v/>
      </c>
      <c r="D3686" s="9"/>
      <c r="F3686" s="9"/>
      <c r="I3686" s="10"/>
      <c r="M3686" s="9"/>
      <c r="O3686" s="9"/>
    </row>
    <row r="3687" ht="15.75" customHeight="1">
      <c r="A3687" s="9" t="str">
        <f>IFERROR(__xludf.DUMMYFUNCTION("IF(B3687="""","""",RIGHT(REGEXREPLACE(B3687&amp;"""",""[^0-9]"",""""),9))"),"")</f>
        <v/>
      </c>
      <c r="D3687" s="9"/>
      <c r="F3687" s="9"/>
      <c r="I3687" s="10"/>
      <c r="M3687" s="9"/>
      <c r="O3687" s="9"/>
    </row>
    <row r="3688" ht="15.75" customHeight="1">
      <c r="A3688" s="9" t="str">
        <f>IFERROR(__xludf.DUMMYFUNCTION("IF(B3688="""","""",RIGHT(REGEXREPLACE(B3688&amp;"""",""[^0-9]"",""""),9))"),"")</f>
        <v/>
      </c>
      <c r="D3688" s="9"/>
      <c r="F3688" s="9"/>
      <c r="I3688" s="10"/>
      <c r="M3688" s="9"/>
      <c r="O3688" s="9"/>
    </row>
    <row r="3689" ht="15.75" customHeight="1">
      <c r="A3689" s="9" t="str">
        <f>IFERROR(__xludf.DUMMYFUNCTION("IF(B3689="""","""",RIGHT(REGEXREPLACE(B3689&amp;"""",""[^0-9]"",""""),9))"),"")</f>
        <v/>
      </c>
      <c r="D3689" s="9"/>
      <c r="F3689" s="9"/>
      <c r="I3689" s="10"/>
      <c r="M3689" s="9"/>
      <c r="O3689" s="9"/>
    </row>
    <row r="3690" ht="15.75" customHeight="1">
      <c r="A3690" s="9" t="str">
        <f>IFERROR(__xludf.DUMMYFUNCTION("IF(B3690="""","""",RIGHT(REGEXREPLACE(B3690&amp;"""",""[^0-9]"",""""),9))"),"")</f>
        <v/>
      </c>
      <c r="D3690" s="9"/>
      <c r="F3690" s="9"/>
      <c r="I3690" s="10"/>
      <c r="M3690" s="9"/>
      <c r="O3690" s="9"/>
    </row>
    <row r="3691" ht="15.75" customHeight="1">
      <c r="A3691" s="9" t="str">
        <f>IFERROR(__xludf.DUMMYFUNCTION("IF(B3691="""","""",RIGHT(REGEXREPLACE(B3691&amp;"""",""[^0-9]"",""""),9))"),"")</f>
        <v/>
      </c>
      <c r="D3691" s="9"/>
      <c r="F3691" s="9"/>
      <c r="I3691" s="10"/>
      <c r="M3691" s="9"/>
      <c r="O3691" s="9"/>
    </row>
    <row r="3692" ht="15.75" customHeight="1">
      <c r="A3692" s="9" t="str">
        <f>IFERROR(__xludf.DUMMYFUNCTION("IF(B3692="""","""",RIGHT(REGEXREPLACE(B3692&amp;"""",""[^0-9]"",""""),9))"),"")</f>
        <v/>
      </c>
      <c r="D3692" s="9"/>
      <c r="F3692" s="9"/>
      <c r="I3692" s="10"/>
      <c r="M3692" s="9"/>
      <c r="O3692" s="9"/>
    </row>
    <row r="3693" ht="15.75" customHeight="1">
      <c r="A3693" s="9" t="str">
        <f>IFERROR(__xludf.DUMMYFUNCTION("IF(B3693="""","""",RIGHT(REGEXREPLACE(B3693&amp;"""",""[^0-9]"",""""),9))"),"")</f>
        <v/>
      </c>
      <c r="D3693" s="9"/>
      <c r="F3693" s="9"/>
      <c r="I3693" s="10"/>
      <c r="M3693" s="9"/>
      <c r="O3693" s="9"/>
    </row>
    <row r="3694" ht="15.75" customHeight="1">
      <c r="A3694" s="9" t="str">
        <f>IFERROR(__xludf.DUMMYFUNCTION("IF(B3694="""","""",RIGHT(REGEXREPLACE(B3694&amp;"""",""[^0-9]"",""""),9))"),"")</f>
        <v/>
      </c>
      <c r="D3694" s="9"/>
      <c r="F3694" s="9"/>
      <c r="I3694" s="10"/>
      <c r="M3694" s="9"/>
      <c r="O3694" s="9"/>
    </row>
    <row r="3695" ht="15.75" customHeight="1">
      <c r="A3695" s="9" t="str">
        <f>IFERROR(__xludf.DUMMYFUNCTION("IF(B3695="""","""",RIGHT(REGEXREPLACE(B3695&amp;"""",""[^0-9]"",""""),9))"),"")</f>
        <v/>
      </c>
      <c r="D3695" s="9"/>
      <c r="F3695" s="9"/>
      <c r="I3695" s="10"/>
      <c r="M3695" s="9"/>
      <c r="O3695" s="9"/>
    </row>
    <row r="3696" ht="15.75" customHeight="1">
      <c r="A3696" s="9" t="str">
        <f>IFERROR(__xludf.DUMMYFUNCTION("IF(B3696="""","""",RIGHT(REGEXREPLACE(B3696&amp;"""",""[^0-9]"",""""),9))"),"")</f>
        <v/>
      </c>
      <c r="D3696" s="9"/>
      <c r="F3696" s="9"/>
      <c r="I3696" s="10"/>
      <c r="M3696" s="9"/>
      <c r="O3696" s="9"/>
    </row>
    <row r="3697" ht="15.75" customHeight="1">
      <c r="A3697" s="9" t="str">
        <f>IFERROR(__xludf.DUMMYFUNCTION("IF(B3697="""","""",RIGHT(REGEXREPLACE(B3697&amp;"""",""[^0-9]"",""""),9))"),"")</f>
        <v/>
      </c>
      <c r="D3697" s="9"/>
      <c r="F3697" s="9"/>
      <c r="I3697" s="10"/>
      <c r="M3697" s="9"/>
      <c r="O3697" s="9"/>
    </row>
    <row r="3698" ht="15.75" customHeight="1">
      <c r="A3698" s="9" t="str">
        <f>IFERROR(__xludf.DUMMYFUNCTION("IF(B3698="""","""",RIGHT(REGEXREPLACE(B3698&amp;"""",""[^0-9]"",""""),9))"),"")</f>
        <v/>
      </c>
      <c r="D3698" s="9"/>
      <c r="F3698" s="9"/>
      <c r="I3698" s="10"/>
      <c r="M3698" s="9"/>
      <c r="O3698" s="9"/>
    </row>
    <row r="3699" ht="15.75" customHeight="1">
      <c r="A3699" s="9" t="str">
        <f>IFERROR(__xludf.DUMMYFUNCTION("IF(B3699="""","""",RIGHT(REGEXREPLACE(B3699&amp;"""",""[^0-9]"",""""),9))"),"")</f>
        <v/>
      </c>
      <c r="D3699" s="9"/>
      <c r="F3699" s="9"/>
      <c r="I3699" s="10"/>
      <c r="M3699" s="9"/>
      <c r="O3699" s="9"/>
    </row>
    <row r="3700" ht="15.75" customHeight="1">
      <c r="A3700" s="9" t="str">
        <f>IFERROR(__xludf.DUMMYFUNCTION("IF(B3700="""","""",RIGHT(REGEXREPLACE(B3700&amp;"""",""[^0-9]"",""""),9))"),"")</f>
        <v/>
      </c>
      <c r="D3700" s="9"/>
      <c r="F3700" s="9"/>
      <c r="I3700" s="10"/>
      <c r="M3700" s="9"/>
      <c r="O3700" s="9"/>
    </row>
    <row r="3701" ht="15.75" customHeight="1">
      <c r="A3701" s="9" t="str">
        <f>IFERROR(__xludf.DUMMYFUNCTION("IF(B3701="""","""",RIGHT(REGEXREPLACE(B3701&amp;"""",""[^0-9]"",""""),9))"),"")</f>
        <v/>
      </c>
      <c r="D3701" s="9"/>
      <c r="F3701" s="9"/>
      <c r="I3701" s="10"/>
      <c r="M3701" s="9"/>
      <c r="O3701" s="9"/>
    </row>
    <row r="3702" ht="15.75" customHeight="1">
      <c r="A3702" s="9" t="str">
        <f>IFERROR(__xludf.DUMMYFUNCTION("IF(B3702="""","""",RIGHT(REGEXREPLACE(B3702&amp;"""",""[^0-9]"",""""),9))"),"")</f>
        <v/>
      </c>
      <c r="D3702" s="9"/>
      <c r="F3702" s="9"/>
      <c r="I3702" s="10"/>
      <c r="M3702" s="9"/>
      <c r="O3702" s="9"/>
    </row>
    <row r="3703" ht="15.75" customHeight="1">
      <c r="A3703" s="9" t="str">
        <f>IFERROR(__xludf.DUMMYFUNCTION("IF(B3703="""","""",RIGHT(REGEXREPLACE(B3703&amp;"""",""[^0-9]"",""""),9))"),"")</f>
        <v/>
      </c>
      <c r="D3703" s="9"/>
      <c r="F3703" s="9"/>
      <c r="I3703" s="10"/>
      <c r="M3703" s="9"/>
      <c r="O3703" s="9"/>
    </row>
    <row r="3704" ht="15.75" customHeight="1">
      <c r="A3704" s="9" t="str">
        <f>IFERROR(__xludf.DUMMYFUNCTION("IF(B3704="""","""",RIGHT(REGEXREPLACE(B3704&amp;"""",""[^0-9]"",""""),9))"),"")</f>
        <v/>
      </c>
      <c r="D3704" s="9"/>
      <c r="F3704" s="9"/>
      <c r="I3704" s="10"/>
      <c r="M3704" s="9"/>
      <c r="O3704" s="9"/>
    </row>
    <row r="3705" ht="15.75" customHeight="1">
      <c r="A3705" s="9" t="str">
        <f>IFERROR(__xludf.DUMMYFUNCTION("IF(B3705="""","""",RIGHT(REGEXREPLACE(B3705&amp;"""",""[^0-9]"",""""),9))"),"")</f>
        <v/>
      </c>
      <c r="D3705" s="9"/>
      <c r="F3705" s="9"/>
      <c r="I3705" s="10"/>
      <c r="M3705" s="9"/>
      <c r="O3705" s="9"/>
    </row>
    <row r="3706" ht="15.75" customHeight="1">
      <c r="A3706" s="9" t="str">
        <f>IFERROR(__xludf.DUMMYFUNCTION("IF(B3706="""","""",RIGHT(REGEXREPLACE(B3706&amp;"""",""[^0-9]"",""""),9))"),"")</f>
        <v/>
      </c>
      <c r="D3706" s="9"/>
      <c r="F3706" s="9"/>
      <c r="I3706" s="10"/>
      <c r="M3706" s="9"/>
      <c r="O3706" s="9"/>
    </row>
    <row r="3707" ht="15.75" customHeight="1">
      <c r="A3707" s="9" t="str">
        <f>IFERROR(__xludf.DUMMYFUNCTION("IF(B3707="""","""",RIGHT(REGEXREPLACE(B3707&amp;"""",""[^0-9]"",""""),9))"),"")</f>
        <v/>
      </c>
      <c r="D3707" s="9"/>
      <c r="F3707" s="9"/>
      <c r="I3707" s="10"/>
      <c r="M3707" s="9"/>
      <c r="O3707" s="9"/>
    </row>
    <row r="3708" ht="15.75" customHeight="1">
      <c r="A3708" s="9" t="str">
        <f>IFERROR(__xludf.DUMMYFUNCTION("IF(B3708="""","""",RIGHT(REGEXREPLACE(B3708&amp;"""",""[^0-9]"",""""),9))"),"")</f>
        <v/>
      </c>
      <c r="D3708" s="9"/>
      <c r="F3708" s="9"/>
      <c r="I3708" s="10"/>
      <c r="M3708" s="9"/>
      <c r="O3708" s="9"/>
    </row>
    <row r="3709" ht="15.75" customHeight="1">
      <c r="A3709" s="9" t="str">
        <f>IFERROR(__xludf.DUMMYFUNCTION("IF(B3709="""","""",RIGHT(REGEXREPLACE(B3709&amp;"""",""[^0-9]"",""""),9))"),"")</f>
        <v/>
      </c>
      <c r="D3709" s="9"/>
      <c r="F3709" s="9"/>
      <c r="I3709" s="10"/>
      <c r="M3709" s="9"/>
      <c r="O3709" s="9"/>
    </row>
    <row r="3710" ht="15.75" customHeight="1">
      <c r="A3710" s="9" t="str">
        <f>IFERROR(__xludf.DUMMYFUNCTION("IF(B3710="""","""",RIGHT(REGEXREPLACE(B3710&amp;"""",""[^0-9]"",""""),9))"),"")</f>
        <v/>
      </c>
      <c r="D3710" s="9"/>
      <c r="F3710" s="9"/>
      <c r="I3710" s="10"/>
      <c r="M3710" s="9"/>
      <c r="O3710" s="9"/>
    </row>
    <row r="3711" ht="15.75" customHeight="1">
      <c r="A3711" s="9" t="str">
        <f>IFERROR(__xludf.DUMMYFUNCTION("IF(B3711="""","""",RIGHT(REGEXREPLACE(B3711&amp;"""",""[^0-9]"",""""),9))"),"")</f>
        <v/>
      </c>
      <c r="D3711" s="9"/>
      <c r="F3711" s="9"/>
      <c r="I3711" s="10"/>
      <c r="M3711" s="9"/>
      <c r="O3711" s="9"/>
    </row>
    <row r="3712" ht="15.75" customHeight="1">
      <c r="A3712" s="9" t="str">
        <f>IFERROR(__xludf.DUMMYFUNCTION("IF(B3712="""","""",RIGHT(REGEXREPLACE(B3712&amp;"""",""[^0-9]"",""""),9))"),"")</f>
        <v/>
      </c>
      <c r="D3712" s="9"/>
      <c r="F3712" s="9"/>
      <c r="I3712" s="10"/>
      <c r="M3712" s="9"/>
      <c r="O3712" s="9"/>
    </row>
    <row r="3713" ht="15.75" customHeight="1">
      <c r="A3713" s="9" t="str">
        <f>IFERROR(__xludf.DUMMYFUNCTION("IF(B3713="""","""",RIGHT(REGEXREPLACE(B3713&amp;"""",""[^0-9]"",""""),9))"),"")</f>
        <v/>
      </c>
      <c r="D3713" s="9"/>
      <c r="F3713" s="9"/>
      <c r="I3713" s="10"/>
      <c r="M3713" s="9"/>
      <c r="O3713" s="9"/>
    </row>
    <row r="3714" ht="15.75" customHeight="1">
      <c r="A3714" s="9" t="str">
        <f>IFERROR(__xludf.DUMMYFUNCTION("IF(B3714="""","""",RIGHT(REGEXREPLACE(B3714&amp;"""",""[^0-9]"",""""),9))"),"")</f>
        <v/>
      </c>
      <c r="D3714" s="9"/>
      <c r="F3714" s="9"/>
      <c r="I3714" s="10"/>
      <c r="M3714" s="9"/>
      <c r="O3714" s="9"/>
    </row>
    <row r="3715" ht="15.75" customHeight="1">
      <c r="A3715" s="9" t="str">
        <f>IFERROR(__xludf.DUMMYFUNCTION("IF(B3715="""","""",RIGHT(REGEXREPLACE(B3715&amp;"""",""[^0-9]"",""""),9))"),"")</f>
        <v/>
      </c>
      <c r="D3715" s="9"/>
      <c r="F3715" s="9"/>
      <c r="I3715" s="10"/>
      <c r="M3715" s="9"/>
      <c r="O3715" s="9"/>
    </row>
    <row r="3716" ht="15.75" customHeight="1">
      <c r="A3716" s="9" t="str">
        <f>IFERROR(__xludf.DUMMYFUNCTION("IF(B3716="""","""",RIGHT(REGEXREPLACE(B3716&amp;"""",""[^0-9]"",""""),9))"),"")</f>
        <v/>
      </c>
      <c r="D3716" s="9"/>
      <c r="F3716" s="9"/>
      <c r="I3716" s="10"/>
      <c r="M3716" s="9"/>
      <c r="O3716" s="9"/>
    </row>
    <row r="3717" ht="15.75" customHeight="1">
      <c r="A3717" s="9" t="str">
        <f>IFERROR(__xludf.DUMMYFUNCTION("IF(B3717="""","""",RIGHT(REGEXREPLACE(B3717&amp;"""",""[^0-9]"",""""),9))"),"")</f>
        <v/>
      </c>
      <c r="D3717" s="9"/>
      <c r="F3717" s="9"/>
      <c r="I3717" s="10"/>
      <c r="M3717" s="9"/>
      <c r="O3717" s="9"/>
    </row>
    <row r="3718" ht="15.75" customHeight="1">
      <c r="A3718" s="9" t="str">
        <f>IFERROR(__xludf.DUMMYFUNCTION("IF(B3718="""","""",RIGHT(REGEXREPLACE(B3718&amp;"""",""[^0-9]"",""""),9))"),"")</f>
        <v/>
      </c>
      <c r="D3718" s="9"/>
      <c r="F3718" s="9"/>
      <c r="I3718" s="10"/>
      <c r="M3718" s="9"/>
      <c r="O3718" s="9"/>
    </row>
    <row r="3719" ht="15.75" customHeight="1">
      <c r="A3719" s="9" t="str">
        <f>IFERROR(__xludf.DUMMYFUNCTION("IF(B3719="""","""",RIGHT(REGEXREPLACE(B3719&amp;"""",""[^0-9]"",""""),9))"),"")</f>
        <v/>
      </c>
      <c r="D3719" s="9"/>
      <c r="F3719" s="9"/>
      <c r="I3719" s="10"/>
      <c r="M3719" s="9"/>
      <c r="O3719" s="9"/>
    </row>
    <row r="3720" ht="15.75" customHeight="1">
      <c r="A3720" s="9" t="str">
        <f>IFERROR(__xludf.DUMMYFUNCTION("IF(B3720="""","""",RIGHT(REGEXREPLACE(B3720&amp;"""",""[^0-9]"",""""),9))"),"")</f>
        <v/>
      </c>
      <c r="D3720" s="9"/>
      <c r="F3720" s="9"/>
      <c r="I3720" s="10"/>
      <c r="M3720" s="9"/>
      <c r="O3720" s="9"/>
    </row>
    <row r="3721" ht="15.75" customHeight="1">
      <c r="A3721" s="9" t="str">
        <f>IFERROR(__xludf.DUMMYFUNCTION("IF(B3721="""","""",RIGHT(REGEXREPLACE(B3721&amp;"""",""[^0-9]"",""""),9))"),"")</f>
        <v/>
      </c>
      <c r="D3721" s="9"/>
      <c r="F3721" s="9"/>
      <c r="I3721" s="10"/>
      <c r="M3721" s="9"/>
      <c r="O3721" s="9"/>
    </row>
    <row r="3722" ht="15.75" customHeight="1">
      <c r="A3722" s="9" t="str">
        <f>IFERROR(__xludf.DUMMYFUNCTION("IF(B3722="""","""",RIGHT(REGEXREPLACE(B3722&amp;"""",""[^0-9]"",""""),9))"),"")</f>
        <v/>
      </c>
      <c r="D3722" s="9"/>
      <c r="F3722" s="9"/>
      <c r="I3722" s="10"/>
      <c r="M3722" s="9"/>
      <c r="O3722" s="9"/>
    </row>
    <row r="3723" ht="15.75" customHeight="1">
      <c r="A3723" s="9" t="str">
        <f>IFERROR(__xludf.DUMMYFUNCTION("IF(B3723="""","""",RIGHT(REGEXREPLACE(B3723&amp;"""",""[^0-9]"",""""),9))"),"")</f>
        <v/>
      </c>
      <c r="D3723" s="9"/>
      <c r="F3723" s="9"/>
      <c r="I3723" s="10"/>
      <c r="M3723" s="9"/>
      <c r="O3723" s="9"/>
    </row>
    <row r="3724" ht="15.75" customHeight="1">
      <c r="A3724" s="9" t="str">
        <f>IFERROR(__xludf.DUMMYFUNCTION("IF(B3724="""","""",RIGHT(REGEXREPLACE(B3724&amp;"""",""[^0-9]"",""""),9))"),"")</f>
        <v/>
      </c>
      <c r="D3724" s="9"/>
      <c r="F3724" s="9"/>
      <c r="I3724" s="10"/>
      <c r="M3724" s="9"/>
      <c r="O3724" s="9"/>
    </row>
    <row r="3725" ht="15.75" customHeight="1">
      <c r="A3725" s="9" t="str">
        <f>IFERROR(__xludf.DUMMYFUNCTION("IF(B3725="""","""",RIGHT(REGEXREPLACE(B3725&amp;"""",""[^0-9]"",""""),9))"),"")</f>
        <v/>
      </c>
      <c r="D3725" s="9"/>
      <c r="F3725" s="9"/>
      <c r="I3725" s="10"/>
      <c r="M3725" s="9"/>
      <c r="O3725" s="9"/>
    </row>
    <row r="3726" ht="15.75" customHeight="1">
      <c r="A3726" s="9" t="str">
        <f>IFERROR(__xludf.DUMMYFUNCTION("IF(B3726="""","""",RIGHT(REGEXREPLACE(B3726&amp;"""",""[^0-9]"",""""),9))"),"")</f>
        <v/>
      </c>
      <c r="D3726" s="9"/>
      <c r="F3726" s="9"/>
      <c r="I3726" s="10"/>
      <c r="M3726" s="9"/>
      <c r="O3726" s="9"/>
    </row>
    <row r="3727" ht="15.75" customHeight="1">
      <c r="A3727" s="9" t="str">
        <f>IFERROR(__xludf.DUMMYFUNCTION("IF(B3727="""","""",RIGHT(REGEXREPLACE(B3727&amp;"""",""[^0-9]"",""""),9))"),"")</f>
        <v/>
      </c>
      <c r="D3727" s="9"/>
      <c r="F3727" s="9"/>
      <c r="I3727" s="10"/>
      <c r="M3727" s="9"/>
      <c r="O3727" s="9"/>
    </row>
    <row r="3728" ht="15.75" customHeight="1">
      <c r="A3728" s="9" t="str">
        <f>IFERROR(__xludf.DUMMYFUNCTION("IF(B3728="""","""",RIGHT(REGEXREPLACE(B3728&amp;"""",""[^0-9]"",""""),9))"),"")</f>
        <v/>
      </c>
      <c r="D3728" s="9"/>
      <c r="F3728" s="9"/>
      <c r="I3728" s="10"/>
      <c r="M3728" s="9"/>
      <c r="O3728" s="9"/>
    </row>
    <row r="3729" ht="15.75" customHeight="1">
      <c r="A3729" s="9" t="str">
        <f>IFERROR(__xludf.DUMMYFUNCTION("IF(B3729="""","""",RIGHT(REGEXREPLACE(B3729&amp;"""",""[^0-9]"",""""),9))"),"")</f>
        <v/>
      </c>
      <c r="D3729" s="9"/>
      <c r="F3729" s="9"/>
      <c r="I3729" s="10"/>
      <c r="M3729" s="9"/>
      <c r="O3729" s="9"/>
    </row>
    <row r="3730" ht="15.75" customHeight="1">
      <c r="A3730" s="9" t="str">
        <f>IFERROR(__xludf.DUMMYFUNCTION("IF(B3730="""","""",RIGHT(REGEXREPLACE(B3730&amp;"""",""[^0-9]"",""""),9))"),"")</f>
        <v/>
      </c>
      <c r="D3730" s="9"/>
      <c r="F3730" s="9"/>
      <c r="I3730" s="10"/>
      <c r="M3730" s="9"/>
      <c r="O3730" s="9"/>
    </row>
    <row r="3731" ht="15.75" customHeight="1">
      <c r="A3731" s="9" t="str">
        <f>IFERROR(__xludf.DUMMYFUNCTION("IF(B3731="""","""",RIGHT(REGEXREPLACE(B3731&amp;"""",""[^0-9]"",""""),9))"),"")</f>
        <v/>
      </c>
      <c r="D3731" s="9"/>
      <c r="F3731" s="9"/>
      <c r="I3731" s="10"/>
      <c r="M3731" s="9"/>
      <c r="O3731" s="9"/>
    </row>
    <row r="3732" ht="15.75" customHeight="1">
      <c r="A3732" s="9" t="str">
        <f>IFERROR(__xludf.DUMMYFUNCTION("IF(B3732="""","""",RIGHT(REGEXREPLACE(B3732&amp;"""",""[^0-9]"",""""),9))"),"")</f>
        <v/>
      </c>
      <c r="D3732" s="9"/>
      <c r="F3732" s="9"/>
      <c r="I3732" s="10"/>
      <c r="M3732" s="9"/>
      <c r="O3732" s="9"/>
    </row>
    <row r="3733" ht="15.75" customHeight="1">
      <c r="A3733" s="9" t="str">
        <f>IFERROR(__xludf.DUMMYFUNCTION("IF(B3733="""","""",RIGHT(REGEXREPLACE(B3733&amp;"""",""[^0-9]"",""""),9))"),"")</f>
        <v/>
      </c>
      <c r="D3733" s="9"/>
      <c r="F3733" s="9"/>
      <c r="I3733" s="10"/>
      <c r="M3733" s="9"/>
      <c r="O3733" s="9"/>
    </row>
    <row r="3734" ht="15.75" customHeight="1">
      <c r="A3734" s="9" t="str">
        <f>IFERROR(__xludf.DUMMYFUNCTION("IF(B3734="""","""",RIGHT(REGEXREPLACE(B3734&amp;"""",""[^0-9]"",""""),9))"),"")</f>
        <v/>
      </c>
      <c r="D3734" s="9"/>
      <c r="F3734" s="9"/>
      <c r="I3734" s="10"/>
      <c r="M3734" s="9"/>
      <c r="O3734" s="9"/>
    </row>
    <row r="3735" ht="15.75" customHeight="1">
      <c r="A3735" s="9" t="str">
        <f>IFERROR(__xludf.DUMMYFUNCTION("IF(B3735="""","""",RIGHT(REGEXREPLACE(B3735&amp;"""",""[^0-9]"",""""),9))"),"")</f>
        <v/>
      </c>
      <c r="D3735" s="9"/>
      <c r="F3735" s="9"/>
      <c r="I3735" s="10"/>
      <c r="M3735" s="9"/>
      <c r="O3735" s="9"/>
    </row>
    <row r="3736" ht="15.75" customHeight="1">
      <c r="A3736" s="9" t="str">
        <f>IFERROR(__xludf.DUMMYFUNCTION("IF(B3736="""","""",RIGHT(REGEXREPLACE(B3736&amp;"""",""[^0-9]"",""""),9))"),"")</f>
        <v/>
      </c>
      <c r="D3736" s="9"/>
      <c r="F3736" s="9"/>
      <c r="I3736" s="10"/>
      <c r="M3736" s="9"/>
      <c r="O3736" s="9"/>
    </row>
    <row r="3737" ht="15.75" customHeight="1">
      <c r="A3737" s="9" t="str">
        <f>IFERROR(__xludf.DUMMYFUNCTION("IF(B3737="""","""",RIGHT(REGEXREPLACE(B3737&amp;"""",""[^0-9]"",""""),9))"),"")</f>
        <v/>
      </c>
      <c r="D3737" s="9"/>
      <c r="F3737" s="9"/>
      <c r="I3737" s="10"/>
      <c r="M3737" s="9"/>
      <c r="O3737" s="9"/>
    </row>
    <row r="3738" ht="15.75" customHeight="1">
      <c r="A3738" s="9" t="str">
        <f>IFERROR(__xludf.DUMMYFUNCTION("IF(B3738="""","""",RIGHT(REGEXREPLACE(B3738&amp;"""",""[^0-9]"",""""),9))"),"")</f>
        <v/>
      </c>
      <c r="D3738" s="9"/>
      <c r="F3738" s="9"/>
      <c r="I3738" s="10"/>
      <c r="M3738" s="9"/>
      <c r="O3738" s="9"/>
    </row>
    <row r="3739" ht="15.75" customHeight="1">
      <c r="A3739" s="9" t="str">
        <f>IFERROR(__xludf.DUMMYFUNCTION("IF(B3739="""","""",RIGHT(REGEXREPLACE(B3739&amp;"""",""[^0-9]"",""""),9))"),"")</f>
        <v/>
      </c>
      <c r="D3739" s="9"/>
      <c r="F3739" s="9"/>
      <c r="I3739" s="10"/>
      <c r="M3739" s="9"/>
      <c r="O3739" s="9"/>
    </row>
    <row r="3740" ht="15.75" customHeight="1">
      <c r="A3740" s="9" t="str">
        <f>IFERROR(__xludf.DUMMYFUNCTION("IF(B3740="""","""",RIGHT(REGEXREPLACE(B3740&amp;"""",""[^0-9]"",""""),9))"),"")</f>
        <v/>
      </c>
      <c r="D3740" s="9"/>
      <c r="F3740" s="9"/>
      <c r="I3740" s="10"/>
      <c r="M3740" s="9"/>
      <c r="O3740" s="9"/>
    </row>
    <row r="3741" ht="15.75" customHeight="1">
      <c r="A3741" s="9" t="str">
        <f>IFERROR(__xludf.DUMMYFUNCTION("IF(B3741="""","""",RIGHT(REGEXREPLACE(B3741&amp;"""",""[^0-9]"",""""),9))"),"")</f>
        <v/>
      </c>
      <c r="D3741" s="9"/>
      <c r="F3741" s="9"/>
      <c r="I3741" s="10"/>
      <c r="M3741" s="9"/>
      <c r="O3741" s="9"/>
    </row>
    <row r="3742" ht="15.75" customHeight="1">
      <c r="A3742" s="9" t="str">
        <f>IFERROR(__xludf.DUMMYFUNCTION("IF(B3742="""","""",RIGHT(REGEXREPLACE(B3742&amp;"""",""[^0-9]"",""""),9))"),"")</f>
        <v/>
      </c>
      <c r="D3742" s="9"/>
      <c r="F3742" s="9"/>
      <c r="I3742" s="10"/>
      <c r="M3742" s="9"/>
      <c r="O3742" s="9"/>
    </row>
    <row r="3743" ht="15.75" customHeight="1">
      <c r="A3743" s="9" t="str">
        <f>IFERROR(__xludf.DUMMYFUNCTION("IF(B3743="""","""",RIGHT(REGEXREPLACE(B3743&amp;"""",""[^0-9]"",""""),9))"),"")</f>
        <v/>
      </c>
      <c r="D3743" s="9"/>
      <c r="F3743" s="9"/>
      <c r="I3743" s="10"/>
      <c r="M3743" s="9"/>
      <c r="O3743" s="9"/>
    </row>
    <row r="3744" ht="15.75" customHeight="1">
      <c r="A3744" s="9" t="str">
        <f>IFERROR(__xludf.DUMMYFUNCTION("IF(B3744="""","""",RIGHT(REGEXREPLACE(B3744&amp;"""",""[^0-9]"",""""),9))"),"")</f>
        <v/>
      </c>
      <c r="D3744" s="9"/>
      <c r="F3744" s="9"/>
      <c r="I3744" s="10"/>
      <c r="M3744" s="9"/>
      <c r="O3744" s="9"/>
    </row>
    <row r="3745" ht="15.75" customHeight="1">
      <c r="A3745" s="9" t="str">
        <f>IFERROR(__xludf.DUMMYFUNCTION("IF(B3745="""","""",RIGHT(REGEXREPLACE(B3745&amp;"""",""[^0-9]"",""""),9))"),"")</f>
        <v/>
      </c>
      <c r="D3745" s="9"/>
      <c r="F3745" s="9"/>
      <c r="I3745" s="10"/>
      <c r="M3745" s="9"/>
      <c r="O3745" s="9"/>
    </row>
    <row r="3746" ht="15.75" customHeight="1">
      <c r="A3746" s="9" t="str">
        <f>IFERROR(__xludf.DUMMYFUNCTION("IF(B3746="""","""",RIGHT(REGEXREPLACE(B3746&amp;"""",""[^0-9]"",""""),9))"),"")</f>
        <v/>
      </c>
      <c r="D3746" s="9"/>
      <c r="F3746" s="9"/>
      <c r="I3746" s="10"/>
      <c r="M3746" s="9"/>
      <c r="O3746" s="9"/>
    </row>
    <row r="3747" ht="15.75" customHeight="1">
      <c r="A3747" s="9" t="str">
        <f>IFERROR(__xludf.DUMMYFUNCTION("IF(B3747="""","""",RIGHT(REGEXREPLACE(B3747&amp;"""",""[^0-9]"",""""),9))"),"")</f>
        <v/>
      </c>
      <c r="D3747" s="9"/>
      <c r="F3747" s="9"/>
      <c r="I3747" s="10"/>
      <c r="M3747" s="9"/>
      <c r="O3747" s="9"/>
    </row>
    <row r="3748" ht="15.75" customHeight="1">
      <c r="A3748" s="9" t="str">
        <f>IFERROR(__xludf.DUMMYFUNCTION("IF(B3748="""","""",RIGHT(REGEXREPLACE(B3748&amp;"""",""[^0-9]"",""""),9))"),"")</f>
        <v/>
      </c>
      <c r="D3748" s="9"/>
      <c r="F3748" s="9"/>
      <c r="I3748" s="10"/>
      <c r="M3748" s="9"/>
      <c r="O3748" s="9"/>
    </row>
    <row r="3749" ht="15.75" customHeight="1">
      <c r="A3749" s="9" t="str">
        <f>IFERROR(__xludf.DUMMYFUNCTION("IF(B3749="""","""",RIGHT(REGEXREPLACE(B3749&amp;"""",""[^0-9]"",""""),9))"),"")</f>
        <v/>
      </c>
      <c r="D3749" s="9"/>
      <c r="F3749" s="9"/>
      <c r="I3749" s="10"/>
      <c r="M3749" s="9"/>
      <c r="O3749" s="9"/>
    </row>
    <row r="3750" ht="15.75" customHeight="1">
      <c r="A3750" s="9" t="str">
        <f>IFERROR(__xludf.DUMMYFUNCTION("IF(B3750="""","""",RIGHT(REGEXREPLACE(B3750&amp;"""",""[^0-9]"",""""),9))"),"")</f>
        <v/>
      </c>
      <c r="D3750" s="9"/>
      <c r="F3750" s="9"/>
      <c r="I3750" s="10"/>
      <c r="M3750" s="9"/>
      <c r="O3750" s="9"/>
    </row>
    <row r="3751" ht="15.75" customHeight="1">
      <c r="A3751" s="9" t="str">
        <f>IFERROR(__xludf.DUMMYFUNCTION("IF(B3751="""","""",RIGHT(REGEXREPLACE(B3751&amp;"""",""[^0-9]"",""""),9))"),"")</f>
        <v/>
      </c>
      <c r="D3751" s="9"/>
      <c r="F3751" s="9"/>
      <c r="I3751" s="10"/>
      <c r="M3751" s="9"/>
      <c r="O3751" s="9"/>
    </row>
    <row r="3752" ht="15.75" customHeight="1">
      <c r="A3752" s="9" t="str">
        <f>IFERROR(__xludf.DUMMYFUNCTION("IF(B3752="""","""",RIGHT(REGEXREPLACE(B3752&amp;"""",""[^0-9]"",""""),9))"),"")</f>
        <v/>
      </c>
      <c r="D3752" s="9"/>
      <c r="F3752" s="9"/>
      <c r="I3752" s="10"/>
      <c r="M3752" s="9"/>
      <c r="O3752" s="9"/>
    </row>
    <row r="3753" ht="15.75" customHeight="1">
      <c r="A3753" s="9" t="str">
        <f>IFERROR(__xludf.DUMMYFUNCTION("IF(B3753="""","""",RIGHT(REGEXREPLACE(B3753&amp;"""",""[^0-9]"",""""),9))"),"")</f>
        <v/>
      </c>
      <c r="D3753" s="9"/>
      <c r="F3753" s="9"/>
      <c r="I3753" s="10"/>
      <c r="M3753" s="9"/>
      <c r="O3753" s="9"/>
    </row>
    <row r="3754" ht="15.75" customHeight="1">
      <c r="A3754" s="9" t="str">
        <f>IFERROR(__xludf.DUMMYFUNCTION("IF(B3754="""","""",RIGHT(REGEXREPLACE(B3754&amp;"""",""[^0-9]"",""""),9))"),"")</f>
        <v/>
      </c>
      <c r="D3754" s="9"/>
      <c r="F3754" s="9"/>
      <c r="I3754" s="10"/>
      <c r="M3754" s="9"/>
      <c r="O3754" s="9"/>
    </row>
    <row r="3755" ht="15.75" customHeight="1">
      <c r="A3755" s="9" t="str">
        <f>IFERROR(__xludf.DUMMYFUNCTION("IF(B3755="""","""",RIGHT(REGEXREPLACE(B3755&amp;"""",""[^0-9]"",""""),9))"),"")</f>
        <v/>
      </c>
      <c r="D3755" s="9"/>
      <c r="F3755" s="9"/>
      <c r="I3755" s="10"/>
      <c r="M3755" s="9"/>
      <c r="O3755" s="9"/>
    </row>
    <row r="3756" ht="15.75" customHeight="1">
      <c r="A3756" s="9" t="str">
        <f>IFERROR(__xludf.DUMMYFUNCTION("IF(B3756="""","""",RIGHT(REGEXREPLACE(B3756&amp;"""",""[^0-9]"",""""),9))"),"")</f>
        <v/>
      </c>
      <c r="D3756" s="9"/>
      <c r="F3756" s="9"/>
      <c r="I3756" s="10"/>
      <c r="M3756" s="9"/>
      <c r="O3756" s="9"/>
    </row>
    <row r="3757" ht="15.75" customHeight="1">
      <c r="A3757" s="9" t="str">
        <f>IFERROR(__xludf.DUMMYFUNCTION("IF(B3757="""","""",RIGHT(REGEXREPLACE(B3757&amp;"""",""[^0-9]"",""""),9))"),"")</f>
        <v/>
      </c>
      <c r="D3757" s="9"/>
      <c r="F3757" s="9"/>
      <c r="I3757" s="10"/>
      <c r="M3757" s="9"/>
      <c r="O3757" s="9"/>
    </row>
    <row r="3758" ht="15.75" customHeight="1">
      <c r="A3758" s="9" t="str">
        <f>IFERROR(__xludf.DUMMYFUNCTION("IF(B3758="""","""",RIGHT(REGEXREPLACE(B3758&amp;"""",""[^0-9]"",""""),9))"),"")</f>
        <v/>
      </c>
      <c r="D3758" s="9"/>
      <c r="F3758" s="9"/>
      <c r="I3758" s="10"/>
      <c r="M3758" s="9"/>
      <c r="O3758" s="9"/>
    </row>
    <row r="3759" ht="15.75" customHeight="1">
      <c r="A3759" s="9" t="str">
        <f>IFERROR(__xludf.DUMMYFUNCTION("IF(B3759="""","""",RIGHT(REGEXREPLACE(B3759&amp;"""",""[^0-9]"",""""),9))"),"")</f>
        <v/>
      </c>
      <c r="D3759" s="9"/>
      <c r="F3759" s="9"/>
      <c r="I3759" s="10"/>
      <c r="M3759" s="9"/>
      <c r="O3759" s="9"/>
    </row>
    <row r="3760" ht="15.75" customHeight="1">
      <c r="A3760" s="9" t="str">
        <f>IFERROR(__xludf.DUMMYFUNCTION("IF(B3760="""","""",RIGHT(REGEXREPLACE(B3760&amp;"""",""[^0-9]"",""""),9))"),"")</f>
        <v/>
      </c>
      <c r="D3760" s="9"/>
      <c r="F3760" s="9"/>
      <c r="I3760" s="10"/>
      <c r="M3760" s="9"/>
      <c r="O3760" s="9"/>
    </row>
    <row r="3761" ht="15.75" customHeight="1">
      <c r="A3761" s="9" t="str">
        <f>IFERROR(__xludf.DUMMYFUNCTION("IF(B3761="""","""",RIGHT(REGEXREPLACE(B3761&amp;"""",""[^0-9]"",""""),9))"),"")</f>
        <v/>
      </c>
      <c r="D3761" s="9"/>
      <c r="F3761" s="9"/>
      <c r="I3761" s="10"/>
      <c r="M3761" s="9"/>
      <c r="O3761" s="9"/>
    </row>
    <row r="3762" ht="15.75" customHeight="1">
      <c r="A3762" s="9" t="str">
        <f>IFERROR(__xludf.DUMMYFUNCTION("IF(B3762="""","""",RIGHT(REGEXREPLACE(B3762&amp;"""",""[^0-9]"",""""),9))"),"")</f>
        <v/>
      </c>
      <c r="D3762" s="9"/>
      <c r="F3762" s="9"/>
      <c r="I3762" s="10"/>
      <c r="M3762" s="9"/>
      <c r="O3762" s="9"/>
    </row>
    <row r="3763" ht="15.75" customHeight="1">
      <c r="A3763" s="9" t="str">
        <f>IFERROR(__xludf.DUMMYFUNCTION("IF(B3763="""","""",RIGHT(REGEXREPLACE(B3763&amp;"""",""[^0-9]"",""""),9))"),"")</f>
        <v/>
      </c>
      <c r="D3763" s="9"/>
      <c r="F3763" s="9"/>
      <c r="I3763" s="10"/>
      <c r="M3763" s="9"/>
      <c r="O3763" s="9"/>
    </row>
    <row r="3764" ht="15.75" customHeight="1">
      <c r="A3764" s="9" t="str">
        <f>IFERROR(__xludf.DUMMYFUNCTION("IF(B3764="""","""",RIGHT(REGEXREPLACE(B3764&amp;"""",""[^0-9]"",""""),9))"),"")</f>
        <v/>
      </c>
      <c r="D3764" s="9"/>
      <c r="F3764" s="9"/>
      <c r="I3764" s="10"/>
      <c r="M3764" s="9"/>
      <c r="O3764" s="9"/>
    </row>
    <row r="3765" ht="15.75" customHeight="1">
      <c r="A3765" s="9" t="str">
        <f>IFERROR(__xludf.DUMMYFUNCTION("IF(B3765="""","""",RIGHT(REGEXREPLACE(B3765&amp;"""",""[^0-9]"",""""),9))"),"")</f>
        <v/>
      </c>
      <c r="D3765" s="9"/>
      <c r="F3765" s="9"/>
      <c r="I3765" s="10"/>
      <c r="M3765" s="9"/>
      <c r="O3765" s="9"/>
    </row>
    <row r="3766" ht="15.75" customHeight="1">
      <c r="A3766" s="9" t="str">
        <f>IFERROR(__xludf.DUMMYFUNCTION("IF(B3766="""","""",RIGHT(REGEXREPLACE(B3766&amp;"""",""[^0-9]"",""""),9))"),"")</f>
        <v/>
      </c>
      <c r="D3766" s="9"/>
      <c r="F3766" s="9"/>
      <c r="I3766" s="10"/>
      <c r="M3766" s="9"/>
      <c r="O3766" s="9"/>
    </row>
    <row r="3767" ht="15.75" customHeight="1">
      <c r="A3767" s="9" t="str">
        <f>IFERROR(__xludf.DUMMYFUNCTION("IF(B3767="""","""",RIGHT(REGEXREPLACE(B3767&amp;"""",""[^0-9]"",""""),9))"),"")</f>
        <v/>
      </c>
      <c r="D3767" s="9"/>
      <c r="F3767" s="9"/>
      <c r="I3767" s="10"/>
      <c r="M3767" s="9"/>
      <c r="O3767" s="9"/>
    </row>
    <row r="3768" ht="15.75" customHeight="1">
      <c r="A3768" s="9" t="str">
        <f>IFERROR(__xludf.DUMMYFUNCTION("IF(B3768="""","""",RIGHT(REGEXREPLACE(B3768&amp;"""",""[^0-9]"",""""),9))"),"")</f>
        <v/>
      </c>
      <c r="D3768" s="9"/>
      <c r="F3768" s="9"/>
      <c r="I3768" s="10"/>
      <c r="M3768" s="9"/>
      <c r="O3768" s="9"/>
    </row>
    <row r="3769" ht="15.75" customHeight="1">
      <c r="A3769" s="9" t="str">
        <f>IFERROR(__xludf.DUMMYFUNCTION("IF(B3769="""","""",RIGHT(REGEXREPLACE(B3769&amp;"""",""[^0-9]"",""""),9))"),"")</f>
        <v/>
      </c>
      <c r="D3769" s="9"/>
      <c r="F3769" s="9"/>
      <c r="I3769" s="10"/>
      <c r="M3769" s="9"/>
      <c r="O3769" s="9"/>
    </row>
    <row r="3770" ht="15.75" customHeight="1">
      <c r="A3770" s="9" t="str">
        <f>IFERROR(__xludf.DUMMYFUNCTION("IF(B3770="""","""",RIGHT(REGEXREPLACE(B3770&amp;"""",""[^0-9]"",""""),9))"),"")</f>
        <v/>
      </c>
      <c r="D3770" s="9"/>
      <c r="F3770" s="9"/>
      <c r="I3770" s="10"/>
      <c r="M3770" s="9"/>
      <c r="O3770" s="9"/>
    </row>
    <row r="3771" ht="15.75" customHeight="1">
      <c r="A3771" s="9" t="str">
        <f>IFERROR(__xludf.DUMMYFUNCTION("IF(B3771="""","""",RIGHT(REGEXREPLACE(B3771&amp;"""",""[^0-9]"",""""),9))"),"")</f>
        <v/>
      </c>
      <c r="D3771" s="9"/>
      <c r="F3771" s="9"/>
      <c r="I3771" s="10"/>
      <c r="M3771" s="9"/>
      <c r="O3771" s="9"/>
    </row>
    <row r="3772" ht="15.75" customHeight="1">
      <c r="A3772" s="9" t="str">
        <f>IFERROR(__xludf.DUMMYFUNCTION("IF(B3772="""","""",RIGHT(REGEXREPLACE(B3772&amp;"""",""[^0-9]"",""""),9))"),"")</f>
        <v/>
      </c>
      <c r="D3772" s="9"/>
      <c r="F3772" s="9"/>
      <c r="I3772" s="10"/>
      <c r="M3772" s="9"/>
      <c r="O3772" s="9"/>
    </row>
    <row r="3773" ht="15.75" customHeight="1">
      <c r="A3773" s="9" t="str">
        <f>IFERROR(__xludf.DUMMYFUNCTION("IF(B3773="""","""",RIGHT(REGEXREPLACE(B3773&amp;"""",""[^0-9]"",""""),9))"),"")</f>
        <v/>
      </c>
      <c r="D3773" s="9"/>
      <c r="F3773" s="9"/>
      <c r="I3773" s="10"/>
      <c r="M3773" s="9"/>
      <c r="O3773" s="9"/>
    </row>
    <row r="3774" ht="15.75" customHeight="1">
      <c r="A3774" s="9" t="str">
        <f>IFERROR(__xludf.DUMMYFUNCTION("IF(B3774="""","""",RIGHT(REGEXREPLACE(B3774&amp;"""",""[^0-9]"",""""),9))"),"")</f>
        <v/>
      </c>
      <c r="D3774" s="9"/>
      <c r="F3774" s="9"/>
      <c r="I3774" s="10"/>
      <c r="M3774" s="9"/>
      <c r="O3774" s="9"/>
    </row>
    <row r="3775" ht="15.75" customHeight="1">
      <c r="A3775" s="9" t="str">
        <f>IFERROR(__xludf.DUMMYFUNCTION("IF(B3775="""","""",RIGHT(REGEXREPLACE(B3775&amp;"""",""[^0-9]"",""""),9))"),"")</f>
        <v/>
      </c>
      <c r="D3775" s="9"/>
      <c r="F3775" s="9"/>
      <c r="I3775" s="10"/>
      <c r="M3775" s="9"/>
      <c r="O3775" s="9"/>
    </row>
    <row r="3776" ht="15.75" customHeight="1">
      <c r="A3776" s="9" t="str">
        <f>IFERROR(__xludf.DUMMYFUNCTION("IF(B3776="""","""",RIGHT(REGEXREPLACE(B3776&amp;"""",""[^0-9]"",""""),9))"),"")</f>
        <v/>
      </c>
      <c r="D3776" s="9"/>
      <c r="F3776" s="9"/>
      <c r="I3776" s="10"/>
      <c r="M3776" s="9"/>
      <c r="O3776" s="9"/>
    </row>
    <row r="3777" ht="15.75" customHeight="1">
      <c r="A3777" s="9" t="str">
        <f>IFERROR(__xludf.DUMMYFUNCTION("IF(B3777="""","""",RIGHT(REGEXREPLACE(B3777&amp;"""",""[^0-9]"",""""),9))"),"")</f>
        <v/>
      </c>
      <c r="D3777" s="9"/>
      <c r="F3777" s="9"/>
      <c r="I3777" s="10"/>
      <c r="M3777" s="9"/>
      <c r="O3777" s="9"/>
    </row>
    <row r="3778" ht="15.75" customHeight="1">
      <c r="A3778" s="9" t="str">
        <f>IFERROR(__xludf.DUMMYFUNCTION("IF(B3778="""","""",RIGHT(REGEXREPLACE(B3778&amp;"""",""[^0-9]"",""""),9))"),"")</f>
        <v/>
      </c>
      <c r="D3778" s="9"/>
      <c r="F3778" s="9"/>
      <c r="I3778" s="10"/>
      <c r="M3778" s="9"/>
      <c r="O3778" s="9"/>
    </row>
    <row r="3779" ht="15.75" customHeight="1">
      <c r="A3779" s="9" t="str">
        <f>IFERROR(__xludf.DUMMYFUNCTION("IF(B3779="""","""",RIGHT(REGEXREPLACE(B3779&amp;"""",""[^0-9]"",""""),9))"),"")</f>
        <v/>
      </c>
      <c r="D3779" s="9"/>
      <c r="F3779" s="9"/>
      <c r="I3779" s="10"/>
      <c r="M3779" s="9"/>
      <c r="O3779" s="9"/>
    </row>
    <row r="3780" ht="15.75" customHeight="1">
      <c r="A3780" s="9" t="str">
        <f>IFERROR(__xludf.DUMMYFUNCTION("IF(B3780="""","""",RIGHT(REGEXREPLACE(B3780&amp;"""",""[^0-9]"",""""),9))"),"")</f>
        <v/>
      </c>
      <c r="D3780" s="9"/>
      <c r="F3780" s="9"/>
      <c r="I3780" s="10"/>
      <c r="M3780" s="9"/>
      <c r="O3780" s="9"/>
    </row>
    <row r="3781" ht="15.75" customHeight="1">
      <c r="A3781" s="9" t="str">
        <f>IFERROR(__xludf.DUMMYFUNCTION("IF(B3781="""","""",RIGHT(REGEXREPLACE(B3781&amp;"""",""[^0-9]"",""""),9))"),"")</f>
        <v/>
      </c>
      <c r="D3781" s="9"/>
      <c r="F3781" s="9"/>
      <c r="I3781" s="10"/>
      <c r="M3781" s="9"/>
      <c r="O3781" s="9"/>
    </row>
    <row r="3782" ht="15.75" customHeight="1">
      <c r="A3782" s="9" t="str">
        <f>IFERROR(__xludf.DUMMYFUNCTION("IF(B3782="""","""",RIGHT(REGEXREPLACE(B3782&amp;"""",""[^0-9]"",""""),9))"),"")</f>
        <v/>
      </c>
      <c r="D3782" s="9"/>
      <c r="F3782" s="9"/>
      <c r="I3782" s="10"/>
      <c r="M3782" s="9"/>
      <c r="O3782" s="9"/>
    </row>
    <row r="3783" ht="15.75" customHeight="1">
      <c r="A3783" s="9" t="str">
        <f>IFERROR(__xludf.DUMMYFUNCTION("IF(B3783="""","""",RIGHT(REGEXREPLACE(B3783&amp;"""",""[^0-9]"",""""),9))"),"")</f>
        <v/>
      </c>
      <c r="D3783" s="9"/>
      <c r="F3783" s="9"/>
      <c r="I3783" s="10"/>
      <c r="M3783" s="9"/>
      <c r="O3783" s="9"/>
    </row>
    <row r="3784" ht="15.75" customHeight="1">
      <c r="A3784" s="9" t="str">
        <f>IFERROR(__xludf.DUMMYFUNCTION("IF(B3784="""","""",RIGHT(REGEXREPLACE(B3784&amp;"""",""[^0-9]"",""""),9))"),"")</f>
        <v/>
      </c>
      <c r="D3784" s="9"/>
      <c r="F3784" s="9"/>
      <c r="I3784" s="10"/>
      <c r="M3784" s="9"/>
      <c r="O3784" s="9"/>
    </row>
    <row r="3785" ht="15.75" customHeight="1">
      <c r="A3785" s="9" t="str">
        <f>IFERROR(__xludf.DUMMYFUNCTION("IF(B3785="""","""",RIGHT(REGEXREPLACE(B3785&amp;"""",""[^0-9]"",""""),9))"),"")</f>
        <v/>
      </c>
      <c r="D3785" s="9"/>
      <c r="F3785" s="9"/>
      <c r="I3785" s="10"/>
      <c r="M3785" s="9"/>
      <c r="O3785" s="9"/>
    </row>
    <row r="3786" ht="15.75" customHeight="1">
      <c r="A3786" s="9" t="str">
        <f>IFERROR(__xludf.DUMMYFUNCTION("IF(B3786="""","""",RIGHT(REGEXREPLACE(B3786&amp;"""",""[^0-9]"",""""),9))"),"")</f>
        <v/>
      </c>
      <c r="D3786" s="9"/>
      <c r="F3786" s="9"/>
      <c r="I3786" s="10"/>
      <c r="M3786" s="9"/>
      <c r="O3786" s="9"/>
    </row>
    <row r="3787" ht="15.75" customHeight="1">
      <c r="A3787" s="9" t="str">
        <f>IFERROR(__xludf.DUMMYFUNCTION("IF(B3787="""","""",RIGHT(REGEXREPLACE(B3787&amp;"""",""[^0-9]"",""""),9))"),"")</f>
        <v/>
      </c>
      <c r="D3787" s="9"/>
      <c r="F3787" s="9"/>
      <c r="I3787" s="10"/>
      <c r="M3787" s="9"/>
      <c r="O3787" s="9"/>
    </row>
    <row r="3788" ht="15.75" customHeight="1">
      <c r="A3788" s="9" t="str">
        <f>IFERROR(__xludf.DUMMYFUNCTION("IF(B3788="""","""",RIGHT(REGEXREPLACE(B3788&amp;"""",""[^0-9]"",""""),9))"),"")</f>
        <v/>
      </c>
      <c r="D3788" s="9"/>
      <c r="F3788" s="9"/>
      <c r="I3788" s="10"/>
      <c r="M3788" s="9"/>
      <c r="O3788" s="9"/>
    </row>
    <row r="3789" ht="15.75" customHeight="1">
      <c r="A3789" s="9" t="str">
        <f>IFERROR(__xludf.DUMMYFUNCTION("IF(B3789="""","""",RIGHT(REGEXREPLACE(B3789&amp;"""",""[^0-9]"",""""),9))"),"")</f>
        <v/>
      </c>
      <c r="D3789" s="9"/>
      <c r="F3789" s="9"/>
      <c r="I3789" s="10"/>
      <c r="M3789" s="9"/>
      <c r="O3789" s="9"/>
    </row>
    <row r="3790" ht="15.75" customHeight="1">
      <c r="A3790" s="9" t="str">
        <f>IFERROR(__xludf.DUMMYFUNCTION("IF(B3790="""","""",RIGHT(REGEXREPLACE(B3790&amp;"""",""[^0-9]"",""""),9))"),"")</f>
        <v/>
      </c>
      <c r="D3790" s="9"/>
      <c r="F3790" s="9"/>
      <c r="I3790" s="10"/>
      <c r="M3790" s="9"/>
      <c r="O3790" s="9"/>
    </row>
    <row r="3791" ht="15.75" customHeight="1">
      <c r="A3791" s="9" t="str">
        <f>IFERROR(__xludf.DUMMYFUNCTION("IF(B3791="""","""",RIGHT(REGEXREPLACE(B3791&amp;"""",""[^0-9]"",""""),9))"),"")</f>
        <v/>
      </c>
      <c r="D3791" s="9"/>
      <c r="F3791" s="9"/>
      <c r="I3791" s="10"/>
      <c r="M3791" s="9"/>
      <c r="O3791" s="9"/>
    </row>
    <row r="3792" ht="15.75" customHeight="1">
      <c r="A3792" s="9" t="str">
        <f>IFERROR(__xludf.DUMMYFUNCTION("IF(B3792="""","""",RIGHT(REGEXREPLACE(B3792&amp;"""",""[^0-9]"",""""),9))"),"")</f>
        <v/>
      </c>
      <c r="D3792" s="9"/>
      <c r="F3792" s="9"/>
      <c r="I3792" s="10"/>
      <c r="M3792" s="9"/>
      <c r="O3792" s="9"/>
    </row>
    <row r="3793" ht="15.75" customHeight="1">
      <c r="A3793" s="9" t="str">
        <f>IFERROR(__xludf.DUMMYFUNCTION("IF(B3793="""","""",RIGHT(REGEXREPLACE(B3793&amp;"""",""[^0-9]"",""""),9))"),"")</f>
        <v/>
      </c>
      <c r="D3793" s="9"/>
      <c r="F3793" s="9"/>
      <c r="I3793" s="10"/>
      <c r="M3793" s="9"/>
      <c r="O3793" s="9"/>
    </row>
    <row r="3794" ht="15.75" customHeight="1">
      <c r="A3794" s="9" t="str">
        <f>IFERROR(__xludf.DUMMYFUNCTION("IF(B3794="""","""",RIGHT(REGEXREPLACE(B3794&amp;"""",""[^0-9]"",""""),9))"),"")</f>
        <v/>
      </c>
      <c r="D3794" s="9"/>
      <c r="F3794" s="9"/>
      <c r="I3794" s="10"/>
      <c r="M3794" s="9"/>
      <c r="O3794" s="9"/>
    </row>
    <row r="3795" ht="15.75" customHeight="1">
      <c r="A3795" s="9" t="str">
        <f>IFERROR(__xludf.DUMMYFUNCTION("IF(B3795="""","""",RIGHT(REGEXREPLACE(B3795&amp;"""",""[^0-9]"",""""),9))"),"")</f>
        <v/>
      </c>
      <c r="D3795" s="9"/>
      <c r="F3795" s="9"/>
      <c r="I3795" s="10"/>
      <c r="M3795" s="9"/>
      <c r="O3795" s="9"/>
    </row>
    <row r="3796" ht="15.75" customHeight="1">
      <c r="A3796" s="9" t="str">
        <f>IFERROR(__xludf.DUMMYFUNCTION("IF(B3796="""","""",RIGHT(REGEXREPLACE(B3796&amp;"""",""[^0-9]"",""""),9))"),"")</f>
        <v/>
      </c>
      <c r="D3796" s="9"/>
      <c r="F3796" s="9"/>
      <c r="I3796" s="10"/>
      <c r="M3796" s="9"/>
      <c r="O3796" s="9"/>
    </row>
    <row r="3797" ht="15.75" customHeight="1">
      <c r="A3797" s="9" t="str">
        <f>IFERROR(__xludf.DUMMYFUNCTION("IF(B3797="""","""",RIGHT(REGEXREPLACE(B3797&amp;"""",""[^0-9]"",""""),9))"),"")</f>
        <v/>
      </c>
      <c r="D3797" s="9"/>
      <c r="F3797" s="9"/>
      <c r="I3797" s="10"/>
      <c r="M3797" s="9"/>
      <c r="O3797" s="9"/>
    </row>
    <row r="3798" ht="15.75" customHeight="1">
      <c r="A3798" s="9" t="str">
        <f>IFERROR(__xludf.DUMMYFUNCTION("IF(B3798="""","""",RIGHT(REGEXREPLACE(B3798&amp;"""",""[^0-9]"",""""),9))"),"")</f>
        <v/>
      </c>
      <c r="D3798" s="9"/>
      <c r="F3798" s="9"/>
      <c r="I3798" s="10"/>
      <c r="M3798" s="9"/>
      <c r="O3798" s="9"/>
    </row>
    <row r="3799" ht="15.75" customHeight="1">
      <c r="A3799" s="9" t="str">
        <f>IFERROR(__xludf.DUMMYFUNCTION("IF(B3799="""","""",RIGHT(REGEXREPLACE(B3799&amp;"""",""[^0-9]"",""""),9))"),"")</f>
        <v/>
      </c>
      <c r="D3799" s="9"/>
      <c r="F3799" s="9"/>
      <c r="I3799" s="10"/>
      <c r="M3799" s="9"/>
      <c r="O3799" s="9"/>
    </row>
    <row r="3800" ht="15.75" customHeight="1">
      <c r="A3800" s="9" t="str">
        <f>IFERROR(__xludf.DUMMYFUNCTION("IF(B3800="""","""",RIGHT(REGEXREPLACE(B3800&amp;"""",""[^0-9]"",""""),9))"),"")</f>
        <v/>
      </c>
      <c r="D3800" s="9"/>
      <c r="F3800" s="9"/>
      <c r="I3800" s="10"/>
      <c r="M3800" s="9"/>
      <c r="O3800" s="9"/>
    </row>
    <row r="3801" ht="15.75" customHeight="1">
      <c r="A3801" s="9" t="str">
        <f>IFERROR(__xludf.DUMMYFUNCTION("IF(B3801="""","""",RIGHT(REGEXREPLACE(B3801&amp;"""",""[^0-9]"",""""),9))"),"")</f>
        <v/>
      </c>
      <c r="D3801" s="9"/>
      <c r="F3801" s="9"/>
      <c r="I3801" s="10"/>
      <c r="M3801" s="9"/>
      <c r="O3801" s="9"/>
    </row>
    <row r="3802" ht="15.75" customHeight="1">
      <c r="A3802" s="9" t="str">
        <f>IFERROR(__xludf.DUMMYFUNCTION("IF(B3802="""","""",RIGHT(REGEXREPLACE(B3802&amp;"""",""[^0-9]"",""""),9))"),"")</f>
        <v/>
      </c>
      <c r="D3802" s="9"/>
      <c r="F3802" s="9"/>
      <c r="I3802" s="10"/>
      <c r="M3802" s="9"/>
      <c r="O3802" s="9"/>
    </row>
    <row r="3803" ht="15.75" customHeight="1">
      <c r="A3803" s="9" t="str">
        <f>IFERROR(__xludf.DUMMYFUNCTION("IF(B3803="""","""",RIGHT(REGEXREPLACE(B3803&amp;"""",""[^0-9]"",""""),9))"),"")</f>
        <v/>
      </c>
      <c r="D3803" s="9"/>
      <c r="F3803" s="9"/>
      <c r="I3803" s="10"/>
      <c r="M3803" s="9"/>
      <c r="O3803" s="9"/>
    </row>
    <row r="3804" ht="15.75" customHeight="1">
      <c r="A3804" s="9" t="str">
        <f>IFERROR(__xludf.DUMMYFUNCTION("IF(B3804="""","""",RIGHT(REGEXREPLACE(B3804&amp;"""",""[^0-9]"",""""),9))"),"")</f>
        <v/>
      </c>
      <c r="D3804" s="9"/>
      <c r="F3804" s="9"/>
      <c r="I3804" s="10"/>
      <c r="M3804" s="9"/>
      <c r="O3804" s="9"/>
    </row>
    <row r="3805" ht="15.75" customHeight="1">
      <c r="A3805" s="9" t="str">
        <f>IFERROR(__xludf.DUMMYFUNCTION("IF(B3805="""","""",RIGHT(REGEXREPLACE(B3805&amp;"""",""[^0-9]"",""""),9))"),"")</f>
        <v/>
      </c>
      <c r="D3805" s="9"/>
      <c r="F3805" s="9"/>
      <c r="I3805" s="10"/>
      <c r="M3805" s="9"/>
      <c r="O3805" s="9"/>
    </row>
    <row r="3806" ht="15.75" customHeight="1">
      <c r="A3806" s="9" t="str">
        <f>IFERROR(__xludf.DUMMYFUNCTION("IF(B3806="""","""",RIGHT(REGEXREPLACE(B3806&amp;"""",""[^0-9]"",""""),9))"),"")</f>
        <v/>
      </c>
      <c r="D3806" s="9"/>
      <c r="F3806" s="9"/>
      <c r="I3806" s="10"/>
      <c r="M3806" s="9"/>
      <c r="O3806" s="9"/>
    </row>
    <row r="3807" ht="15.75" customHeight="1">
      <c r="A3807" s="9" t="str">
        <f>IFERROR(__xludf.DUMMYFUNCTION("IF(B3807="""","""",RIGHT(REGEXREPLACE(B3807&amp;"""",""[^0-9]"",""""),9))"),"")</f>
        <v/>
      </c>
      <c r="D3807" s="9"/>
      <c r="F3807" s="9"/>
      <c r="I3807" s="10"/>
      <c r="M3807" s="9"/>
      <c r="O3807" s="9"/>
    </row>
    <row r="3808" ht="15.75" customHeight="1">
      <c r="A3808" s="9" t="str">
        <f>IFERROR(__xludf.DUMMYFUNCTION("IF(B3808="""","""",RIGHT(REGEXREPLACE(B3808&amp;"""",""[^0-9]"",""""),9))"),"")</f>
        <v/>
      </c>
      <c r="D3808" s="9"/>
      <c r="F3808" s="9"/>
      <c r="I3808" s="10"/>
      <c r="M3808" s="9"/>
      <c r="O3808" s="9"/>
    </row>
    <row r="3809" ht="15.75" customHeight="1">
      <c r="A3809" s="9" t="str">
        <f>IFERROR(__xludf.DUMMYFUNCTION("IF(B3809="""","""",RIGHT(REGEXREPLACE(B3809&amp;"""",""[^0-9]"",""""),9))"),"")</f>
        <v/>
      </c>
      <c r="D3809" s="9"/>
      <c r="F3809" s="9"/>
      <c r="I3809" s="10"/>
      <c r="M3809" s="9"/>
      <c r="O3809" s="9"/>
    </row>
    <row r="3810" ht="15.75" customHeight="1">
      <c r="A3810" s="9" t="str">
        <f>IFERROR(__xludf.DUMMYFUNCTION("IF(B3810="""","""",RIGHT(REGEXREPLACE(B3810&amp;"""",""[^0-9]"",""""),9))"),"")</f>
        <v/>
      </c>
      <c r="D3810" s="9"/>
      <c r="F3810" s="9"/>
      <c r="I3810" s="10"/>
      <c r="M3810" s="9"/>
      <c r="O3810" s="9"/>
    </row>
    <row r="3811" ht="15.75" customHeight="1">
      <c r="A3811" s="9" t="str">
        <f>IFERROR(__xludf.DUMMYFUNCTION("IF(B3811="""","""",RIGHT(REGEXREPLACE(B3811&amp;"""",""[^0-9]"",""""),9))"),"")</f>
        <v/>
      </c>
      <c r="D3811" s="9"/>
      <c r="F3811" s="9"/>
      <c r="I3811" s="10"/>
      <c r="M3811" s="9"/>
      <c r="O3811" s="9"/>
    </row>
    <row r="3812" ht="15.75" customHeight="1">
      <c r="A3812" s="9" t="str">
        <f>IFERROR(__xludf.DUMMYFUNCTION("IF(B3812="""","""",RIGHT(REGEXREPLACE(B3812&amp;"""",""[^0-9]"",""""),9))"),"")</f>
        <v/>
      </c>
      <c r="D3812" s="9"/>
      <c r="F3812" s="9"/>
      <c r="I3812" s="10"/>
      <c r="M3812" s="9"/>
      <c r="O3812" s="9"/>
    </row>
    <row r="3813" ht="15.75" customHeight="1">
      <c r="A3813" s="9" t="str">
        <f>IFERROR(__xludf.DUMMYFUNCTION("IF(B3813="""","""",RIGHT(REGEXREPLACE(B3813&amp;"""",""[^0-9]"",""""),9))"),"")</f>
        <v/>
      </c>
      <c r="D3813" s="9"/>
      <c r="F3813" s="9"/>
      <c r="I3813" s="10"/>
      <c r="M3813" s="9"/>
      <c r="O3813" s="9"/>
    </row>
    <row r="3814" ht="15.75" customHeight="1">
      <c r="A3814" s="9" t="str">
        <f>IFERROR(__xludf.DUMMYFUNCTION("IF(B3814="""","""",RIGHT(REGEXREPLACE(B3814&amp;"""",""[^0-9]"",""""),9))"),"")</f>
        <v/>
      </c>
      <c r="D3814" s="9"/>
      <c r="F3814" s="9"/>
      <c r="I3814" s="10"/>
      <c r="M3814" s="9"/>
      <c r="O3814" s="9"/>
    </row>
    <row r="3815" ht="15.75" customHeight="1">
      <c r="A3815" s="9" t="str">
        <f>IFERROR(__xludf.DUMMYFUNCTION("IF(B3815="""","""",RIGHT(REGEXREPLACE(B3815&amp;"""",""[^0-9]"",""""),9))"),"")</f>
        <v/>
      </c>
      <c r="D3815" s="9"/>
      <c r="F3815" s="9"/>
      <c r="I3815" s="10"/>
      <c r="M3815" s="9"/>
      <c r="O3815" s="9"/>
    </row>
    <row r="3816" ht="15.75" customHeight="1">
      <c r="A3816" s="9" t="str">
        <f>IFERROR(__xludf.DUMMYFUNCTION("IF(B3816="""","""",RIGHT(REGEXREPLACE(B3816&amp;"""",""[^0-9]"",""""),9))"),"")</f>
        <v/>
      </c>
      <c r="D3816" s="9"/>
      <c r="F3816" s="9"/>
      <c r="I3816" s="10"/>
      <c r="M3816" s="9"/>
      <c r="O3816" s="9"/>
    </row>
    <row r="3817" ht="15.75" customHeight="1">
      <c r="A3817" s="9" t="str">
        <f>IFERROR(__xludf.DUMMYFUNCTION("IF(B3817="""","""",RIGHT(REGEXREPLACE(B3817&amp;"""",""[^0-9]"",""""),9))"),"")</f>
        <v/>
      </c>
      <c r="D3817" s="9"/>
      <c r="F3817" s="9"/>
      <c r="I3817" s="10"/>
      <c r="M3817" s="9"/>
      <c r="O3817" s="9"/>
    </row>
    <row r="3818" ht="15.75" customHeight="1">
      <c r="A3818" s="9" t="str">
        <f>IFERROR(__xludf.DUMMYFUNCTION("IF(B3818="""","""",RIGHT(REGEXREPLACE(B3818&amp;"""",""[^0-9]"",""""),9))"),"")</f>
        <v/>
      </c>
      <c r="D3818" s="9"/>
      <c r="F3818" s="9"/>
      <c r="I3818" s="10"/>
      <c r="M3818" s="9"/>
      <c r="O3818" s="9"/>
    </row>
    <row r="3819" ht="15.75" customHeight="1">
      <c r="A3819" s="9" t="str">
        <f>IFERROR(__xludf.DUMMYFUNCTION("IF(B3819="""","""",RIGHT(REGEXREPLACE(B3819&amp;"""",""[^0-9]"",""""),9))"),"")</f>
        <v/>
      </c>
      <c r="D3819" s="9"/>
      <c r="F3819" s="9"/>
      <c r="I3819" s="10"/>
      <c r="M3819" s="9"/>
      <c r="O3819" s="9"/>
    </row>
    <row r="3820" ht="15.75" customHeight="1">
      <c r="A3820" s="9" t="str">
        <f>IFERROR(__xludf.DUMMYFUNCTION("IF(B3820="""","""",RIGHT(REGEXREPLACE(B3820&amp;"""",""[^0-9]"",""""),9))"),"")</f>
        <v/>
      </c>
      <c r="D3820" s="9"/>
      <c r="F3820" s="9"/>
      <c r="I3820" s="10"/>
      <c r="M3820" s="9"/>
      <c r="O3820" s="9"/>
    </row>
    <row r="3821" ht="15.75" customHeight="1">
      <c r="A3821" s="9" t="str">
        <f>IFERROR(__xludf.DUMMYFUNCTION("IF(B3821="""","""",RIGHT(REGEXREPLACE(B3821&amp;"""",""[^0-9]"",""""),9))"),"")</f>
        <v/>
      </c>
      <c r="D3821" s="9"/>
      <c r="F3821" s="9"/>
      <c r="I3821" s="10"/>
      <c r="M3821" s="9"/>
      <c r="O3821" s="9"/>
    </row>
    <row r="3822" ht="15.75" customHeight="1">
      <c r="A3822" s="9" t="str">
        <f>IFERROR(__xludf.DUMMYFUNCTION("IF(B3822="""","""",RIGHT(REGEXREPLACE(B3822&amp;"""",""[^0-9]"",""""),9))"),"")</f>
        <v/>
      </c>
      <c r="D3822" s="9"/>
      <c r="F3822" s="9"/>
      <c r="I3822" s="10"/>
      <c r="M3822" s="9"/>
      <c r="O3822" s="9"/>
    </row>
    <row r="3823" ht="15.75" customHeight="1">
      <c r="A3823" s="9" t="str">
        <f>IFERROR(__xludf.DUMMYFUNCTION("IF(B3823="""","""",RIGHT(REGEXREPLACE(B3823&amp;"""",""[^0-9]"",""""),9))"),"")</f>
        <v/>
      </c>
      <c r="D3823" s="9"/>
      <c r="F3823" s="9"/>
      <c r="I3823" s="10"/>
      <c r="M3823" s="9"/>
      <c r="O3823" s="9"/>
    </row>
    <row r="3824" ht="15.75" customHeight="1">
      <c r="A3824" s="9" t="str">
        <f>IFERROR(__xludf.DUMMYFUNCTION("IF(B3824="""","""",RIGHT(REGEXREPLACE(B3824&amp;"""",""[^0-9]"",""""),9))"),"")</f>
        <v/>
      </c>
      <c r="D3824" s="9"/>
      <c r="F3824" s="9"/>
      <c r="I3824" s="10"/>
      <c r="M3824" s="9"/>
      <c r="O3824" s="9"/>
    </row>
    <row r="3825" ht="15.75" customHeight="1">
      <c r="A3825" s="9" t="str">
        <f>IFERROR(__xludf.DUMMYFUNCTION("IF(B3825="""","""",RIGHT(REGEXREPLACE(B3825&amp;"""",""[^0-9]"",""""),9))"),"")</f>
        <v/>
      </c>
      <c r="D3825" s="9"/>
      <c r="F3825" s="9"/>
      <c r="I3825" s="10"/>
      <c r="M3825" s="9"/>
      <c r="O3825" s="9"/>
    </row>
    <row r="3826" ht="15.75" customHeight="1">
      <c r="A3826" s="9" t="str">
        <f>IFERROR(__xludf.DUMMYFUNCTION("IF(B3826="""","""",RIGHT(REGEXREPLACE(B3826&amp;"""",""[^0-9]"",""""),9))"),"")</f>
        <v/>
      </c>
      <c r="D3826" s="9"/>
      <c r="F3826" s="9"/>
      <c r="I3826" s="10"/>
      <c r="M3826" s="9"/>
      <c r="O3826" s="9"/>
    </row>
    <row r="3827" ht="15.75" customHeight="1">
      <c r="A3827" s="9" t="str">
        <f>IFERROR(__xludf.DUMMYFUNCTION("IF(B3827="""","""",RIGHT(REGEXREPLACE(B3827&amp;"""",""[^0-9]"",""""),9))"),"")</f>
        <v/>
      </c>
      <c r="D3827" s="9"/>
      <c r="F3827" s="9"/>
      <c r="I3827" s="10"/>
      <c r="M3827" s="9"/>
      <c r="O3827" s="9"/>
    </row>
    <row r="3828" ht="15.75" customHeight="1">
      <c r="A3828" s="9" t="str">
        <f>IFERROR(__xludf.DUMMYFUNCTION("IF(B3828="""","""",RIGHT(REGEXREPLACE(B3828&amp;"""",""[^0-9]"",""""),9))"),"")</f>
        <v/>
      </c>
      <c r="D3828" s="9"/>
      <c r="F3828" s="9"/>
      <c r="I3828" s="10"/>
      <c r="M3828" s="9"/>
      <c r="O3828" s="9"/>
    </row>
    <row r="3829" ht="15.75" customHeight="1">
      <c r="A3829" s="9" t="str">
        <f>IFERROR(__xludf.DUMMYFUNCTION("IF(B3829="""","""",RIGHT(REGEXREPLACE(B3829&amp;"""",""[^0-9]"",""""),9))"),"")</f>
        <v/>
      </c>
      <c r="D3829" s="9"/>
      <c r="F3829" s="9"/>
      <c r="I3829" s="10"/>
      <c r="M3829" s="9"/>
      <c r="O3829" s="9"/>
    </row>
    <row r="3830" ht="15.75" customHeight="1">
      <c r="A3830" s="9" t="str">
        <f>IFERROR(__xludf.DUMMYFUNCTION("IF(B3830="""","""",RIGHT(REGEXREPLACE(B3830&amp;"""",""[^0-9]"",""""),9))"),"")</f>
        <v/>
      </c>
      <c r="D3830" s="9"/>
      <c r="F3830" s="9"/>
      <c r="I3830" s="10"/>
      <c r="M3830" s="9"/>
      <c r="O3830" s="9"/>
    </row>
    <row r="3831" ht="15.75" customHeight="1">
      <c r="A3831" s="9" t="str">
        <f>IFERROR(__xludf.DUMMYFUNCTION("IF(B3831="""","""",RIGHT(REGEXREPLACE(B3831&amp;"""",""[^0-9]"",""""),9))"),"")</f>
        <v/>
      </c>
      <c r="D3831" s="9"/>
      <c r="F3831" s="9"/>
      <c r="I3831" s="10"/>
      <c r="M3831" s="9"/>
      <c r="O3831" s="9"/>
    </row>
    <row r="3832" ht="15.75" customHeight="1">
      <c r="A3832" s="9" t="str">
        <f>IFERROR(__xludf.DUMMYFUNCTION("IF(B3832="""","""",RIGHT(REGEXREPLACE(B3832&amp;"""",""[^0-9]"",""""),9))"),"")</f>
        <v/>
      </c>
      <c r="D3832" s="9"/>
      <c r="F3832" s="9"/>
      <c r="I3832" s="10"/>
      <c r="M3832" s="9"/>
      <c r="O3832" s="9"/>
    </row>
    <row r="3833" ht="15.75" customHeight="1">
      <c r="A3833" s="9" t="str">
        <f>IFERROR(__xludf.DUMMYFUNCTION("IF(B3833="""","""",RIGHT(REGEXREPLACE(B3833&amp;"""",""[^0-9]"",""""),9))"),"")</f>
        <v/>
      </c>
      <c r="D3833" s="9"/>
      <c r="F3833" s="9"/>
      <c r="I3833" s="10"/>
      <c r="M3833" s="9"/>
      <c r="O3833" s="9"/>
    </row>
    <row r="3834" ht="15.75" customHeight="1">
      <c r="A3834" s="9" t="str">
        <f>IFERROR(__xludf.DUMMYFUNCTION("IF(B3834="""","""",RIGHT(REGEXREPLACE(B3834&amp;"""",""[^0-9]"",""""),9))"),"")</f>
        <v/>
      </c>
      <c r="D3834" s="9"/>
      <c r="F3834" s="9"/>
      <c r="I3834" s="10"/>
      <c r="M3834" s="9"/>
      <c r="O3834" s="9"/>
    </row>
    <row r="3835" ht="15.75" customHeight="1">
      <c r="A3835" s="9" t="str">
        <f>IFERROR(__xludf.DUMMYFUNCTION("IF(B3835="""","""",RIGHT(REGEXREPLACE(B3835&amp;"""",""[^0-9]"",""""),9))"),"")</f>
        <v/>
      </c>
      <c r="D3835" s="9"/>
      <c r="F3835" s="9"/>
      <c r="I3835" s="10"/>
      <c r="M3835" s="9"/>
      <c r="O3835" s="9"/>
    </row>
    <row r="3836" ht="15.75" customHeight="1">
      <c r="A3836" s="9" t="str">
        <f>IFERROR(__xludf.DUMMYFUNCTION("IF(B3836="""","""",RIGHT(REGEXREPLACE(B3836&amp;"""",""[^0-9]"",""""),9))"),"")</f>
        <v/>
      </c>
      <c r="D3836" s="9"/>
      <c r="F3836" s="9"/>
      <c r="I3836" s="10"/>
      <c r="M3836" s="9"/>
      <c r="O3836" s="9"/>
    </row>
    <row r="3837" ht="15.75" customHeight="1">
      <c r="A3837" s="9" t="str">
        <f>IFERROR(__xludf.DUMMYFUNCTION("IF(B3837="""","""",RIGHT(REGEXREPLACE(B3837&amp;"""",""[^0-9]"",""""),9))"),"")</f>
        <v/>
      </c>
      <c r="D3837" s="9"/>
      <c r="F3837" s="9"/>
      <c r="I3837" s="10"/>
      <c r="M3837" s="9"/>
      <c r="O3837" s="9"/>
    </row>
    <row r="3838" ht="15.75" customHeight="1">
      <c r="A3838" s="9" t="str">
        <f>IFERROR(__xludf.DUMMYFUNCTION("IF(B3838="""","""",RIGHT(REGEXREPLACE(B3838&amp;"""",""[^0-9]"",""""),9))"),"")</f>
        <v/>
      </c>
      <c r="D3838" s="9"/>
      <c r="F3838" s="9"/>
      <c r="I3838" s="10"/>
      <c r="M3838" s="9"/>
      <c r="O3838" s="9"/>
    </row>
    <row r="3839" ht="15.75" customHeight="1">
      <c r="A3839" s="9" t="str">
        <f>IFERROR(__xludf.DUMMYFUNCTION("IF(B3839="""","""",RIGHT(REGEXREPLACE(B3839&amp;"""",""[^0-9]"",""""),9))"),"")</f>
        <v/>
      </c>
      <c r="D3839" s="9"/>
      <c r="F3839" s="9"/>
      <c r="I3839" s="10"/>
      <c r="M3839" s="9"/>
      <c r="O3839" s="9"/>
    </row>
    <row r="3840" ht="15.75" customHeight="1">
      <c r="A3840" s="9" t="str">
        <f>IFERROR(__xludf.DUMMYFUNCTION("IF(B3840="""","""",RIGHT(REGEXREPLACE(B3840&amp;"""",""[^0-9]"",""""),9))"),"")</f>
        <v/>
      </c>
      <c r="D3840" s="9"/>
      <c r="F3840" s="9"/>
      <c r="I3840" s="10"/>
      <c r="M3840" s="9"/>
      <c r="O3840" s="9"/>
    </row>
    <row r="3841" ht="15.75" customHeight="1">
      <c r="A3841" s="9" t="str">
        <f>IFERROR(__xludf.DUMMYFUNCTION("IF(B3841="""","""",RIGHT(REGEXREPLACE(B3841&amp;"""",""[^0-9]"",""""),9))"),"")</f>
        <v/>
      </c>
      <c r="D3841" s="9"/>
      <c r="F3841" s="9"/>
      <c r="I3841" s="10"/>
      <c r="M3841" s="9"/>
      <c r="O3841" s="9"/>
    </row>
    <row r="3842" ht="15.75" customHeight="1">
      <c r="A3842" s="9" t="str">
        <f>IFERROR(__xludf.DUMMYFUNCTION("IF(B3842="""","""",RIGHT(REGEXREPLACE(B3842&amp;"""",""[^0-9]"",""""),9))"),"")</f>
        <v/>
      </c>
      <c r="D3842" s="9"/>
      <c r="F3842" s="9"/>
      <c r="I3842" s="10"/>
      <c r="M3842" s="9"/>
      <c r="O3842" s="9"/>
    </row>
    <row r="3843" ht="15.75" customHeight="1">
      <c r="A3843" s="9" t="str">
        <f>IFERROR(__xludf.DUMMYFUNCTION("IF(B3843="""","""",RIGHT(REGEXREPLACE(B3843&amp;"""",""[^0-9]"",""""),9))"),"")</f>
        <v/>
      </c>
      <c r="D3843" s="9"/>
      <c r="F3843" s="9"/>
      <c r="I3843" s="10"/>
      <c r="M3843" s="9"/>
      <c r="O3843" s="9"/>
    </row>
    <row r="3844" ht="15.75" customHeight="1">
      <c r="A3844" s="9" t="str">
        <f>IFERROR(__xludf.DUMMYFUNCTION("IF(B3844="""","""",RIGHT(REGEXREPLACE(B3844&amp;"""",""[^0-9]"",""""),9))"),"")</f>
        <v/>
      </c>
      <c r="D3844" s="9"/>
      <c r="F3844" s="9"/>
      <c r="I3844" s="10"/>
      <c r="M3844" s="9"/>
      <c r="O3844" s="9"/>
    </row>
    <row r="3845" ht="15.75" customHeight="1">
      <c r="A3845" s="9" t="str">
        <f>IFERROR(__xludf.DUMMYFUNCTION("IF(B3845="""","""",RIGHT(REGEXREPLACE(B3845&amp;"""",""[^0-9]"",""""),9))"),"")</f>
        <v/>
      </c>
      <c r="D3845" s="9"/>
      <c r="F3845" s="9"/>
      <c r="I3845" s="10"/>
      <c r="M3845" s="9"/>
      <c r="O3845" s="9"/>
    </row>
    <row r="3846" ht="15.75" customHeight="1">
      <c r="A3846" s="9" t="str">
        <f>IFERROR(__xludf.DUMMYFUNCTION("IF(B3846="""","""",RIGHT(REGEXREPLACE(B3846&amp;"""",""[^0-9]"",""""),9))"),"")</f>
        <v/>
      </c>
      <c r="D3846" s="9"/>
      <c r="F3846" s="9"/>
      <c r="I3846" s="10"/>
      <c r="M3846" s="9"/>
      <c r="O3846" s="9"/>
    </row>
    <row r="3847" ht="15.75" customHeight="1">
      <c r="A3847" s="9" t="str">
        <f>IFERROR(__xludf.DUMMYFUNCTION("IF(B3847="""","""",RIGHT(REGEXREPLACE(B3847&amp;"""",""[^0-9]"",""""),9))"),"")</f>
        <v/>
      </c>
      <c r="D3847" s="9"/>
      <c r="F3847" s="9"/>
      <c r="I3847" s="10"/>
      <c r="M3847" s="9"/>
      <c r="O3847" s="9"/>
    </row>
    <row r="3848" ht="15.75" customHeight="1">
      <c r="A3848" s="9" t="str">
        <f>IFERROR(__xludf.DUMMYFUNCTION("IF(B3848="""","""",RIGHT(REGEXREPLACE(B3848&amp;"""",""[^0-9]"",""""),9))"),"")</f>
        <v/>
      </c>
      <c r="D3848" s="9"/>
      <c r="F3848" s="9"/>
      <c r="I3848" s="10"/>
      <c r="M3848" s="9"/>
      <c r="O3848" s="9"/>
    </row>
    <row r="3849" ht="15.75" customHeight="1">
      <c r="A3849" s="9" t="str">
        <f>IFERROR(__xludf.DUMMYFUNCTION("IF(B3849="""","""",RIGHT(REGEXREPLACE(B3849&amp;"""",""[^0-9]"",""""),9))"),"")</f>
        <v/>
      </c>
      <c r="D3849" s="9"/>
      <c r="F3849" s="9"/>
      <c r="I3849" s="10"/>
      <c r="M3849" s="9"/>
      <c r="O3849" s="9"/>
    </row>
    <row r="3850" ht="15.75" customHeight="1">
      <c r="A3850" s="9" t="str">
        <f>IFERROR(__xludf.DUMMYFUNCTION("IF(B3850="""","""",RIGHT(REGEXREPLACE(B3850&amp;"""",""[^0-9]"",""""),9))"),"")</f>
        <v/>
      </c>
      <c r="D3850" s="9"/>
      <c r="F3850" s="9"/>
      <c r="I3850" s="10"/>
      <c r="M3850" s="9"/>
      <c r="O3850" s="9"/>
    </row>
    <row r="3851" ht="15.75" customHeight="1">
      <c r="A3851" s="9" t="str">
        <f>IFERROR(__xludf.DUMMYFUNCTION("IF(B3851="""","""",RIGHT(REGEXREPLACE(B3851&amp;"""",""[^0-9]"",""""),9))"),"")</f>
        <v/>
      </c>
      <c r="D3851" s="9"/>
      <c r="F3851" s="9"/>
      <c r="I3851" s="10"/>
      <c r="M3851" s="9"/>
      <c r="O3851" s="9"/>
    </row>
    <row r="3852" ht="15.75" customHeight="1">
      <c r="A3852" s="9" t="str">
        <f>IFERROR(__xludf.DUMMYFUNCTION("IF(B3852="""","""",RIGHT(REGEXREPLACE(B3852&amp;"""",""[^0-9]"",""""),9))"),"")</f>
        <v/>
      </c>
      <c r="D3852" s="9"/>
      <c r="F3852" s="9"/>
      <c r="I3852" s="10"/>
      <c r="M3852" s="9"/>
      <c r="O3852" s="9"/>
    </row>
    <row r="3853" ht="15.75" customHeight="1">
      <c r="A3853" s="9" t="str">
        <f>IFERROR(__xludf.DUMMYFUNCTION("IF(B3853="""","""",RIGHT(REGEXREPLACE(B3853&amp;"""",""[^0-9]"",""""),9))"),"")</f>
        <v/>
      </c>
      <c r="D3853" s="9"/>
      <c r="F3853" s="9"/>
      <c r="I3853" s="10"/>
      <c r="M3853" s="9"/>
      <c r="O3853" s="9"/>
    </row>
    <row r="3854" ht="15.75" customHeight="1">
      <c r="A3854" s="9" t="str">
        <f>IFERROR(__xludf.DUMMYFUNCTION("IF(B3854="""","""",RIGHT(REGEXREPLACE(B3854&amp;"""",""[^0-9]"",""""),9))"),"")</f>
        <v/>
      </c>
      <c r="D3854" s="9"/>
      <c r="F3854" s="9"/>
      <c r="I3854" s="10"/>
      <c r="M3854" s="9"/>
      <c r="O3854" s="9"/>
    </row>
    <row r="3855" ht="15.75" customHeight="1">
      <c r="A3855" s="9" t="str">
        <f>IFERROR(__xludf.DUMMYFUNCTION("IF(B3855="""","""",RIGHT(REGEXREPLACE(B3855&amp;"""",""[^0-9]"",""""),9))"),"")</f>
        <v/>
      </c>
      <c r="D3855" s="9"/>
      <c r="F3855" s="9"/>
      <c r="I3855" s="10"/>
      <c r="M3855" s="9"/>
      <c r="O3855" s="9"/>
    </row>
    <row r="3856" ht="15.75" customHeight="1">
      <c r="A3856" s="9" t="str">
        <f>IFERROR(__xludf.DUMMYFUNCTION("IF(B3856="""","""",RIGHT(REGEXREPLACE(B3856&amp;"""",""[^0-9]"",""""),9))"),"")</f>
        <v/>
      </c>
      <c r="D3856" s="9"/>
      <c r="F3856" s="9"/>
      <c r="I3856" s="10"/>
      <c r="M3856" s="9"/>
      <c r="O3856" s="9"/>
    </row>
    <row r="3857" ht="15.75" customHeight="1">
      <c r="A3857" s="9" t="str">
        <f>IFERROR(__xludf.DUMMYFUNCTION("IF(B3857="""","""",RIGHT(REGEXREPLACE(B3857&amp;"""",""[^0-9]"",""""),9))"),"")</f>
        <v/>
      </c>
      <c r="D3857" s="9"/>
      <c r="F3857" s="9"/>
      <c r="I3857" s="10"/>
      <c r="M3857" s="9"/>
      <c r="O3857" s="9"/>
    </row>
    <row r="3858" ht="15.75" customHeight="1">
      <c r="A3858" s="9" t="str">
        <f>IFERROR(__xludf.DUMMYFUNCTION("IF(B3858="""","""",RIGHT(REGEXREPLACE(B3858&amp;"""",""[^0-9]"",""""),9))"),"")</f>
        <v/>
      </c>
      <c r="D3858" s="9"/>
      <c r="F3858" s="9"/>
      <c r="I3858" s="10"/>
      <c r="M3858" s="9"/>
      <c r="O3858" s="9"/>
    </row>
    <row r="3859" ht="15.75" customHeight="1">
      <c r="A3859" s="9" t="str">
        <f>IFERROR(__xludf.DUMMYFUNCTION("IF(B3859="""","""",RIGHT(REGEXREPLACE(B3859&amp;"""",""[^0-9]"",""""),9))"),"")</f>
        <v/>
      </c>
      <c r="D3859" s="9"/>
      <c r="F3859" s="9"/>
      <c r="I3859" s="10"/>
      <c r="M3859" s="9"/>
      <c r="O3859" s="9"/>
    </row>
    <row r="3860" ht="15.75" customHeight="1">
      <c r="A3860" s="9" t="str">
        <f>IFERROR(__xludf.DUMMYFUNCTION("IF(B3860="""","""",RIGHT(REGEXREPLACE(B3860&amp;"""",""[^0-9]"",""""),9))"),"")</f>
        <v/>
      </c>
      <c r="D3860" s="9"/>
      <c r="F3860" s="9"/>
      <c r="I3860" s="10"/>
      <c r="M3860" s="9"/>
      <c r="O3860" s="9"/>
    </row>
    <row r="3861" ht="15.75" customHeight="1">
      <c r="A3861" s="9" t="str">
        <f>IFERROR(__xludf.DUMMYFUNCTION("IF(B3861="""","""",RIGHT(REGEXREPLACE(B3861&amp;"""",""[^0-9]"",""""),9))"),"")</f>
        <v/>
      </c>
      <c r="D3861" s="9"/>
      <c r="F3861" s="9"/>
      <c r="I3861" s="10"/>
      <c r="M3861" s="9"/>
      <c r="O3861" s="9"/>
    </row>
    <row r="3862" ht="15.75" customHeight="1">
      <c r="A3862" s="9" t="str">
        <f>IFERROR(__xludf.DUMMYFUNCTION("IF(B3862="""","""",RIGHT(REGEXREPLACE(B3862&amp;"""",""[^0-9]"",""""),9))"),"")</f>
        <v/>
      </c>
      <c r="D3862" s="9"/>
      <c r="F3862" s="9"/>
      <c r="I3862" s="10"/>
      <c r="M3862" s="9"/>
      <c r="O3862" s="9"/>
    </row>
    <row r="3863" ht="15.75" customHeight="1">
      <c r="A3863" s="9" t="str">
        <f>IFERROR(__xludf.DUMMYFUNCTION("IF(B3863="""","""",RIGHT(REGEXREPLACE(B3863&amp;"""",""[^0-9]"",""""),9))"),"")</f>
        <v/>
      </c>
      <c r="D3863" s="9"/>
      <c r="F3863" s="9"/>
      <c r="I3863" s="10"/>
      <c r="M3863" s="9"/>
      <c r="O3863" s="9"/>
    </row>
    <row r="3864" ht="15.75" customHeight="1">
      <c r="A3864" s="9" t="str">
        <f>IFERROR(__xludf.DUMMYFUNCTION("IF(B3864="""","""",RIGHT(REGEXREPLACE(B3864&amp;"""",""[^0-9]"",""""),9))"),"")</f>
        <v/>
      </c>
      <c r="D3864" s="9"/>
      <c r="F3864" s="9"/>
      <c r="I3864" s="10"/>
      <c r="M3864" s="9"/>
      <c r="O3864" s="9"/>
    </row>
    <row r="3865" ht="15.75" customHeight="1">
      <c r="A3865" s="9" t="str">
        <f>IFERROR(__xludf.DUMMYFUNCTION("IF(B3865="""","""",RIGHT(REGEXREPLACE(B3865&amp;"""",""[^0-9]"",""""),9))"),"")</f>
        <v/>
      </c>
      <c r="D3865" s="9"/>
      <c r="F3865" s="9"/>
      <c r="I3865" s="10"/>
      <c r="M3865" s="9"/>
      <c r="O3865" s="9"/>
    </row>
    <row r="3866" ht="15.75" customHeight="1">
      <c r="A3866" s="9" t="str">
        <f>IFERROR(__xludf.DUMMYFUNCTION("IF(B3866="""","""",RIGHT(REGEXREPLACE(B3866&amp;"""",""[^0-9]"",""""),9))"),"")</f>
        <v/>
      </c>
      <c r="D3866" s="9"/>
      <c r="F3866" s="9"/>
      <c r="I3866" s="10"/>
      <c r="M3866" s="9"/>
      <c r="O3866" s="9"/>
    </row>
    <row r="3867" ht="15.75" customHeight="1">
      <c r="A3867" s="9" t="str">
        <f>IFERROR(__xludf.DUMMYFUNCTION("IF(B3867="""","""",RIGHT(REGEXREPLACE(B3867&amp;"""",""[^0-9]"",""""),9))"),"")</f>
        <v/>
      </c>
      <c r="D3867" s="9"/>
      <c r="F3867" s="9"/>
      <c r="I3867" s="10"/>
      <c r="M3867" s="9"/>
      <c r="O3867" s="9"/>
    </row>
    <row r="3868" ht="15.75" customHeight="1">
      <c r="A3868" s="9" t="str">
        <f>IFERROR(__xludf.DUMMYFUNCTION("IF(B3868="""","""",RIGHT(REGEXREPLACE(B3868&amp;"""",""[^0-9]"",""""),9))"),"")</f>
        <v/>
      </c>
      <c r="D3868" s="9"/>
      <c r="F3868" s="9"/>
      <c r="I3868" s="10"/>
      <c r="M3868" s="9"/>
      <c r="O3868" s="9"/>
    </row>
    <row r="3869" ht="15.75" customHeight="1">
      <c r="A3869" s="9" t="str">
        <f>IFERROR(__xludf.DUMMYFUNCTION("IF(B3869="""","""",RIGHT(REGEXREPLACE(B3869&amp;"""",""[^0-9]"",""""),9))"),"")</f>
        <v/>
      </c>
      <c r="D3869" s="9"/>
      <c r="F3869" s="9"/>
      <c r="I3869" s="10"/>
      <c r="M3869" s="9"/>
      <c r="O3869" s="9"/>
    </row>
    <row r="3870" ht="15.75" customHeight="1">
      <c r="A3870" s="9" t="str">
        <f>IFERROR(__xludf.DUMMYFUNCTION("IF(B3870="""","""",RIGHT(REGEXREPLACE(B3870&amp;"""",""[^0-9]"",""""),9))"),"")</f>
        <v/>
      </c>
      <c r="D3870" s="9"/>
      <c r="F3870" s="9"/>
      <c r="I3870" s="10"/>
      <c r="M3870" s="9"/>
      <c r="O3870" s="9"/>
    </row>
    <row r="3871" ht="15.75" customHeight="1">
      <c r="A3871" s="9" t="str">
        <f>IFERROR(__xludf.DUMMYFUNCTION("IF(B3871="""","""",RIGHT(REGEXREPLACE(B3871&amp;"""",""[^0-9]"",""""),9))"),"")</f>
        <v/>
      </c>
      <c r="D3871" s="9"/>
      <c r="F3871" s="9"/>
      <c r="I3871" s="10"/>
      <c r="M3871" s="9"/>
      <c r="O3871" s="9"/>
    </row>
    <row r="3872" ht="15.75" customHeight="1">
      <c r="A3872" s="9" t="str">
        <f>IFERROR(__xludf.DUMMYFUNCTION("IF(B3872="""","""",RIGHT(REGEXREPLACE(B3872&amp;"""",""[^0-9]"",""""),9))"),"")</f>
        <v/>
      </c>
      <c r="D3872" s="9"/>
      <c r="F3872" s="9"/>
      <c r="I3872" s="10"/>
      <c r="M3872" s="9"/>
      <c r="O3872" s="9"/>
    </row>
    <row r="3873" ht="15.75" customHeight="1">
      <c r="A3873" s="9" t="str">
        <f>IFERROR(__xludf.DUMMYFUNCTION("IF(B3873="""","""",RIGHT(REGEXREPLACE(B3873&amp;"""",""[^0-9]"",""""),9))"),"")</f>
        <v/>
      </c>
      <c r="D3873" s="9"/>
      <c r="F3873" s="9"/>
      <c r="I3873" s="10"/>
      <c r="M3873" s="9"/>
      <c r="O3873" s="9"/>
    </row>
    <row r="3874" ht="15.75" customHeight="1">
      <c r="A3874" s="9" t="str">
        <f>IFERROR(__xludf.DUMMYFUNCTION("IF(B3874="""","""",RIGHT(REGEXREPLACE(B3874&amp;"""",""[^0-9]"",""""),9))"),"")</f>
        <v/>
      </c>
      <c r="D3874" s="9"/>
      <c r="F3874" s="9"/>
      <c r="I3874" s="10"/>
      <c r="M3874" s="9"/>
      <c r="O3874" s="9"/>
    </row>
    <row r="3875" ht="15.75" customHeight="1">
      <c r="A3875" s="9" t="str">
        <f>IFERROR(__xludf.DUMMYFUNCTION("IF(B3875="""","""",RIGHT(REGEXREPLACE(B3875&amp;"""",""[^0-9]"",""""),9))"),"")</f>
        <v/>
      </c>
      <c r="D3875" s="9"/>
      <c r="F3875" s="9"/>
      <c r="I3875" s="10"/>
      <c r="M3875" s="9"/>
      <c r="O3875" s="9"/>
    </row>
    <row r="3876" ht="15.75" customHeight="1">
      <c r="A3876" s="9" t="str">
        <f>IFERROR(__xludf.DUMMYFUNCTION("IF(B3876="""","""",RIGHT(REGEXREPLACE(B3876&amp;"""",""[^0-9]"",""""),9))"),"")</f>
        <v/>
      </c>
      <c r="D3876" s="9"/>
      <c r="F3876" s="9"/>
      <c r="I3876" s="10"/>
      <c r="M3876" s="9"/>
      <c r="O3876" s="9"/>
    </row>
    <row r="3877" ht="15.75" customHeight="1">
      <c r="A3877" s="9" t="str">
        <f>IFERROR(__xludf.DUMMYFUNCTION("IF(B3877="""","""",RIGHT(REGEXREPLACE(B3877&amp;"""",""[^0-9]"",""""),9))"),"")</f>
        <v/>
      </c>
      <c r="D3877" s="9"/>
      <c r="F3877" s="9"/>
      <c r="I3877" s="10"/>
      <c r="M3877" s="9"/>
      <c r="O3877" s="9"/>
    </row>
    <row r="3878" ht="15.75" customHeight="1">
      <c r="A3878" s="9" t="str">
        <f>IFERROR(__xludf.DUMMYFUNCTION("IF(B3878="""","""",RIGHT(REGEXREPLACE(B3878&amp;"""",""[^0-9]"",""""),9))"),"")</f>
        <v/>
      </c>
      <c r="D3878" s="9"/>
      <c r="F3878" s="9"/>
      <c r="I3878" s="10"/>
      <c r="M3878" s="9"/>
      <c r="O3878" s="9"/>
    </row>
    <row r="3879" ht="15.75" customHeight="1">
      <c r="A3879" s="9" t="str">
        <f>IFERROR(__xludf.DUMMYFUNCTION("IF(B3879="""","""",RIGHT(REGEXREPLACE(B3879&amp;"""",""[^0-9]"",""""),9))"),"")</f>
        <v/>
      </c>
      <c r="D3879" s="9"/>
      <c r="F3879" s="9"/>
      <c r="I3879" s="10"/>
      <c r="M3879" s="9"/>
      <c r="O3879" s="9"/>
    </row>
    <row r="3880" ht="15.75" customHeight="1">
      <c r="A3880" s="9" t="str">
        <f>IFERROR(__xludf.DUMMYFUNCTION("IF(B3880="""","""",RIGHT(REGEXREPLACE(B3880&amp;"""",""[^0-9]"",""""),9))"),"")</f>
        <v/>
      </c>
      <c r="D3880" s="9"/>
      <c r="F3880" s="9"/>
      <c r="I3880" s="10"/>
      <c r="M3880" s="9"/>
      <c r="O3880" s="9"/>
    </row>
    <row r="3881" ht="15.75" customHeight="1">
      <c r="A3881" s="9" t="str">
        <f>IFERROR(__xludf.DUMMYFUNCTION("IF(B3881="""","""",RIGHT(REGEXREPLACE(B3881&amp;"""",""[^0-9]"",""""),9))"),"")</f>
        <v/>
      </c>
      <c r="D3881" s="9"/>
      <c r="F3881" s="9"/>
      <c r="I3881" s="10"/>
      <c r="M3881" s="9"/>
      <c r="O3881" s="9"/>
    </row>
    <row r="3882" ht="15.75" customHeight="1">
      <c r="A3882" s="9" t="str">
        <f>IFERROR(__xludf.DUMMYFUNCTION("IF(B3882="""","""",RIGHT(REGEXREPLACE(B3882&amp;"""",""[^0-9]"",""""),9))"),"")</f>
        <v/>
      </c>
      <c r="D3882" s="9"/>
      <c r="F3882" s="9"/>
      <c r="I3882" s="10"/>
      <c r="M3882" s="9"/>
      <c r="O3882" s="9"/>
    </row>
    <row r="3883" ht="15.75" customHeight="1">
      <c r="A3883" s="9" t="str">
        <f>IFERROR(__xludf.DUMMYFUNCTION("IF(B3883="""","""",RIGHT(REGEXREPLACE(B3883&amp;"""",""[^0-9]"",""""),9))"),"")</f>
        <v/>
      </c>
      <c r="D3883" s="9"/>
      <c r="F3883" s="9"/>
      <c r="I3883" s="10"/>
      <c r="M3883" s="9"/>
      <c r="O3883" s="9"/>
    </row>
    <row r="3884" ht="15.75" customHeight="1">
      <c r="A3884" s="9" t="str">
        <f>IFERROR(__xludf.DUMMYFUNCTION("IF(B3884="""","""",RIGHT(REGEXREPLACE(B3884&amp;"""",""[^0-9]"",""""),9))"),"")</f>
        <v/>
      </c>
      <c r="D3884" s="9"/>
      <c r="F3884" s="9"/>
      <c r="I3884" s="10"/>
      <c r="M3884" s="9"/>
      <c r="O3884" s="9"/>
    </row>
    <row r="3885" ht="15.75" customHeight="1">
      <c r="A3885" s="9" t="str">
        <f>IFERROR(__xludf.DUMMYFUNCTION("IF(B3885="""","""",RIGHT(REGEXREPLACE(B3885&amp;"""",""[^0-9]"",""""),9))"),"")</f>
        <v/>
      </c>
      <c r="D3885" s="9"/>
      <c r="F3885" s="9"/>
      <c r="I3885" s="10"/>
      <c r="M3885" s="9"/>
      <c r="O3885" s="9"/>
    </row>
    <row r="3886" ht="15.75" customHeight="1">
      <c r="A3886" s="9" t="str">
        <f>IFERROR(__xludf.DUMMYFUNCTION("IF(B3886="""","""",RIGHT(REGEXREPLACE(B3886&amp;"""",""[^0-9]"",""""),9))"),"")</f>
        <v/>
      </c>
      <c r="D3886" s="9"/>
      <c r="F3886" s="9"/>
      <c r="I3886" s="10"/>
      <c r="M3886" s="9"/>
      <c r="O3886" s="9"/>
    </row>
    <row r="3887" ht="15.75" customHeight="1">
      <c r="A3887" s="9" t="str">
        <f>IFERROR(__xludf.DUMMYFUNCTION("IF(B3887="""","""",RIGHT(REGEXREPLACE(B3887&amp;"""",""[^0-9]"",""""),9))"),"")</f>
        <v/>
      </c>
      <c r="D3887" s="9"/>
      <c r="F3887" s="9"/>
      <c r="I3887" s="10"/>
      <c r="M3887" s="9"/>
      <c r="O3887" s="9"/>
    </row>
    <row r="3888" ht="15.75" customHeight="1">
      <c r="A3888" s="9" t="str">
        <f>IFERROR(__xludf.DUMMYFUNCTION("IF(B3888="""","""",RIGHT(REGEXREPLACE(B3888&amp;"""",""[^0-9]"",""""),9))"),"")</f>
        <v/>
      </c>
      <c r="D3888" s="9"/>
      <c r="F3888" s="9"/>
      <c r="I3888" s="10"/>
      <c r="M3888" s="9"/>
      <c r="O3888" s="9"/>
    </row>
    <row r="3889" ht="15.75" customHeight="1">
      <c r="A3889" s="9" t="str">
        <f>IFERROR(__xludf.DUMMYFUNCTION("IF(B3889="""","""",RIGHT(REGEXREPLACE(B3889&amp;"""",""[^0-9]"",""""),9))"),"")</f>
        <v/>
      </c>
      <c r="D3889" s="9"/>
      <c r="F3889" s="9"/>
      <c r="I3889" s="10"/>
      <c r="M3889" s="9"/>
      <c r="O3889" s="9"/>
    </row>
    <row r="3890" ht="15.75" customHeight="1">
      <c r="A3890" s="9" t="str">
        <f>IFERROR(__xludf.DUMMYFUNCTION("IF(B3890="""","""",RIGHT(REGEXREPLACE(B3890&amp;"""",""[^0-9]"",""""),9))"),"")</f>
        <v/>
      </c>
      <c r="D3890" s="9"/>
      <c r="F3890" s="9"/>
      <c r="I3890" s="10"/>
      <c r="M3890" s="9"/>
      <c r="O3890" s="9"/>
    </row>
    <row r="3891" ht="15.75" customHeight="1">
      <c r="A3891" s="9" t="str">
        <f>IFERROR(__xludf.DUMMYFUNCTION("IF(B3891="""","""",RIGHT(REGEXREPLACE(B3891&amp;"""",""[^0-9]"",""""),9))"),"")</f>
        <v/>
      </c>
      <c r="D3891" s="9"/>
      <c r="F3891" s="9"/>
      <c r="I3891" s="10"/>
      <c r="M3891" s="9"/>
      <c r="O3891" s="9"/>
    </row>
    <row r="3892" ht="15.75" customHeight="1">
      <c r="A3892" s="9" t="str">
        <f>IFERROR(__xludf.DUMMYFUNCTION("IF(B3892="""","""",RIGHT(REGEXREPLACE(B3892&amp;"""",""[^0-9]"",""""),9))"),"")</f>
        <v/>
      </c>
      <c r="D3892" s="9"/>
      <c r="F3892" s="9"/>
      <c r="I3892" s="10"/>
      <c r="M3892" s="9"/>
      <c r="O3892" s="9"/>
    </row>
    <row r="3893" ht="15.75" customHeight="1">
      <c r="A3893" s="9" t="str">
        <f>IFERROR(__xludf.DUMMYFUNCTION("IF(B3893="""","""",RIGHT(REGEXREPLACE(B3893&amp;"""",""[^0-9]"",""""),9))"),"")</f>
        <v/>
      </c>
      <c r="D3893" s="9"/>
      <c r="F3893" s="9"/>
      <c r="I3893" s="10"/>
      <c r="M3893" s="9"/>
      <c r="O3893" s="9"/>
    </row>
    <row r="3894" ht="15.75" customHeight="1">
      <c r="A3894" s="9" t="str">
        <f>IFERROR(__xludf.DUMMYFUNCTION("IF(B3894="""","""",RIGHT(REGEXREPLACE(B3894&amp;"""",""[^0-9]"",""""),9))"),"")</f>
        <v/>
      </c>
      <c r="D3894" s="9"/>
      <c r="F3894" s="9"/>
      <c r="I3894" s="10"/>
      <c r="M3894" s="9"/>
      <c r="O3894" s="9"/>
    </row>
    <row r="3895" ht="15.75" customHeight="1">
      <c r="A3895" s="9" t="str">
        <f>IFERROR(__xludf.DUMMYFUNCTION("IF(B3895="""","""",RIGHT(REGEXREPLACE(B3895&amp;"""",""[^0-9]"",""""),9))"),"")</f>
        <v/>
      </c>
      <c r="D3895" s="9"/>
      <c r="F3895" s="9"/>
      <c r="I3895" s="10"/>
      <c r="M3895" s="9"/>
      <c r="O3895" s="9"/>
    </row>
    <row r="3896" ht="15.75" customHeight="1">
      <c r="A3896" s="9" t="str">
        <f>IFERROR(__xludf.DUMMYFUNCTION("IF(B3896="""","""",RIGHT(REGEXREPLACE(B3896&amp;"""",""[^0-9]"",""""),9))"),"")</f>
        <v/>
      </c>
      <c r="D3896" s="9"/>
      <c r="F3896" s="9"/>
      <c r="I3896" s="10"/>
      <c r="M3896" s="9"/>
      <c r="O3896" s="9"/>
    </row>
    <row r="3897" ht="15.75" customHeight="1">
      <c r="A3897" s="9" t="str">
        <f>IFERROR(__xludf.DUMMYFUNCTION("IF(B3897="""","""",RIGHT(REGEXREPLACE(B3897&amp;"""",""[^0-9]"",""""),9))"),"")</f>
        <v/>
      </c>
      <c r="D3897" s="9"/>
      <c r="F3897" s="9"/>
      <c r="I3897" s="10"/>
      <c r="M3897" s="9"/>
      <c r="O3897" s="9"/>
    </row>
    <row r="3898" ht="15.75" customHeight="1">
      <c r="A3898" s="9" t="str">
        <f>IFERROR(__xludf.DUMMYFUNCTION("IF(B3898="""","""",RIGHT(REGEXREPLACE(B3898&amp;"""",""[^0-9]"",""""),9))"),"")</f>
        <v/>
      </c>
      <c r="D3898" s="9"/>
      <c r="F3898" s="9"/>
      <c r="I3898" s="10"/>
      <c r="M3898" s="9"/>
      <c r="O3898" s="9"/>
    </row>
    <row r="3899" ht="15.75" customHeight="1">
      <c r="A3899" s="9" t="str">
        <f>IFERROR(__xludf.DUMMYFUNCTION("IF(B3899="""","""",RIGHT(REGEXREPLACE(B3899&amp;"""",""[^0-9]"",""""),9))"),"")</f>
        <v/>
      </c>
      <c r="D3899" s="9"/>
      <c r="F3899" s="9"/>
      <c r="I3899" s="10"/>
      <c r="M3899" s="9"/>
      <c r="O3899" s="9"/>
    </row>
    <row r="3900" ht="15.75" customHeight="1">
      <c r="A3900" s="9" t="str">
        <f>IFERROR(__xludf.DUMMYFUNCTION("IF(B3900="""","""",RIGHT(REGEXREPLACE(B3900&amp;"""",""[^0-9]"",""""),9))"),"")</f>
        <v/>
      </c>
      <c r="D3900" s="9"/>
      <c r="F3900" s="9"/>
      <c r="I3900" s="10"/>
      <c r="M3900" s="9"/>
      <c r="O3900" s="9"/>
    </row>
    <row r="3901" ht="15.75" customHeight="1">
      <c r="A3901" s="9" t="str">
        <f>IFERROR(__xludf.DUMMYFUNCTION("IF(B3901="""","""",RIGHT(REGEXREPLACE(B3901&amp;"""",""[^0-9]"",""""),9))"),"")</f>
        <v/>
      </c>
      <c r="D3901" s="9"/>
      <c r="F3901" s="9"/>
      <c r="I3901" s="10"/>
      <c r="M3901" s="9"/>
      <c r="O3901" s="9"/>
    </row>
    <row r="3902" ht="15.75" customHeight="1">
      <c r="A3902" s="9" t="str">
        <f>IFERROR(__xludf.DUMMYFUNCTION("IF(B3902="""","""",RIGHT(REGEXREPLACE(B3902&amp;"""",""[^0-9]"",""""),9))"),"")</f>
        <v/>
      </c>
      <c r="D3902" s="9"/>
      <c r="F3902" s="9"/>
      <c r="I3902" s="10"/>
      <c r="M3902" s="9"/>
      <c r="O3902" s="9"/>
    </row>
    <row r="3903" ht="15.75" customHeight="1">
      <c r="A3903" s="9" t="str">
        <f>IFERROR(__xludf.DUMMYFUNCTION("IF(B3903="""","""",RIGHT(REGEXREPLACE(B3903&amp;"""",""[^0-9]"",""""),9))"),"")</f>
        <v/>
      </c>
      <c r="D3903" s="9"/>
      <c r="F3903" s="9"/>
      <c r="I3903" s="10"/>
      <c r="M3903" s="9"/>
      <c r="O3903" s="9"/>
    </row>
    <row r="3904" ht="15.75" customHeight="1">
      <c r="A3904" s="9" t="str">
        <f>IFERROR(__xludf.DUMMYFUNCTION("IF(B3904="""","""",RIGHT(REGEXREPLACE(B3904&amp;"""",""[^0-9]"",""""),9))"),"")</f>
        <v/>
      </c>
      <c r="D3904" s="9"/>
      <c r="F3904" s="9"/>
      <c r="I3904" s="10"/>
      <c r="M3904" s="9"/>
      <c r="O3904" s="9"/>
    </row>
    <row r="3905" ht="15.75" customHeight="1">
      <c r="A3905" s="9" t="str">
        <f>IFERROR(__xludf.DUMMYFUNCTION("IF(B3905="""","""",RIGHT(REGEXREPLACE(B3905&amp;"""",""[^0-9]"",""""),9))"),"")</f>
        <v/>
      </c>
      <c r="D3905" s="9"/>
      <c r="F3905" s="9"/>
      <c r="I3905" s="10"/>
      <c r="M3905" s="9"/>
      <c r="O3905" s="9"/>
    </row>
    <row r="3906" ht="15.75" customHeight="1">
      <c r="A3906" s="9" t="str">
        <f>IFERROR(__xludf.DUMMYFUNCTION("IF(B3906="""","""",RIGHT(REGEXREPLACE(B3906&amp;"""",""[^0-9]"",""""),9))"),"")</f>
        <v/>
      </c>
      <c r="D3906" s="9"/>
      <c r="F3906" s="9"/>
      <c r="I3906" s="10"/>
      <c r="M3906" s="9"/>
      <c r="O3906" s="9"/>
    </row>
    <row r="3907" ht="15.75" customHeight="1">
      <c r="A3907" s="9" t="str">
        <f>IFERROR(__xludf.DUMMYFUNCTION("IF(B3907="""","""",RIGHT(REGEXREPLACE(B3907&amp;"""",""[^0-9]"",""""),9))"),"")</f>
        <v/>
      </c>
      <c r="D3907" s="9"/>
      <c r="F3907" s="9"/>
      <c r="I3907" s="10"/>
      <c r="M3907" s="9"/>
      <c r="O3907" s="9"/>
    </row>
    <row r="3908" ht="15.75" customHeight="1">
      <c r="A3908" s="9" t="str">
        <f>IFERROR(__xludf.DUMMYFUNCTION("IF(B3908="""","""",RIGHT(REGEXREPLACE(B3908&amp;"""",""[^0-9]"",""""),9))"),"")</f>
        <v/>
      </c>
      <c r="D3908" s="9"/>
      <c r="F3908" s="9"/>
      <c r="I3908" s="10"/>
      <c r="M3908" s="9"/>
      <c r="O3908" s="9"/>
    </row>
    <row r="3909" ht="15.75" customHeight="1">
      <c r="A3909" s="9" t="str">
        <f>IFERROR(__xludf.DUMMYFUNCTION("IF(B3909="""","""",RIGHT(REGEXREPLACE(B3909&amp;"""",""[^0-9]"",""""),9))"),"")</f>
        <v/>
      </c>
      <c r="D3909" s="9"/>
      <c r="F3909" s="9"/>
      <c r="I3909" s="10"/>
      <c r="M3909" s="9"/>
      <c r="O3909" s="9"/>
    </row>
    <row r="3910" ht="15.75" customHeight="1">
      <c r="A3910" s="9" t="str">
        <f>IFERROR(__xludf.DUMMYFUNCTION("IF(B3910="""","""",RIGHT(REGEXREPLACE(B3910&amp;"""",""[^0-9]"",""""),9))"),"")</f>
        <v/>
      </c>
      <c r="D3910" s="9"/>
      <c r="F3910" s="9"/>
      <c r="I3910" s="10"/>
      <c r="M3910" s="9"/>
      <c r="O3910" s="9"/>
    </row>
    <row r="3911" ht="15.75" customHeight="1">
      <c r="A3911" s="9" t="str">
        <f>IFERROR(__xludf.DUMMYFUNCTION("IF(B3911="""","""",RIGHT(REGEXREPLACE(B3911&amp;"""",""[^0-9]"",""""),9))"),"")</f>
        <v/>
      </c>
      <c r="D3911" s="9"/>
      <c r="F3911" s="9"/>
      <c r="I3911" s="10"/>
      <c r="M3911" s="9"/>
      <c r="O3911" s="9"/>
    </row>
    <row r="3912" ht="15.75" customHeight="1">
      <c r="A3912" s="9" t="str">
        <f>IFERROR(__xludf.DUMMYFUNCTION("IF(B3912="""","""",RIGHT(REGEXREPLACE(B3912&amp;"""",""[^0-9]"",""""),9))"),"")</f>
        <v/>
      </c>
      <c r="D3912" s="9"/>
      <c r="F3912" s="9"/>
      <c r="I3912" s="10"/>
      <c r="M3912" s="9"/>
      <c r="O3912" s="9"/>
    </row>
    <row r="3913" ht="15.75" customHeight="1">
      <c r="A3913" s="9" t="str">
        <f>IFERROR(__xludf.DUMMYFUNCTION("IF(B3913="""","""",RIGHT(REGEXREPLACE(B3913&amp;"""",""[^0-9]"",""""),9))"),"")</f>
        <v/>
      </c>
      <c r="D3913" s="9"/>
      <c r="F3913" s="9"/>
      <c r="I3913" s="10"/>
      <c r="M3913" s="9"/>
      <c r="O3913" s="9"/>
    </row>
    <row r="3914" ht="15.75" customHeight="1">
      <c r="A3914" s="9" t="str">
        <f>IFERROR(__xludf.DUMMYFUNCTION("IF(B3914="""","""",RIGHT(REGEXREPLACE(B3914&amp;"""",""[^0-9]"",""""),9))"),"")</f>
        <v/>
      </c>
      <c r="D3914" s="9"/>
      <c r="F3914" s="9"/>
      <c r="I3914" s="10"/>
      <c r="M3914" s="9"/>
      <c r="O3914" s="9"/>
    </row>
    <row r="3915" ht="15.75" customHeight="1">
      <c r="A3915" s="9" t="str">
        <f>IFERROR(__xludf.DUMMYFUNCTION("IF(B3915="""","""",RIGHT(REGEXREPLACE(B3915&amp;"""",""[^0-9]"",""""),9))"),"")</f>
        <v/>
      </c>
      <c r="D3915" s="9"/>
      <c r="F3915" s="9"/>
      <c r="I3915" s="10"/>
      <c r="M3915" s="9"/>
      <c r="O3915" s="9"/>
    </row>
    <row r="3916" ht="15.75" customHeight="1">
      <c r="A3916" s="9" t="str">
        <f>IFERROR(__xludf.DUMMYFUNCTION("IF(B3916="""","""",RIGHT(REGEXREPLACE(B3916&amp;"""",""[^0-9]"",""""),9))"),"")</f>
        <v/>
      </c>
      <c r="D3916" s="9"/>
      <c r="F3916" s="9"/>
      <c r="I3916" s="10"/>
      <c r="M3916" s="9"/>
      <c r="O3916" s="9"/>
    </row>
    <row r="3917" ht="15.75" customHeight="1">
      <c r="A3917" s="9" t="str">
        <f>IFERROR(__xludf.DUMMYFUNCTION("IF(B3917="""","""",RIGHT(REGEXREPLACE(B3917&amp;"""",""[^0-9]"",""""),9))"),"")</f>
        <v/>
      </c>
      <c r="D3917" s="9"/>
      <c r="F3917" s="9"/>
      <c r="I3917" s="10"/>
      <c r="M3917" s="9"/>
      <c r="O3917" s="9"/>
    </row>
    <row r="3918" ht="15.75" customHeight="1">
      <c r="A3918" s="9" t="str">
        <f>IFERROR(__xludf.DUMMYFUNCTION("IF(B3918="""","""",RIGHT(REGEXREPLACE(B3918&amp;"""",""[^0-9]"",""""),9))"),"")</f>
        <v/>
      </c>
      <c r="D3918" s="9"/>
      <c r="F3918" s="9"/>
      <c r="I3918" s="10"/>
      <c r="M3918" s="9"/>
      <c r="O3918" s="9"/>
    </row>
    <row r="3919" ht="15.75" customHeight="1">
      <c r="A3919" s="9" t="str">
        <f>IFERROR(__xludf.DUMMYFUNCTION("IF(B3919="""","""",RIGHT(REGEXREPLACE(B3919&amp;"""",""[^0-9]"",""""),9))"),"")</f>
        <v/>
      </c>
      <c r="D3919" s="9"/>
      <c r="F3919" s="9"/>
      <c r="I3919" s="10"/>
      <c r="M3919" s="9"/>
      <c r="O3919" s="9"/>
    </row>
    <row r="3920" ht="15.75" customHeight="1">
      <c r="A3920" s="9" t="str">
        <f>IFERROR(__xludf.DUMMYFUNCTION("IF(B3920="""","""",RIGHT(REGEXREPLACE(B3920&amp;"""",""[^0-9]"",""""),9))"),"")</f>
        <v/>
      </c>
      <c r="D3920" s="9"/>
      <c r="F3920" s="9"/>
      <c r="I3920" s="10"/>
      <c r="M3920" s="9"/>
      <c r="O3920" s="9"/>
    </row>
    <row r="3921" ht="15.75" customHeight="1">
      <c r="A3921" s="9" t="str">
        <f>IFERROR(__xludf.DUMMYFUNCTION("IF(B3921="""","""",RIGHT(REGEXREPLACE(B3921&amp;"""",""[^0-9]"",""""),9))"),"")</f>
        <v/>
      </c>
      <c r="D3921" s="9"/>
      <c r="F3921" s="9"/>
      <c r="I3921" s="10"/>
      <c r="M3921" s="9"/>
      <c r="O3921" s="9"/>
    </row>
    <row r="3922" ht="15.75" customHeight="1">
      <c r="A3922" s="9" t="str">
        <f>IFERROR(__xludf.DUMMYFUNCTION("IF(B3922="""","""",RIGHT(REGEXREPLACE(B3922&amp;"""",""[^0-9]"",""""),9))"),"")</f>
        <v/>
      </c>
      <c r="D3922" s="9"/>
      <c r="F3922" s="9"/>
      <c r="I3922" s="10"/>
      <c r="M3922" s="9"/>
      <c r="O3922" s="9"/>
    </row>
    <row r="3923" ht="15.75" customHeight="1">
      <c r="A3923" s="9" t="str">
        <f>IFERROR(__xludf.DUMMYFUNCTION("IF(B3923="""","""",RIGHT(REGEXREPLACE(B3923&amp;"""",""[^0-9]"",""""),9))"),"")</f>
        <v/>
      </c>
      <c r="D3923" s="9"/>
      <c r="F3923" s="9"/>
      <c r="I3923" s="10"/>
      <c r="M3923" s="9"/>
      <c r="O3923" s="9"/>
    </row>
    <row r="3924" ht="15.75" customHeight="1">
      <c r="A3924" s="9" t="str">
        <f>IFERROR(__xludf.DUMMYFUNCTION("IF(B3924="""","""",RIGHT(REGEXREPLACE(B3924&amp;"""",""[^0-9]"",""""),9))"),"")</f>
        <v/>
      </c>
      <c r="D3924" s="9"/>
      <c r="F3924" s="9"/>
      <c r="I3924" s="10"/>
      <c r="M3924" s="9"/>
      <c r="O3924" s="9"/>
    </row>
    <row r="3925" ht="15.75" customHeight="1">
      <c r="A3925" s="9" t="str">
        <f>IFERROR(__xludf.DUMMYFUNCTION("IF(B3925="""","""",RIGHT(REGEXREPLACE(B3925&amp;"""",""[^0-9]"",""""),9))"),"")</f>
        <v/>
      </c>
      <c r="D3925" s="9"/>
      <c r="F3925" s="9"/>
      <c r="I3925" s="10"/>
      <c r="M3925" s="9"/>
      <c r="O3925" s="9"/>
    </row>
    <row r="3926" ht="15.75" customHeight="1">
      <c r="A3926" s="9" t="str">
        <f>IFERROR(__xludf.DUMMYFUNCTION("IF(B3926="""","""",RIGHT(REGEXREPLACE(B3926&amp;"""",""[^0-9]"",""""),9))"),"")</f>
        <v/>
      </c>
      <c r="D3926" s="9"/>
      <c r="F3926" s="9"/>
      <c r="I3926" s="10"/>
      <c r="M3926" s="9"/>
      <c r="O3926" s="9"/>
    </row>
    <row r="3927" ht="15.75" customHeight="1">
      <c r="A3927" s="9" t="str">
        <f>IFERROR(__xludf.DUMMYFUNCTION("IF(B3927="""","""",RIGHT(REGEXREPLACE(B3927&amp;"""",""[^0-9]"",""""),9))"),"")</f>
        <v/>
      </c>
      <c r="D3927" s="9"/>
      <c r="F3927" s="9"/>
      <c r="I3927" s="10"/>
      <c r="M3927" s="9"/>
      <c r="O3927" s="9"/>
    </row>
    <row r="3928" ht="15.75" customHeight="1">
      <c r="A3928" s="9" t="str">
        <f>IFERROR(__xludf.DUMMYFUNCTION("IF(B3928="""","""",RIGHT(REGEXREPLACE(B3928&amp;"""",""[^0-9]"",""""),9))"),"")</f>
        <v/>
      </c>
      <c r="D3928" s="9"/>
      <c r="F3928" s="9"/>
      <c r="I3928" s="10"/>
      <c r="M3928" s="9"/>
      <c r="O3928" s="9"/>
    </row>
    <row r="3929" ht="15.75" customHeight="1">
      <c r="A3929" s="9" t="str">
        <f>IFERROR(__xludf.DUMMYFUNCTION("IF(B3929="""","""",RIGHT(REGEXREPLACE(B3929&amp;"""",""[^0-9]"",""""),9))"),"")</f>
        <v/>
      </c>
      <c r="D3929" s="9"/>
      <c r="F3929" s="9"/>
      <c r="I3929" s="10"/>
      <c r="M3929" s="9"/>
      <c r="O3929" s="9"/>
    </row>
    <row r="3930" ht="15.75" customHeight="1">
      <c r="A3930" s="9" t="str">
        <f>IFERROR(__xludf.DUMMYFUNCTION("IF(B3930="""","""",RIGHT(REGEXREPLACE(B3930&amp;"""",""[^0-9]"",""""),9))"),"")</f>
        <v/>
      </c>
      <c r="D3930" s="9"/>
      <c r="F3930" s="9"/>
      <c r="I3930" s="10"/>
      <c r="M3930" s="9"/>
      <c r="O3930" s="9"/>
    </row>
    <row r="3931" ht="15.75" customHeight="1">
      <c r="A3931" s="9" t="str">
        <f>IFERROR(__xludf.DUMMYFUNCTION("IF(B3931="""","""",RIGHT(REGEXREPLACE(B3931&amp;"""",""[^0-9]"",""""),9))"),"")</f>
        <v/>
      </c>
      <c r="D3931" s="9"/>
      <c r="F3931" s="9"/>
      <c r="I3931" s="10"/>
      <c r="M3931" s="9"/>
      <c r="O3931" s="9"/>
    </row>
    <row r="3932" ht="15.75" customHeight="1">
      <c r="A3932" s="9" t="str">
        <f>IFERROR(__xludf.DUMMYFUNCTION("IF(B3932="""","""",RIGHT(REGEXREPLACE(B3932&amp;"""",""[^0-9]"",""""),9))"),"")</f>
        <v/>
      </c>
      <c r="D3932" s="9"/>
      <c r="F3932" s="9"/>
      <c r="I3932" s="10"/>
      <c r="M3932" s="9"/>
      <c r="O3932" s="9"/>
    </row>
    <row r="3933" ht="15.75" customHeight="1">
      <c r="A3933" s="9" t="str">
        <f>IFERROR(__xludf.DUMMYFUNCTION("IF(B3933="""","""",RIGHT(REGEXREPLACE(B3933&amp;"""",""[^0-9]"",""""),9))"),"")</f>
        <v/>
      </c>
      <c r="D3933" s="9"/>
      <c r="F3933" s="9"/>
      <c r="I3933" s="10"/>
      <c r="M3933" s="9"/>
      <c r="O3933" s="9"/>
    </row>
    <row r="3934" ht="15.75" customHeight="1">
      <c r="A3934" s="9" t="str">
        <f>IFERROR(__xludf.DUMMYFUNCTION("IF(B3934="""","""",RIGHT(REGEXREPLACE(B3934&amp;"""",""[^0-9]"",""""),9))"),"")</f>
        <v/>
      </c>
      <c r="D3934" s="9"/>
      <c r="F3934" s="9"/>
      <c r="I3934" s="10"/>
      <c r="M3934" s="9"/>
      <c r="O3934" s="9"/>
    </row>
    <row r="3935" ht="15.75" customHeight="1">
      <c r="A3935" s="9" t="str">
        <f>IFERROR(__xludf.DUMMYFUNCTION("IF(B3935="""","""",RIGHT(REGEXREPLACE(B3935&amp;"""",""[^0-9]"",""""),9))"),"")</f>
        <v/>
      </c>
      <c r="D3935" s="9"/>
      <c r="F3935" s="9"/>
      <c r="I3935" s="10"/>
      <c r="M3935" s="9"/>
      <c r="O3935" s="9"/>
    </row>
    <row r="3936" ht="15.75" customHeight="1">
      <c r="A3936" s="9" t="str">
        <f>IFERROR(__xludf.DUMMYFUNCTION("IF(B3936="""","""",RIGHT(REGEXREPLACE(B3936&amp;"""",""[^0-9]"",""""),9))"),"")</f>
        <v/>
      </c>
      <c r="D3936" s="9"/>
      <c r="F3936" s="9"/>
      <c r="I3936" s="10"/>
      <c r="M3936" s="9"/>
      <c r="O3936" s="9"/>
    </row>
    <row r="3937" ht="15.75" customHeight="1">
      <c r="A3937" s="9" t="str">
        <f>IFERROR(__xludf.DUMMYFUNCTION("IF(B3937="""","""",RIGHT(REGEXREPLACE(B3937&amp;"""",""[^0-9]"",""""),9))"),"")</f>
        <v/>
      </c>
      <c r="D3937" s="9"/>
      <c r="F3937" s="9"/>
      <c r="I3937" s="10"/>
      <c r="M3937" s="9"/>
      <c r="O3937" s="9"/>
    </row>
    <row r="3938" ht="15.75" customHeight="1">
      <c r="A3938" s="9" t="str">
        <f>IFERROR(__xludf.DUMMYFUNCTION("IF(B3938="""","""",RIGHT(REGEXREPLACE(B3938&amp;"""",""[^0-9]"",""""),9))"),"")</f>
        <v/>
      </c>
      <c r="D3938" s="9"/>
      <c r="F3938" s="9"/>
      <c r="I3938" s="10"/>
      <c r="M3938" s="9"/>
      <c r="O3938" s="9"/>
    </row>
    <row r="3939" ht="15.75" customHeight="1">
      <c r="A3939" s="9" t="str">
        <f>IFERROR(__xludf.DUMMYFUNCTION("IF(B3939="""","""",RIGHT(REGEXREPLACE(B3939&amp;"""",""[^0-9]"",""""),9))"),"")</f>
        <v/>
      </c>
      <c r="D3939" s="9"/>
      <c r="F3939" s="9"/>
      <c r="I3939" s="10"/>
      <c r="M3939" s="9"/>
      <c r="O3939" s="9"/>
    </row>
    <row r="3940" ht="15.75" customHeight="1">
      <c r="A3940" s="9" t="str">
        <f>IFERROR(__xludf.DUMMYFUNCTION("IF(B3940="""","""",RIGHT(REGEXREPLACE(B3940&amp;"""",""[^0-9]"",""""),9))"),"")</f>
        <v/>
      </c>
      <c r="D3940" s="9"/>
      <c r="F3940" s="9"/>
      <c r="I3940" s="10"/>
      <c r="M3940" s="9"/>
      <c r="O3940" s="9"/>
    </row>
    <row r="3941" ht="15.75" customHeight="1">
      <c r="A3941" s="9" t="str">
        <f>IFERROR(__xludf.DUMMYFUNCTION("IF(B3941="""","""",RIGHT(REGEXREPLACE(B3941&amp;"""",""[^0-9]"",""""),9))"),"")</f>
        <v/>
      </c>
      <c r="D3941" s="9"/>
      <c r="F3941" s="9"/>
      <c r="I3941" s="10"/>
      <c r="M3941" s="9"/>
      <c r="O3941" s="9"/>
    </row>
    <row r="3942" ht="15.75" customHeight="1">
      <c r="A3942" s="9" t="str">
        <f>IFERROR(__xludf.DUMMYFUNCTION("IF(B3942="""","""",RIGHT(REGEXREPLACE(B3942&amp;"""",""[^0-9]"",""""),9))"),"")</f>
        <v/>
      </c>
      <c r="D3942" s="9"/>
      <c r="F3942" s="9"/>
      <c r="I3942" s="10"/>
      <c r="M3942" s="9"/>
      <c r="O3942" s="9"/>
    </row>
    <row r="3943" ht="15.75" customHeight="1">
      <c r="A3943" s="9" t="str">
        <f>IFERROR(__xludf.DUMMYFUNCTION("IF(B3943="""","""",RIGHT(REGEXREPLACE(B3943&amp;"""",""[^0-9]"",""""),9))"),"")</f>
        <v/>
      </c>
      <c r="D3943" s="9"/>
      <c r="F3943" s="9"/>
      <c r="I3943" s="10"/>
      <c r="M3943" s="9"/>
      <c r="O3943" s="9"/>
    </row>
    <row r="3944" ht="15.75" customHeight="1">
      <c r="A3944" s="9" t="str">
        <f>IFERROR(__xludf.DUMMYFUNCTION("IF(B3944="""","""",RIGHT(REGEXREPLACE(B3944&amp;"""",""[^0-9]"",""""),9))"),"")</f>
        <v/>
      </c>
      <c r="D3944" s="9"/>
      <c r="F3944" s="9"/>
      <c r="I3944" s="10"/>
      <c r="M3944" s="9"/>
      <c r="O3944" s="9"/>
    </row>
    <row r="3945" ht="15.75" customHeight="1">
      <c r="A3945" s="9" t="str">
        <f>IFERROR(__xludf.DUMMYFUNCTION("IF(B3945="""","""",RIGHT(REGEXREPLACE(B3945&amp;"""",""[^0-9]"",""""),9))"),"")</f>
        <v/>
      </c>
      <c r="D3945" s="9"/>
      <c r="F3945" s="9"/>
      <c r="I3945" s="10"/>
      <c r="M3945" s="9"/>
      <c r="O3945" s="9"/>
    </row>
    <row r="3946" ht="15.75" customHeight="1">
      <c r="A3946" s="9" t="str">
        <f>IFERROR(__xludf.DUMMYFUNCTION("IF(B3946="""","""",RIGHT(REGEXREPLACE(B3946&amp;"""",""[^0-9]"",""""),9))"),"")</f>
        <v/>
      </c>
      <c r="D3946" s="9"/>
      <c r="F3946" s="9"/>
      <c r="I3946" s="10"/>
      <c r="M3946" s="9"/>
      <c r="O3946" s="9"/>
    </row>
    <row r="3947" ht="15.75" customHeight="1">
      <c r="A3947" s="9" t="str">
        <f>IFERROR(__xludf.DUMMYFUNCTION("IF(B3947="""","""",RIGHT(REGEXREPLACE(B3947&amp;"""",""[^0-9]"",""""),9))"),"")</f>
        <v/>
      </c>
      <c r="D3947" s="9"/>
      <c r="F3947" s="9"/>
      <c r="I3947" s="10"/>
      <c r="M3947" s="9"/>
      <c r="O3947" s="9"/>
    </row>
    <row r="3948" ht="15.75" customHeight="1">
      <c r="A3948" s="9" t="str">
        <f>IFERROR(__xludf.DUMMYFUNCTION("IF(B3948="""","""",RIGHT(REGEXREPLACE(B3948&amp;"""",""[^0-9]"",""""),9))"),"")</f>
        <v/>
      </c>
      <c r="D3948" s="9"/>
      <c r="F3948" s="9"/>
      <c r="I3948" s="10"/>
      <c r="M3948" s="9"/>
      <c r="O3948" s="9"/>
    </row>
    <row r="3949" ht="15.75" customHeight="1">
      <c r="A3949" s="9" t="str">
        <f>IFERROR(__xludf.DUMMYFUNCTION("IF(B3949="""","""",RIGHT(REGEXREPLACE(B3949&amp;"""",""[^0-9]"",""""),9))"),"")</f>
        <v/>
      </c>
      <c r="D3949" s="9"/>
      <c r="F3949" s="9"/>
      <c r="I3949" s="10"/>
      <c r="M3949" s="9"/>
      <c r="O3949" s="9"/>
    </row>
    <row r="3950" ht="15.75" customHeight="1">
      <c r="A3950" s="9" t="str">
        <f>IFERROR(__xludf.DUMMYFUNCTION("IF(B3950="""","""",RIGHT(REGEXREPLACE(B3950&amp;"""",""[^0-9]"",""""),9))"),"")</f>
        <v/>
      </c>
      <c r="D3950" s="9"/>
      <c r="F3950" s="9"/>
      <c r="I3950" s="10"/>
      <c r="M3950" s="9"/>
      <c r="O3950" s="9"/>
    </row>
    <row r="3951" ht="15.75" customHeight="1">
      <c r="A3951" s="9" t="str">
        <f>IFERROR(__xludf.DUMMYFUNCTION("IF(B3951="""","""",RIGHT(REGEXREPLACE(B3951&amp;"""",""[^0-9]"",""""),9))"),"")</f>
        <v/>
      </c>
      <c r="D3951" s="9"/>
      <c r="F3951" s="9"/>
      <c r="I3951" s="10"/>
      <c r="M3951" s="9"/>
      <c r="O3951" s="9"/>
    </row>
    <row r="3952" ht="15.75" customHeight="1">
      <c r="A3952" s="9" t="str">
        <f>IFERROR(__xludf.DUMMYFUNCTION("IF(B3952="""","""",RIGHT(REGEXREPLACE(B3952&amp;"""",""[^0-9]"",""""),9))"),"")</f>
        <v/>
      </c>
      <c r="D3952" s="9"/>
      <c r="F3952" s="9"/>
      <c r="I3952" s="10"/>
      <c r="M3952" s="9"/>
      <c r="O3952" s="9"/>
    </row>
    <row r="3953" ht="15.75" customHeight="1">
      <c r="A3953" s="9" t="str">
        <f>IFERROR(__xludf.DUMMYFUNCTION("IF(B3953="""","""",RIGHT(REGEXREPLACE(B3953&amp;"""",""[^0-9]"",""""),9))"),"")</f>
        <v/>
      </c>
      <c r="D3953" s="9"/>
      <c r="F3953" s="9"/>
      <c r="I3953" s="10"/>
      <c r="M3953" s="9"/>
      <c r="O3953" s="9"/>
    </row>
    <row r="3954" ht="15.75" customHeight="1">
      <c r="A3954" s="9" t="str">
        <f>IFERROR(__xludf.DUMMYFUNCTION("IF(B3954="""","""",RIGHT(REGEXREPLACE(B3954&amp;"""",""[^0-9]"",""""),9))"),"")</f>
        <v/>
      </c>
      <c r="D3954" s="9"/>
      <c r="F3954" s="9"/>
      <c r="I3954" s="10"/>
      <c r="M3954" s="9"/>
      <c r="O3954" s="9"/>
    </row>
    <row r="3955" ht="15.75" customHeight="1">
      <c r="A3955" s="9" t="str">
        <f>IFERROR(__xludf.DUMMYFUNCTION("IF(B3955="""","""",RIGHT(REGEXREPLACE(B3955&amp;"""",""[^0-9]"",""""),9))"),"")</f>
        <v/>
      </c>
      <c r="D3955" s="9"/>
      <c r="F3955" s="9"/>
      <c r="I3955" s="10"/>
      <c r="M3955" s="9"/>
      <c r="O3955" s="9"/>
    </row>
    <row r="3956" ht="15.75" customHeight="1">
      <c r="A3956" s="9" t="str">
        <f>IFERROR(__xludf.DUMMYFUNCTION("IF(B3956="""","""",RIGHT(REGEXREPLACE(B3956&amp;"""",""[^0-9]"",""""),9))"),"")</f>
        <v/>
      </c>
      <c r="D3956" s="9"/>
      <c r="F3956" s="9"/>
      <c r="I3956" s="10"/>
      <c r="M3956" s="9"/>
      <c r="O3956" s="9"/>
    </row>
    <row r="3957" ht="15.75" customHeight="1">
      <c r="A3957" s="9" t="str">
        <f>IFERROR(__xludf.DUMMYFUNCTION("IF(B3957="""","""",RIGHT(REGEXREPLACE(B3957&amp;"""",""[^0-9]"",""""),9))"),"")</f>
        <v/>
      </c>
      <c r="D3957" s="9"/>
      <c r="F3957" s="9"/>
      <c r="I3957" s="10"/>
      <c r="M3957" s="9"/>
      <c r="O3957" s="9"/>
    </row>
    <row r="3958" ht="15.75" customHeight="1">
      <c r="A3958" s="9" t="str">
        <f>IFERROR(__xludf.DUMMYFUNCTION("IF(B3958="""","""",RIGHT(REGEXREPLACE(B3958&amp;"""",""[^0-9]"",""""),9))"),"")</f>
        <v/>
      </c>
      <c r="D3958" s="9"/>
      <c r="F3958" s="9"/>
      <c r="I3958" s="10"/>
      <c r="M3958" s="9"/>
      <c r="O3958" s="9"/>
    </row>
    <row r="3959" ht="15.75" customHeight="1">
      <c r="A3959" s="9" t="str">
        <f>IFERROR(__xludf.DUMMYFUNCTION("IF(B3959="""","""",RIGHT(REGEXREPLACE(B3959&amp;"""",""[^0-9]"",""""),9))"),"")</f>
        <v/>
      </c>
      <c r="D3959" s="9"/>
      <c r="F3959" s="9"/>
      <c r="I3959" s="10"/>
      <c r="M3959" s="9"/>
      <c r="O3959" s="9"/>
    </row>
    <row r="3960" ht="15.75" customHeight="1">
      <c r="A3960" s="9" t="str">
        <f>IFERROR(__xludf.DUMMYFUNCTION("IF(B3960="""","""",RIGHT(REGEXREPLACE(B3960&amp;"""",""[^0-9]"",""""),9))"),"")</f>
        <v/>
      </c>
      <c r="D3960" s="9"/>
      <c r="F3960" s="9"/>
      <c r="I3960" s="10"/>
      <c r="M3960" s="9"/>
      <c r="O3960" s="9"/>
    </row>
    <row r="3961" ht="15.75" customHeight="1">
      <c r="A3961" s="9" t="str">
        <f>IFERROR(__xludf.DUMMYFUNCTION("IF(B3961="""","""",RIGHT(REGEXREPLACE(B3961&amp;"""",""[^0-9]"",""""),9))"),"")</f>
        <v/>
      </c>
      <c r="D3961" s="9"/>
      <c r="F3961" s="9"/>
      <c r="I3961" s="10"/>
      <c r="M3961" s="9"/>
      <c r="O3961" s="9"/>
    </row>
    <row r="3962" ht="15.75" customHeight="1">
      <c r="A3962" s="9" t="str">
        <f>IFERROR(__xludf.DUMMYFUNCTION("IF(B3962="""","""",RIGHT(REGEXREPLACE(B3962&amp;"""",""[^0-9]"",""""),9))"),"")</f>
        <v/>
      </c>
      <c r="D3962" s="9"/>
      <c r="F3962" s="9"/>
      <c r="I3962" s="10"/>
      <c r="M3962" s="9"/>
      <c r="O3962" s="9"/>
    </row>
    <row r="3963" ht="15.75" customHeight="1">
      <c r="A3963" s="9" t="str">
        <f>IFERROR(__xludf.DUMMYFUNCTION("IF(B3963="""","""",RIGHT(REGEXREPLACE(B3963&amp;"""",""[^0-9]"",""""),9))"),"")</f>
        <v/>
      </c>
      <c r="D3963" s="9"/>
      <c r="F3963" s="9"/>
      <c r="I3963" s="10"/>
      <c r="M3963" s="9"/>
      <c r="O3963" s="9"/>
    </row>
    <row r="3964" ht="15.75" customHeight="1">
      <c r="A3964" s="9" t="str">
        <f>IFERROR(__xludf.DUMMYFUNCTION("IF(B3964="""","""",RIGHT(REGEXREPLACE(B3964&amp;"""",""[^0-9]"",""""),9))"),"")</f>
        <v/>
      </c>
      <c r="D3964" s="9"/>
      <c r="F3964" s="9"/>
      <c r="I3964" s="10"/>
      <c r="M3964" s="9"/>
      <c r="O3964" s="9"/>
    </row>
    <row r="3965" ht="15.75" customHeight="1">
      <c r="A3965" s="9" t="str">
        <f>IFERROR(__xludf.DUMMYFUNCTION("IF(B3965="""","""",RIGHT(REGEXREPLACE(B3965&amp;"""",""[^0-9]"",""""),9))"),"")</f>
        <v/>
      </c>
      <c r="D3965" s="9"/>
      <c r="F3965" s="9"/>
      <c r="I3965" s="10"/>
      <c r="M3965" s="9"/>
      <c r="O3965" s="9"/>
    </row>
    <row r="3966" ht="15.75" customHeight="1">
      <c r="A3966" s="9" t="str">
        <f>IFERROR(__xludf.DUMMYFUNCTION("IF(B3966="""","""",RIGHT(REGEXREPLACE(B3966&amp;"""",""[^0-9]"",""""),9))"),"")</f>
        <v/>
      </c>
      <c r="D3966" s="9"/>
      <c r="F3966" s="9"/>
      <c r="I3966" s="10"/>
      <c r="M3966" s="9"/>
      <c r="O3966" s="9"/>
    </row>
    <row r="3967" ht="15.75" customHeight="1">
      <c r="A3967" s="9" t="str">
        <f>IFERROR(__xludf.DUMMYFUNCTION("IF(B3967="""","""",RIGHT(REGEXREPLACE(B3967&amp;"""",""[^0-9]"",""""),9))"),"")</f>
        <v/>
      </c>
      <c r="D3967" s="9"/>
      <c r="F3967" s="9"/>
      <c r="I3967" s="10"/>
      <c r="M3967" s="9"/>
      <c r="O3967" s="9"/>
    </row>
    <row r="3968" ht="15.75" customHeight="1">
      <c r="A3968" s="9" t="str">
        <f>IFERROR(__xludf.DUMMYFUNCTION("IF(B3968="""","""",RIGHT(REGEXREPLACE(B3968&amp;"""",""[^0-9]"",""""),9))"),"")</f>
        <v/>
      </c>
      <c r="D3968" s="9"/>
      <c r="F3968" s="9"/>
      <c r="I3968" s="10"/>
      <c r="M3968" s="9"/>
      <c r="O3968" s="9"/>
    </row>
    <row r="3969" ht="15.75" customHeight="1">
      <c r="A3969" s="9" t="str">
        <f>IFERROR(__xludf.DUMMYFUNCTION("IF(B3969="""","""",RIGHT(REGEXREPLACE(B3969&amp;"""",""[^0-9]"",""""),9))"),"")</f>
        <v/>
      </c>
      <c r="D3969" s="9"/>
      <c r="F3969" s="9"/>
      <c r="I3969" s="10"/>
      <c r="M3969" s="9"/>
      <c r="O3969" s="9"/>
    </row>
    <row r="3970" ht="15.75" customHeight="1">
      <c r="A3970" s="9" t="str">
        <f>IFERROR(__xludf.DUMMYFUNCTION("IF(B3970="""","""",RIGHT(REGEXREPLACE(B3970&amp;"""",""[^0-9]"",""""),9))"),"")</f>
        <v/>
      </c>
      <c r="D3970" s="9"/>
      <c r="F3970" s="9"/>
      <c r="I3970" s="10"/>
      <c r="M3970" s="9"/>
      <c r="O3970" s="9"/>
    </row>
    <row r="3971" ht="15.75" customHeight="1">
      <c r="A3971" s="9" t="str">
        <f>IFERROR(__xludf.DUMMYFUNCTION("IF(B3971="""","""",RIGHT(REGEXREPLACE(B3971&amp;"""",""[^0-9]"",""""),9))"),"")</f>
        <v/>
      </c>
      <c r="D3971" s="9"/>
      <c r="F3971" s="9"/>
      <c r="I3971" s="10"/>
      <c r="M3971" s="9"/>
      <c r="O3971" s="9"/>
    </row>
    <row r="3972" ht="15.75" customHeight="1">
      <c r="A3972" s="9" t="str">
        <f>IFERROR(__xludf.DUMMYFUNCTION("IF(B3972="""","""",RIGHT(REGEXREPLACE(B3972&amp;"""",""[^0-9]"",""""),9))"),"")</f>
        <v/>
      </c>
      <c r="D3972" s="9"/>
      <c r="F3972" s="9"/>
      <c r="I3972" s="10"/>
      <c r="M3972" s="9"/>
      <c r="O3972" s="9"/>
    </row>
    <row r="3973" ht="15.75" customHeight="1">
      <c r="A3973" s="9" t="str">
        <f>IFERROR(__xludf.DUMMYFUNCTION("IF(B3973="""","""",RIGHT(REGEXREPLACE(B3973&amp;"""",""[^0-9]"",""""),9))"),"")</f>
        <v/>
      </c>
      <c r="D3973" s="9"/>
      <c r="F3973" s="9"/>
      <c r="I3973" s="10"/>
      <c r="M3973" s="9"/>
      <c r="O3973" s="9"/>
    </row>
  </sheetData>
  <autoFilter ref="$A$1:$Z$981"/>
  <conditionalFormatting sqref="A2:P101996">
    <cfRule type="expression" dxfId="0" priority="1" stopIfTrue="1">
      <formula>AND($C2&lt;&gt;"", OR($F2="", $I2=""))</formula>
    </cfRule>
  </conditionalFormatting>
  <dataValidations>
    <dataValidation type="list" allowBlank="1" sqref="D2:D3973">
      <formula1>"maheesha,menik,kavinda,umesh,Avishka,Wihanga,muthumali,shamali,Ama,kushalya"</formula1>
    </dataValidation>
    <dataValidation type="list" allowBlank="1" sqref="M2:M3973 O2:O3973">
      <formula1>"Yes,No"</formula1>
    </dataValidation>
    <dataValidation type="list" allowBlank="1" sqref="F2:F3973">
      <formula1>"New,Contacted,Interested,Converted,No Answer,Not Interested,Follow-up,Second Call Pending,Off,Invalid,Wrong number,Busy,Call Another Number"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7" width="13.0"/>
    <col customWidth="1" min="8" max="9" width="17.29"/>
    <col customWidth="1" min="10" max="10" width="18.71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</row>
    <row r="2" ht="33.75" customHeight="1">
      <c r="A2" s="11" t="s">
        <v>16</v>
      </c>
    </row>
    <row r="3" ht="19.5" customHeight="1">
      <c r="A3" s="12" t="s">
        <v>18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</row>
    <row r="5" ht="22.5" customHeight="1">
      <c r="A5" s="16" t="s">
        <v>25</v>
      </c>
      <c r="B5" s="19"/>
      <c r="C5" s="21" t="s">
        <v>30</v>
      </c>
      <c r="D5" s="19"/>
      <c r="E5" s="24" t="s">
        <v>33</v>
      </c>
    </row>
    <row r="6">
      <c r="A6" s="8"/>
      <c r="B6" s="8"/>
      <c r="C6" s="8"/>
      <c r="D6" s="8"/>
      <c r="E6" s="8"/>
      <c r="F6" s="8"/>
      <c r="G6" s="8"/>
      <c r="H6" s="8"/>
      <c r="I6" s="8"/>
      <c r="J6" s="8"/>
    </row>
    <row r="7">
      <c r="A7" s="29" t="s">
        <v>45</v>
      </c>
      <c r="B7" s="8"/>
      <c r="C7" s="8"/>
      <c r="D7" s="8"/>
      <c r="E7" s="8"/>
      <c r="F7" s="8"/>
      <c r="G7" s="8"/>
      <c r="H7" s="8"/>
      <c r="I7" s="8"/>
      <c r="J7" s="8"/>
    </row>
    <row r="8" ht="18.0" customHeight="1">
      <c r="A8" s="30" t="s">
        <v>3</v>
      </c>
      <c r="B8" s="31" t="s">
        <v>54</v>
      </c>
      <c r="C8" s="31" t="s">
        <v>57</v>
      </c>
      <c r="D8" s="31" t="s">
        <v>59</v>
      </c>
      <c r="E8" s="31" t="s">
        <v>61</v>
      </c>
      <c r="F8" s="31" t="s">
        <v>63</v>
      </c>
      <c r="G8" s="31" t="s">
        <v>65</v>
      </c>
      <c r="H8" s="30" t="s">
        <v>68</v>
      </c>
      <c r="I8" s="30" t="s">
        <v>71</v>
      </c>
      <c r="J8" s="8"/>
    </row>
    <row r="9">
      <c r="A9" s="34" t="str">
        <f t="array" ref="A9">IF(INDEX(Members!$A:$A,2)="","",INDEX(Members!$A:$A,2))</f>
        <v>maheesha</v>
      </c>
      <c r="B9" s="41">
        <f>IF($A9="","",SUMPRODUCT(('Master Leads'!$D:$D=$A9) * (ISNUMBER(SEARCH("6", 'Master Leads'!$G:$G))) * ('Master Leads'!$E:$E&gt;=IF(ISBLANK($B$5),0,$B$5)) * ('Master Leads'!$E:$E&lt;=IF(ISBLANK($D$5),99999,$D$5))))</f>
        <v>0</v>
      </c>
      <c r="C9" s="41">
        <f>IF($A9="","",SUMPRODUCT(('Master Leads'!$D:$D=$A9) * (ISNUMBER(SEARCH("7", 'Master Leads'!$G:$G))) * ('Master Leads'!$E:$E&gt;=IF(ISBLANK($B$5),0,$B$5)) * ('Master Leads'!$E:$E&lt;=IF(ISBLANK($D$5),99999,$D$5))))</f>
        <v>0</v>
      </c>
      <c r="D9" s="41">
        <f>IF($A9="","",SUMPRODUCT(('Master Leads'!$D:$D=$A9) * (ISNUMBER(SEARCH("8", 'Master Leads'!$G:$G))) * ('Master Leads'!$E:$E&gt;=IF(ISBLANK($B$5),0,$B$5)) * ('Master Leads'!$E:$E&lt;=IF(ISBLANK($D$5),99999,$D$5))))</f>
        <v>1</v>
      </c>
      <c r="E9" s="41">
        <f>IF($A9="","",SUMPRODUCT(('Master Leads'!$D:$D=$A9) * (ISNUMBER(SEARCH("9", 'Master Leads'!$G:$G))) * ('Master Leads'!$E:$E&gt;=IF(ISBLANK($B$5),0,$B$5)) * ('Master Leads'!$E:$E&lt;=IF(ISBLANK($D$5),99999,$D$5))))</f>
        <v>0</v>
      </c>
      <c r="F9" s="41">
        <f>IF($A9="","",SUMPRODUCT(('Master Leads'!$D:$D=$A9) * (ISNUMBER(SEARCH("10", 'Master Leads'!$G:$G))) * ('Master Leads'!$E:$E&gt;=IF(ISBLANK($B$5),0,$B$5)) * ('Master Leads'!$E:$E&lt;=IF(ISBLANK($D$5),99999,$D$5))))</f>
        <v>1</v>
      </c>
      <c r="G9" s="41">
        <f>IF($A9="","",SUMPRODUCT(('Master Leads'!$D:$D=$A9) * (ISNUMBER(SEARCH("11", 'Master Leads'!$G:$G))) * ('Master Leads'!$E:$E&gt;=IF(ISBLANK($B$5),0,$B$5)) * ('Master Leads'!$E:$E&lt;=IF(ISBLANK($D$5),99999,$D$5))))</f>
        <v>22</v>
      </c>
      <c r="H9" s="50">
        <f>IF($A9="","",COUNTIFS('Master Leads'!$D:$D,$A9,'Master Leads'!$E:$E,"&gt;="&amp;IF(ISBLANK($B$5),0,$B$5),'Master Leads'!$E:$E,"&lt;="&amp;IF(ISBLANK($D$5),99999,$D$5)))</f>
        <v>29</v>
      </c>
      <c r="I9" s="51">
        <f t="shared" ref="I9:I28" si="1">IF(OR($A9="",$H$29=0),"",H9/$H$29)</f>
        <v>0.008787878788</v>
      </c>
      <c r="J9" s="8"/>
    </row>
    <row r="10">
      <c r="A10" s="52" t="str">
        <f t="array" ref="A10">IF(INDEX(Members!$A:$A,3)="","",INDEX(Members!$A:$A,3))</f>
        <v>menik</v>
      </c>
      <c r="B10" s="53">
        <f>IF($A10="","",SUMPRODUCT(('Master Leads'!$D:$D=$A10) * (ISNUMBER(SEARCH("6", 'Master Leads'!$G:$G))) * ('Master Leads'!$E:$E&gt;=IF(ISBLANK($B$5),0,$B$5)) * ('Master Leads'!$E:$E&lt;=IF(ISBLANK($D$5),99999,$D$5))))</f>
        <v>0</v>
      </c>
      <c r="C10" s="53">
        <f>IF($A10="","",SUMPRODUCT(('Master Leads'!$D:$D=$A10) * (ISNUMBER(SEARCH("7", 'Master Leads'!$G:$G))) * ('Master Leads'!$E:$E&gt;=IF(ISBLANK($B$5),0,$B$5)) * ('Master Leads'!$E:$E&lt;=IF(ISBLANK($D$5),99999,$D$5))))</f>
        <v>0</v>
      </c>
      <c r="D10" s="53">
        <f>IF($A10="","",SUMPRODUCT(('Master Leads'!$D:$D=$A10) * (ISNUMBER(SEARCH("8", 'Master Leads'!$G:$G))) * ('Master Leads'!$E:$E&gt;=IF(ISBLANK($B$5),0,$B$5)) * ('Master Leads'!$E:$E&lt;=IF(ISBLANK($D$5),99999,$D$5))))</f>
        <v>0</v>
      </c>
      <c r="E10" s="53">
        <f>IF($A10="","",SUMPRODUCT(('Master Leads'!$D:$D=$A10) * (ISNUMBER(SEARCH("9", 'Master Leads'!$G:$G))) * ('Master Leads'!$E:$E&gt;=IF(ISBLANK($B$5),0,$B$5)) * ('Master Leads'!$E:$E&lt;=IF(ISBLANK($D$5),99999,$D$5))))</f>
        <v>0</v>
      </c>
      <c r="F10" s="53">
        <f>IF($A10="","",SUMPRODUCT(('Master Leads'!$D:$D=$A10) * (ISNUMBER(SEARCH("10", 'Master Leads'!$G:$G))) * ('Master Leads'!$E:$E&gt;=IF(ISBLANK($B$5),0,$B$5)) * ('Master Leads'!$E:$E&lt;=IF(ISBLANK($D$5),99999,$D$5))))</f>
        <v>0</v>
      </c>
      <c r="G10" s="53">
        <f>IF($A10="","",SUMPRODUCT(('Master Leads'!$D:$D=$A10) * (ISNUMBER(SEARCH("11", 'Master Leads'!$G:$G))) * ('Master Leads'!$E:$E&gt;=IF(ISBLANK($B$5),0,$B$5)) * ('Master Leads'!$E:$E&lt;=IF(ISBLANK($D$5),99999,$D$5))))</f>
        <v>0</v>
      </c>
      <c r="H10" s="58">
        <f>IF($A10="","",COUNTIFS('Master Leads'!$D:$D,$A10,'Master Leads'!$E:$E,"&gt;="&amp;IF(ISBLANK($B$5),0,$B$5),'Master Leads'!$E:$E,"&lt;="&amp;IF(ISBLANK($D$5),99999,$D$5)))</f>
        <v>0</v>
      </c>
      <c r="I10" s="60">
        <f t="shared" si="1"/>
        <v>0</v>
      </c>
      <c r="J10" s="8"/>
    </row>
    <row r="11">
      <c r="A11" s="34" t="str">
        <f t="array" ref="A11">IF(INDEX(Members!$A:$A,4)="","",INDEX(Members!$A:$A,4))</f>
        <v>kavinda</v>
      </c>
      <c r="B11" s="41">
        <f>IF($A11="","",SUMPRODUCT(('Master Leads'!$D:$D=$A11) * (ISNUMBER(SEARCH("6", 'Master Leads'!$G:$G))) * ('Master Leads'!$E:$E&gt;=IF(ISBLANK($B$5),0,$B$5)) * ('Master Leads'!$E:$E&lt;=IF(ISBLANK($D$5),99999,$D$5))))</f>
        <v>9</v>
      </c>
      <c r="C11" s="41">
        <f>IF($A11="","",SUMPRODUCT(('Master Leads'!$D:$D=$A11) * (ISNUMBER(SEARCH("7", 'Master Leads'!$G:$G))) * ('Master Leads'!$E:$E&gt;=IF(ISBLANK($B$5),0,$B$5)) * ('Master Leads'!$E:$E&lt;=IF(ISBLANK($D$5),99999,$D$5))))</f>
        <v>6</v>
      </c>
      <c r="D11" s="41">
        <f>IF($A11="","",SUMPRODUCT(('Master Leads'!$D:$D=$A11) * (ISNUMBER(SEARCH("8", 'Master Leads'!$G:$G))) * ('Master Leads'!$E:$E&gt;=IF(ISBLANK($B$5),0,$B$5)) * ('Master Leads'!$E:$E&lt;=IF(ISBLANK($D$5),99999,$D$5))))</f>
        <v>8</v>
      </c>
      <c r="E11" s="41">
        <f>IF($A11="","",SUMPRODUCT(('Master Leads'!$D:$D=$A11) * (ISNUMBER(SEARCH("9", 'Master Leads'!$G:$G))) * ('Master Leads'!$E:$E&gt;=IF(ISBLANK($B$5),0,$B$5)) * ('Master Leads'!$E:$E&lt;=IF(ISBLANK($D$5),99999,$D$5))))</f>
        <v>13</v>
      </c>
      <c r="F11" s="41">
        <f>IF($A11="","",SUMPRODUCT(('Master Leads'!$D:$D=$A11) * (ISNUMBER(SEARCH("10", 'Master Leads'!$G:$G))) * ('Master Leads'!$E:$E&gt;=IF(ISBLANK($B$5),0,$B$5)) * ('Master Leads'!$E:$E&lt;=IF(ISBLANK($D$5),99999,$D$5))))</f>
        <v>56</v>
      </c>
      <c r="G11" s="41">
        <f>IF($A11="","",SUMPRODUCT(('Master Leads'!$D:$D=$A11) * (ISNUMBER(SEARCH("11", 'Master Leads'!$G:$G))) * ('Master Leads'!$E:$E&gt;=IF(ISBLANK($B$5),0,$B$5)) * ('Master Leads'!$E:$E&lt;=IF(ISBLANK($D$5),99999,$D$5))))</f>
        <v>300</v>
      </c>
      <c r="H11" s="50">
        <f>IF($A11="","",COUNTIFS('Master Leads'!$D:$D,$A11,'Master Leads'!$E:$E,"&gt;="&amp;IF(ISBLANK($B$5),0,$B$5),'Master Leads'!$E:$E,"&lt;="&amp;IF(ISBLANK($D$5),99999,$D$5)))</f>
        <v>609</v>
      </c>
      <c r="I11" s="51">
        <f t="shared" si="1"/>
        <v>0.1845454545</v>
      </c>
      <c r="J11" s="8"/>
    </row>
    <row r="12">
      <c r="A12" s="62" t="s">
        <v>20</v>
      </c>
      <c r="B12" s="53">
        <f>IF($A12="","",SUMPRODUCT(('Master Leads'!$D:$D=$A12) * (ISNUMBER(SEARCH("6", 'Master Leads'!$G:$G))) * ('Master Leads'!$E:$E&gt;=IF(ISBLANK($B$5),0,$B$5)) * ('Master Leads'!$E:$E&lt;=IF(ISBLANK($D$5),99999,$D$5))))</f>
        <v>51</v>
      </c>
      <c r="C12" s="53">
        <f>IF($A12="","",SUMPRODUCT(('Master Leads'!$D:$D=$A12) * (ISNUMBER(SEARCH("7", 'Master Leads'!$G:$G))) * ('Master Leads'!$E:$E&gt;=IF(ISBLANK($B$5),0,$B$5)) * ('Master Leads'!$E:$E&lt;=IF(ISBLANK($D$5),99999,$D$5))))</f>
        <v>21</v>
      </c>
      <c r="D12" s="53">
        <f>IF($A12="","",SUMPRODUCT(('Master Leads'!$D:$D=$A12) * (ISNUMBER(SEARCH("8", 'Master Leads'!$G:$G))) * ('Master Leads'!$E:$E&gt;=IF(ISBLANK($B$5),0,$B$5)) * ('Master Leads'!$E:$E&lt;=IF(ISBLANK($D$5),99999,$D$5))))</f>
        <v>17</v>
      </c>
      <c r="E12" s="53">
        <f>IF($A12="","",SUMPRODUCT(('Master Leads'!$D:$D=$A12) * (ISNUMBER(SEARCH("9", 'Master Leads'!$G:$G))) * ('Master Leads'!$E:$E&gt;=IF(ISBLANK($B$5),0,$B$5)) * ('Master Leads'!$E:$E&lt;=IF(ISBLANK($D$5),99999,$D$5))))</f>
        <v>17</v>
      </c>
      <c r="F12" s="53">
        <f>IF($A12="","",SUMPRODUCT(('Master Leads'!$D:$D=$A12) * (ISNUMBER(SEARCH("10", 'Master Leads'!$G:$G))) * ('Master Leads'!$E:$E&gt;=IF(ISBLANK($B$5),0,$B$5)) * ('Master Leads'!$E:$E&lt;=IF(ISBLANK($D$5),99999,$D$5))))</f>
        <v>41</v>
      </c>
      <c r="G12" s="53">
        <f>IF($A12="","",SUMPRODUCT(('Master Leads'!$D:$D=$A12) * (ISNUMBER(SEARCH("11", 'Master Leads'!$G:$G))) * ('Master Leads'!$E:$E&gt;=IF(ISBLANK($B$5),0,$B$5)) * ('Master Leads'!$E:$E&lt;=IF(ISBLANK($D$5),99999,$D$5))))</f>
        <v>254</v>
      </c>
      <c r="H12" s="58">
        <f>IF($A12="","",COUNTIFS('Master Leads'!$D:$D,$A12,'Master Leads'!$E:$E,"&gt;="&amp;IF(ISBLANK($B$5),0,$B$5),'Master Leads'!$E:$E,"&lt;="&amp;IF(ISBLANK($D$5),99999,$D$5)))</f>
        <v>598</v>
      </c>
      <c r="I12" s="60">
        <f t="shared" si="1"/>
        <v>0.1812121212</v>
      </c>
      <c r="J12" s="8"/>
      <c r="K12" s="10">
        <v>489.0</v>
      </c>
    </row>
    <row r="13">
      <c r="A13" s="34" t="str">
        <f t="array" ref="A13">IF(INDEX(Members!$A:$A,6)="","",INDEX(Members!$A:$A,6))</f>
        <v>Avishka</v>
      </c>
      <c r="B13" s="41">
        <f>IF($A13="","",SUMPRODUCT(('Master Leads'!$D:$D=$A13) * (ISNUMBER(SEARCH("6", 'Master Leads'!$G:$G))) * ('Master Leads'!$E:$E&gt;=IF(ISBLANK($B$5),0,$B$5)) * ('Master Leads'!$E:$E&lt;=IF(ISBLANK($D$5),99999,$D$5))))</f>
        <v>1</v>
      </c>
      <c r="C13" s="41">
        <f>IF($A13="","",SUMPRODUCT(('Master Leads'!$D:$D=$A13) * (ISNUMBER(SEARCH("7", 'Master Leads'!$G:$G))) * ('Master Leads'!$E:$E&gt;=IF(ISBLANK($B$5),0,$B$5)) * ('Master Leads'!$E:$E&lt;=IF(ISBLANK($D$5),99999,$D$5))))</f>
        <v>0</v>
      </c>
      <c r="D13" s="41">
        <f>IF($A13="","",SUMPRODUCT(('Master Leads'!$D:$D=$A13) * (ISNUMBER(SEARCH("8", 'Master Leads'!$G:$G))) * ('Master Leads'!$E:$E&gt;=IF(ISBLANK($B$5),0,$B$5)) * ('Master Leads'!$E:$E&lt;=IF(ISBLANK($D$5),99999,$D$5))))</f>
        <v>3</v>
      </c>
      <c r="E13" s="41">
        <f>IF($A13="","",SUMPRODUCT(('Master Leads'!$D:$D=$A13) * (ISNUMBER(SEARCH("9", 'Master Leads'!$G:$G))) * ('Master Leads'!$E:$E&gt;=IF(ISBLANK($B$5),0,$B$5)) * ('Master Leads'!$E:$E&lt;=IF(ISBLANK($D$5),99999,$D$5))))</f>
        <v>1</v>
      </c>
      <c r="F13" s="41">
        <f>IF($A13="","",SUMPRODUCT(('Master Leads'!$D:$D=$A13) * (ISNUMBER(SEARCH("10", 'Master Leads'!$G:$G))) * ('Master Leads'!$E:$E&gt;=IF(ISBLANK($B$5),0,$B$5)) * ('Master Leads'!$E:$E&lt;=IF(ISBLANK($D$5),99999,$D$5))))</f>
        <v>5</v>
      </c>
      <c r="G13" s="41">
        <f>IF($A13="","",SUMPRODUCT(('Master Leads'!$D:$D=$A13) * (ISNUMBER(SEARCH("11", 'Master Leads'!$G:$G))) * ('Master Leads'!$E:$E&gt;=IF(ISBLANK($B$5),0,$B$5)) * ('Master Leads'!$E:$E&lt;=IF(ISBLANK($D$5),99999,$D$5))))</f>
        <v>43</v>
      </c>
      <c r="H13" s="50">
        <f>IF($A13="","",COUNTIFS('Master Leads'!$D:$D,$A13,'Master Leads'!$E:$E,"&gt;="&amp;IF(ISBLANK($B$5),0,$B$5),'Master Leads'!$E:$E,"&lt;="&amp;IF(ISBLANK($D$5),99999,$D$5)))</f>
        <v>87</v>
      </c>
      <c r="I13" s="51">
        <f t="shared" si="1"/>
        <v>0.02636363636</v>
      </c>
      <c r="J13" s="8"/>
    </row>
    <row r="14">
      <c r="A14" s="52" t="str">
        <f t="array" ref="A14">IF(INDEX(Members!$A:$A,7)="","",INDEX(Members!$A:$A,7))</f>
        <v>Wihanga</v>
      </c>
      <c r="B14" s="53">
        <f>IF($A14="","",SUMPRODUCT(('Master Leads'!$D:$D=$A14) * (ISNUMBER(SEARCH("6", 'Master Leads'!$G:$G))) * ('Master Leads'!$E:$E&gt;=IF(ISBLANK($B$5),0,$B$5)) * ('Master Leads'!$E:$E&lt;=IF(ISBLANK($D$5),99999,$D$5))))</f>
        <v>0</v>
      </c>
      <c r="C14" s="53">
        <f>IF($A14="","",SUMPRODUCT(('Master Leads'!$D:$D=$A14) * (ISNUMBER(SEARCH("7", 'Master Leads'!$G:$G))) * ('Master Leads'!$E:$E&gt;=IF(ISBLANK($B$5),0,$B$5)) * ('Master Leads'!$E:$E&lt;=IF(ISBLANK($D$5),99999,$D$5))))</f>
        <v>0</v>
      </c>
      <c r="D14" s="53">
        <f>IF($A14="","",SUMPRODUCT(('Master Leads'!$D:$D=$A14) * (ISNUMBER(SEARCH("8", 'Master Leads'!$G:$G))) * ('Master Leads'!$E:$E&gt;=IF(ISBLANK($B$5),0,$B$5)) * ('Master Leads'!$E:$E&lt;=IF(ISBLANK($D$5),99999,$D$5))))</f>
        <v>0</v>
      </c>
      <c r="E14" s="53">
        <f>IF($A14="","",SUMPRODUCT(('Master Leads'!$D:$D=$A14) * (ISNUMBER(SEARCH("9", 'Master Leads'!$G:$G))) * ('Master Leads'!$E:$E&gt;=IF(ISBLANK($B$5),0,$B$5)) * ('Master Leads'!$E:$E&lt;=IF(ISBLANK($D$5),99999,$D$5))))</f>
        <v>0</v>
      </c>
      <c r="F14" s="53">
        <f>IF($A14="","",SUMPRODUCT(('Master Leads'!$D:$D=$A14) * (ISNUMBER(SEARCH("10", 'Master Leads'!$G:$G))) * ('Master Leads'!$E:$E&gt;=IF(ISBLANK($B$5),0,$B$5)) * ('Master Leads'!$E:$E&lt;=IF(ISBLANK($D$5),99999,$D$5))))</f>
        <v>0</v>
      </c>
      <c r="G14" s="53">
        <f>IF($A14="","",SUMPRODUCT(('Master Leads'!$D:$D=$A14) * (ISNUMBER(SEARCH("11", 'Master Leads'!$G:$G))) * ('Master Leads'!$E:$E&gt;=IF(ISBLANK($B$5),0,$B$5)) * ('Master Leads'!$E:$E&lt;=IF(ISBLANK($D$5),99999,$D$5))))</f>
        <v>0</v>
      </c>
      <c r="H14" s="58">
        <f>IF($A14="","",COUNTIFS('Master Leads'!$D:$D,$A14,'Master Leads'!$E:$E,"&gt;="&amp;IF(ISBLANK($B$5),0,$B$5),'Master Leads'!$E:$E,"&lt;="&amp;IF(ISBLANK($D$5),99999,$D$5)))</f>
        <v>0</v>
      </c>
      <c r="I14" s="60">
        <f t="shared" si="1"/>
        <v>0</v>
      </c>
      <c r="J14" s="8"/>
    </row>
    <row r="15">
      <c r="A15" s="34" t="str">
        <f t="array" ref="A15">IF(INDEX(Members!$A:$A,8)="","",INDEX(Members!$A:$A,8))</f>
        <v>muthumali</v>
      </c>
      <c r="B15" s="41">
        <f>IF($A15="","",SUMPRODUCT(('Master Leads'!$D:$D=$A15) * (ISNUMBER(SEARCH("6", 'Master Leads'!$G:$G))) * ('Master Leads'!$E:$E&gt;=IF(ISBLANK($B$5),0,$B$5)) * ('Master Leads'!$E:$E&lt;=IF(ISBLANK($D$5),99999,$D$5))))</f>
        <v>7</v>
      </c>
      <c r="C15" s="41">
        <f>IF($A15="","",SUMPRODUCT(('Master Leads'!$D:$D=$A15) * (ISNUMBER(SEARCH("7", 'Master Leads'!$G:$G))) * ('Master Leads'!$E:$E&gt;=IF(ISBLANK($B$5),0,$B$5)) * ('Master Leads'!$E:$E&lt;=IF(ISBLANK($D$5),99999,$D$5))))</f>
        <v>4</v>
      </c>
      <c r="D15" s="41">
        <f>IF($A15="","",SUMPRODUCT(('Master Leads'!$D:$D=$A15) * (ISNUMBER(SEARCH("8", 'Master Leads'!$G:$G))) * ('Master Leads'!$E:$E&gt;=IF(ISBLANK($B$5),0,$B$5)) * ('Master Leads'!$E:$E&lt;=IF(ISBLANK($D$5),99999,$D$5))))</f>
        <v>7</v>
      </c>
      <c r="E15" s="41">
        <f>IF($A15="","",SUMPRODUCT(('Master Leads'!$D:$D=$A15) * (ISNUMBER(SEARCH("9", 'Master Leads'!$G:$G))) * ('Master Leads'!$E:$E&gt;=IF(ISBLANK($B$5),0,$B$5)) * ('Master Leads'!$E:$E&lt;=IF(ISBLANK($D$5),99999,$D$5))))</f>
        <v>15</v>
      </c>
      <c r="F15" s="41">
        <f>IF($A15="","",SUMPRODUCT(('Master Leads'!$D:$D=$A15) * (ISNUMBER(SEARCH("10", 'Master Leads'!$G:$G))) * ('Master Leads'!$E:$E&gt;=IF(ISBLANK($B$5),0,$B$5)) * ('Master Leads'!$E:$E&lt;=IF(ISBLANK($D$5),99999,$D$5))))</f>
        <v>69</v>
      </c>
      <c r="G15" s="41">
        <f>IF($A15="","",SUMPRODUCT(('Master Leads'!$D:$D=$A15) * (ISNUMBER(SEARCH("11", 'Master Leads'!$G:$G))) * ('Master Leads'!$E:$E&gt;=IF(ISBLANK($B$5),0,$B$5)) * ('Master Leads'!$E:$E&lt;=IF(ISBLANK($D$5),99999,$D$5))))</f>
        <v>474</v>
      </c>
      <c r="H15" s="50">
        <f>IF($A15="","",COUNTIFS('Master Leads'!$D:$D,$A15,'Master Leads'!$E:$E,"&gt;="&amp;IF(ISBLANK($B$5),0,$B$5),'Master Leads'!$E:$E,"&lt;="&amp;IF(ISBLANK($D$5),99999,$D$5)))</f>
        <v>689</v>
      </c>
      <c r="I15" s="51">
        <f t="shared" si="1"/>
        <v>0.2087878788</v>
      </c>
      <c r="J15" s="8"/>
    </row>
    <row r="16">
      <c r="A16" s="52" t="str">
        <f t="array" ref="A16">IF(INDEX(Members!$A:$A,9)="","",INDEX(Members!$A:$A,9))</f>
        <v>shamali</v>
      </c>
      <c r="B16" s="53">
        <f>IF($A16="","",SUMPRODUCT(('Master Leads'!$D:$D=$A16) * (ISNUMBER(SEARCH("6", 'Master Leads'!$G:$G))) * ('Master Leads'!$E:$E&gt;=IF(ISBLANK($B$5),0,$B$5)) * ('Master Leads'!$E:$E&lt;=IF(ISBLANK($D$5),99999,$D$5))))</f>
        <v>2</v>
      </c>
      <c r="C16" s="53">
        <f>IF($A16="","",SUMPRODUCT(('Master Leads'!$D:$D=$A16) * (ISNUMBER(SEARCH("7", 'Master Leads'!$G:$G))) * ('Master Leads'!$E:$E&gt;=IF(ISBLANK($B$5),0,$B$5)) * ('Master Leads'!$E:$E&lt;=IF(ISBLANK($D$5),99999,$D$5))))</f>
        <v>5</v>
      </c>
      <c r="D16" s="53">
        <f>IF($A16="","",SUMPRODUCT(('Master Leads'!$D:$D=$A16) * (ISNUMBER(SEARCH("8", 'Master Leads'!$G:$G))) * ('Master Leads'!$E:$E&gt;=IF(ISBLANK($B$5),0,$B$5)) * ('Master Leads'!$E:$E&lt;=IF(ISBLANK($D$5),99999,$D$5))))</f>
        <v>4</v>
      </c>
      <c r="E16" s="53">
        <f>IF($A16="","",SUMPRODUCT(('Master Leads'!$D:$D=$A16) * (ISNUMBER(SEARCH("9", 'Master Leads'!$G:$G))) * ('Master Leads'!$E:$E&gt;=IF(ISBLANK($B$5),0,$B$5)) * ('Master Leads'!$E:$E&lt;=IF(ISBLANK($D$5),99999,$D$5))))</f>
        <v>16</v>
      </c>
      <c r="F16" s="53">
        <f>IF($A16="","",SUMPRODUCT(('Master Leads'!$D:$D=$A16) * (ISNUMBER(SEARCH("10", 'Master Leads'!$G:$G))) * ('Master Leads'!$E:$E&gt;=IF(ISBLANK($B$5),0,$B$5)) * ('Master Leads'!$E:$E&lt;=IF(ISBLANK($D$5),99999,$D$5))))</f>
        <v>66</v>
      </c>
      <c r="G16" s="53">
        <f>IF($A16="","",SUMPRODUCT(('Master Leads'!$D:$D=$A16) * (ISNUMBER(SEARCH("11", 'Master Leads'!$G:$G))) * ('Master Leads'!$E:$E&gt;=IF(ISBLANK($B$5),0,$B$5)) * ('Master Leads'!$E:$E&lt;=IF(ISBLANK($D$5),99999,$D$5))))</f>
        <v>302</v>
      </c>
      <c r="H16" s="58">
        <f>IF($A16="","",COUNTIFS('Master Leads'!$D:$D,$A16,'Master Leads'!$E:$E,"&gt;="&amp;IF(ISBLANK($B$5),0,$B$5),'Master Leads'!$E:$E,"&lt;="&amp;IF(ISBLANK($D$5),99999,$D$5)))</f>
        <v>535</v>
      </c>
      <c r="I16" s="60">
        <f t="shared" si="1"/>
        <v>0.1621212121</v>
      </c>
      <c r="J16" s="8"/>
    </row>
    <row r="17">
      <c r="A17" s="34" t="str">
        <f t="array" ref="A17">IF(INDEX(Members!$A:$A,10)="","",INDEX(Members!$A:$A,10))</f>
        <v>Ama</v>
      </c>
      <c r="B17" s="41">
        <f>IF($A17="","",SUMPRODUCT(('Master Leads'!$D:$D=$A17) * (ISNUMBER(SEARCH("6", 'Master Leads'!$G:$G))) * ('Master Leads'!$E:$E&gt;=IF(ISBLANK($B$5),0,$B$5)) * ('Master Leads'!$E:$E&lt;=IF(ISBLANK($D$5),99999,$D$5))))</f>
        <v>2</v>
      </c>
      <c r="C17" s="41">
        <f>IF($A17="","",SUMPRODUCT(('Master Leads'!$D:$D=$A17) * (ISNUMBER(SEARCH("7", 'Master Leads'!$G:$G))) * ('Master Leads'!$E:$E&gt;=IF(ISBLANK($B$5),0,$B$5)) * ('Master Leads'!$E:$E&lt;=IF(ISBLANK($D$5),99999,$D$5))))</f>
        <v>5</v>
      </c>
      <c r="D17" s="41">
        <f>IF($A17="","",SUMPRODUCT(('Master Leads'!$D:$D=$A17) * (ISNUMBER(SEARCH("8", 'Master Leads'!$G:$G))) * ('Master Leads'!$E:$E&gt;=IF(ISBLANK($B$5),0,$B$5)) * ('Master Leads'!$E:$E&lt;=IF(ISBLANK($D$5),99999,$D$5))))</f>
        <v>2</v>
      </c>
      <c r="E17" s="41">
        <f>IF($A17="","",SUMPRODUCT(('Master Leads'!$D:$D=$A17) * (ISNUMBER(SEARCH("9", 'Master Leads'!$G:$G))) * ('Master Leads'!$E:$E&gt;=IF(ISBLANK($B$5),0,$B$5)) * ('Master Leads'!$E:$E&lt;=IF(ISBLANK($D$5),99999,$D$5))))</f>
        <v>12</v>
      </c>
      <c r="F17" s="41">
        <f>IF($A17="","",SUMPRODUCT(('Master Leads'!$D:$D=$A17) * (ISNUMBER(SEARCH("10", 'Master Leads'!$G:$G))) * ('Master Leads'!$E:$E&gt;=IF(ISBLANK($B$5),0,$B$5)) * ('Master Leads'!$E:$E&lt;=IF(ISBLANK($D$5),99999,$D$5))))</f>
        <v>33</v>
      </c>
      <c r="G17" s="41">
        <f>IF($A17="","",SUMPRODUCT(('Master Leads'!$D:$D=$A17) * (ISNUMBER(SEARCH("11", 'Master Leads'!$G:$G))) * ('Master Leads'!$E:$E&gt;=IF(ISBLANK($B$5),0,$B$5)) * ('Master Leads'!$E:$E&lt;=IF(ISBLANK($D$5),99999,$D$5))))</f>
        <v>227</v>
      </c>
      <c r="H17" s="50">
        <f>IF($A17="","",COUNTIFS('Master Leads'!$D:$D,$A17,'Master Leads'!$E:$E,"&gt;="&amp;IF(ISBLANK($B$5),0,$B$5),'Master Leads'!$E:$E,"&lt;="&amp;IF(ISBLANK($D$5),99999,$D$5)))</f>
        <v>427</v>
      </c>
      <c r="I17" s="51">
        <f t="shared" si="1"/>
        <v>0.1293939394</v>
      </c>
      <c r="J17" s="8"/>
    </row>
    <row r="18">
      <c r="A18" s="52" t="str">
        <f t="array" ref="A18">IF(INDEX(Members!$A:$A,11)="","",INDEX(Members!$A:$A,11))</f>
        <v>kushalya</v>
      </c>
      <c r="B18" s="53">
        <f>IF($A18="","",SUMPRODUCT(('Master Leads'!$D:$D=$A18) * (ISNUMBER(SEARCH("6", 'Master Leads'!$G:$G))) * ('Master Leads'!$E:$E&gt;=IF(ISBLANK($B$5),0,$B$5)) * ('Master Leads'!$E:$E&lt;=IF(ISBLANK($D$5),99999,$D$5))))</f>
        <v>2</v>
      </c>
      <c r="C18" s="53">
        <f>IF($A18="","",SUMPRODUCT(('Master Leads'!$D:$D=$A18) * (ISNUMBER(SEARCH("7", 'Master Leads'!$G:$G))) * ('Master Leads'!$E:$E&gt;=IF(ISBLANK($B$5),0,$B$5)) * ('Master Leads'!$E:$E&lt;=IF(ISBLANK($D$5),99999,$D$5))))</f>
        <v>0</v>
      </c>
      <c r="D18" s="53">
        <f>IF($A18="","",SUMPRODUCT(('Master Leads'!$D:$D=$A18) * (ISNUMBER(SEARCH("8", 'Master Leads'!$G:$G))) * ('Master Leads'!$E:$E&gt;=IF(ISBLANK($B$5),0,$B$5)) * ('Master Leads'!$E:$E&lt;=IF(ISBLANK($D$5),99999,$D$5))))</f>
        <v>5</v>
      </c>
      <c r="E18" s="53">
        <f>IF($A18="","",SUMPRODUCT(('Master Leads'!$D:$D=$A18) * (ISNUMBER(SEARCH("9", 'Master Leads'!$G:$G))) * ('Master Leads'!$E:$E&gt;=IF(ISBLANK($B$5),0,$B$5)) * ('Master Leads'!$E:$E&lt;=IF(ISBLANK($D$5),99999,$D$5))))</f>
        <v>8</v>
      </c>
      <c r="F18" s="53">
        <f>IF($A18="","",SUMPRODUCT(('Master Leads'!$D:$D=$A18) * (ISNUMBER(SEARCH("10", 'Master Leads'!$G:$G))) * ('Master Leads'!$E:$E&gt;=IF(ISBLANK($B$5),0,$B$5)) * ('Master Leads'!$E:$E&lt;=IF(ISBLANK($D$5),99999,$D$5))))</f>
        <v>28</v>
      </c>
      <c r="G18" s="53">
        <f>IF($A18="","",SUMPRODUCT(('Master Leads'!$D:$D=$A18) * (ISNUMBER(SEARCH("11", 'Master Leads'!$G:$G))) * ('Master Leads'!$E:$E&gt;=IF(ISBLANK($B$5),0,$B$5)) * ('Master Leads'!$E:$E&lt;=IF(ISBLANK($D$5),99999,$D$5))))</f>
        <v>159</v>
      </c>
      <c r="H18" s="58">
        <f>IF($A18="","",COUNTIFS('Master Leads'!$D:$D,$A18,'Master Leads'!$E:$E,"&gt;="&amp;IF(ISBLANK($B$5),0,$B$5),'Master Leads'!$E:$E,"&lt;="&amp;IF(ISBLANK($D$5),99999,$D$5)))</f>
        <v>325</v>
      </c>
      <c r="I18" s="60">
        <f t="shared" si="1"/>
        <v>0.09848484848</v>
      </c>
      <c r="J18" s="8"/>
    </row>
    <row r="19">
      <c r="A19" s="34" t="str">
        <f t="array" ref="A19">IF(INDEX(Members!$A:$A,12)="","",INDEX(Members!$A:$A,12))</f>
        <v>TOTAL</v>
      </c>
      <c r="B19" s="41">
        <f>IF($A19="","",SUMPRODUCT(('Master Leads'!$D:$D=$A19) * (ISNUMBER(SEARCH("6", 'Master Leads'!$G:$G))) * ('Master Leads'!$E:$E&gt;=IF(ISBLANK($B$5),0,$B$5)) * ('Master Leads'!$E:$E&lt;=IF(ISBLANK($D$5),99999,$D$5))))</f>
        <v>0</v>
      </c>
      <c r="C19" s="41">
        <f>IF($A19="","",SUMPRODUCT(('Master Leads'!$D:$D=$A19) * (ISNUMBER(SEARCH("7", 'Master Leads'!$G:$G))) * ('Master Leads'!$E:$E&gt;=IF(ISBLANK($B$5),0,$B$5)) * ('Master Leads'!$E:$E&lt;=IF(ISBLANK($D$5),99999,$D$5))))</f>
        <v>0</v>
      </c>
      <c r="D19" s="41">
        <f>IF($A19="","",SUMPRODUCT(('Master Leads'!$D:$D=$A19) * (ISNUMBER(SEARCH("8", 'Master Leads'!$G:$G))) * ('Master Leads'!$E:$E&gt;=IF(ISBLANK($B$5),0,$B$5)) * ('Master Leads'!$E:$E&lt;=IF(ISBLANK($D$5),99999,$D$5))))</f>
        <v>0</v>
      </c>
      <c r="E19" s="41">
        <f>IF($A19="","",SUMPRODUCT(('Master Leads'!$D:$D=$A19) * (ISNUMBER(SEARCH("9", 'Master Leads'!$G:$G))) * ('Master Leads'!$E:$E&gt;=IF(ISBLANK($B$5),0,$B$5)) * ('Master Leads'!$E:$E&lt;=IF(ISBLANK($D$5),99999,$D$5))))</f>
        <v>0</v>
      </c>
      <c r="F19" s="41">
        <f>IF($A19="","",SUMPRODUCT(('Master Leads'!$D:$D=$A19) * (ISNUMBER(SEARCH("10", 'Master Leads'!$G:$G))) * ('Master Leads'!$E:$E&gt;=IF(ISBLANK($B$5),0,$B$5)) * ('Master Leads'!$E:$E&lt;=IF(ISBLANK($D$5),99999,$D$5))))</f>
        <v>0</v>
      </c>
      <c r="G19" s="41">
        <f>IF($A19="","",SUMPRODUCT(('Master Leads'!$D:$D=$A19) * (ISNUMBER(SEARCH("11", 'Master Leads'!$G:$G))) * ('Master Leads'!$E:$E&gt;=IF(ISBLANK($B$5),0,$B$5)) * ('Master Leads'!$E:$E&lt;=IF(ISBLANK($D$5),99999,$D$5))))</f>
        <v>0</v>
      </c>
      <c r="H19" s="50">
        <f>IF($A19="","",COUNTIFS('Master Leads'!$D:$D,$A19,'Master Leads'!$E:$E,"&gt;="&amp;IF(ISBLANK($B$5),0,$B$5),'Master Leads'!$E:$E,"&lt;="&amp;IF(ISBLANK($D$5),99999,$D$5)))</f>
        <v>0</v>
      </c>
      <c r="I19" s="51">
        <f t="shared" si="1"/>
        <v>0</v>
      </c>
      <c r="J19" s="8"/>
      <c r="K19" s="10">
        <v>455.0</v>
      </c>
      <c r="L19" s="71">
        <v>46226.0</v>
      </c>
    </row>
    <row r="20">
      <c r="A20" s="52" t="str">
        <f t="array" ref="A20">IF(INDEX(Members!$A:$A,13)="","",INDEX(Members!$A:$A,13))</f>
        <v/>
      </c>
      <c r="B20" s="53" t="str">
        <f>IF($A20="","",SUMPRODUCT(('Master Leads'!$D:$D=$A20) * (ISNUMBER(SEARCH("6", 'Master Leads'!$G:$G))) * ('Master Leads'!$E:$E&gt;=IF(ISBLANK($B$5),0,$B$5)) * ('Master Leads'!$E:$E&lt;=IF(ISBLANK($D$5),99999,$D$5))))</f>
        <v/>
      </c>
      <c r="C20" s="53" t="str">
        <f>IF($A20="","",SUMPRODUCT(('Master Leads'!$D:$D=$A20) * (ISNUMBER(SEARCH("7", 'Master Leads'!$G:$G))) * ('Master Leads'!$E:$E&gt;=IF(ISBLANK($B$5),0,$B$5)) * ('Master Leads'!$E:$E&lt;=IF(ISBLANK($D$5),99999,$D$5))))</f>
        <v/>
      </c>
      <c r="D20" s="53" t="str">
        <f>IF($A20="","",SUMPRODUCT(('Master Leads'!$D:$D=$A20) * (ISNUMBER(SEARCH("8", 'Master Leads'!$G:$G))) * ('Master Leads'!$E:$E&gt;=IF(ISBLANK($B$5),0,$B$5)) * ('Master Leads'!$E:$E&lt;=IF(ISBLANK($D$5),99999,$D$5))))</f>
        <v/>
      </c>
      <c r="E20" s="53" t="str">
        <f>IF($A20="","",SUMPRODUCT(('Master Leads'!$D:$D=$A20) * (ISNUMBER(SEARCH("9", 'Master Leads'!$G:$G))) * ('Master Leads'!$E:$E&gt;=IF(ISBLANK($B$5),0,$B$5)) * ('Master Leads'!$E:$E&lt;=IF(ISBLANK($D$5),99999,$D$5))))</f>
        <v/>
      </c>
      <c r="F20" s="53" t="str">
        <f>IF($A20="","",SUMPRODUCT(('Master Leads'!$D:$D=$A20) * (ISNUMBER(SEARCH("10", 'Master Leads'!$G:$G))) * ('Master Leads'!$E:$E&gt;=IF(ISBLANK($B$5),0,$B$5)) * ('Master Leads'!$E:$E&lt;=IF(ISBLANK($D$5),99999,$D$5))))</f>
        <v/>
      </c>
      <c r="G20" s="53" t="str">
        <f>IF($A20="","",SUMPRODUCT(('Master Leads'!$D:$D=$A20) * (ISNUMBER(SEARCH("11", 'Master Leads'!$G:$G))) * ('Master Leads'!$E:$E&gt;=IF(ISBLANK($B$5),0,$B$5)) * ('Master Leads'!$E:$E&lt;=IF(ISBLANK($D$5),99999,$D$5))))</f>
        <v/>
      </c>
      <c r="H20" s="58" t="str">
        <f>IF($A20="","",COUNTIFS('Master Leads'!$D:$D,$A20,'Master Leads'!$E:$E,"&gt;="&amp;IF(ISBLANK($B$5),0,$B$5),'Master Leads'!$E:$E,"&lt;="&amp;IF(ISBLANK($D$5),99999,$D$5)))</f>
        <v/>
      </c>
      <c r="I20" s="60" t="str">
        <f t="shared" si="1"/>
        <v/>
      </c>
      <c r="J20" s="8"/>
      <c r="K20" s="10">
        <v>1259.0</v>
      </c>
      <c r="L20" s="71">
        <v>46227.0</v>
      </c>
    </row>
    <row r="21">
      <c r="A21" s="34" t="str">
        <f t="array" ref="A21">IF(INDEX(Members!$A:$A,14)="","",INDEX(Members!$A:$A,14))</f>
        <v/>
      </c>
      <c r="B21" s="41" t="str">
        <f>IF($A21="","",SUMPRODUCT(('Master Leads'!$D:$D=$A21) * (ISNUMBER(SEARCH("6", 'Master Leads'!$G:$G))) * ('Master Leads'!$E:$E&gt;=IF(ISBLANK($B$5),0,$B$5)) * ('Master Leads'!$E:$E&lt;=IF(ISBLANK($D$5),99999,$D$5))))</f>
        <v/>
      </c>
      <c r="C21" s="41" t="str">
        <f>IF($A21="","",SUMPRODUCT(('Master Leads'!$D:$D=$A21) * (ISNUMBER(SEARCH("7", 'Master Leads'!$G:$G))) * ('Master Leads'!$E:$E&gt;=IF(ISBLANK($B$5),0,$B$5)) * ('Master Leads'!$E:$E&lt;=IF(ISBLANK($D$5),99999,$D$5))))</f>
        <v/>
      </c>
      <c r="D21" s="41" t="str">
        <f>IF($A21="","",SUMPRODUCT(('Master Leads'!$D:$D=$A21) * (ISNUMBER(SEARCH("8", 'Master Leads'!$G:$G))) * ('Master Leads'!$E:$E&gt;=IF(ISBLANK($B$5),0,$B$5)) * ('Master Leads'!$E:$E&lt;=IF(ISBLANK($D$5),99999,$D$5))))</f>
        <v/>
      </c>
      <c r="E21" s="41" t="str">
        <f>IF($A21="","",SUMPRODUCT(('Master Leads'!$D:$D=$A21) * (ISNUMBER(SEARCH("9", 'Master Leads'!$G:$G))) * ('Master Leads'!$E:$E&gt;=IF(ISBLANK($B$5),0,$B$5)) * ('Master Leads'!$E:$E&lt;=IF(ISBLANK($D$5),99999,$D$5))))</f>
        <v/>
      </c>
      <c r="F21" s="41" t="str">
        <f>IF($A21="","",SUMPRODUCT(('Master Leads'!$D:$D=$A21) * (ISNUMBER(SEARCH("10", 'Master Leads'!$G:$G))) * ('Master Leads'!$E:$E&gt;=IF(ISBLANK($B$5),0,$B$5)) * ('Master Leads'!$E:$E&lt;=IF(ISBLANK($D$5),99999,$D$5))))</f>
        <v/>
      </c>
      <c r="G21" s="41" t="str">
        <f>IF($A21="","",SUMPRODUCT(('Master Leads'!$D:$D=$A21) * (ISNUMBER(SEARCH("11", 'Master Leads'!$G:$G))) * ('Master Leads'!$E:$E&gt;=IF(ISBLANK($B$5),0,$B$5)) * ('Master Leads'!$E:$E&lt;=IF(ISBLANK($D$5),99999,$D$5))))</f>
        <v/>
      </c>
      <c r="H21" s="50" t="str">
        <f>IF($A21="","",COUNTIFS('Master Leads'!$D:$D,$A21,'Master Leads'!$E:$E,"&gt;="&amp;IF(ISBLANK($B$5),0,$B$5),'Master Leads'!$E:$E,"&lt;="&amp;IF(ISBLANK($D$5),99999,$D$5)))</f>
        <v/>
      </c>
      <c r="I21" s="51" t="str">
        <f t="shared" si="1"/>
        <v/>
      </c>
      <c r="J21" s="8"/>
      <c r="K21" s="10">
        <v>1798.0</v>
      </c>
      <c r="L21" s="71">
        <v>46228.0</v>
      </c>
    </row>
    <row r="22">
      <c r="A22" s="52" t="str">
        <f t="array" ref="A22">IF(INDEX(Members!$A:$A,15)="","",INDEX(Members!$A:$A,15))</f>
        <v/>
      </c>
      <c r="B22" s="53" t="str">
        <f>IF($A22="","",SUMPRODUCT(('Master Leads'!$D:$D=$A22) * (ISNUMBER(SEARCH("6", 'Master Leads'!$G:$G))) * ('Master Leads'!$E:$E&gt;=IF(ISBLANK($B$5),0,$B$5)) * ('Master Leads'!$E:$E&lt;=IF(ISBLANK($D$5),99999,$D$5))))</f>
        <v/>
      </c>
      <c r="C22" s="53" t="str">
        <f>IF($A22="","",SUMPRODUCT(('Master Leads'!$D:$D=$A22) * (ISNUMBER(SEARCH("7", 'Master Leads'!$G:$G))) * ('Master Leads'!$E:$E&gt;=IF(ISBLANK($B$5),0,$B$5)) * ('Master Leads'!$E:$E&lt;=IF(ISBLANK($D$5),99999,$D$5))))</f>
        <v/>
      </c>
      <c r="D22" s="53" t="str">
        <f>IF($A22="","",SUMPRODUCT(('Master Leads'!$D:$D=$A22) * (ISNUMBER(SEARCH("8", 'Master Leads'!$G:$G))) * ('Master Leads'!$E:$E&gt;=IF(ISBLANK($B$5),0,$B$5)) * ('Master Leads'!$E:$E&lt;=IF(ISBLANK($D$5),99999,$D$5))))</f>
        <v/>
      </c>
      <c r="E22" s="53" t="str">
        <f>IF($A22="","",SUMPRODUCT(('Master Leads'!$D:$D=$A22) * (ISNUMBER(SEARCH("9", 'Master Leads'!$G:$G))) * ('Master Leads'!$E:$E&gt;=IF(ISBLANK($B$5),0,$B$5)) * ('Master Leads'!$E:$E&lt;=IF(ISBLANK($D$5),99999,$D$5))))</f>
        <v/>
      </c>
      <c r="F22" s="53" t="str">
        <f>IF($A22="","",SUMPRODUCT(('Master Leads'!$D:$D=$A22) * (ISNUMBER(SEARCH("10", 'Master Leads'!$G:$G))) * ('Master Leads'!$E:$E&gt;=IF(ISBLANK($B$5),0,$B$5)) * ('Master Leads'!$E:$E&lt;=IF(ISBLANK($D$5),99999,$D$5))))</f>
        <v/>
      </c>
      <c r="G22" s="53" t="str">
        <f>IF($A22="","",SUMPRODUCT(('Master Leads'!$D:$D=$A22) * (ISNUMBER(SEARCH("11", 'Master Leads'!$G:$G))) * ('Master Leads'!$E:$E&gt;=IF(ISBLANK($B$5),0,$B$5)) * ('Master Leads'!$E:$E&lt;=IF(ISBLANK($D$5),99999,$D$5))))</f>
        <v/>
      </c>
      <c r="H22" s="58" t="str">
        <f>IF($A22="","",COUNTIFS('Master Leads'!$D:$D,$A22,'Master Leads'!$E:$E,"&gt;="&amp;IF(ISBLANK($B$5),0,$B$5),'Master Leads'!$E:$E,"&lt;="&amp;IF(ISBLANK($D$5),99999,$D$5)))</f>
        <v/>
      </c>
      <c r="I22" s="60" t="str">
        <f t="shared" si="1"/>
        <v/>
      </c>
      <c r="J22" s="8"/>
    </row>
    <row r="23">
      <c r="A23" s="34" t="str">
        <f t="array" ref="A23">IF(INDEX(Members!$A:$A,16)="","",INDEX(Members!$A:$A,16))</f>
        <v/>
      </c>
      <c r="B23" s="41" t="str">
        <f>IF($A23="","",SUMPRODUCT(('Master Leads'!$D:$D=$A23) * (ISNUMBER(SEARCH("6", 'Master Leads'!$G:$G))) * ('Master Leads'!$E:$E&gt;=IF(ISBLANK($B$5),0,$B$5)) * ('Master Leads'!$E:$E&lt;=IF(ISBLANK($D$5),99999,$D$5))))</f>
        <v/>
      </c>
      <c r="C23" s="41" t="str">
        <f>IF($A23="","",SUMPRODUCT(('Master Leads'!$D:$D=$A23) * (ISNUMBER(SEARCH("7", 'Master Leads'!$G:$G))) * ('Master Leads'!$E:$E&gt;=IF(ISBLANK($B$5),0,$B$5)) * ('Master Leads'!$E:$E&lt;=IF(ISBLANK($D$5),99999,$D$5))))</f>
        <v/>
      </c>
      <c r="D23" s="41" t="str">
        <f>IF($A23="","",SUMPRODUCT(('Master Leads'!$D:$D=$A23) * (ISNUMBER(SEARCH("8", 'Master Leads'!$G:$G))) * ('Master Leads'!$E:$E&gt;=IF(ISBLANK($B$5),0,$B$5)) * ('Master Leads'!$E:$E&lt;=IF(ISBLANK($D$5),99999,$D$5))))</f>
        <v/>
      </c>
      <c r="E23" s="41" t="str">
        <f>IF($A23="","",SUMPRODUCT(('Master Leads'!$D:$D=$A23) * (ISNUMBER(SEARCH("9", 'Master Leads'!$G:$G))) * ('Master Leads'!$E:$E&gt;=IF(ISBLANK($B$5),0,$B$5)) * ('Master Leads'!$E:$E&lt;=IF(ISBLANK($D$5),99999,$D$5))))</f>
        <v/>
      </c>
      <c r="F23" s="41" t="str">
        <f>IF($A23="","",SUMPRODUCT(('Master Leads'!$D:$D=$A23) * (ISNUMBER(SEARCH("10", 'Master Leads'!$G:$G))) * ('Master Leads'!$E:$E&gt;=IF(ISBLANK($B$5),0,$B$5)) * ('Master Leads'!$E:$E&lt;=IF(ISBLANK($D$5),99999,$D$5))))</f>
        <v/>
      </c>
      <c r="G23" s="41" t="str">
        <f>IF($A23="","",SUMPRODUCT(('Master Leads'!$D:$D=$A23) * (ISNUMBER(SEARCH("11", 'Master Leads'!$G:$G))) * ('Master Leads'!$E:$E&gt;=IF(ISBLANK($B$5),0,$B$5)) * ('Master Leads'!$E:$E&lt;=IF(ISBLANK($D$5),99999,$D$5))))</f>
        <v/>
      </c>
      <c r="H23" s="50" t="str">
        <f>IF($A23="","",COUNTIFS('Master Leads'!$D:$D,$A23,'Master Leads'!$E:$E,"&gt;="&amp;IF(ISBLANK($B$5),0,$B$5),'Master Leads'!$E:$E,"&lt;="&amp;IF(ISBLANK($D$5),99999,$D$5)))</f>
        <v/>
      </c>
      <c r="I23" s="51" t="str">
        <f t="shared" si="1"/>
        <v/>
      </c>
      <c r="J23" s="8"/>
    </row>
    <row r="24">
      <c r="A24" s="52" t="str">
        <f t="array" ref="A24">IF(INDEX(Members!$A:$A,17)="","",INDEX(Members!$A:$A,17))</f>
        <v/>
      </c>
      <c r="B24" s="53" t="str">
        <f>IF($A24="","",SUMPRODUCT(('Master Leads'!$D:$D=$A24) * (ISNUMBER(SEARCH("6", 'Master Leads'!$G:$G))) * ('Master Leads'!$E:$E&gt;=IF(ISBLANK($B$5),0,$B$5)) * ('Master Leads'!$E:$E&lt;=IF(ISBLANK($D$5),99999,$D$5))))</f>
        <v/>
      </c>
      <c r="C24" s="53" t="str">
        <f>IF($A24="","",SUMPRODUCT(('Master Leads'!$D:$D=$A24) * (ISNUMBER(SEARCH("7", 'Master Leads'!$G:$G))) * ('Master Leads'!$E:$E&gt;=IF(ISBLANK($B$5),0,$B$5)) * ('Master Leads'!$E:$E&lt;=IF(ISBLANK($D$5),99999,$D$5))))</f>
        <v/>
      </c>
      <c r="D24" s="53" t="str">
        <f>IF($A24="","",SUMPRODUCT(('Master Leads'!$D:$D=$A24) * (ISNUMBER(SEARCH("8", 'Master Leads'!$G:$G))) * ('Master Leads'!$E:$E&gt;=IF(ISBLANK($B$5),0,$B$5)) * ('Master Leads'!$E:$E&lt;=IF(ISBLANK($D$5),99999,$D$5))))</f>
        <v/>
      </c>
      <c r="E24" s="53" t="str">
        <f>IF($A24="","",SUMPRODUCT(('Master Leads'!$D:$D=$A24) * (ISNUMBER(SEARCH("9", 'Master Leads'!$G:$G))) * ('Master Leads'!$E:$E&gt;=IF(ISBLANK($B$5),0,$B$5)) * ('Master Leads'!$E:$E&lt;=IF(ISBLANK($D$5),99999,$D$5))))</f>
        <v/>
      </c>
      <c r="F24" s="53" t="str">
        <f>IF($A24="","",SUMPRODUCT(('Master Leads'!$D:$D=$A24) * (ISNUMBER(SEARCH("10", 'Master Leads'!$G:$G))) * ('Master Leads'!$E:$E&gt;=IF(ISBLANK($B$5),0,$B$5)) * ('Master Leads'!$E:$E&lt;=IF(ISBLANK($D$5),99999,$D$5))))</f>
        <v/>
      </c>
      <c r="G24" s="53" t="str">
        <f>IF($A24="","",SUMPRODUCT(('Master Leads'!$D:$D=$A24) * (ISNUMBER(SEARCH("11", 'Master Leads'!$G:$G))) * ('Master Leads'!$E:$E&gt;=IF(ISBLANK($B$5),0,$B$5)) * ('Master Leads'!$E:$E&lt;=IF(ISBLANK($D$5),99999,$D$5))))</f>
        <v/>
      </c>
      <c r="H24" s="58" t="str">
        <f>IF($A24="","",COUNTIFS('Master Leads'!$D:$D,$A24,'Master Leads'!$E:$E,"&gt;="&amp;IF(ISBLANK($B$5),0,$B$5),'Master Leads'!$E:$E,"&lt;="&amp;IF(ISBLANK($D$5),99999,$D$5)))</f>
        <v/>
      </c>
      <c r="I24" s="60" t="str">
        <f t="shared" si="1"/>
        <v/>
      </c>
      <c r="J24" s="8"/>
    </row>
    <row r="25">
      <c r="A25" s="34" t="str">
        <f t="array" ref="A25">IF(INDEX(Members!$A:$A,18)="","",INDEX(Members!$A:$A,18))</f>
        <v/>
      </c>
      <c r="B25" s="41" t="str">
        <f>IF($A25="","",SUMPRODUCT(('Master Leads'!$D:$D=$A25) * (ISNUMBER(SEARCH("6", 'Master Leads'!$G:$G))) * ('Master Leads'!$E:$E&gt;=IF(ISBLANK($B$5),0,$B$5)) * ('Master Leads'!$E:$E&lt;=IF(ISBLANK($D$5),99999,$D$5))))</f>
        <v/>
      </c>
      <c r="C25" s="41" t="str">
        <f>IF($A25="","",SUMPRODUCT(('Master Leads'!$D:$D=$A25) * (ISNUMBER(SEARCH("7", 'Master Leads'!$G:$G))) * ('Master Leads'!$E:$E&gt;=IF(ISBLANK($B$5),0,$B$5)) * ('Master Leads'!$E:$E&lt;=IF(ISBLANK($D$5),99999,$D$5))))</f>
        <v/>
      </c>
      <c r="D25" s="41" t="str">
        <f>IF($A25="","",SUMPRODUCT(('Master Leads'!$D:$D=$A25) * (ISNUMBER(SEARCH("8", 'Master Leads'!$G:$G))) * ('Master Leads'!$E:$E&gt;=IF(ISBLANK($B$5),0,$B$5)) * ('Master Leads'!$E:$E&lt;=IF(ISBLANK($D$5),99999,$D$5))))</f>
        <v/>
      </c>
      <c r="E25" s="41" t="str">
        <f>IF($A25="","",SUMPRODUCT(('Master Leads'!$D:$D=$A25) * (ISNUMBER(SEARCH("9", 'Master Leads'!$G:$G))) * ('Master Leads'!$E:$E&gt;=IF(ISBLANK($B$5),0,$B$5)) * ('Master Leads'!$E:$E&lt;=IF(ISBLANK($D$5),99999,$D$5))))</f>
        <v/>
      </c>
      <c r="F25" s="41" t="str">
        <f>IF($A25="","",SUMPRODUCT(('Master Leads'!$D:$D=$A25) * (ISNUMBER(SEARCH("10", 'Master Leads'!$G:$G))) * ('Master Leads'!$E:$E&gt;=IF(ISBLANK($B$5),0,$B$5)) * ('Master Leads'!$E:$E&lt;=IF(ISBLANK($D$5),99999,$D$5))))</f>
        <v/>
      </c>
      <c r="G25" s="41" t="str">
        <f>IF($A25="","",SUMPRODUCT(('Master Leads'!$D:$D=$A25) * (ISNUMBER(SEARCH("11", 'Master Leads'!$G:$G))) * ('Master Leads'!$E:$E&gt;=IF(ISBLANK($B$5),0,$B$5)) * ('Master Leads'!$E:$E&lt;=IF(ISBLANK($D$5),99999,$D$5))))</f>
        <v/>
      </c>
      <c r="H25" s="50" t="str">
        <f>IF($A25="","",COUNTIFS('Master Leads'!$D:$D,$A25,'Master Leads'!$E:$E,"&gt;="&amp;IF(ISBLANK($B$5),0,$B$5),'Master Leads'!$E:$E,"&lt;="&amp;IF(ISBLANK($D$5),99999,$D$5)))</f>
        <v/>
      </c>
      <c r="I25" s="51" t="str">
        <f t="shared" si="1"/>
        <v/>
      </c>
      <c r="J25" s="8"/>
    </row>
    <row r="26">
      <c r="A26" s="52" t="str">
        <f t="array" ref="A26">IF(INDEX(Members!$A:$A,19)="","",INDEX(Members!$A:$A,19))</f>
        <v/>
      </c>
      <c r="B26" s="53" t="str">
        <f>IF($A26="","",SUMPRODUCT(('Master Leads'!$D:$D=$A26) * (ISNUMBER(SEARCH("6", 'Master Leads'!$G:$G))) * ('Master Leads'!$E:$E&gt;=IF(ISBLANK($B$5),0,$B$5)) * ('Master Leads'!$E:$E&lt;=IF(ISBLANK($D$5),99999,$D$5))))</f>
        <v/>
      </c>
      <c r="C26" s="53" t="str">
        <f>IF($A26="","",SUMPRODUCT(('Master Leads'!$D:$D=$A26) * (ISNUMBER(SEARCH("7", 'Master Leads'!$G:$G))) * ('Master Leads'!$E:$E&gt;=IF(ISBLANK($B$5),0,$B$5)) * ('Master Leads'!$E:$E&lt;=IF(ISBLANK($D$5),99999,$D$5))))</f>
        <v/>
      </c>
      <c r="D26" s="53" t="str">
        <f>IF($A26="","",SUMPRODUCT(('Master Leads'!$D:$D=$A26) * (ISNUMBER(SEARCH("8", 'Master Leads'!$G:$G))) * ('Master Leads'!$E:$E&gt;=IF(ISBLANK($B$5),0,$B$5)) * ('Master Leads'!$E:$E&lt;=IF(ISBLANK($D$5),99999,$D$5))))</f>
        <v/>
      </c>
      <c r="E26" s="53" t="str">
        <f>IF($A26="","",SUMPRODUCT(('Master Leads'!$D:$D=$A26) * (ISNUMBER(SEARCH("9", 'Master Leads'!$G:$G))) * ('Master Leads'!$E:$E&gt;=IF(ISBLANK($B$5),0,$B$5)) * ('Master Leads'!$E:$E&lt;=IF(ISBLANK($D$5),99999,$D$5))))</f>
        <v/>
      </c>
      <c r="F26" s="53" t="str">
        <f>IF($A26="","",SUMPRODUCT(('Master Leads'!$D:$D=$A26) * (ISNUMBER(SEARCH("10", 'Master Leads'!$G:$G))) * ('Master Leads'!$E:$E&gt;=IF(ISBLANK($B$5),0,$B$5)) * ('Master Leads'!$E:$E&lt;=IF(ISBLANK($D$5),99999,$D$5))))</f>
        <v/>
      </c>
      <c r="G26" s="53" t="str">
        <f>IF($A26="","",SUMPRODUCT(('Master Leads'!$D:$D=$A26) * (ISNUMBER(SEARCH("11", 'Master Leads'!$G:$G))) * ('Master Leads'!$E:$E&gt;=IF(ISBLANK($B$5),0,$B$5)) * ('Master Leads'!$E:$E&lt;=IF(ISBLANK($D$5),99999,$D$5))))</f>
        <v/>
      </c>
      <c r="H26" s="58" t="str">
        <f>IF($A26="","",COUNTIFS('Master Leads'!$D:$D,$A26,'Master Leads'!$E:$E,"&gt;="&amp;IF(ISBLANK($B$5),0,$B$5),'Master Leads'!$E:$E,"&lt;="&amp;IF(ISBLANK($D$5),99999,$D$5)))</f>
        <v/>
      </c>
      <c r="I26" s="60" t="str">
        <f t="shared" si="1"/>
        <v/>
      </c>
      <c r="J26" s="8"/>
    </row>
    <row r="27">
      <c r="A27" s="34" t="str">
        <f t="array" ref="A27">IF(INDEX(Members!$A:$A,20)="","",INDEX(Members!$A:$A,20))</f>
        <v/>
      </c>
      <c r="B27" s="41" t="str">
        <f>IF($A27="","",SUMPRODUCT(('Master Leads'!$D:$D=$A27) * (ISNUMBER(SEARCH("6", 'Master Leads'!$G:$G))) * ('Master Leads'!$E:$E&gt;=IF(ISBLANK($B$5),0,$B$5)) * ('Master Leads'!$E:$E&lt;=IF(ISBLANK($D$5),99999,$D$5))))</f>
        <v/>
      </c>
      <c r="C27" s="41" t="str">
        <f>IF($A27="","",SUMPRODUCT(('Master Leads'!$D:$D=$A27) * (ISNUMBER(SEARCH("7", 'Master Leads'!$G:$G))) * ('Master Leads'!$E:$E&gt;=IF(ISBLANK($B$5),0,$B$5)) * ('Master Leads'!$E:$E&lt;=IF(ISBLANK($D$5),99999,$D$5))))</f>
        <v/>
      </c>
      <c r="D27" s="41" t="str">
        <f>IF($A27="","",SUMPRODUCT(('Master Leads'!$D:$D=$A27) * (ISNUMBER(SEARCH("8", 'Master Leads'!$G:$G))) * ('Master Leads'!$E:$E&gt;=IF(ISBLANK($B$5),0,$B$5)) * ('Master Leads'!$E:$E&lt;=IF(ISBLANK($D$5),99999,$D$5))))</f>
        <v/>
      </c>
      <c r="E27" s="41" t="str">
        <f>IF($A27="","",SUMPRODUCT(('Master Leads'!$D:$D=$A27) * (ISNUMBER(SEARCH("9", 'Master Leads'!$G:$G))) * ('Master Leads'!$E:$E&gt;=IF(ISBLANK($B$5),0,$B$5)) * ('Master Leads'!$E:$E&lt;=IF(ISBLANK($D$5),99999,$D$5))))</f>
        <v/>
      </c>
      <c r="F27" s="41" t="str">
        <f>IF($A27="","",SUMPRODUCT(('Master Leads'!$D:$D=$A27) * (ISNUMBER(SEARCH("10", 'Master Leads'!$G:$G))) * ('Master Leads'!$E:$E&gt;=IF(ISBLANK($B$5),0,$B$5)) * ('Master Leads'!$E:$E&lt;=IF(ISBLANK($D$5),99999,$D$5))))</f>
        <v/>
      </c>
      <c r="G27" s="41" t="str">
        <f>IF($A27="","",SUMPRODUCT(('Master Leads'!$D:$D=$A27) * (ISNUMBER(SEARCH("11", 'Master Leads'!$G:$G))) * ('Master Leads'!$E:$E&gt;=IF(ISBLANK($B$5),0,$B$5)) * ('Master Leads'!$E:$E&lt;=IF(ISBLANK($D$5),99999,$D$5))))</f>
        <v/>
      </c>
      <c r="H27" s="50" t="str">
        <f>IF($A27="","",COUNTIFS('Master Leads'!$D:$D,$A27,'Master Leads'!$E:$E,"&gt;="&amp;IF(ISBLANK($B$5),0,$B$5),'Master Leads'!$E:$E,"&lt;="&amp;IF(ISBLANK($D$5),99999,$D$5)))</f>
        <v/>
      </c>
      <c r="I27" s="51" t="str">
        <f t="shared" si="1"/>
        <v/>
      </c>
      <c r="J27" s="8"/>
    </row>
    <row r="28">
      <c r="A28" s="52" t="str">
        <f t="array" ref="A28">IF(INDEX(Members!$A:$A,21)="","",INDEX(Members!$A:$A,21))</f>
        <v/>
      </c>
      <c r="B28" s="53" t="str">
        <f>IF($A28="","",SUMPRODUCT(('Master Leads'!$D:$D=$A28) * (ISNUMBER(SEARCH("6", 'Master Leads'!$G:$G))) * ('Master Leads'!$E:$E&gt;=IF(ISBLANK($B$5),0,$B$5)) * ('Master Leads'!$E:$E&lt;=IF(ISBLANK($D$5),99999,$D$5))))</f>
        <v/>
      </c>
      <c r="C28" s="53" t="str">
        <f>IF($A28="","",SUMPRODUCT(('Master Leads'!$D:$D=$A28) * (ISNUMBER(SEARCH("7", 'Master Leads'!$G:$G))) * ('Master Leads'!$E:$E&gt;=IF(ISBLANK($B$5),0,$B$5)) * ('Master Leads'!$E:$E&lt;=IF(ISBLANK($D$5),99999,$D$5))))</f>
        <v/>
      </c>
      <c r="D28" s="53" t="str">
        <f>IF($A28="","",SUMPRODUCT(('Master Leads'!$D:$D=$A28) * (ISNUMBER(SEARCH("8", 'Master Leads'!$G:$G))) * ('Master Leads'!$E:$E&gt;=IF(ISBLANK($B$5),0,$B$5)) * ('Master Leads'!$E:$E&lt;=IF(ISBLANK($D$5),99999,$D$5))))</f>
        <v/>
      </c>
      <c r="E28" s="53" t="str">
        <f>IF($A28="","",SUMPRODUCT(('Master Leads'!$D:$D=$A28) * (ISNUMBER(SEARCH("9", 'Master Leads'!$G:$G))) * ('Master Leads'!$E:$E&gt;=IF(ISBLANK($B$5),0,$B$5)) * ('Master Leads'!$E:$E&lt;=IF(ISBLANK($D$5),99999,$D$5))))</f>
        <v/>
      </c>
      <c r="F28" s="53" t="str">
        <f>IF($A28="","",SUMPRODUCT(('Master Leads'!$D:$D=$A28) * (ISNUMBER(SEARCH("10", 'Master Leads'!$G:$G))) * ('Master Leads'!$E:$E&gt;=IF(ISBLANK($B$5),0,$B$5)) * ('Master Leads'!$E:$E&lt;=IF(ISBLANK($D$5),99999,$D$5))))</f>
        <v/>
      </c>
      <c r="G28" s="53" t="str">
        <f>IF($A28="","",SUMPRODUCT(('Master Leads'!$D:$D=$A28) * (ISNUMBER(SEARCH("11", 'Master Leads'!$G:$G))) * ('Master Leads'!$E:$E&gt;=IF(ISBLANK($B$5),0,$B$5)) * ('Master Leads'!$E:$E&lt;=IF(ISBLANK($D$5),99999,$D$5))))</f>
        <v/>
      </c>
      <c r="H28" s="58" t="str">
        <f>IF($A28="","",COUNTIFS('Master Leads'!$D:$D,$A28,'Master Leads'!$E:$E,"&gt;="&amp;IF(ISBLANK($B$5),0,$B$5),'Master Leads'!$E:$E,"&lt;="&amp;IF(ISBLANK($D$5),99999,$D$5)))</f>
        <v/>
      </c>
      <c r="I28" s="60" t="str">
        <f t="shared" si="1"/>
        <v/>
      </c>
      <c r="J28" s="8"/>
    </row>
    <row r="29" ht="16.5" customHeight="1">
      <c r="A29" s="72" t="s">
        <v>123</v>
      </c>
      <c r="B29" s="73">
        <f>SUMPRODUCT((ISNUMBER(SEARCH("6", 'Master Leads'!$G:$G))) * ('Master Leads'!$E:$E&gt;=IF(ISBLANK($B$5),0,$B$5)) * ('Master Leads'!$E:$E&lt;=IF(ISBLANK($D$5),99999,$D$5)))</f>
        <v>75</v>
      </c>
      <c r="C29" s="73">
        <f>SUMPRODUCT((ISNUMBER(SEARCH("7", 'Master Leads'!$G:$G))) * ('Master Leads'!$E:$E&gt;=IF(ISBLANK($B$5),0,$B$5)) * ('Master Leads'!$E:$E&lt;=IF(ISBLANK($D$5),99999,$D$5)))</f>
        <v>41</v>
      </c>
      <c r="D29" s="73">
        <f>SUMPRODUCT((ISNUMBER(SEARCH("8", 'Master Leads'!$G:$G))) * ('Master Leads'!$E:$E&gt;=IF(ISBLANK($B$5),0,$B$5)) * ('Master Leads'!$E:$E&lt;=IF(ISBLANK($D$5),99999,$D$5)))</f>
        <v>47</v>
      </c>
      <c r="E29" s="73">
        <f>SUMPRODUCT((ISNUMBER(SEARCH("9", 'Master Leads'!$G:$G))) * ('Master Leads'!$E:$E&gt;=IF(ISBLANK($B$5),0,$B$5)) * ('Master Leads'!$E:$E&lt;=IF(ISBLANK($D$5),99999,$D$5)))</f>
        <v>82</v>
      </c>
      <c r="F29" s="73">
        <f>SUMPRODUCT((ISNUMBER(SEARCH("10", 'Master Leads'!$G:$G))) * ('Master Leads'!$E:$E&gt;=IF(ISBLANK($B$5),0,$B$5)) * ('Master Leads'!$E:$E&lt;=IF(ISBLANK($D$5),99999,$D$5)))</f>
        <v>299</v>
      </c>
      <c r="G29" s="73">
        <f>SUMPRODUCT((ISNUMBER(SEARCH("11", 'Master Leads'!$G:$G))) * ('Master Leads'!$E:$E&gt;=IF(ISBLANK($B$5),0,$B$5)) * ('Master Leads'!$E:$E&lt;=IF(ISBLANK($D$5),99999,$D$5)))</f>
        <v>1781</v>
      </c>
      <c r="H29" s="73">
        <f>COUNTIFS('Master Leads'!$D:$D,"&lt;&gt;",'Master Leads'!$E:$E,"&gt;="&amp;IF(ISBLANK($B$5),0,$B$5),'Master Leads'!$E:$E,"&lt;="&amp;IF(ISBLANK($D$5),99999,$D$5))</f>
        <v>3300</v>
      </c>
      <c r="I29" s="74">
        <v>1.0</v>
      </c>
      <c r="J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>
      <c r="A32" s="75" t="s">
        <v>313</v>
      </c>
      <c r="B32" s="8"/>
      <c r="C32" s="8"/>
      <c r="D32" s="8"/>
      <c r="E32" s="8"/>
      <c r="F32" s="8"/>
      <c r="G32" s="8"/>
      <c r="H32" s="8"/>
      <c r="I32" s="8"/>
      <c r="J32" s="8"/>
    </row>
    <row r="33" ht="18.0" customHeight="1">
      <c r="A33" s="76" t="s">
        <v>3</v>
      </c>
      <c r="B33" s="77" t="s">
        <v>54</v>
      </c>
      <c r="C33" s="77" t="s">
        <v>57</v>
      </c>
      <c r="D33" s="77" t="s">
        <v>59</v>
      </c>
      <c r="E33" s="77" t="s">
        <v>61</v>
      </c>
      <c r="F33" s="77" t="s">
        <v>63</v>
      </c>
      <c r="G33" s="77" t="s">
        <v>65</v>
      </c>
      <c r="H33" s="76" t="s">
        <v>317</v>
      </c>
      <c r="I33" s="76" t="s">
        <v>318</v>
      </c>
      <c r="J33" s="76" t="s">
        <v>319</v>
      </c>
    </row>
    <row r="34">
      <c r="A34" s="34" t="str">
        <f t="array" ref="A34">IF(INDEX(Members!$A:$A,2)="","",INDEX(Members!$A:$A,2))</f>
        <v>maheesha</v>
      </c>
      <c r="B34" s="41">
        <f>IF($A34="","",SUMPRODUCT(('Master Leads'!$D:$D=$A34) * (ISNUMBER(SEARCH("6", 'Master Leads'!$P:$P))) * ('Master Leads'!$O:$O="Yes") * ('Master Leads'!$E:$E&gt;=IF(ISBLANK($B$5),0,$B$5)) * ('Master Leads'!$E:$E&lt;=IF(ISBLANK($D$5),99999,$D$5))))</f>
        <v>0</v>
      </c>
      <c r="C34" s="41">
        <f>IF($A34="","",SUMPRODUCT(('Master Leads'!$D:$D=$A34) * (ISNUMBER(SEARCH("7", 'Master Leads'!$P:$P))) * ('Master Leads'!$O:$O="Yes") * ('Master Leads'!$E:$E&gt;=IF(ISBLANK($B$5),0,$B$5)) * ('Master Leads'!$E:$E&lt;=IF(ISBLANK($D$5),99999,$D$5))))</f>
        <v>0</v>
      </c>
      <c r="D34" s="41">
        <f>IF($A34="","",SUMPRODUCT(('Master Leads'!$D:$D=$A34) * (ISNUMBER(SEARCH("8", 'Master Leads'!$P:$P))) * ('Master Leads'!$O:$O="Yes") * ('Master Leads'!$E:$E&gt;=IF(ISBLANK($B$5),0,$B$5)) * ('Master Leads'!$E:$E&lt;=IF(ISBLANK($D$5),99999,$D$5))))</f>
        <v>0</v>
      </c>
      <c r="E34" s="41">
        <f>IF($A34="","",SUMPRODUCT(('Master Leads'!$D:$D=$A34) * (ISNUMBER(SEARCH("9", 'Master Leads'!$P:$P))) * ('Master Leads'!$O:$O="Yes") * ('Master Leads'!$E:$E&gt;=IF(ISBLANK($B$5),0,$B$5)) * ('Master Leads'!$E:$E&lt;=IF(ISBLANK($D$5),99999,$D$5))))</f>
        <v>0</v>
      </c>
      <c r="F34" s="41">
        <f>IF($A34="","",SUMPRODUCT(('Master Leads'!$D:$D=$A34) * (ISNUMBER(SEARCH("10", 'Master Leads'!$P:$P))) * ('Master Leads'!$O:$O="Yes") * ('Master Leads'!$E:$E&gt;=IF(ISBLANK($B$5),0,$B$5)) * ('Master Leads'!$E:$E&lt;=IF(ISBLANK($D$5),99999,$D$5))))</f>
        <v>0</v>
      </c>
      <c r="G34" s="41">
        <f>IF($A34="","",SUMPRODUCT(('Master Leads'!$D:$D=$A34) * (ISNUMBER(SEARCH("11", 'Master Leads'!$P:$P))) * ('Master Leads'!$O:$O="Yes") * ('Master Leads'!$E:$E&gt;=IF(ISBLANK($B$5),0,$B$5)) * ('Master Leads'!$E:$E&lt;=IF(ISBLANK($D$5),99999,$D$5))))</f>
        <v>0</v>
      </c>
      <c r="H34" s="78">
        <f t="shared" ref="H34:H53" si="2">IF($A34="","",SUM(B34:G34))</f>
        <v>0</v>
      </c>
      <c r="I34" s="51" t="str">
        <f t="shared" ref="I34:I53" si="3">IF(OR($A34="",$H$54=0),"",H34/$H$54)</f>
        <v/>
      </c>
      <c r="J34" s="79">
        <f t="shared" ref="J34:J53" si="4">IF(OR($A34="",H9=0),"",H34/H9)</f>
        <v>0</v>
      </c>
    </row>
    <row r="35">
      <c r="A35" s="52" t="str">
        <f t="array" ref="A35">IF(INDEX(Members!$A:$A,3)="","",INDEX(Members!$A:$A,3))</f>
        <v>menik</v>
      </c>
      <c r="B35" s="53">
        <f>IF($A35="","",SUMPRODUCT(('Master Leads'!$D:$D=$A35) * (ISNUMBER(SEARCH("6", 'Master Leads'!$P:$P))) * ('Master Leads'!$O:$O="Yes") * ('Master Leads'!$E:$E&gt;=IF(ISBLANK($B$5),0,$B$5)) * ('Master Leads'!$E:$E&lt;=IF(ISBLANK($D$5),99999,$D$5))))</f>
        <v>0</v>
      </c>
      <c r="C35" s="53">
        <f>IF($A35="","",SUMPRODUCT(('Master Leads'!$D:$D=$A35) * (ISNUMBER(SEARCH("7", 'Master Leads'!$P:$P))) * ('Master Leads'!$O:$O="Yes") * ('Master Leads'!$E:$E&gt;=IF(ISBLANK($B$5),0,$B$5)) * ('Master Leads'!$E:$E&lt;=IF(ISBLANK($D$5),99999,$D$5))))</f>
        <v>0</v>
      </c>
      <c r="D35" s="53">
        <f>IF($A35="","",SUMPRODUCT(('Master Leads'!$D:$D=$A35) * (ISNUMBER(SEARCH("8", 'Master Leads'!$P:$P))) * ('Master Leads'!$O:$O="Yes") * ('Master Leads'!$E:$E&gt;=IF(ISBLANK($B$5),0,$B$5)) * ('Master Leads'!$E:$E&lt;=IF(ISBLANK($D$5),99999,$D$5))))</f>
        <v>0</v>
      </c>
      <c r="E35" s="53">
        <f>IF($A35="","",SUMPRODUCT(('Master Leads'!$D:$D=$A35) * (ISNUMBER(SEARCH("9", 'Master Leads'!$P:$P))) * ('Master Leads'!$O:$O="Yes") * ('Master Leads'!$E:$E&gt;=IF(ISBLANK($B$5),0,$B$5)) * ('Master Leads'!$E:$E&lt;=IF(ISBLANK($D$5),99999,$D$5))))</f>
        <v>0</v>
      </c>
      <c r="F35" s="53">
        <f>IF($A35="","",SUMPRODUCT(('Master Leads'!$D:$D=$A35) * (ISNUMBER(SEARCH("10", 'Master Leads'!$P:$P))) * ('Master Leads'!$O:$O="Yes") * ('Master Leads'!$E:$E&gt;=IF(ISBLANK($B$5),0,$B$5)) * ('Master Leads'!$E:$E&lt;=IF(ISBLANK($D$5),99999,$D$5))))</f>
        <v>0</v>
      </c>
      <c r="G35" s="53">
        <f>IF($A35="","",SUMPRODUCT(('Master Leads'!$D:$D=$A35) * (ISNUMBER(SEARCH("11", 'Master Leads'!$P:$P))) * ('Master Leads'!$O:$O="Yes") * ('Master Leads'!$E:$E&gt;=IF(ISBLANK($B$5),0,$B$5)) * ('Master Leads'!$E:$E&lt;=IF(ISBLANK($D$5),99999,$D$5))))</f>
        <v>0</v>
      </c>
      <c r="H35" s="80">
        <f t="shared" si="2"/>
        <v>0</v>
      </c>
      <c r="I35" s="60" t="str">
        <f t="shared" si="3"/>
        <v/>
      </c>
      <c r="J35" s="81" t="str">
        <f t="shared" si="4"/>
        <v/>
      </c>
    </row>
    <row r="36">
      <c r="A36" s="34" t="str">
        <f t="array" ref="A36">IF(INDEX(Members!$A:$A,4)="","",INDEX(Members!$A:$A,4))</f>
        <v>kavinda</v>
      </c>
      <c r="B36" s="41">
        <f>IF($A36="","",SUMPRODUCT(('Master Leads'!$D:$D=$A36) * (ISNUMBER(SEARCH("6", 'Master Leads'!$P:$P))) * ('Master Leads'!$O:$O="Yes") * ('Master Leads'!$E:$E&gt;=IF(ISBLANK($B$5),0,$B$5)) * ('Master Leads'!$E:$E&lt;=IF(ISBLANK($D$5),99999,$D$5))))</f>
        <v>0</v>
      </c>
      <c r="C36" s="41">
        <f>IF($A36="","",SUMPRODUCT(('Master Leads'!$D:$D=$A36) * (ISNUMBER(SEARCH("7", 'Master Leads'!$P:$P))) * ('Master Leads'!$O:$O="Yes") * ('Master Leads'!$E:$E&gt;=IF(ISBLANK($B$5),0,$B$5)) * ('Master Leads'!$E:$E&lt;=IF(ISBLANK($D$5),99999,$D$5))))</f>
        <v>0</v>
      </c>
      <c r="D36" s="41">
        <f>IF($A36="","",SUMPRODUCT(('Master Leads'!$D:$D=$A36) * (ISNUMBER(SEARCH("8", 'Master Leads'!$P:$P))) * ('Master Leads'!$O:$O="Yes") * ('Master Leads'!$E:$E&gt;=IF(ISBLANK($B$5),0,$B$5)) * ('Master Leads'!$E:$E&lt;=IF(ISBLANK($D$5),99999,$D$5))))</f>
        <v>0</v>
      </c>
      <c r="E36" s="41">
        <f>IF($A36="","",SUMPRODUCT(('Master Leads'!$D:$D=$A36) * (ISNUMBER(SEARCH("9", 'Master Leads'!$P:$P))) * ('Master Leads'!$O:$O="Yes") * ('Master Leads'!$E:$E&gt;=IF(ISBLANK($B$5),0,$B$5)) * ('Master Leads'!$E:$E&lt;=IF(ISBLANK($D$5),99999,$D$5))))</f>
        <v>0</v>
      </c>
      <c r="F36" s="41">
        <f>IF($A36="","",SUMPRODUCT(('Master Leads'!$D:$D=$A36) * (ISNUMBER(SEARCH("10", 'Master Leads'!$P:$P))) * ('Master Leads'!$O:$O="Yes") * ('Master Leads'!$E:$E&gt;=IF(ISBLANK($B$5),0,$B$5)) * ('Master Leads'!$E:$E&lt;=IF(ISBLANK($D$5),99999,$D$5))))</f>
        <v>0</v>
      </c>
      <c r="G36" s="41">
        <f>IF($A36="","",SUMPRODUCT(('Master Leads'!$D:$D=$A36) * (ISNUMBER(SEARCH("11", 'Master Leads'!$P:$P))) * ('Master Leads'!$O:$O="Yes") * ('Master Leads'!$E:$E&gt;=IF(ISBLANK($B$5),0,$B$5)) * ('Master Leads'!$E:$E&lt;=IF(ISBLANK($D$5),99999,$D$5))))</f>
        <v>0</v>
      </c>
      <c r="H36" s="78">
        <f t="shared" si="2"/>
        <v>0</v>
      </c>
      <c r="I36" s="51" t="str">
        <f t="shared" si="3"/>
        <v/>
      </c>
      <c r="J36" s="79">
        <f t="shared" si="4"/>
        <v>0</v>
      </c>
    </row>
    <row r="37">
      <c r="A37" s="52" t="str">
        <f t="array" ref="A37">IF(INDEX(Members!$A:$A,5)="","",INDEX(Members!$A:$A,5))</f>
        <v>umesh</v>
      </c>
      <c r="B37" s="53">
        <f>IF($A37="","",SUMPRODUCT(('Master Leads'!$D:$D=$A37) * (ISNUMBER(SEARCH("6", 'Master Leads'!$P:$P))) * ('Master Leads'!$O:$O="Yes") * ('Master Leads'!$E:$E&gt;=IF(ISBLANK($B$5),0,$B$5)) * ('Master Leads'!$E:$E&lt;=IF(ISBLANK($D$5),99999,$D$5))))</f>
        <v>0</v>
      </c>
      <c r="C37" s="53">
        <f>IF($A37="","",SUMPRODUCT(('Master Leads'!$D:$D=$A37) * (ISNUMBER(SEARCH("7", 'Master Leads'!$P:$P))) * ('Master Leads'!$O:$O="Yes") * ('Master Leads'!$E:$E&gt;=IF(ISBLANK($B$5),0,$B$5)) * ('Master Leads'!$E:$E&lt;=IF(ISBLANK($D$5),99999,$D$5))))</f>
        <v>0</v>
      </c>
      <c r="D37" s="53">
        <f>IF($A37="","",SUMPRODUCT(('Master Leads'!$D:$D=$A37) * (ISNUMBER(SEARCH("8", 'Master Leads'!$P:$P))) * ('Master Leads'!$O:$O="Yes") * ('Master Leads'!$E:$E&gt;=IF(ISBLANK($B$5),0,$B$5)) * ('Master Leads'!$E:$E&lt;=IF(ISBLANK($D$5),99999,$D$5))))</f>
        <v>0</v>
      </c>
      <c r="E37" s="53">
        <f>IF($A37="","",SUMPRODUCT(('Master Leads'!$D:$D=$A37) * (ISNUMBER(SEARCH("9", 'Master Leads'!$P:$P))) * ('Master Leads'!$O:$O="Yes") * ('Master Leads'!$E:$E&gt;=IF(ISBLANK($B$5),0,$B$5)) * ('Master Leads'!$E:$E&lt;=IF(ISBLANK($D$5),99999,$D$5))))</f>
        <v>0</v>
      </c>
      <c r="F37" s="53">
        <f>IF($A37="","",SUMPRODUCT(('Master Leads'!$D:$D=$A37) * (ISNUMBER(SEARCH("10", 'Master Leads'!$P:$P))) * ('Master Leads'!$O:$O="Yes") * ('Master Leads'!$E:$E&gt;=IF(ISBLANK($B$5),0,$B$5)) * ('Master Leads'!$E:$E&lt;=IF(ISBLANK($D$5),99999,$D$5))))</f>
        <v>0</v>
      </c>
      <c r="G37" s="53">
        <f>IF($A37="","",SUMPRODUCT(('Master Leads'!$D:$D=$A37) * (ISNUMBER(SEARCH("11", 'Master Leads'!$P:$P))) * ('Master Leads'!$O:$O="Yes") * ('Master Leads'!$E:$E&gt;=IF(ISBLANK($B$5),0,$B$5)) * ('Master Leads'!$E:$E&lt;=IF(ISBLANK($D$5),99999,$D$5))))</f>
        <v>0</v>
      </c>
      <c r="H37" s="80">
        <f t="shared" si="2"/>
        <v>0</v>
      </c>
      <c r="I37" s="60" t="str">
        <f t="shared" si="3"/>
        <v/>
      </c>
      <c r="J37" s="81">
        <f t="shared" si="4"/>
        <v>0</v>
      </c>
    </row>
    <row r="38">
      <c r="A38" s="34" t="str">
        <f t="array" ref="A38">IF(INDEX(Members!$A:$A,6)="","",INDEX(Members!$A:$A,6))</f>
        <v>Avishka</v>
      </c>
      <c r="B38" s="41">
        <f>IF($A38="","",SUMPRODUCT(('Master Leads'!$D:$D=$A38) * (ISNUMBER(SEARCH("6", 'Master Leads'!$P:$P))) * ('Master Leads'!$O:$O="Yes") * ('Master Leads'!$E:$E&gt;=IF(ISBLANK($B$5),0,$B$5)) * ('Master Leads'!$E:$E&lt;=IF(ISBLANK($D$5),99999,$D$5))))</f>
        <v>0</v>
      </c>
      <c r="C38" s="41">
        <f>IF($A38="","",SUMPRODUCT(('Master Leads'!$D:$D=$A38) * (ISNUMBER(SEARCH("7", 'Master Leads'!$P:$P))) * ('Master Leads'!$O:$O="Yes") * ('Master Leads'!$E:$E&gt;=IF(ISBLANK($B$5),0,$B$5)) * ('Master Leads'!$E:$E&lt;=IF(ISBLANK($D$5),99999,$D$5))))</f>
        <v>0</v>
      </c>
      <c r="D38" s="41">
        <f>IF($A38="","",SUMPRODUCT(('Master Leads'!$D:$D=$A38) * (ISNUMBER(SEARCH("8", 'Master Leads'!$P:$P))) * ('Master Leads'!$O:$O="Yes") * ('Master Leads'!$E:$E&gt;=IF(ISBLANK($B$5),0,$B$5)) * ('Master Leads'!$E:$E&lt;=IF(ISBLANK($D$5),99999,$D$5))))</f>
        <v>0</v>
      </c>
      <c r="E38" s="41">
        <f>IF($A38="","",SUMPRODUCT(('Master Leads'!$D:$D=$A38) * (ISNUMBER(SEARCH("9", 'Master Leads'!$P:$P))) * ('Master Leads'!$O:$O="Yes") * ('Master Leads'!$E:$E&gt;=IF(ISBLANK($B$5),0,$B$5)) * ('Master Leads'!$E:$E&lt;=IF(ISBLANK($D$5),99999,$D$5))))</f>
        <v>0</v>
      </c>
      <c r="F38" s="41">
        <f>IF($A38="","",SUMPRODUCT(('Master Leads'!$D:$D=$A38) * (ISNUMBER(SEARCH("10", 'Master Leads'!$P:$P))) * ('Master Leads'!$O:$O="Yes") * ('Master Leads'!$E:$E&gt;=IF(ISBLANK($B$5),0,$B$5)) * ('Master Leads'!$E:$E&lt;=IF(ISBLANK($D$5),99999,$D$5))))</f>
        <v>0</v>
      </c>
      <c r="G38" s="41">
        <f>IF($A38="","",SUMPRODUCT(('Master Leads'!$D:$D=$A38) * (ISNUMBER(SEARCH("11", 'Master Leads'!$P:$P))) * ('Master Leads'!$O:$O="Yes") * ('Master Leads'!$E:$E&gt;=IF(ISBLANK($B$5),0,$B$5)) * ('Master Leads'!$E:$E&lt;=IF(ISBLANK($D$5),99999,$D$5))))</f>
        <v>0</v>
      </c>
      <c r="H38" s="78">
        <f t="shared" si="2"/>
        <v>0</v>
      </c>
      <c r="I38" s="51" t="str">
        <f t="shared" si="3"/>
        <v/>
      </c>
      <c r="J38" s="79">
        <f t="shared" si="4"/>
        <v>0</v>
      </c>
    </row>
    <row r="39">
      <c r="A39" s="52" t="str">
        <f t="array" ref="A39">IF(INDEX(Members!$A:$A,7)="","",INDEX(Members!$A:$A,7))</f>
        <v>Wihanga</v>
      </c>
      <c r="B39" s="53">
        <f>IF($A39="","",SUMPRODUCT(('Master Leads'!$D:$D=$A39) * (ISNUMBER(SEARCH("6", 'Master Leads'!$P:$P))) * ('Master Leads'!$O:$O="Yes") * ('Master Leads'!$E:$E&gt;=IF(ISBLANK($B$5),0,$B$5)) * ('Master Leads'!$E:$E&lt;=IF(ISBLANK($D$5),99999,$D$5))))</f>
        <v>0</v>
      </c>
      <c r="C39" s="53">
        <f>IF($A39="","",SUMPRODUCT(('Master Leads'!$D:$D=$A39) * (ISNUMBER(SEARCH("7", 'Master Leads'!$P:$P))) * ('Master Leads'!$O:$O="Yes") * ('Master Leads'!$E:$E&gt;=IF(ISBLANK($B$5),0,$B$5)) * ('Master Leads'!$E:$E&lt;=IF(ISBLANK($D$5),99999,$D$5))))</f>
        <v>0</v>
      </c>
      <c r="D39" s="53">
        <f>IF($A39="","",SUMPRODUCT(('Master Leads'!$D:$D=$A39) * (ISNUMBER(SEARCH("8", 'Master Leads'!$P:$P))) * ('Master Leads'!$O:$O="Yes") * ('Master Leads'!$E:$E&gt;=IF(ISBLANK($B$5),0,$B$5)) * ('Master Leads'!$E:$E&lt;=IF(ISBLANK($D$5),99999,$D$5))))</f>
        <v>0</v>
      </c>
      <c r="E39" s="53">
        <f>IF($A39="","",SUMPRODUCT(('Master Leads'!$D:$D=$A39) * (ISNUMBER(SEARCH("9", 'Master Leads'!$P:$P))) * ('Master Leads'!$O:$O="Yes") * ('Master Leads'!$E:$E&gt;=IF(ISBLANK($B$5),0,$B$5)) * ('Master Leads'!$E:$E&lt;=IF(ISBLANK($D$5),99999,$D$5))))</f>
        <v>0</v>
      </c>
      <c r="F39" s="53">
        <f>IF($A39="","",SUMPRODUCT(('Master Leads'!$D:$D=$A39) * (ISNUMBER(SEARCH("10", 'Master Leads'!$P:$P))) * ('Master Leads'!$O:$O="Yes") * ('Master Leads'!$E:$E&gt;=IF(ISBLANK($B$5),0,$B$5)) * ('Master Leads'!$E:$E&lt;=IF(ISBLANK($D$5),99999,$D$5))))</f>
        <v>0</v>
      </c>
      <c r="G39" s="53">
        <f>IF($A39="","",SUMPRODUCT(('Master Leads'!$D:$D=$A39) * (ISNUMBER(SEARCH("11", 'Master Leads'!$P:$P))) * ('Master Leads'!$O:$O="Yes") * ('Master Leads'!$E:$E&gt;=IF(ISBLANK($B$5),0,$B$5)) * ('Master Leads'!$E:$E&lt;=IF(ISBLANK($D$5),99999,$D$5))))</f>
        <v>0</v>
      </c>
      <c r="H39" s="80">
        <f t="shared" si="2"/>
        <v>0</v>
      </c>
      <c r="I39" s="60" t="str">
        <f t="shared" si="3"/>
        <v/>
      </c>
      <c r="J39" s="81" t="str">
        <f t="shared" si="4"/>
        <v/>
      </c>
    </row>
    <row r="40">
      <c r="A40" s="34" t="str">
        <f t="array" ref="A40">IF(INDEX(Members!$A:$A,8)="","",INDEX(Members!$A:$A,8))</f>
        <v>muthumali</v>
      </c>
      <c r="B40" s="41">
        <f>IF($A40="","",SUMPRODUCT(('Master Leads'!$D:$D=$A40) * (ISNUMBER(SEARCH("6", 'Master Leads'!$P:$P))) * ('Master Leads'!$O:$O="Yes") * ('Master Leads'!$E:$E&gt;=IF(ISBLANK($B$5),0,$B$5)) * ('Master Leads'!$E:$E&lt;=IF(ISBLANK($D$5),99999,$D$5))))</f>
        <v>0</v>
      </c>
      <c r="C40" s="41">
        <f>IF($A40="","",SUMPRODUCT(('Master Leads'!$D:$D=$A40) * (ISNUMBER(SEARCH("7", 'Master Leads'!$P:$P))) * ('Master Leads'!$O:$O="Yes") * ('Master Leads'!$E:$E&gt;=IF(ISBLANK($B$5),0,$B$5)) * ('Master Leads'!$E:$E&lt;=IF(ISBLANK($D$5),99999,$D$5))))</f>
        <v>0</v>
      </c>
      <c r="D40" s="41">
        <f>IF($A40="","",SUMPRODUCT(('Master Leads'!$D:$D=$A40) * (ISNUMBER(SEARCH("8", 'Master Leads'!$P:$P))) * ('Master Leads'!$O:$O="Yes") * ('Master Leads'!$E:$E&gt;=IF(ISBLANK($B$5),0,$B$5)) * ('Master Leads'!$E:$E&lt;=IF(ISBLANK($D$5),99999,$D$5))))</f>
        <v>0</v>
      </c>
      <c r="E40" s="41">
        <f>IF($A40="","",SUMPRODUCT(('Master Leads'!$D:$D=$A40) * (ISNUMBER(SEARCH("9", 'Master Leads'!$P:$P))) * ('Master Leads'!$O:$O="Yes") * ('Master Leads'!$E:$E&gt;=IF(ISBLANK($B$5),0,$B$5)) * ('Master Leads'!$E:$E&lt;=IF(ISBLANK($D$5),99999,$D$5))))</f>
        <v>0</v>
      </c>
      <c r="F40" s="41">
        <f>IF($A40="","",SUMPRODUCT(('Master Leads'!$D:$D=$A40) * (ISNUMBER(SEARCH("10", 'Master Leads'!$P:$P))) * ('Master Leads'!$O:$O="Yes") * ('Master Leads'!$E:$E&gt;=IF(ISBLANK($B$5),0,$B$5)) * ('Master Leads'!$E:$E&lt;=IF(ISBLANK($D$5),99999,$D$5))))</f>
        <v>0</v>
      </c>
      <c r="G40" s="41">
        <f>IF($A40="","",SUMPRODUCT(('Master Leads'!$D:$D=$A40) * (ISNUMBER(SEARCH("11", 'Master Leads'!$P:$P))) * ('Master Leads'!$O:$O="Yes") * ('Master Leads'!$E:$E&gt;=IF(ISBLANK($B$5),0,$B$5)) * ('Master Leads'!$E:$E&lt;=IF(ISBLANK($D$5),99999,$D$5))))</f>
        <v>0</v>
      </c>
      <c r="H40" s="78">
        <f t="shared" si="2"/>
        <v>0</v>
      </c>
      <c r="I40" s="51" t="str">
        <f t="shared" si="3"/>
        <v/>
      </c>
      <c r="J40" s="79">
        <f t="shared" si="4"/>
        <v>0</v>
      </c>
    </row>
    <row r="41">
      <c r="A41" s="52" t="str">
        <f t="array" ref="A41">IF(INDEX(Members!$A:$A,9)="","",INDEX(Members!$A:$A,9))</f>
        <v>shamali</v>
      </c>
      <c r="B41" s="53">
        <f>IF($A41="","",SUMPRODUCT(('Master Leads'!$D:$D=$A41) * (ISNUMBER(SEARCH("6", 'Master Leads'!$P:$P))) * ('Master Leads'!$O:$O="Yes") * ('Master Leads'!$E:$E&gt;=IF(ISBLANK($B$5),0,$B$5)) * ('Master Leads'!$E:$E&lt;=IF(ISBLANK($D$5),99999,$D$5))))</f>
        <v>0</v>
      </c>
      <c r="C41" s="53">
        <f>IF($A41="","",SUMPRODUCT(('Master Leads'!$D:$D=$A41) * (ISNUMBER(SEARCH("7", 'Master Leads'!$P:$P))) * ('Master Leads'!$O:$O="Yes") * ('Master Leads'!$E:$E&gt;=IF(ISBLANK($B$5),0,$B$5)) * ('Master Leads'!$E:$E&lt;=IF(ISBLANK($D$5),99999,$D$5))))</f>
        <v>0</v>
      </c>
      <c r="D41" s="53">
        <f>IF($A41="","",SUMPRODUCT(('Master Leads'!$D:$D=$A41) * (ISNUMBER(SEARCH("8", 'Master Leads'!$P:$P))) * ('Master Leads'!$O:$O="Yes") * ('Master Leads'!$E:$E&gt;=IF(ISBLANK($B$5),0,$B$5)) * ('Master Leads'!$E:$E&lt;=IF(ISBLANK($D$5),99999,$D$5))))</f>
        <v>0</v>
      </c>
      <c r="E41" s="53">
        <f>IF($A41="","",SUMPRODUCT(('Master Leads'!$D:$D=$A41) * (ISNUMBER(SEARCH("9", 'Master Leads'!$P:$P))) * ('Master Leads'!$O:$O="Yes") * ('Master Leads'!$E:$E&gt;=IF(ISBLANK($B$5),0,$B$5)) * ('Master Leads'!$E:$E&lt;=IF(ISBLANK($D$5),99999,$D$5))))</f>
        <v>0</v>
      </c>
      <c r="F41" s="53">
        <f>IF($A41="","",SUMPRODUCT(('Master Leads'!$D:$D=$A41) * (ISNUMBER(SEARCH("10", 'Master Leads'!$P:$P))) * ('Master Leads'!$O:$O="Yes") * ('Master Leads'!$E:$E&gt;=IF(ISBLANK($B$5),0,$B$5)) * ('Master Leads'!$E:$E&lt;=IF(ISBLANK($D$5),99999,$D$5))))</f>
        <v>0</v>
      </c>
      <c r="G41" s="53">
        <f>IF($A41="","",SUMPRODUCT(('Master Leads'!$D:$D=$A41) * (ISNUMBER(SEARCH("11", 'Master Leads'!$P:$P))) * ('Master Leads'!$O:$O="Yes") * ('Master Leads'!$E:$E&gt;=IF(ISBLANK($B$5),0,$B$5)) * ('Master Leads'!$E:$E&lt;=IF(ISBLANK($D$5),99999,$D$5))))</f>
        <v>0</v>
      </c>
      <c r="H41" s="80">
        <f t="shared" si="2"/>
        <v>0</v>
      </c>
      <c r="I41" s="60" t="str">
        <f t="shared" si="3"/>
        <v/>
      </c>
      <c r="J41" s="81">
        <f t="shared" si="4"/>
        <v>0</v>
      </c>
    </row>
    <row r="42">
      <c r="A42" s="34" t="str">
        <f t="array" ref="A42">IF(INDEX(Members!$A:$A,10)="","",INDEX(Members!$A:$A,10))</f>
        <v>Ama</v>
      </c>
      <c r="B42" s="41">
        <f>IF($A42="","",SUMPRODUCT(('Master Leads'!$D:$D=$A42) * (ISNUMBER(SEARCH("6", 'Master Leads'!$P:$P))) * ('Master Leads'!$O:$O="Yes") * ('Master Leads'!$E:$E&gt;=IF(ISBLANK($B$5),0,$B$5)) * ('Master Leads'!$E:$E&lt;=IF(ISBLANK($D$5),99999,$D$5))))</f>
        <v>0</v>
      </c>
      <c r="C42" s="41">
        <f>IF($A42="","",SUMPRODUCT(('Master Leads'!$D:$D=$A42) * (ISNUMBER(SEARCH("7", 'Master Leads'!$P:$P))) * ('Master Leads'!$O:$O="Yes") * ('Master Leads'!$E:$E&gt;=IF(ISBLANK($B$5),0,$B$5)) * ('Master Leads'!$E:$E&lt;=IF(ISBLANK($D$5),99999,$D$5))))</f>
        <v>0</v>
      </c>
      <c r="D42" s="41">
        <f>IF($A42="","",SUMPRODUCT(('Master Leads'!$D:$D=$A42) * (ISNUMBER(SEARCH("8", 'Master Leads'!$P:$P))) * ('Master Leads'!$O:$O="Yes") * ('Master Leads'!$E:$E&gt;=IF(ISBLANK($B$5),0,$B$5)) * ('Master Leads'!$E:$E&lt;=IF(ISBLANK($D$5),99999,$D$5))))</f>
        <v>0</v>
      </c>
      <c r="E42" s="41">
        <f>IF($A42="","",SUMPRODUCT(('Master Leads'!$D:$D=$A42) * (ISNUMBER(SEARCH("9", 'Master Leads'!$P:$P))) * ('Master Leads'!$O:$O="Yes") * ('Master Leads'!$E:$E&gt;=IF(ISBLANK($B$5),0,$B$5)) * ('Master Leads'!$E:$E&lt;=IF(ISBLANK($D$5),99999,$D$5))))</f>
        <v>0</v>
      </c>
      <c r="F42" s="41">
        <f>IF($A42="","",SUMPRODUCT(('Master Leads'!$D:$D=$A42) * (ISNUMBER(SEARCH("10", 'Master Leads'!$P:$P))) * ('Master Leads'!$O:$O="Yes") * ('Master Leads'!$E:$E&gt;=IF(ISBLANK($B$5),0,$B$5)) * ('Master Leads'!$E:$E&lt;=IF(ISBLANK($D$5),99999,$D$5))))</f>
        <v>0</v>
      </c>
      <c r="G42" s="41">
        <f>IF($A42="","",SUMPRODUCT(('Master Leads'!$D:$D=$A42) * (ISNUMBER(SEARCH("11", 'Master Leads'!$P:$P))) * ('Master Leads'!$O:$O="Yes") * ('Master Leads'!$E:$E&gt;=IF(ISBLANK($B$5),0,$B$5)) * ('Master Leads'!$E:$E&lt;=IF(ISBLANK($D$5),99999,$D$5))))</f>
        <v>0</v>
      </c>
      <c r="H42" s="78">
        <f t="shared" si="2"/>
        <v>0</v>
      </c>
      <c r="I42" s="51" t="str">
        <f t="shared" si="3"/>
        <v/>
      </c>
      <c r="J42" s="79">
        <f t="shared" si="4"/>
        <v>0</v>
      </c>
    </row>
    <row r="43">
      <c r="A43" s="52" t="str">
        <f t="array" ref="A43">IF(INDEX(Members!$A:$A,11)="","",INDEX(Members!$A:$A,11))</f>
        <v>kushalya</v>
      </c>
      <c r="B43" s="53">
        <f>IF($A43="","",SUMPRODUCT(('Master Leads'!$D:$D=$A43) * (ISNUMBER(SEARCH("6", 'Master Leads'!$P:$P))) * ('Master Leads'!$O:$O="Yes") * ('Master Leads'!$E:$E&gt;=IF(ISBLANK($B$5),0,$B$5)) * ('Master Leads'!$E:$E&lt;=IF(ISBLANK($D$5),99999,$D$5))))</f>
        <v>0</v>
      </c>
      <c r="C43" s="53">
        <f>IF($A43="","",SUMPRODUCT(('Master Leads'!$D:$D=$A43) * (ISNUMBER(SEARCH("7", 'Master Leads'!$P:$P))) * ('Master Leads'!$O:$O="Yes") * ('Master Leads'!$E:$E&gt;=IF(ISBLANK($B$5),0,$B$5)) * ('Master Leads'!$E:$E&lt;=IF(ISBLANK($D$5),99999,$D$5))))</f>
        <v>0</v>
      </c>
      <c r="D43" s="53">
        <f>IF($A43="","",SUMPRODUCT(('Master Leads'!$D:$D=$A43) * (ISNUMBER(SEARCH("8", 'Master Leads'!$P:$P))) * ('Master Leads'!$O:$O="Yes") * ('Master Leads'!$E:$E&gt;=IF(ISBLANK($B$5),0,$B$5)) * ('Master Leads'!$E:$E&lt;=IF(ISBLANK($D$5),99999,$D$5))))</f>
        <v>0</v>
      </c>
      <c r="E43" s="53">
        <f>IF($A43="","",SUMPRODUCT(('Master Leads'!$D:$D=$A43) * (ISNUMBER(SEARCH("9", 'Master Leads'!$P:$P))) * ('Master Leads'!$O:$O="Yes") * ('Master Leads'!$E:$E&gt;=IF(ISBLANK($B$5),0,$B$5)) * ('Master Leads'!$E:$E&lt;=IF(ISBLANK($D$5),99999,$D$5))))</f>
        <v>0</v>
      </c>
      <c r="F43" s="53">
        <f>IF($A43="","",SUMPRODUCT(('Master Leads'!$D:$D=$A43) * (ISNUMBER(SEARCH("10", 'Master Leads'!$P:$P))) * ('Master Leads'!$O:$O="Yes") * ('Master Leads'!$E:$E&gt;=IF(ISBLANK($B$5),0,$B$5)) * ('Master Leads'!$E:$E&lt;=IF(ISBLANK($D$5),99999,$D$5))))</f>
        <v>0</v>
      </c>
      <c r="G43" s="53">
        <f>IF($A43="","",SUMPRODUCT(('Master Leads'!$D:$D=$A43) * (ISNUMBER(SEARCH("11", 'Master Leads'!$P:$P))) * ('Master Leads'!$O:$O="Yes") * ('Master Leads'!$E:$E&gt;=IF(ISBLANK($B$5),0,$B$5)) * ('Master Leads'!$E:$E&lt;=IF(ISBLANK($D$5),99999,$D$5))))</f>
        <v>0</v>
      </c>
      <c r="H43" s="80">
        <f t="shared" si="2"/>
        <v>0</v>
      </c>
      <c r="I43" s="60" t="str">
        <f t="shared" si="3"/>
        <v/>
      </c>
      <c r="J43" s="81">
        <f t="shared" si="4"/>
        <v>0</v>
      </c>
    </row>
    <row r="44">
      <c r="A44" s="34" t="str">
        <f t="array" ref="A44">IF(INDEX(Members!$A:$A,12)="","",INDEX(Members!$A:$A,12))</f>
        <v>TOTAL</v>
      </c>
      <c r="B44" s="41">
        <f>IF($A44="","",SUMPRODUCT(('Master Leads'!$D:$D=$A44) * (ISNUMBER(SEARCH("6", 'Master Leads'!$P:$P))) * ('Master Leads'!$O:$O="Yes") * ('Master Leads'!$E:$E&gt;=IF(ISBLANK($B$5),0,$B$5)) * ('Master Leads'!$E:$E&lt;=IF(ISBLANK($D$5),99999,$D$5))))</f>
        <v>0</v>
      </c>
      <c r="C44" s="41">
        <f>IF($A44="","",SUMPRODUCT(('Master Leads'!$D:$D=$A44) * (ISNUMBER(SEARCH("7", 'Master Leads'!$P:$P))) * ('Master Leads'!$O:$O="Yes") * ('Master Leads'!$E:$E&gt;=IF(ISBLANK($B$5),0,$B$5)) * ('Master Leads'!$E:$E&lt;=IF(ISBLANK($D$5),99999,$D$5))))</f>
        <v>0</v>
      </c>
      <c r="D44" s="41">
        <f>IF($A44="","",SUMPRODUCT(('Master Leads'!$D:$D=$A44) * (ISNUMBER(SEARCH("8", 'Master Leads'!$P:$P))) * ('Master Leads'!$O:$O="Yes") * ('Master Leads'!$E:$E&gt;=IF(ISBLANK($B$5),0,$B$5)) * ('Master Leads'!$E:$E&lt;=IF(ISBLANK($D$5),99999,$D$5))))</f>
        <v>0</v>
      </c>
      <c r="E44" s="41">
        <f>IF($A44="","",SUMPRODUCT(('Master Leads'!$D:$D=$A44) * (ISNUMBER(SEARCH("9", 'Master Leads'!$P:$P))) * ('Master Leads'!$O:$O="Yes") * ('Master Leads'!$E:$E&gt;=IF(ISBLANK($B$5),0,$B$5)) * ('Master Leads'!$E:$E&lt;=IF(ISBLANK($D$5),99999,$D$5))))</f>
        <v>0</v>
      </c>
      <c r="F44" s="41">
        <f>IF($A44="","",SUMPRODUCT(('Master Leads'!$D:$D=$A44) * (ISNUMBER(SEARCH("10", 'Master Leads'!$P:$P))) * ('Master Leads'!$O:$O="Yes") * ('Master Leads'!$E:$E&gt;=IF(ISBLANK($B$5),0,$B$5)) * ('Master Leads'!$E:$E&lt;=IF(ISBLANK($D$5),99999,$D$5))))</f>
        <v>0</v>
      </c>
      <c r="G44" s="41">
        <f>IF($A44="","",SUMPRODUCT(('Master Leads'!$D:$D=$A44) * (ISNUMBER(SEARCH("11", 'Master Leads'!$P:$P))) * ('Master Leads'!$O:$O="Yes") * ('Master Leads'!$E:$E&gt;=IF(ISBLANK($B$5),0,$B$5)) * ('Master Leads'!$E:$E&lt;=IF(ISBLANK($D$5),99999,$D$5))))</f>
        <v>0</v>
      </c>
      <c r="H44" s="78">
        <f t="shared" si="2"/>
        <v>0</v>
      </c>
      <c r="I44" s="51" t="str">
        <f t="shared" si="3"/>
        <v/>
      </c>
      <c r="J44" s="79" t="str">
        <f t="shared" si="4"/>
        <v/>
      </c>
    </row>
    <row r="45">
      <c r="A45" s="52" t="str">
        <f t="array" ref="A45">IF(INDEX(Members!$A:$A,13)="","",INDEX(Members!$A:$A,13))</f>
        <v/>
      </c>
      <c r="B45" s="53" t="str">
        <f>IF($A45="","",SUMPRODUCT(('Master Leads'!$D:$D=$A45) * (ISNUMBER(SEARCH("6", 'Master Leads'!$P:$P))) * ('Master Leads'!$O:$O="Yes") * ('Master Leads'!$E:$E&gt;=IF(ISBLANK($B$5),0,$B$5)) * ('Master Leads'!$E:$E&lt;=IF(ISBLANK($D$5),99999,$D$5))))</f>
        <v/>
      </c>
      <c r="C45" s="53" t="str">
        <f>IF($A45="","",SUMPRODUCT(('Master Leads'!$D:$D=$A45) * (ISNUMBER(SEARCH("7", 'Master Leads'!$P:$P))) * ('Master Leads'!$O:$O="Yes") * ('Master Leads'!$E:$E&gt;=IF(ISBLANK($B$5),0,$B$5)) * ('Master Leads'!$E:$E&lt;=IF(ISBLANK($D$5),99999,$D$5))))</f>
        <v/>
      </c>
      <c r="D45" s="53" t="str">
        <f>IF($A45="","",SUMPRODUCT(('Master Leads'!$D:$D=$A45) * (ISNUMBER(SEARCH("8", 'Master Leads'!$P:$P))) * ('Master Leads'!$O:$O="Yes") * ('Master Leads'!$E:$E&gt;=IF(ISBLANK($B$5),0,$B$5)) * ('Master Leads'!$E:$E&lt;=IF(ISBLANK($D$5),99999,$D$5))))</f>
        <v/>
      </c>
      <c r="E45" s="53" t="str">
        <f>IF($A45="","",SUMPRODUCT(('Master Leads'!$D:$D=$A45) * (ISNUMBER(SEARCH("9", 'Master Leads'!$P:$P))) * ('Master Leads'!$O:$O="Yes") * ('Master Leads'!$E:$E&gt;=IF(ISBLANK($B$5),0,$B$5)) * ('Master Leads'!$E:$E&lt;=IF(ISBLANK($D$5),99999,$D$5))))</f>
        <v/>
      </c>
      <c r="F45" s="53" t="str">
        <f>IF($A45="","",SUMPRODUCT(('Master Leads'!$D:$D=$A45) * (ISNUMBER(SEARCH("10", 'Master Leads'!$P:$P))) * ('Master Leads'!$O:$O="Yes") * ('Master Leads'!$E:$E&gt;=IF(ISBLANK($B$5),0,$B$5)) * ('Master Leads'!$E:$E&lt;=IF(ISBLANK($D$5),99999,$D$5))))</f>
        <v/>
      </c>
      <c r="G45" s="53" t="str">
        <f>IF($A45="","",SUMPRODUCT(('Master Leads'!$D:$D=$A45) * (ISNUMBER(SEARCH("11", 'Master Leads'!$P:$P))) * ('Master Leads'!$O:$O="Yes") * ('Master Leads'!$E:$E&gt;=IF(ISBLANK($B$5),0,$B$5)) * ('Master Leads'!$E:$E&lt;=IF(ISBLANK($D$5),99999,$D$5))))</f>
        <v/>
      </c>
      <c r="H45" s="80" t="str">
        <f t="shared" si="2"/>
        <v/>
      </c>
      <c r="I45" s="60" t="str">
        <f t="shared" si="3"/>
        <v/>
      </c>
      <c r="J45" s="81" t="str">
        <f t="shared" si="4"/>
        <v/>
      </c>
    </row>
    <row r="46">
      <c r="A46" s="34" t="str">
        <f t="array" ref="A46">IF(INDEX(Members!$A:$A,14)="","",INDEX(Members!$A:$A,14))</f>
        <v/>
      </c>
      <c r="B46" s="41" t="str">
        <f>IF($A46="","",SUMPRODUCT(('Master Leads'!$D:$D=$A46) * (ISNUMBER(SEARCH("6", 'Master Leads'!$P:$P))) * ('Master Leads'!$O:$O="Yes") * ('Master Leads'!$E:$E&gt;=IF(ISBLANK($B$5),0,$B$5)) * ('Master Leads'!$E:$E&lt;=IF(ISBLANK($D$5),99999,$D$5))))</f>
        <v/>
      </c>
      <c r="C46" s="41" t="str">
        <f>IF($A46="","",SUMPRODUCT(('Master Leads'!$D:$D=$A46) * (ISNUMBER(SEARCH("7", 'Master Leads'!$P:$P))) * ('Master Leads'!$O:$O="Yes") * ('Master Leads'!$E:$E&gt;=IF(ISBLANK($B$5),0,$B$5)) * ('Master Leads'!$E:$E&lt;=IF(ISBLANK($D$5),99999,$D$5))))</f>
        <v/>
      </c>
      <c r="D46" s="41" t="str">
        <f>IF($A46="","",SUMPRODUCT(('Master Leads'!$D:$D=$A46) * (ISNUMBER(SEARCH("8", 'Master Leads'!$P:$P))) * ('Master Leads'!$O:$O="Yes") * ('Master Leads'!$E:$E&gt;=IF(ISBLANK($B$5),0,$B$5)) * ('Master Leads'!$E:$E&lt;=IF(ISBLANK($D$5),99999,$D$5))))</f>
        <v/>
      </c>
      <c r="E46" s="41" t="str">
        <f>IF($A46="","",SUMPRODUCT(('Master Leads'!$D:$D=$A46) * (ISNUMBER(SEARCH("9", 'Master Leads'!$P:$P))) * ('Master Leads'!$O:$O="Yes") * ('Master Leads'!$E:$E&gt;=IF(ISBLANK($B$5),0,$B$5)) * ('Master Leads'!$E:$E&lt;=IF(ISBLANK($D$5),99999,$D$5))))</f>
        <v/>
      </c>
      <c r="F46" s="41" t="str">
        <f>IF($A46="","",SUMPRODUCT(('Master Leads'!$D:$D=$A46) * (ISNUMBER(SEARCH("10", 'Master Leads'!$P:$P))) * ('Master Leads'!$O:$O="Yes") * ('Master Leads'!$E:$E&gt;=IF(ISBLANK($B$5),0,$B$5)) * ('Master Leads'!$E:$E&lt;=IF(ISBLANK($D$5),99999,$D$5))))</f>
        <v/>
      </c>
      <c r="G46" s="41" t="str">
        <f>IF($A46="","",SUMPRODUCT(('Master Leads'!$D:$D=$A46) * (ISNUMBER(SEARCH("11", 'Master Leads'!$P:$P))) * ('Master Leads'!$O:$O="Yes") * ('Master Leads'!$E:$E&gt;=IF(ISBLANK($B$5),0,$B$5)) * ('Master Leads'!$E:$E&lt;=IF(ISBLANK($D$5),99999,$D$5))))</f>
        <v/>
      </c>
      <c r="H46" s="78" t="str">
        <f t="shared" si="2"/>
        <v/>
      </c>
      <c r="I46" s="51" t="str">
        <f t="shared" si="3"/>
        <v/>
      </c>
      <c r="J46" s="79" t="str">
        <f t="shared" si="4"/>
        <v/>
      </c>
    </row>
    <row r="47">
      <c r="A47" s="52" t="str">
        <f t="array" ref="A47">IF(INDEX(Members!$A:$A,15)="","",INDEX(Members!$A:$A,15))</f>
        <v/>
      </c>
      <c r="B47" s="53" t="str">
        <f>IF($A47="","",SUMPRODUCT(('Master Leads'!$D:$D=$A47) * (ISNUMBER(SEARCH("6", 'Master Leads'!$P:$P))) * ('Master Leads'!$O:$O="Yes") * ('Master Leads'!$E:$E&gt;=IF(ISBLANK($B$5),0,$B$5)) * ('Master Leads'!$E:$E&lt;=IF(ISBLANK($D$5),99999,$D$5))))</f>
        <v/>
      </c>
      <c r="C47" s="53" t="str">
        <f>IF($A47="","",SUMPRODUCT(('Master Leads'!$D:$D=$A47) * (ISNUMBER(SEARCH("7", 'Master Leads'!$P:$P))) * ('Master Leads'!$O:$O="Yes") * ('Master Leads'!$E:$E&gt;=IF(ISBLANK($B$5),0,$B$5)) * ('Master Leads'!$E:$E&lt;=IF(ISBLANK($D$5),99999,$D$5))))</f>
        <v/>
      </c>
      <c r="D47" s="53" t="str">
        <f>IF($A47="","",SUMPRODUCT(('Master Leads'!$D:$D=$A47) * (ISNUMBER(SEARCH("8", 'Master Leads'!$P:$P))) * ('Master Leads'!$O:$O="Yes") * ('Master Leads'!$E:$E&gt;=IF(ISBLANK($B$5),0,$B$5)) * ('Master Leads'!$E:$E&lt;=IF(ISBLANK($D$5),99999,$D$5))))</f>
        <v/>
      </c>
      <c r="E47" s="53" t="str">
        <f>IF($A47="","",SUMPRODUCT(('Master Leads'!$D:$D=$A47) * (ISNUMBER(SEARCH("9", 'Master Leads'!$P:$P))) * ('Master Leads'!$O:$O="Yes") * ('Master Leads'!$E:$E&gt;=IF(ISBLANK($B$5),0,$B$5)) * ('Master Leads'!$E:$E&lt;=IF(ISBLANK($D$5),99999,$D$5))))</f>
        <v/>
      </c>
      <c r="F47" s="53" t="str">
        <f>IF($A47="","",SUMPRODUCT(('Master Leads'!$D:$D=$A47) * (ISNUMBER(SEARCH("10", 'Master Leads'!$P:$P))) * ('Master Leads'!$O:$O="Yes") * ('Master Leads'!$E:$E&gt;=IF(ISBLANK($B$5),0,$B$5)) * ('Master Leads'!$E:$E&lt;=IF(ISBLANK($D$5),99999,$D$5))))</f>
        <v/>
      </c>
      <c r="G47" s="53" t="str">
        <f>IF($A47="","",SUMPRODUCT(('Master Leads'!$D:$D=$A47) * (ISNUMBER(SEARCH("11", 'Master Leads'!$P:$P))) * ('Master Leads'!$O:$O="Yes") * ('Master Leads'!$E:$E&gt;=IF(ISBLANK($B$5),0,$B$5)) * ('Master Leads'!$E:$E&lt;=IF(ISBLANK($D$5),99999,$D$5))))</f>
        <v/>
      </c>
      <c r="H47" s="80" t="str">
        <f t="shared" si="2"/>
        <v/>
      </c>
      <c r="I47" s="60" t="str">
        <f t="shared" si="3"/>
        <v/>
      </c>
      <c r="J47" s="81" t="str">
        <f t="shared" si="4"/>
        <v/>
      </c>
    </row>
    <row r="48">
      <c r="A48" s="34" t="str">
        <f t="array" ref="A48">IF(INDEX(Members!$A:$A,16)="","",INDEX(Members!$A:$A,16))</f>
        <v/>
      </c>
      <c r="B48" s="41" t="str">
        <f>IF($A48="","",SUMPRODUCT(('Master Leads'!$D:$D=$A48) * (ISNUMBER(SEARCH("6", 'Master Leads'!$P:$P))) * ('Master Leads'!$O:$O="Yes") * ('Master Leads'!$E:$E&gt;=IF(ISBLANK($B$5),0,$B$5)) * ('Master Leads'!$E:$E&lt;=IF(ISBLANK($D$5),99999,$D$5))))</f>
        <v/>
      </c>
      <c r="C48" s="41" t="str">
        <f>IF($A48="","",SUMPRODUCT(('Master Leads'!$D:$D=$A48) * (ISNUMBER(SEARCH("7", 'Master Leads'!$P:$P))) * ('Master Leads'!$O:$O="Yes") * ('Master Leads'!$E:$E&gt;=IF(ISBLANK($B$5),0,$B$5)) * ('Master Leads'!$E:$E&lt;=IF(ISBLANK($D$5),99999,$D$5))))</f>
        <v/>
      </c>
      <c r="D48" s="41" t="str">
        <f>IF($A48="","",SUMPRODUCT(('Master Leads'!$D:$D=$A48) * (ISNUMBER(SEARCH("8", 'Master Leads'!$P:$P))) * ('Master Leads'!$O:$O="Yes") * ('Master Leads'!$E:$E&gt;=IF(ISBLANK($B$5),0,$B$5)) * ('Master Leads'!$E:$E&lt;=IF(ISBLANK($D$5),99999,$D$5))))</f>
        <v/>
      </c>
      <c r="E48" s="41" t="str">
        <f>IF($A48="","",SUMPRODUCT(('Master Leads'!$D:$D=$A48) * (ISNUMBER(SEARCH("9", 'Master Leads'!$P:$P))) * ('Master Leads'!$O:$O="Yes") * ('Master Leads'!$E:$E&gt;=IF(ISBLANK($B$5),0,$B$5)) * ('Master Leads'!$E:$E&lt;=IF(ISBLANK($D$5),99999,$D$5))))</f>
        <v/>
      </c>
      <c r="F48" s="41" t="str">
        <f>IF($A48="","",SUMPRODUCT(('Master Leads'!$D:$D=$A48) * (ISNUMBER(SEARCH("10", 'Master Leads'!$P:$P))) * ('Master Leads'!$O:$O="Yes") * ('Master Leads'!$E:$E&gt;=IF(ISBLANK($B$5),0,$B$5)) * ('Master Leads'!$E:$E&lt;=IF(ISBLANK($D$5),99999,$D$5))))</f>
        <v/>
      </c>
      <c r="G48" s="41" t="str">
        <f>IF($A48="","",SUMPRODUCT(('Master Leads'!$D:$D=$A48) * (ISNUMBER(SEARCH("11", 'Master Leads'!$P:$P))) * ('Master Leads'!$O:$O="Yes") * ('Master Leads'!$E:$E&gt;=IF(ISBLANK($B$5),0,$B$5)) * ('Master Leads'!$E:$E&lt;=IF(ISBLANK($D$5),99999,$D$5))))</f>
        <v/>
      </c>
      <c r="H48" s="78" t="str">
        <f t="shared" si="2"/>
        <v/>
      </c>
      <c r="I48" s="51" t="str">
        <f t="shared" si="3"/>
        <v/>
      </c>
      <c r="J48" s="79" t="str">
        <f t="shared" si="4"/>
        <v/>
      </c>
    </row>
    <row r="49">
      <c r="A49" s="52" t="str">
        <f t="array" ref="A49">IF(INDEX(Members!$A:$A,17)="","",INDEX(Members!$A:$A,17))</f>
        <v/>
      </c>
      <c r="B49" s="53" t="str">
        <f>IF($A49="","",SUMPRODUCT(('Master Leads'!$D:$D=$A49) * (ISNUMBER(SEARCH("6", 'Master Leads'!$P:$P))) * ('Master Leads'!$O:$O="Yes") * ('Master Leads'!$E:$E&gt;=IF(ISBLANK($B$5),0,$B$5)) * ('Master Leads'!$E:$E&lt;=IF(ISBLANK($D$5),99999,$D$5))))</f>
        <v/>
      </c>
      <c r="C49" s="53" t="str">
        <f>IF($A49="","",SUMPRODUCT(('Master Leads'!$D:$D=$A49) * (ISNUMBER(SEARCH("7", 'Master Leads'!$P:$P))) * ('Master Leads'!$O:$O="Yes") * ('Master Leads'!$E:$E&gt;=IF(ISBLANK($B$5),0,$B$5)) * ('Master Leads'!$E:$E&lt;=IF(ISBLANK($D$5),99999,$D$5))))</f>
        <v/>
      </c>
      <c r="D49" s="53" t="str">
        <f>IF($A49="","",SUMPRODUCT(('Master Leads'!$D:$D=$A49) * (ISNUMBER(SEARCH("8", 'Master Leads'!$P:$P))) * ('Master Leads'!$O:$O="Yes") * ('Master Leads'!$E:$E&gt;=IF(ISBLANK($B$5),0,$B$5)) * ('Master Leads'!$E:$E&lt;=IF(ISBLANK($D$5),99999,$D$5))))</f>
        <v/>
      </c>
      <c r="E49" s="53" t="str">
        <f>IF($A49="","",SUMPRODUCT(('Master Leads'!$D:$D=$A49) * (ISNUMBER(SEARCH("9", 'Master Leads'!$P:$P))) * ('Master Leads'!$O:$O="Yes") * ('Master Leads'!$E:$E&gt;=IF(ISBLANK($B$5),0,$B$5)) * ('Master Leads'!$E:$E&lt;=IF(ISBLANK($D$5),99999,$D$5))))</f>
        <v/>
      </c>
      <c r="F49" s="53" t="str">
        <f>IF($A49="","",SUMPRODUCT(('Master Leads'!$D:$D=$A49) * (ISNUMBER(SEARCH("10", 'Master Leads'!$P:$P))) * ('Master Leads'!$O:$O="Yes") * ('Master Leads'!$E:$E&gt;=IF(ISBLANK($B$5),0,$B$5)) * ('Master Leads'!$E:$E&lt;=IF(ISBLANK($D$5),99999,$D$5))))</f>
        <v/>
      </c>
      <c r="G49" s="53" t="str">
        <f>IF($A49="","",SUMPRODUCT(('Master Leads'!$D:$D=$A49) * (ISNUMBER(SEARCH("11", 'Master Leads'!$P:$P))) * ('Master Leads'!$O:$O="Yes") * ('Master Leads'!$E:$E&gt;=IF(ISBLANK($B$5),0,$B$5)) * ('Master Leads'!$E:$E&lt;=IF(ISBLANK($D$5),99999,$D$5))))</f>
        <v/>
      </c>
      <c r="H49" s="80" t="str">
        <f t="shared" si="2"/>
        <v/>
      </c>
      <c r="I49" s="60" t="str">
        <f t="shared" si="3"/>
        <v/>
      </c>
      <c r="J49" s="81" t="str">
        <f t="shared" si="4"/>
        <v/>
      </c>
    </row>
    <row r="50">
      <c r="A50" s="34" t="str">
        <f t="array" ref="A50">IF(INDEX(Members!$A:$A,18)="","",INDEX(Members!$A:$A,18))</f>
        <v/>
      </c>
      <c r="B50" s="41" t="str">
        <f>IF($A50="","",SUMPRODUCT(('Master Leads'!$D:$D=$A50) * (ISNUMBER(SEARCH("6", 'Master Leads'!$P:$P))) * ('Master Leads'!$O:$O="Yes") * ('Master Leads'!$E:$E&gt;=IF(ISBLANK($B$5),0,$B$5)) * ('Master Leads'!$E:$E&lt;=IF(ISBLANK($D$5),99999,$D$5))))</f>
        <v/>
      </c>
      <c r="C50" s="41" t="str">
        <f>IF($A50="","",SUMPRODUCT(('Master Leads'!$D:$D=$A50) * (ISNUMBER(SEARCH("7", 'Master Leads'!$P:$P))) * ('Master Leads'!$O:$O="Yes") * ('Master Leads'!$E:$E&gt;=IF(ISBLANK($B$5),0,$B$5)) * ('Master Leads'!$E:$E&lt;=IF(ISBLANK($D$5),99999,$D$5))))</f>
        <v/>
      </c>
      <c r="D50" s="41" t="str">
        <f>IF($A50="","",SUMPRODUCT(('Master Leads'!$D:$D=$A50) * (ISNUMBER(SEARCH("8", 'Master Leads'!$P:$P))) * ('Master Leads'!$O:$O="Yes") * ('Master Leads'!$E:$E&gt;=IF(ISBLANK($B$5),0,$B$5)) * ('Master Leads'!$E:$E&lt;=IF(ISBLANK($D$5),99999,$D$5))))</f>
        <v/>
      </c>
      <c r="E50" s="41" t="str">
        <f>IF($A50="","",SUMPRODUCT(('Master Leads'!$D:$D=$A50) * (ISNUMBER(SEARCH("9", 'Master Leads'!$P:$P))) * ('Master Leads'!$O:$O="Yes") * ('Master Leads'!$E:$E&gt;=IF(ISBLANK($B$5),0,$B$5)) * ('Master Leads'!$E:$E&lt;=IF(ISBLANK($D$5),99999,$D$5))))</f>
        <v/>
      </c>
      <c r="F50" s="41" t="str">
        <f>IF($A50="","",SUMPRODUCT(('Master Leads'!$D:$D=$A50) * (ISNUMBER(SEARCH("10", 'Master Leads'!$P:$P))) * ('Master Leads'!$O:$O="Yes") * ('Master Leads'!$E:$E&gt;=IF(ISBLANK($B$5),0,$B$5)) * ('Master Leads'!$E:$E&lt;=IF(ISBLANK($D$5),99999,$D$5))))</f>
        <v/>
      </c>
      <c r="G50" s="41" t="str">
        <f>IF($A50="","",SUMPRODUCT(('Master Leads'!$D:$D=$A50) * (ISNUMBER(SEARCH("11", 'Master Leads'!$P:$P))) * ('Master Leads'!$O:$O="Yes") * ('Master Leads'!$E:$E&gt;=IF(ISBLANK($B$5),0,$B$5)) * ('Master Leads'!$E:$E&lt;=IF(ISBLANK($D$5),99999,$D$5))))</f>
        <v/>
      </c>
      <c r="H50" s="78" t="str">
        <f t="shared" si="2"/>
        <v/>
      </c>
      <c r="I50" s="51" t="str">
        <f t="shared" si="3"/>
        <v/>
      </c>
      <c r="J50" s="79" t="str">
        <f t="shared" si="4"/>
        <v/>
      </c>
    </row>
    <row r="51">
      <c r="A51" s="52" t="str">
        <f t="array" ref="A51">IF(INDEX(Members!$A:$A,19)="","",INDEX(Members!$A:$A,19))</f>
        <v/>
      </c>
      <c r="B51" s="53" t="str">
        <f>IF($A51="","",SUMPRODUCT(('Master Leads'!$D:$D=$A51) * (ISNUMBER(SEARCH("6", 'Master Leads'!$P:$P))) * ('Master Leads'!$O:$O="Yes") * ('Master Leads'!$E:$E&gt;=IF(ISBLANK($B$5),0,$B$5)) * ('Master Leads'!$E:$E&lt;=IF(ISBLANK($D$5),99999,$D$5))))</f>
        <v/>
      </c>
      <c r="C51" s="53" t="str">
        <f>IF($A51="","",SUMPRODUCT(('Master Leads'!$D:$D=$A51) * (ISNUMBER(SEARCH("7", 'Master Leads'!$P:$P))) * ('Master Leads'!$O:$O="Yes") * ('Master Leads'!$E:$E&gt;=IF(ISBLANK($B$5),0,$B$5)) * ('Master Leads'!$E:$E&lt;=IF(ISBLANK($D$5),99999,$D$5))))</f>
        <v/>
      </c>
      <c r="D51" s="53" t="str">
        <f>IF($A51="","",SUMPRODUCT(('Master Leads'!$D:$D=$A51) * (ISNUMBER(SEARCH("8", 'Master Leads'!$P:$P))) * ('Master Leads'!$O:$O="Yes") * ('Master Leads'!$E:$E&gt;=IF(ISBLANK($B$5),0,$B$5)) * ('Master Leads'!$E:$E&lt;=IF(ISBLANK($D$5),99999,$D$5))))</f>
        <v/>
      </c>
      <c r="E51" s="53" t="str">
        <f>IF($A51="","",SUMPRODUCT(('Master Leads'!$D:$D=$A51) * (ISNUMBER(SEARCH("9", 'Master Leads'!$P:$P))) * ('Master Leads'!$O:$O="Yes") * ('Master Leads'!$E:$E&gt;=IF(ISBLANK($B$5),0,$B$5)) * ('Master Leads'!$E:$E&lt;=IF(ISBLANK($D$5),99999,$D$5))))</f>
        <v/>
      </c>
      <c r="F51" s="53" t="str">
        <f>IF($A51="","",SUMPRODUCT(('Master Leads'!$D:$D=$A51) * (ISNUMBER(SEARCH("10", 'Master Leads'!$P:$P))) * ('Master Leads'!$O:$O="Yes") * ('Master Leads'!$E:$E&gt;=IF(ISBLANK($B$5),0,$B$5)) * ('Master Leads'!$E:$E&lt;=IF(ISBLANK($D$5),99999,$D$5))))</f>
        <v/>
      </c>
      <c r="G51" s="53" t="str">
        <f>IF($A51="","",SUMPRODUCT(('Master Leads'!$D:$D=$A51) * (ISNUMBER(SEARCH("11", 'Master Leads'!$P:$P))) * ('Master Leads'!$O:$O="Yes") * ('Master Leads'!$E:$E&gt;=IF(ISBLANK($B$5),0,$B$5)) * ('Master Leads'!$E:$E&lt;=IF(ISBLANK($D$5),99999,$D$5))))</f>
        <v/>
      </c>
      <c r="H51" s="80" t="str">
        <f t="shared" si="2"/>
        <v/>
      </c>
      <c r="I51" s="60" t="str">
        <f t="shared" si="3"/>
        <v/>
      </c>
      <c r="J51" s="81" t="str">
        <f t="shared" si="4"/>
        <v/>
      </c>
    </row>
    <row r="52">
      <c r="A52" s="34" t="str">
        <f t="array" ref="A52">IF(INDEX(Members!$A:$A,20)="","",INDEX(Members!$A:$A,20))</f>
        <v/>
      </c>
      <c r="B52" s="41" t="str">
        <f>IF($A52="","",SUMPRODUCT(('Master Leads'!$D:$D=$A52) * (ISNUMBER(SEARCH("6", 'Master Leads'!$P:$P))) * ('Master Leads'!$O:$O="Yes") * ('Master Leads'!$E:$E&gt;=IF(ISBLANK($B$5),0,$B$5)) * ('Master Leads'!$E:$E&lt;=IF(ISBLANK($D$5),99999,$D$5))))</f>
        <v/>
      </c>
      <c r="C52" s="41" t="str">
        <f>IF($A52="","",SUMPRODUCT(('Master Leads'!$D:$D=$A52) * (ISNUMBER(SEARCH("7", 'Master Leads'!$P:$P))) * ('Master Leads'!$O:$O="Yes") * ('Master Leads'!$E:$E&gt;=IF(ISBLANK($B$5),0,$B$5)) * ('Master Leads'!$E:$E&lt;=IF(ISBLANK($D$5),99999,$D$5))))</f>
        <v/>
      </c>
      <c r="D52" s="41" t="str">
        <f>IF($A52="","",SUMPRODUCT(('Master Leads'!$D:$D=$A52) * (ISNUMBER(SEARCH("8", 'Master Leads'!$P:$P))) * ('Master Leads'!$O:$O="Yes") * ('Master Leads'!$E:$E&gt;=IF(ISBLANK($B$5),0,$B$5)) * ('Master Leads'!$E:$E&lt;=IF(ISBLANK($D$5),99999,$D$5))))</f>
        <v/>
      </c>
      <c r="E52" s="41" t="str">
        <f>IF($A52="","",SUMPRODUCT(('Master Leads'!$D:$D=$A52) * (ISNUMBER(SEARCH("9", 'Master Leads'!$P:$P))) * ('Master Leads'!$O:$O="Yes") * ('Master Leads'!$E:$E&gt;=IF(ISBLANK($B$5),0,$B$5)) * ('Master Leads'!$E:$E&lt;=IF(ISBLANK($D$5),99999,$D$5))))</f>
        <v/>
      </c>
      <c r="F52" s="41" t="str">
        <f>IF($A52="","",SUMPRODUCT(('Master Leads'!$D:$D=$A52) * (ISNUMBER(SEARCH("10", 'Master Leads'!$P:$P))) * ('Master Leads'!$O:$O="Yes") * ('Master Leads'!$E:$E&gt;=IF(ISBLANK($B$5),0,$B$5)) * ('Master Leads'!$E:$E&lt;=IF(ISBLANK($D$5),99999,$D$5))))</f>
        <v/>
      </c>
      <c r="G52" s="41" t="str">
        <f>IF($A52="","",SUMPRODUCT(('Master Leads'!$D:$D=$A52) * (ISNUMBER(SEARCH("11", 'Master Leads'!$P:$P))) * ('Master Leads'!$O:$O="Yes") * ('Master Leads'!$E:$E&gt;=IF(ISBLANK($B$5),0,$B$5)) * ('Master Leads'!$E:$E&lt;=IF(ISBLANK($D$5),99999,$D$5))))</f>
        <v/>
      </c>
      <c r="H52" s="78" t="str">
        <f t="shared" si="2"/>
        <v/>
      </c>
      <c r="I52" s="51" t="str">
        <f t="shared" si="3"/>
        <v/>
      </c>
      <c r="J52" s="79" t="str">
        <f t="shared" si="4"/>
        <v/>
      </c>
    </row>
    <row r="53">
      <c r="A53" s="52" t="str">
        <f t="array" ref="A53">IF(INDEX(Members!$A:$A,21)="","",INDEX(Members!$A:$A,21))</f>
        <v/>
      </c>
      <c r="B53" s="53" t="str">
        <f>IF($A53="","",SUMPRODUCT(('Master Leads'!$D:$D=$A53) * (ISNUMBER(SEARCH("6", 'Master Leads'!$P:$P))) * ('Master Leads'!$O:$O="Yes") * ('Master Leads'!$E:$E&gt;=IF(ISBLANK($B$5),0,$B$5)) * ('Master Leads'!$E:$E&lt;=IF(ISBLANK($D$5),99999,$D$5))))</f>
        <v/>
      </c>
      <c r="C53" s="53" t="str">
        <f>IF($A53="","",SUMPRODUCT(('Master Leads'!$D:$D=$A53) * (ISNUMBER(SEARCH("7", 'Master Leads'!$P:$P))) * ('Master Leads'!$O:$O="Yes") * ('Master Leads'!$E:$E&gt;=IF(ISBLANK($B$5),0,$B$5)) * ('Master Leads'!$E:$E&lt;=IF(ISBLANK($D$5),99999,$D$5))))</f>
        <v/>
      </c>
      <c r="D53" s="53" t="str">
        <f>IF($A53="","",SUMPRODUCT(('Master Leads'!$D:$D=$A53) * (ISNUMBER(SEARCH("8", 'Master Leads'!$P:$P))) * ('Master Leads'!$O:$O="Yes") * ('Master Leads'!$E:$E&gt;=IF(ISBLANK($B$5),0,$B$5)) * ('Master Leads'!$E:$E&lt;=IF(ISBLANK($D$5),99999,$D$5))))</f>
        <v/>
      </c>
      <c r="E53" s="53" t="str">
        <f>IF($A53="","",SUMPRODUCT(('Master Leads'!$D:$D=$A53) * (ISNUMBER(SEARCH("9", 'Master Leads'!$P:$P))) * ('Master Leads'!$O:$O="Yes") * ('Master Leads'!$E:$E&gt;=IF(ISBLANK($B$5),0,$B$5)) * ('Master Leads'!$E:$E&lt;=IF(ISBLANK($D$5),99999,$D$5))))</f>
        <v/>
      </c>
      <c r="F53" s="53" t="str">
        <f>IF($A53="","",SUMPRODUCT(('Master Leads'!$D:$D=$A53) * (ISNUMBER(SEARCH("10", 'Master Leads'!$P:$P))) * ('Master Leads'!$O:$O="Yes") * ('Master Leads'!$E:$E&gt;=IF(ISBLANK($B$5),0,$B$5)) * ('Master Leads'!$E:$E&lt;=IF(ISBLANK($D$5),99999,$D$5))))</f>
        <v/>
      </c>
      <c r="G53" s="53" t="str">
        <f>IF($A53="","",SUMPRODUCT(('Master Leads'!$D:$D=$A53) * (ISNUMBER(SEARCH("11", 'Master Leads'!$P:$P))) * ('Master Leads'!$O:$O="Yes") * ('Master Leads'!$E:$E&gt;=IF(ISBLANK($B$5),0,$B$5)) * ('Master Leads'!$E:$E&lt;=IF(ISBLANK($D$5),99999,$D$5))))</f>
        <v/>
      </c>
      <c r="H53" s="80" t="str">
        <f t="shared" si="2"/>
        <v/>
      </c>
      <c r="I53" s="60" t="str">
        <f t="shared" si="3"/>
        <v/>
      </c>
      <c r="J53" s="81" t="str">
        <f t="shared" si="4"/>
        <v/>
      </c>
    </row>
    <row r="54" ht="16.5" customHeight="1">
      <c r="A54" s="83" t="s">
        <v>523</v>
      </c>
      <c r="B54" s="84">
        <f>SUMPRODUCT((ISNUMBER(SEARCH("6", 'Master Leads'!$P:$P))) * ('Master Leads'!$O:$O="Yes") * ('Master Leads'!$E:$E&gt;=IF(ISBLANK($B$5),0,$B$5)) * ('Master Leads'!$E:$E&lt;=IF(ISBLANK($D$5),99999,$D$5)))</f>
        <v>0</v>
      </c>
      <c r="C54" s="84">
        <f>SUMPRODUCT((ISNUMBER(SEARCH("7", 'Master Leads'!$P:$P))) * ('Master Leads'!$O:$O="Yes") * ('Master Leads'!$E:$E&gt;=IF(ISBLANK($B$5),0,$B$5)) * ('Master Leads'!$E:$E&lt;=IF(ISBLANK($D$5),99999,$D$5)))</f>
        <v>0</v>
      </c>
      <c r="D54" s="84">
        <f>SUMPRODUCT((ISNUMBER(SEARCH("8", 'Master Leads'!$P:$P))) * ('Master Leads'!$O:$O="Yes") * ('Master Leads'!$E:$E&gt;=IF(ISBLANK($B$5),0,$B$5)) * ('Master Leads'!$E:$E&lt;=IF(ISBLANK($D$5),99999,$D$5)))</f>
        <v>0</v>
      </c>
      <c r="E54" s="84">
        <f>SUMPRODUCT((ISNUMBER(SEARCH("9", 'Master Leads'!$P:$P))) * ('Master Leads'!$O:$O="Yes") * ('Master Leads'!$E:$E&gt;=IF(ISBLANK($B$5),0,$B$5)) * ('Master Leads'!$E:$E&lt;=IF(ISBLANK($D$5),99999,$D$5)))</f>
        <v>0</v>
      </c>
      <c r="F54" s="84">
        <f>SUMPRODUCT((ISNUMBER(SEARCH("10", 'Master Leads'!$P:$P))) * ('Master Leads'!$O:$O="Yes") * ('Master Leads'!$E:$E&gt;=IF(ISBLANK($B$5),0,$B$5)) * ('Master Leads'!$E:$E&lt;=IF(ISBLANK($D$5),99999,$D$5)))</f>
        <v>0</v>
      </c>
      <c r="G54" s="84">
        <f>SUMPRODUCT((ISNUMBER(SEARCH("11", 'Master Leads'!$P:$P))) * ('Master Leads'!$O:$O="Yes") * ('Master Leads'!$E:$E&gt;=IF(ISBLANK($B$5),0,$B$5)) * ('Master Leads'!$E:$E&lt;=IF(ISBLANK($D$5),99999,$D$5)))</f>
        <v>0</v>
      </c>
      <c r="H54" s="84">
        <f>SUM(B54:G54)</f>
        <v>0</v>
      </c>
      <c r="I54" s="85">
        <v>1.0</v>
      </c>
      <c r="J54" s="86">
        <f>IF(H29=0,"",H54/H29)</f>
        <v>0</v>
      </c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</row>
    <row r="57">
      <c r="A57" s="87" t="s">
        <v>538</v>
      </c>
      <c r="B57" s="8"/>
      <c r="C57" s="8"/>
      <c r="D57" s="8"/>
      <c r="E57" s="8"/>
      <c r="F57" s="8"/>
      <c r="G57" s="8"/>
      <c r="H57" s="8"/>
      <c r="I57" s="8"/>
      <c r="J57" s="8"/>
    </row>
    <row r="58" ht="18.0" customHeight="1">
      <c r="A58" s="88" t="s">
        <v>3</v>
      </c>
      <c r="B58" s="89" t="s">
        <v>541</v>
      </c>
      <c r="C58" s="89" t="s">
        <v>35</v>
      </c>
      <c r="D58" s="89" t="s">
        <v>21</v>
      </c>
      <c r="E58" s="89" t="s">
        <v>542</v>
      </c>
      <c r="F58" s="89" t="s">
        <v>544</v>
      </c>
      <c r="G58" s="88" t="s">
        <v>545</v>
      </c>
      <c r="H58" s="88" t="s">
        <v>546</v>
      </c>
      <c r="I58" s="88" t="s">
        <v>548</v>
      </c>
      <c r="J58" s="8"/>
    </row>
    <row r="59">
      <c r="A59" s="34" t="str">
        <f t="array" ref="A59">IF(INDEX(Members!$A:$A,2)="","",INDEX(Members!$A:$A,2))</f>
        <v>maheesha</v>
      </c>
      <c r="B59" s="41">
        <f>IF($A59="","",COUNTIFS('Master Leads'!$D:$D,$A59,'Master Leads'!$F:$F,"New",'Master Leads'!$E:$E,"&gt;="&amp;IF(ISBLANK($B$5),0,$B$5),'Master Leads'!$E:$E,"&lt;="&amp;IF(ISBLANK($D$5),99999,$D$5)))</f>
        <v>0</v>
      </c>
      <c r="C59" s="41">
        <f>IF($A59="","",COUNTIFS('Master Leads'!$D:$D,$A59,'Master Leads'!$F:$F,"Contacted",'Master Leads'!$E:$E,"&gt;="&amp;IF(ISBLANK($B$5),0,$B$5),'Master Leads'!$E:$E,"&lt;="&amp;IF(ISBLANK($D$5),99999,$D$5)))</f>
        <v>18</v>
      </c>
      <c r="D59" s="41">
        <f>IF($A59="","",COUNTIFS('Master Leads'!$D:$D,$A59,'Master Leads'!$F:$F,"No Answer",'Master Leads'!$E:$E,"&gt;="&amp;IF(ISBLANK($B$5),0,$B$5),'Master Leads'!$E:$E,"&lt;="&amp;IF(ISBLANK($D$5),99999,$D$5)))</f>
        <v>9</v>
      </c>
      <c r="E59" s="41">
        <f>IF($A59="","",COUNTIFS('Master Leads'!$D:$D,$A59,'Master Leads'!$F:$F,"Interested",'Master Leads'!$E:$E,"&gt;="&amp;IF(ISBLANK($B$5),0,$B$5),'Master Leads'!$E:$E,"&lt;="&amp;IF(ISBLANK($D$5),99999,$D$5)))</f>
        <v>0</v>
      </c>
      <c r="F59" s="41">
        <f>IF($A59="","",COUNTIFS('Master Leads'!$D:$D,$A59,'Master Leads'!$E:$E,"&gt;="&amp;IF(ISBLANK($B$5),0,$B$5),'Master Leads'!$E:$E,"&lt;="&amp;IF(ISBLANK($D$5),99999,$D$5)) - COUNTIFS('Master Leads'!$D:$D,$A59,'Master Leads'!$F:$F,"Converted",'Master Leads'!$E:$E,"&gt;="&amp;IF(ISBLANK($B$5),0,$B$5),'Master Leads'!$E:$E,"&lt;="&amp;IF(ISBLANK($D$5),99999,$D$5)) - COUNTIFS('Master Leads'!$D:$D,$A59,'Master Leads'!$F:$F,"Not Interested",'Master Leads'!$E:$E,"&gt;="&amp;IF(ISBLANK($B$5),0,$B$5),'Master Leads'!$E:$E,"&lt;="&amp;IF(ISBLANK($D$5),99999,$D$5)) - COUNTIFS('Master Leads'!$D:$D,$A59,'Master Leads'!$F:$F,"Off",'Master Leads'!$E:$E,"&gt;="&amp;IF(ISBLANK($B$5),0,$B$5),'Master Leads'!$E:$E,"&lt;="&amp;IF(ISBLANK($D$5),99999,$D$5)) - COUNTIFS('Master Leads'!$D:$D,$A59,'Master Leads'!$F:$F,"Invalid",'Master Leads'!$E:$E,"&gt;="&amp;IF(ISBLANK($B$5),0,$B$5),'Master Leads'!$E:$E,"&lt;="&amp;IF(ISBLANK($D$5),99999,$D$5)) - COUNTIFS('Master Leads'!$D:$D,$A59,'Master Leads'!$F:$F,"Wrong number",'Master Leads'!$E:$E,"&gt;="&amp;IF(ISBLANK($B$5),0,$B$5),'Master Leads'!$E:$E,"&lt;="&amp;IF(ISBLANK($D$5),99999,$D$5)) - B59 - C59 - D59 - E59)</f>
        <v>0</v>
      </c>
      <c r="G59" s="90">
        <f t="shared" ref="G59:G78" si="5">IF($A59="","",SUM(B59:F59))</f>
        <v>27</v>
      </c>
      <c r="H59" s="51">
        <f t="shared" ref="H59:H78" si="6">IF(OR($A59="",H9=0),"",G59/H9)</f>
        <v>0.9310344828</v>
      </c>
      <c r="I59" s="91">
        <f t="shared" ref="I59:I78" si="7">IF(OR($A59="",H9=0),"",(B59+E59+F59)/H9)</f>
        <v>0</v>
      </c>
      <c r="J59" s="8"/>
    </row>
    <row r="60">
      <c r="A60" s="52" t="str">
        <f t="array" ref="A60">IF(INDEX(Members!$A:$A,3)="","",INDEX(Members!$A:$A,3))</f>
        <v>menik</v>
      </c>
      <c r="B60" s="53">
        <f>IF($A60="","",COUNTIFS('Master Leads'!$D:$D,$A60,'Master Leads'!$F:$F,"New",'Master Leads'!$E:$E,"&gt;="&amp;IF(ISBLANK($B$5),0,$B$5),'Master Leads'!$E:$E,"&lt;="&amp;IF(ISBLANK($D$5),99999,$D$5)))</f>
        <v>0</v>
      </c>
      <c r="C60" s="53">
        <f>IF($A60="","",COUNTIFS('Master Leads'!$D:$D,$A60,'Master Leads'!$F:$F,"Contacted",'Master Leads'!$E:$E,"&gt;="&amp;IF(ISBLANK($B$5),0,$B$5),'Master Leads'!$E:$E,"&lt;="&amp;IF(ISBLANK($D$5),99999,$D$5)))</f>
        <v>0</v>
      </c>
      <c r="D60" s="53">
        <f>IF($A60="","",COUNTIFS('Master Leads'!$D:$D,$A60,'Master Leads'!$F:$F,"No Answer",'Master Leads'!$E:$E,"&gt;="&amp;IF(ISBLANK($B$5),0,$B$5),'Master Leads'!$E:$E,"&lt;="&amp;IF(ISBLANK($D$5),99999,$D$5)))</f>
        <v>0</v>
      </c>
      <c r="E60" s="53">
        <f>IF($A60="","",COUNTIFS('Master Leads'!$D:$D,$A60,'Master Leads'!$F:$F,"Interested",'Master Leads'!$E:$E,"&gt;="&amp;IF(ISBLANK($B$5),0,$B$5),'Master Leads'!$E:$E,"&lt;="&amp;IF(ISBLANK($D$5),99999,$D$5)))</f>
        <v>0</v>
      </c>
      <c r="F60" s="53">
        <f>IF($A60="","",COUNTIFS('Master Leads'!$D:$D,$A60,'Master Leads'!$E:$E,"&gt;="&amp;IF(ISBLANK($B$5),0,$B$5),'Master Leads'!$E:$E,"&lt;="&amp;IF(ISBLANK($D$5),99999,$D$5)) - COUNTIFS('Master Leads'!$D:$D,$A60,'Master Leads'!$F:$F,"Converted",'Master Leads'!$E:$E,"&gt;="&amp;IF(ISBLANK($B$5),0,$B$5),'Master Leads'!$E:$E,"&lt;="&amp;IF(ISBLANK($D$5),99999,$D$5)) - COUNTIFS('Master Leads'!$D:$D,$A60,'Master Leads'!$F:$F,"Not Interested",'Master Leads'!$E:$E,"&gt;="&amp;IF(ISBLANK($B$5),0,$B$5),'Master Leads'!$E:$E,"&lt;="&amp;IF(ISBLANK($D$5),99999,$D$5)) - COUNTIFS('Master Leads'!$D:$D,$A60,'Master Leads'!$F:$F,"Off",'Master Leads'!$E:$E,"&gt;="&amp;IF(ISBLANK($B$5),0,$B$5),'Master Leads'!$E:$E,"&lt;="&amp;IF(ISBLANK($D$5),99999,$D$5)) - COUNTIFS('Master Leads'!$D:$D,$A60,'Master Leads'!$F:$F,"Invalid",'Master Leads'!$E:$E,"&gt;="&amp;IF(ISBLANK($B$5),0,$B$5),'Master Leads'!$E:$E,"&lt;="&amp;IF(ISBLANK($D$5),99999,$D$5)) - COUNTIFS('Master Leads'!$D:$D,$A60,'Master Leads'!$F:$F,"Wrong number",'Master Leads'!$E:$E,"&gt;="&amp;IF(ISBLANK($B$5),0,$B$5),'Master Leads'!$E:$E,"&lt;="&amp;IF(ISBLANK($D$5),99999,$D$5)) - B60 - C60 - D60 - E60)</f>
        <v>0</v>
      </c>
      <c r="G60" s="92">
        <f t="shared" si="5"/>
        <v>0</v>
      </c>
      <c r="H60" s="60" t="str">
        <f t="shared" si="6"/>
        <v/>
      </c>
      <c r="I60" s="93" t="str">
        <f t="shared" si="7"/>
        <v/>
      </c>
      <c r="J60" s="8"/>
    </row>
    <row r="61">
      <c r="A61" s="34" t="str">
        <f t="array" ref="A61">IF(INDEX(Members!$A:$A,4)="","",INDEX(Members!$A:$A,4))</f>
        <v>kavinda</v>
      </c>
      <c r="B61" s="41">
        <f>IF($A61="","",COUNTIFS('Master Leads'!$D:$D,$A61,'Master Leads'!$F:$F,"New",'Master Leads'!$E:$E,"&gt;="&amp;IF(ISBLANK($B$5),0,$B$5),'Master Leads'!$E:$E,"&lt;="&amp;IF(ISBLANK($D$5),99999,$D$5)))</f>
        <v>0</v>
      </c>
      <c r="C61" s="41">
        <f>IF($A61="","",COUNTIFS('Master Leads'!$D:$D,$A61,'Master Leads'!$F:$F,"Contacted",'Master Leads'!$E:$E,"&gt;="&amp;IF(ISBLANK($B$5),0,$B$5),'Master Leads'!$E:$E,"&lt;="&amp;IF(ISBLANK($D$5),99999,$D$5)))</f>
        <v>320</v>
      </c>
      <c r="D61" s="41">
        <f>IF($A61="","",COUNTIFS('Master Leads'!$D:$D,$A61,'Master Leads'!$F:$F,"No Answer",'Master Leads'!$E:$E,"&gt;="&amp;IF(ISBLANK($B$5),0,$B$5),'Master Leads'!$E:$E,"&lt;="&amp;IF(ISBLANK($D$5),99999,$D$5)))</f>
        <v>149</v>
      </c>
      <c r="E61" s="41">
        <f>IF($A61="","",COUNTIFS('Master Leads'!$D:$D,$A61,'Master Leads'!$F:$F,"Interested",'Master Leads'!$E:$E,"&gt;="&amp;IF(ISBLANK($B$5),0,$B$5),'Master Leads'!$E:$E,"&lt;="&amp;IF(ISBLANK($D$5),99999,$D$5)))</f>
        <v>0</v>
      </c>
      <c r="F61" s="41">
        <f>IF($A61="","",COUNTIFS('Master Leads'!$D:$D,$A61,'Master Leads'!$E:$E,"&gt;="&amp;IF(ISBLANK($B$5),0,$B$5),'Master Leads'!$E:$E,"&lt;="&amp;IF(ISBLANK($D$5),99999,$D$5)) - COUNTIFS('Master Leads'!$D:$D,$A61,'Master Leads'!$F:$F,"Converted",'Master Leads'!$E:$E,"&gt;="&amp;IF(ISBLANK($B$5),0,$B$5),'Master Leads'!$E:$E,"&lt;="&amp;IF(ISBLANK($D$5),99999,$D$5)) - COUNTIFS('Master Leads'!$D:$D,$A61,'Master Leads'!$F:$F,"Not Interested",'Master Leads'!$E:$E,"&gt;="&amp;IF(ISBLANK($B$5),0,$B$5),'Master Leads'!$E:$E,"&lt;="&amp;IF(ISBLANK($D$5),99999,$D$5)) - COUNTIFS('Master Leads'!$D:$D,$A61,'Master Leads'!$F:$F,"Off",'Master Leads'!$E:$E,"&gt;="&amp;IF(ISBLANK($B$5),0,$B$5),'Master Leads'!$E:$E,"&lt;="&amp;IF(ISBLANK($D$5),99999,$D$5)) - COUNTIFS('Master Leads'!$D:$D,$A61,'Master Leads'!$F:$F,"Invalid",'Master Leads'!$E:$E,"&gt;="&amp;IF(ISBLANK($B$5),0,$B$5),'Master Leads'!$E:$E,"&lt;="&amp;IF(ISBLANK($D$5),99999,$D$5)) - COUNTIFS('Master Leads'!$D:$D,$A61,'Master Leads'!$F:$F,"Wrong number",'Master Leads'!$E:$E,"&gt;="&amp;IF(ISBLANK($B$5),0,$B$5),'Master Leads'!$E:$E,"&lt;="&amp;IF(ISBLANK($D$5),99999,$D$5)) - B61 - C61 - D61 - E61)</f>
        <v>43</v>
      </c>
      <c r="G61" s="90">
        <f t="shared" si="5"/>
        <v>512</v>
      </c>
      <c r="H61" s="51">
        <f t="shared" si="6"/>
        <v>0.8407224959</v>
      </c>
      <c r="I61" s="91">
        <f t="shared" si="7"/>
        <v>0.07060755337</v>
      </c>
      <c r="J61" s="8"/>
    </row>
    <row r="62">
      <c r="A62" s="52" t="str">
        <f t="array" ref="A62">IF(INDEX(Members!$A:$A,5)="","",INDEX(Members!$A:$A,5))</f>
        <v>umesh</v>
      </c>
      <c r="B62" s="53">
        <f>IF($A62="","",COUNTIFS('Master Leads'!$D:$D,$A62,'Master Leads'!$F:$F,"New",'Master Leads'!$E:$E,"&gt;="&amp;IF(ISBLANK($B$5),0,$B$5),'Master Leads'!$E:$E,"&lt;="&amp;IF(ISBLANK($D$5),99999,$D$5)))</f>
        <v>1</v>
      </c>
      <c r="C62" s="53">
        <f>IF($A62="","",COUNTIFS('Master Leads'!$D:$D,$A62,'Master Leads'!$F:$F,"Contacted",'Master Leads'!$E:$E,"&gt;="&amp;IF(ISBLANK($B$5),0,$B$5),'Master Leads'!$E:$E,"&lt;="&amp;IF(ISBLANK($D$5),99999,$D$5)))</f>
        <v>266</v>
      </c>
      <c r="D62" s="53">
        <f>IF($A62="","",COUNTIFS('Master Leads'!$D:$D,$A62,'Master Leads'!$F:$F,"No Answer",'Master Leads'!$E:$E,"&gt;="&amp;IF(ISBLANK($B$5),0,$B$5),'Master Leads'!$E:$E,"&lt;="&amp;IF(ISBLANK($D$5),99999,$D$5)))</f>
        <v>141</v>
      </c>
      <c r="E62" s="53">
        <f>IF($A62="","",COUNTIFS('Master Leads'!$D:$D,$A62,'Master Leads'!$F:$F,"Interested",'Master Leads'!$E:$E,"&gt;="&amp;IF(ISBLANK($B$5),0,$B$5),'Master Leads'!$E:$E,"&lt;="&amp;IF(ISBLANK($D$5),99999,$D$5)))</f>
        <v>5</v>
      </c>
      <c r="F62" s="53">
        <f>IF($A62="","",COUNTIFS('Master Leads'!$D:$D,$A62,'Master Leads'!$E:$E,"&gt;="&amp;IF(ISBLANK($B$5),0,$B$5),'Master Leads'!$E:$E,"&lt;="&amp;IF(ISBLANK($D$5),99999,$D$5)) - COUNTIFS('Master Leads'!$D:$D,$A62,'Master Leads'!$F:$F,"Converted",'Master Leads'!$E:$E,"&gt;="&amp;IF(ISBLANK($B$5),0,$B$5),'Master Leads'!$E:$E,"&lt;="&amp;IF(ISBLANK($D$5),99999,$D$5)) - COUNTIFS('Master Leads'!$D:$D,$A62,'Master Leads'!$F:$F,"Not Interested",'Master Leads'!$E:$E,"&gt;="&amp;IF(ISBLANK($B$5),0,$B$5),'Master Leads'!$E:$E,"&lt;="&amp;IF(ISBLANK($D$5),99999,$D$5)) - COUNTIFS('Master Leads'!$D:$D,$A62,'Master Leads'!$F:$F,"Off",'Master Leads'!$E:$E,"&gt;="&amp;IF(ISBLANK($B$5),0,$B$5),'Master Leads'!$E:$E,"&lt;="&amp;IF(ISBLANK($D$5),99999,$D$5)) - COUNTIFS('Master Leads'!$D:$D,$A62,'Master Leads'!$F:$F,"Invalid",'Master Leads'!$E:$E,"&gt;="&amp;IF(ISBLANK($B$5),0,$B$5),'Master Leads'!$E:$E,"&lt;="&amp;IF(ISBLANK($D$5),99999,$D$5)) - COUNTIFS('Master Leads'!$D:$D,$A62,'Master Leads'!$F:$F,"Wrong number",'Master Leads'!$E:$E,"&gt;="&amp;IF(ISBLANK($B$5),0,$B$5),'Master Leads'!$E:$E,"&lt;="&amp;IF(ISBLANK($D$5),99999,$D$5)) - B62 - C62 - D62 - E62)</f>
        <v>18</v>
      </c>
      <c r="G62" s="92">
        <f t="shared" si="5"/>
        <v>431</v>
      </c>
      <c r="H62" s="60">
        <f t="shared" si="6"/>
        <v>0.720735786</v>
      </c>
      <c r="I62" s="93">
        <f t="shared" si="7"/>
        <v>0.04013377926</v>
      </c>
      <c r="J62" s="8"/>
    </row>
    <row r="63">
      <c r="A63" s="34" t="str">
        <f t="array" ref="A63">IF(INDEX(Members!$A:$A,6)="","",INDEX(Members!$A:$A,6))</f>
        <v>Avishka</v>
      </c>
      <c r="B63" s="41">
        <f>IF($A63="","",COUNTIFS('Master Leads'!$D:$D,$A63,'Master Leads'!$F:$F,"New",'Master Leads'!$E:$E,"&gt;="&amp;IF(ISBLANK($B$5),0,$B$5),'Master Leads'!$E:$E,"&lt;="&amp;IF(ISBLANK($D$5),99999,$D$5)))</f>
        <v>0</v>
      </c>
      <c r="C63" s="41">
        <f>IF($A63="","",COUNTIFS('Master Leads'!$D:$D,$A63,'Master Leads'!$F:$F,"Contacted",'Master Leads'!$E:$E,"&gt;="&amp;IF(ISBLANK($B$5),0,$B$5),'Master Leads'!$E:$E,"&lt;="&amp;IF(ISBLANK($D$5),99999,$D$5)))</f>
        <v>36</v>
      </c>
      <c r="D63" s="41">
        <f>IF($A63="","",COUNTIFS('Master Leads'!$D:$D,$A63,'Master Leads'!$F:$F,"No Answer",'Master Leads'!$E:$E,"&gt;="&amp;IF(ISBLANK($B$5),0,$B$5),'Master Leads'!$E:$E,"&lt;="&amp;IF(ISBLANK($D$5),99999,$D$5)))</f>
        <v>20</v>
      </c>
      <c r="E63" s="41">
        <f>IF($A63="","",COUNTIFS('Master Leads'!$D:$D,$A63,'Master Leads'!$F:$F,"Interested",'Master Leads'!$E:$E,"&gt;="&amp;IF(ISBLANK($B$5),0,$B$5),'Master Leads'!$E:$E,"&lt;="&amp;IF(ISBLANK($D$5),99999,$D$5)))</f>
        <v>0</v>
      </c>
      <c r="F63" s="41">
        <f>IF($A63="","",COUNTIFS('Master Leads'!$D:$D,$A63,'Master Leads'!$E:$E,"&gt;="&amp;IF(ISBLANK($B$5),0,$B$5),'Master Leads'!$E:$E,"&lt;="&amp;IF(ISBLANK($D$5),99999,$D$5)) - COUNTIFS('Master Leads'!$D:$D,$A63,'Master Leads'!$F:$F,"Converted",'Master Leads'!$E:$E,"&gt;="&amp;IF(ISBLANK($B$5),0,$B$5),'Master Leads'!$E:$E,"&lt;="&amp;IF(ISBLANK($D$5),99999,$D$5)) - COUNTIFS('Master Leads'!$D:$D,$A63,'Master Leads'!$F:$F,"Not Interested",'Master Leads'!$E:$E,"&gt;="&amp;IF(ISBLANK($B$5),0,$B$5),'Master Leads'!$E:$E,"&lt;="&amp;IF(ISBLANK($D$5),99999,$D$5)) - COUNTIFS('Master Leads'!$D:$D,$A63,'Master Leads'!$F:$F,"Off",'Master Leads'!$E:$E,"&gt;="&amp;IF(ISBLANK($B$5),0,$B$5),'Master Leads'!$E:$E,"&lt;="&amp;IF(ISBLANK($D$5),99999,$D$5)) - COUNTIFS('Master Leads'!$D:$D,$A63,'Master Leads'!$F:$F,"Invalid",'Master Leads'!$E:$E,"&gt;="&amp;IF(ISBLANK($B$5),0,$B$5),'Master Leads'!$E:$E,"&lt;="&amp;IF(ISBLANK($D$5),99999,$D$5)) - COUNTIFS('Master Leads'!$D:$D,$A63,'Master Leads'!$F:$F,"Wrong number",'Master Leads'!$E:$E,"&gt;="&amp;IF(ISBLANK($B$5),0,$B$5),'Master Leads'!$E:$E,"&lt;="&amp;IF(ISBLANK($D$5),99999,$D$5)) - B63 - C63 - D63 - E63)</f>
        <v>12</v>
      </c>
      <c r="G63" s="90">
        <f t="shared" si="5"/>
        <v>68</v>
      </c>
      <c r="H63" s="51">
        <f t="shared" si="6"/>
        <v>0.7816091954</v>
      </c>
      <c r="I63" s="91">
        <f t="shared" si="7"/>
        <v>0.1379310345</v>
      </c>
      <c r="J63" s="8"/>
    </row>
    <row r="64">
      <c r="A64" s="52" t="str">
        <f t="array" ref="A64">IF(INDEX(Members!$A:$A,7)="","",INDEX(Members!$A:$A,7))</f>
        <v>Wihanga</v>
      </c>
      <c r="B64" s="53">
        <f>IF($A64="","",COUNTIFS('Master Leads'!$D:$D,$A64,'Master Leads'!$F:$F,"New",'Master Leads'!$E:$E,"&gt;="&amp;IF(ISBLANK($B$5),0,$B$5),'Master Leads'!$E:$E,"&lt;="&amp;IF(ISBLANK($D$5),99999,$D$5)))</f>
        <v>0</v>
      </c>
      <c r="C64" s="53">
        <f>IF($A64="","",COUNTIFS('Master Leads'!$D:$D,$A64,'Master Leads'!$F:$F,"Contacted",'Master Leads'!$E:$E,"&gt;="&amp;IF(ISBLANK($B$5),0,$B$5),'Master Leads'!$E:$E,"&lt;="&amp;IF(ISBLANK($D$5),99999,$D$5)))</f>
        <v>0</v>
      </c>
      <c r="D64" s="53">
        <f>IF($A64="","",COUNTIFS('Master Leads'!$D:$D,$A64,'Master Leads'!$F:$F,"No Answer",'Master Leads'!$E:$E,"&gt;="&amp;IF(ISBLANK($B$5),0,$B$5),'Master Leads'!$E:$E,"&lt;="&amp;IF(ISBLANK($D$5),99999,$D$5)))</f>
        <v>0</v>
      </c>
      <c r="E64" s="53">
        <f>IF($A64="","",COUNTIFS('Master Leads'!$D:$D,$A64,'Master Leads'!$F:$F,"Interested",'Master Leads'!$E:$E,"&gt;="&amp;IF(ISBLANK($B$5),0,$B$5),'Master Leads'!$E:$E,"&lt;="&amp;IF(ISBLANK($D$5),99999,$D$5)))</f>
        <v>0</v>
      </c>
      <c r="F64" s="53">
        <f>IF($A64="","",COUNTIFS('Master Leads'!$D:$D,$A64,'Master Leads'!$E:$E,"&gt;="&amp;IF(ISBLANK($B$5),0,$B$5),'Master Leads'!$E:$E,"&lt;="&amp;IF(ISBLANK($D$5),99999,$D$5)) - COUNTIFS('Master Leads'!$D:$D,$A64,'Master Leads'!$F:$F,"Converted",'Master Leads'!$E:$E,"&gt;="&amp;IF(ISBLANK($B$5),0,$B$5),'Master Leads'!$E:$E,"&lt;="&amp;IF(ISBLANK($D$5),99999,$D$5)) - COUNTIFS('Master Leads'!$D:$D,$A64,'Master Leads'!$F:$F,"Not Interested",'Master Leads'!$E:$E,"&gt;="&amp;IF(ISBLANK($B$5),0,$B$5),'Master Leads'!$E:$E,"&lt;="&amp;IF(ISBLANK($D$5),99999,$D$5)) - COUNTIFS('Master Leads'!$D:$D,$A64,'Master Leads'!$F:$F,"Off",'Master Leads'!$E:$E,"&gt;="&amp;IF(ISBLANK($B$5),0,$B$5),'Master Leads'!$E:$E,"&lt;="&amp;IF(ISBLANK($D$5),99999,$D$5)) - COUNTIFS('Master Leads'!$D:$D,$A64,'Master Leads'!$F:$F,"Invalid",'Master Leads'!$E:$E,"&gt;="&amp;IF(ISBLANK($B$5),0,$B$5),'Master Leads'!$E:$E,"&lt;="&amp;IF(ISBLANK($D$5),99999,$D$5)) - COUNTIFS('Master Leads'!$D:$D,$A64,'Master Leads'!$F:$F,"Wrong number",'Master Leads'!$E:$E,"&gt;="&amp;IF(ISBLANK($B$5),0,$B$5),'Master Leads'!$E:$E,"&lt;="&amp;IF(ISBLANK($D$5),99999,$D$5)) - B64 - C64 - D64 - E64)</f>
        <v>0</v>
      </c>
      <c r="G64" s="92">
        <f t="shared" si="5"/>
        <v>0</v>
      </c>
      <c r="H64" s="60" t="str">
        <f t="shared" si="6"/>
        <v/>
      </c>
      <c r="I64" s="93" t="str">
        <f t="shared" si="7"/>
        <v/>
      </c>
      <c r="J64" s="8"/>
    </row>
    <row r="65">
      <c r="A65" s="34" t="str">
        <f t="array" ref="A65">IF(INDEX(Members!$A:$A,8)="","",INDEX(Members!$A:$A,8))</f>
        <v>muthumali</v>
      </c>
      <c r="B65" s="41">
        <f>IF($A65="","",COUNTIFS('Master Leads'!$D:$D,$A65,'Master Leads'!$F:$F,"New",'Master Leads'!$E:$E,"&gt;="&amp;IF(ISBLANK($B$5),0,$B$5),'Master Leads'!$E:$E,"&lt;="&amp;IF(ISBLANK($D$5),99999,$D$5)))</f>
        <v>0</v>
      </c>
      <c r="C65" s="41">
        <f>IF($A65="","",COUNTIFS('Master Leads'!$D:$D,$A65,'Master Leads'!$F:$F,"Contacted",'Master Leads'!$E:$E,"&gt;="&amp;IF(ISBLANK($B$5),0,$B$5),'Master Leads'!$E:$E,"&lt;="&amp;IF(ISBLANK($D$5),99999,$D$5)))</f>
        <v>411</v>
      </c>
      <c r="D65" s="41">
        <f>IF($A65="","",COUNTIFS('Master Leads'!$D:$D,$A65,'Master Leads'!$F:$F,"No Answer",'Master Leads'!$E:$E,"&gt;="&amp;IF(ISBLANK($B$5),0,$B$5),'Master Leads'!$E:$E,"&lt;="&amp;IF(ISBLANK($D$5),99999,$D$5)))</f>
        <v>169</v>
      </c>
      <c r="E65" s="41">
        <f>IF($A65="","",COUNTIFS('Master Leads'!$D:$D,$A65,'Master Leads'!$F:$F,"Interested",'Master Leads'!$E:$E,"&gt;="&amp;IF(ISBLANK($B$5),0,$B$5),'Master Leads'!$E:$E,"&lt;="&amp;IF(ISBLANK($D$5),99999,$D$5)))</f>
        <v>0</v>
      </c>
      <c r="F65" s="41">
        <f>IF($A65="","",COUNTIFS('Master Leads'!$D:$D,$A65,'Master Leads'!$E:$E,"&gt;="&amp;IF(ISBLANK($B$5),0,$B$5),'Master Leads'!$E:$E,"&lt;="&amp;IF(ISBLANK($D$5),99999,$D$5)) - COUNTIFS('Master Leads'!$D:$D,$A65,'Master Leads'!$F:$F,"Converted",'Master Leads'!$E:$E,"&gt;="&amp;IF(ISBLANK($B$5),0,$B$5),'Master Leads'!$E:$E,"&lt;="&amp;IF(ISBLANK($D$5),99999,$D$5)) - COUNTIFS('Master Leads'!$D:$D,$A65,'Master Leads'!$F:$F,"Not Interested",'Master Leads'!$E:$E,"&gt;="&amp;IF(ISBLANK($B$5),0,$B$5),'Master Leads'!$E:$E,"&lt;="&amp;IF(ISBLANK($D$5),99999,$D$5)) - COUNTIFS('Master Leads'!$D:$D,$A65,'Master Leads'!$F:$F,"Off",'Master Leads'!$E:$E,"&gt;="&amp;IF(ISBLANK($B$5),0,$B$5),'Master Leads'!$E:$E,"&lt;="&amp;IF(ISBLANK($D$5),99999,$D$5)) - COUNTIFS('Master Leads'!$D:$D,$A65,'Master Leads'!$F:$F,"Invalid",'Master Leads'!$E:$E,"&gt;="&amp;IF(ISBLANK($B$5),0,$B$5),'Master Leads'!$E:$E,"&lt;="&amp;IF(ISBLANK($D$5),99999,$D$5)) - COUNTIFS('Master Leads'!$D:$D,$A65,'Master Leads'!$F:$F,"Wrong number",'Master Leads'!$E:$E,"&gt;="&amp;IF(ISBLANK($B$5),0,$B$5),'Master Leads'!$E:$E,"&lt;="&amp;IF(ISBLANK($D$5),99999,$D$5)) - B65 - C65 - D65 - E65)</f>
        <v>28</v>
      </c>
      <c r="G65" s="90">
        <f t="shared" si="5"/>
        <v>608</v>
      </c>
      <c r="H65" s="51">
        <f t="shared" si="6"/>
        <v>0.8824383164</v>
      </c>
      <c r="I65" s="91">
        <f t="shared" si="7"/>
        <v>0.04063860668</v>
      </c>
      <c r="J65" s="8"/>
    </row>
    <row r="66">
      <c r="A66" s="52" t="str">
        <f t="array" ref="A66">IF(INDEX(Members!$A:$A,9)="","",INDEX(Members!$A:$A,9))</f>
        <v>shamali</v>
      </c>
      <c r="B66" s="53">
        <f>IF($A66="","",COUNTIFS('Master Leads'!$D:$D,$A66,'Master Leads'!$F:$F,"New",'Master Leads'!$E:$E,"&gt;="&amp;IF(ISBLANK($B$5),0,$B$5),'Master Leads'!$E:$E,"&lt;="&amp;IF(ISBLANK($D$5),99999,$D$5)))</f>
        <v>1</v>
      </c>
      <c r="C66" s="53">
        <f>IF($A66="","",COUNTIFS('Master Leads'!$D:$D,$A66,'Master Leads'!$F:$F,"Contacted",'Master Leads'!$E:$E,"&gt;="&amp;IF(ISBLANK($B$5),0,$B$5),'Master Leads'!$E:$E,"&lt;="&amp;IF(ISBLANK($D$5),99999,$D$5)))</f>
        <v>228</v>
      </c>
      <c r="D66" s="53">
        <f>IF($A66="","",COUNTIFS('Master Leads'!$D:$D,$A66,'Master Leads'!$F:$F,"No Answer",'Master Leads'!$E:$E,"&gt;="&amp;IF(ISBLANK($B$5),0,$B$5),'Master Leads'!$E:$E,"&lt;="&amp;IF(ISBLANK($D$5),99999,$D$5)))</f>
        <v>135</v>
      </c>
      <c r="E66" s="53">
        <f>IF($A66="","",COUNTIFS('Master Leads'!$D:$D,$A66,'Master Leads'!$F:$F,"Interested",'Master Leads'!$E:$E,"&gt;="&amp;IF(ISBLANK($B$5),0,$B$5),'Master Leads'!$E:$E,"&lt;="&amp;IF(ISBLANK($D$5),99999,$D$5)))</f>
        <v>35</v>
      </c>
      <c r="F66" s="53">
        <f>IF($A66="","",COUNTIFS('Master Leads'!$D:$D,$A66,'Master Leads'!$E:$E,"&gt;="&amp;IF(ISBLANK($B$5),0,$B$5),'Master Leads'!$E:$E,"&lt;="&amp;IF(ISBLANK($D$5),99999,$D$5)) - COUNTIFS('Master Leads'!$D:$D,$A66,'Master Leads'!$F:$F,"Converted",'Master Leads'!$E:$E,"&gt;="&amp;IF(ISBLANK($B$5),0,$B$5),'Master Leads'!$E:$E,"&lt;="&amp;IF(ISBLANK($D$5),99999,$D$5)) - COUNTIFS('Master Leads'!$D:$D,$A66,'Master Leads'!$F:$F,"Not Interested",'Master Leads'!$E:$E,"&gt;="&amp;IF(ISBLANK($B$5),0,$B$5),'Master Leads'!$E:$E,"&lt;="&amp;IF(ISBLANK($D$5),99999,$D$5)) - COUNTIFS('Master Leads'!$D:$D,$A66,'Master Leads'!$F:$F,"Off",'Master Leads'!$E:$E,"&gt;="&amp;IF(ISBLANK($B$5),0,$B$5),'Master Leads'!$E:$E,"&lt;="&amp;IF(ISBLANK($D$5),99999,$D$5)) - COUNTIFS('Master Leads'!$D:$D,$A66,'Master Leads'!$F:$F,"Invalid",'Master Leads'!$E:$E,"&gt;="&amp;IF(ISBLANK($B$5),0,$B$5),'Master Leads'!$E:$E,"&lt;="&amp;IF(ISBLANK($D$5),99999,$D$5)) - COUNTIFS('Master Leads'!$D:$D,$A66,'Master Leads'!$F:$F,"Wrong number",'Master Leads'!$E:$E,"&gt;="&amp;IF(ISBLANK($B$5),0,$B$5),'Master Leads'!$E:$E,"&lt;="&amp;IF(ISBLANK($D$5),99999,$D$5)) - B66 - C66 - D66 - E66)</f>
        <v>54</v>
      </c>
      <c r="G66" s="92">
        <f t="shared" si="5"/>
        <v>453</v>
      </c>
      <c r="H66" s="60">
        <f t="shared" si="6"/>
        <v>0.846728972</v>
      </c>
      <c r="I66" s="93">
        <f t="shared" si="7"/>
        <v>0.1682242991</v>
      </c>
      <c r="J66" s="8"/>
    </row>
    <row r="67">
      <c r="A67" s="34" t="str">
        <f t="array" ref="A67">IF(INDEX(Members!$A:$A,10)="","",INDEX(Members!$A:$A,10))</f>
        <v>Ama</v>
      </c>
      <c r="B67" s="41">
        <f>IF($A67="","",COUNTIFS('Master Leads'!$D:$D,$A67,'Master Leads'!$F:$F,"New",'Master Leads'!$E:$E,"&gt;="&amp;IF(ISBLANK($B$5),0,$B$5),'Master Leads'!$E:$E,"&lt;="&amp;IF(ISBLANK($D$5),99999,$D$5)))</f>
        <v>0</v>
      </c>
      <c r="C67" s="41">
        <f>IF($A67="","",COUNTIFS('Master Leads'!$D:$D,$A67,'Master Leads'!$F:$F,"Contacted",'Master Leads'!$E:$E,"&gt;="&amp;IF(ISBLANK($B$5),0,$B$5),'Master Leads'!$E:$E,"&lt;="&amp;IF(ISBLANK($D$5),99999,$D$5)))</f>
        <v>199</v>
      </c>
      <c r="D67" s="41">
        <f>IF($A67="","",COUNTIFS('Master Leads'!$D:$D,$A67,'Master Leads'!$F:$F,"No Answer",'Master Leads'!$E:$E,"&gt;="&amp;IF(ISBLANK($B$5),0,$B$5),'Master Leads'!$E:$E,"&lt;="&amp;IF(ISBLANK($D$5),99999,$D$5)))</f>
        <v>117</v>
      </c>
      <c r="E67" s="41">
        <f>IF($A67="","",COUNTIFS('Master Leads'!$D:$D,$A67,'Master Leads'!$F:$F,"Interested",'Master Leads'!$E:$E,"&gt;="&amp;IF(ISBLANK($B$5),0,$B$5),'Master Leads'!$E:$E,"&lt;="&amp;IF(ISBLANK($D$5),99999,$D$5)))</f>
        <v>1</v>
      </c>
      <c r="F67" s="41">
        <f>IF($A67="","",COUNTIFS('Master Leads'!$D:$D,$A67,'Master Leads'!$E:$E,"&gt;="&amp;IF(ISBLANK($B$5),0,$B$5),'Master Leads'!$E:$E,"&lt;="&amp;IF(ISBLANK($D$5),99999,$D$5)) - COUNTIFS('Master Leads'!$D:$D,$A67,'Master Leads'!$F:$F,"Converted",'Master Leads'!$E:$E,"&gt;="&amp;IF(ISBLANK($B$5),0,$B$5),'Master Leads'!$E:$E,"&lt;="&amp;IF(ISBLANK($D$5),99999,$D$5)) - COUNTIFS('Master Leads'!$D:$D,$A67,'Master Leads'!$F:$F,"Not Interested",'Master Leads'!$E:$E,"&gt;="&amp;IF(ISBLANK($B$5),0,$B$5),'Master Leads'!$E:$E,"&lt;="&amp;IF(ISBLANK($D$5),99999,$D$5)) - COUNTIFS('Master Leads'!$D:$D,$A67,'Master Leads'!$F:$F,"Off",'Master Leads'!$E:$E,"&gt;="&amp;IF(ISBLANK($B$5),0,$B$5),'Master Leads'!$E:$E,"&lt;="&amp;IF(ISBLANK($D$5),99999,$D$5)) - COUNTIFS('Master Leads'!$D:$D,$A67,'Master Leads'!$F:$F,"Invalid",'Master Leads'!$E:$E,"&gt;="&amp;IF(ISBLANK($B$5),0,$B$5),'Master Leads'!$E:$E,"&lt;="&amp;IF(ISBLANK($D$5),99999,$D$5)) - COUNTIFS('Master Leads'!$D:$D,$A67,'Master Leads'!$F:$F,"Wrong number",'Master Leads'!$E:$E,"&gt;="&amp;IF(ISBLANK($B$5),0,$B$5),'Master Leads'!$E:$E,"&lt;="&amp;IF(ISBLANK($D$5),99999,$D$5)) - B67 - C67 - D67 - E67)</f>
        <v>52</v>
      </c>
      <c r="G67" s="90">
        <f t="shared" si="5"/>
        <v>369</v>
      </c>
      <c r="H67" s="51">
        <f t="shared" si="6"/>
        <v>0.8641686183</v>
      </c>
      <c r="I67" s="91">
        <f t="shared" si="7"/>
        <v>0.1241217799</v>
      </c>
      <c r="J67" s="8"/>
    </row>
    <row r="68">
      <c r="A68" s="52" t="str">
        <f t="array" ref="A68">IF(INDEX(Members!$A:$A,11)="","",INDEX(Members!$A:$A,11))</f>
        <v>kushalya</v>
      </c>
      <c r="B68" s="53">
        <f>IF($A68="","",COUNTIFS('Master Leads'!$D:$D,$A68,'Master Leads'!$F:$F,"New",'Master Leads'!$E:$E,"&gt;="&amp;IF(ISBLANK($B$5),0,$B$5),'Master Leads'!$E:$E,"&lt;="&amp;IF(ISBLANK($D$5),99999,$D$5)))</f>
        <v>0</v>
      </c>
      <c r="C68" s="53">
        <f>IF($A68="","",COUNTIFS('Master Leads'!$D:$D,$A68,'Master Leads'!$F:$F,"Contacted",'Master Leads'!$E:$E,"&gt;="&amp;IF(ISBLANK($B$5),0,$B$5),'Master Leads'!$E:$E,"&lt;="&amp;IF(ISBLANK($D$5),99999,$D$5)))</f>
        <v>137</v>
      </c>
      <c r="D68" s="53">
        <f>IF($A68="","",COUNTIFS('Master Leads'!$D:$D,$A68,'Master Leads'!$F:$F,"No Answer",'Master Leads'!$E:$E,"&gt;="&amp;IF(ISBLANK($B$5),0,$B$5),'Master Leads'!$E:$E,"&lt;="&amp;IF(ISBLANK($D$5),99999,$D$5)))</f>
        <v>85</v>
      </c>
      <c r="E68" s="53">
        <f>IF($A68="","",COUNTIFS('Master Leads'!$D:$D,$A68,'Master Leads'!$F:$F,"Interested",'Master Leads'!$E:$E,"&gt;="&amp;IF(ISBLANK($B$5),0,$B$5),'Master Leads'!$E:$E,"&lt;="&amp;IF(ISBLANK($D$5),99999,$D$5)))</f>
        <v>0</v>
      </c>
      <c r="F68" s="53">
        <f>IF($A68="","",COUNTIFS('Master Leads'!$D:$D,$A68,'Master Leads'!$E:$E,"&gt;="&amp;IF(ISBLANK($B$5),0,$B$5),'Master Leads'!$E:$E,"&lt;="&amp;IF(ISBLANK($D$5),99999,$D$5)) - COUNTIFS('Master Leads'!$D:$D,$A68,'Master Leads'!$F:$F,"Converted",'Master Leads'!$E:$E,"&gt;="&amp;IF(ISBLANK($B$5),0,$B$5),'Master Leads'!$E:$E,"&lt;="&amp;IF(ISBLANK($D$5),99999,$D$5)) - COUNTIFS('Master Leads'!$D:$D,$A68,'Master Leads'!$F:$F,"Not Interested",'Master Leads'!$E:$E,"&gt;="&amp;IF(ISBLANK($B$5),0,$B$5),'Master Leads'!$E:$E,"&lt;="&amp;IF(ISBLANK($D$5),99999,$D$5)) - COUNTIFS('Master Leads'!$D:$D,$A68,'Master Leads'!$F:$F,"Off",'Master Leads'!$E:$E,"&gt;="&amp;IF(ISBLANK($B$5),0,$B$5),'Master Leads'!$E:$E,"&lt;="&amp;IF(ISBLANK($D$5),99999,$D$5)) - COUNTIFS('Master Leads'!$D:$D,$A68,'Master Leads'!$F:$F,"Invalid",'Master Leads'!$E:$E,"&gt;="&amp;IF(ISBLANK($B$5),0,$B$5),'Master Leads'!$E:$E,"&lt;="&amp;IF(ISBLANK($D$5),99999,$D$5)) - COUNTIFS('Master Leads'!$D:$D,$A68,'Master Leads'!$F:$F,"Wrong number",'Master Leads'!$E:$E,"&gt;="&amp;IF(ISBLANK($B$5),0,$B$5),'Master Leads'!$E:$E,"&lt;="&amp;IF(ISBLANK($D$5),99999,$D$5)) - B68 - C68 - D68 - E68)</f>
        <v>31</v>
      </c>
      <c r="G68" s="92">
        <f t="shared" si="5"/>
        <v>253</v>
      </c>
      <c r="H68" s="60">
        <f t="shared" si="6"/>
        <v>0.7784615385</v>
      </c>
      <c r="I68" s="93">
        <f t="shared" si="7"/>
        <v>0.09538461538</v>
      </c>
      <c r="J68" s="8"/>
    </row>
    <row r="69">
      <c r="A69" s="34" t="str">
        <f t="array" ref="A69">IF(INDEX(Members!$A:$A,12)="","",INDEX(Members!$A:$A,12))</f>
        <v>TOTAL</v>
      </c>
      <c r="B69" s="41">
        <f>IF($A69="","",COUNTIFS('Master Leads'!$D:$D,$A69,'Master Leads'!$F:$F,"New",'Master Leads'!$E:$E,"&gt;="&amp;IF(ISBLANK($B$5),0,$B$5),'Master Leads'!$E:$E,"&lt;="&amp;IF(ISBLANK($D$5),99999,$D$5)))</f>
        <v>0</v>
      </c>
      <c r="C69" s="41">
        <f>IF($A69="","",COUNTIFS('Master Leads'!$D:$D,$A69,'Master Leads'!$F:$F,"Contacted",'Master Leads'!$E:$E,"&gt;="&amp;IF(ISBLANK($B$5),0,$B$5),'Master Leads'!$E:$E,"&lt;="&amp;IF(ISBLANK($D$5),99999,$D$5)))</f>
        <v>0</v>
      </c>
      <c r="D69" s="41">
        <f>IF($A69="","",COUNTIFS('Master Leads'!$D:$D,$A69,'Master Leads'!$F:$F,"No Answer",'Master Leads'!$E:$E,"&gt;="&amp;IF(ISBLANK($B$5),0,$B$5),'Master Leads'!$E:$E,"&lt;="&amp;IF(ISBLANK($D$5),99999,$D$5)))</f>
        <v>0</v>
      </c>
      <c r="E69" s="41">
        <f>IF($A69="","",COUNTIFS('Master Leads'!$D:$D,$A69,'Master Leads'!$F:$F,"Interested",'Master Leads'!$E:$E,"&gt;="&amp;IF(ISBLANK($B$5),0,$B$5),'Master Leads'!$E:$E,"&lt;="&amp;IF(ISBLANK($D$5),99999,$D$5)))</f>
        <v>0</v>
      </c>
      <c r="F69" s="41">
        <f>IF($A69="","",COUNTIFS('Master Leads'!$D:$D,$A69,'Master Leads'!$E:$E,"&gt;="&amp;IF(ISBLANK($B$5),0,$B$5),'Master Leads'!$E:$E,"&lt;="&amp;IF(ISBLANK($D$5),99999,$D$5)) - COUNTIFS('Master Leads'!$D:$D,$A69,'Master Leads'!$F:$F,"Converted",'Master Leads'!$E:$E,"&gt;="&amp;IF(ISBLANK($B$5),0,$B$5),'Master Leads'!$E:$E,"&lt;="&amp;IF(ISBLANK($D$5),99999,$D$5)) - COUNTIFS('Master Leads'!$D:$D,$A69,'Master Leads'!$F:$F,"Not Interested",'Master Leads'!$E:$E,"&gt;="&amp;IF(ISBLANK($B$5),0,$B$5),'Master Leads'!$E:$E,"&lt;="&amp;IF(ISBLANK($D$5),99999,$D$5)) - COUNTIFS('Master Leads'!$D:$D,$A69,'Master Leads'!$F:$F,"Off",'Master Leads'!$E:$E,"&gt;="&amp;IF(ISBLANK($B$5),0,$B$5),'Master Leads'!$E:$E,"&lt;="&amp;IF(ISBLANK($D$5),99999,$D$5)) - COUNTIFS('Master Leads'!$D:$D,$A69,'Master Leads'!$F:$F,"Invalid",'Master Leads'!$E:$E,"&gt;="&amp;IF(ISBLANK($B$5),0,$B$5),'Master Leads'!$E:$E,"&lt;="&amp;IF(ISBLANK($D$5),99999,$D$5)) - COUNTIFS('Master Leads'!$D:$D,$A69,'Master Leads'!$F:$F,"Wrong number",'Master Leads'!$E:$E,"&gt;="&amp;IF(ISBLANK($B$5),0,$B$5),'Master Leads'!$E:$E,"&lt;="&amp;IF(ISBLANK($D$5),99999,$D$5)) - B69 - C69 - D69 - E69)</f>
        <v>0</v>
      </c>
      <c r="G69" s="90">
        <f t="shared" si="5"/>
        <v>0</v>
      </c>
      <c r="H69" s="51" t="str">
        <f t="shared" si="6"/>
        <v/>
      </c>
      <c r="I69" s="91" t="str">
        <f t="shared" si="7"/>
        <v/>
      </c>
      <c r="J69" s="8"/>
    </row>
    <row r="70">
      <c r="A70" s="52" t="str">
        <f t="array" ref="A70">IF(INDEX(Members!$A:$A,13)="","",INDEX(Members!$A:$A,13))</f>
        <v/>
      </c>
      <c r="B70" s="53" t="str">
        <f>IF($A70="","",COUNTIFS('Master Leads'!$D:$D,$A70,'Master Leads'!$F:$F,"New",'Master Leads'!$E:$E,"&gt;="&amp;IF(ISBLANK($B$5),0,$B$5),'Master Leads'!$E:$E,"&lt;="&amp;IF(ISBLANK($D$5),99999,$D$5)))</f>
        <v/>
      </c>
      <c r="C70" s="53" t="str">
        <f>IF($A70="","",COUNTIFS('Master Leads'!$D:$D,$A70,'Master Leads'!$F:$F,"Contacted",'Master Leads'!$E:$E,"&gt;="&amp;IF(ISBLANK($B$5),0,$B$5),'Master Leads'!$E:$E,"&lt;="&amp;IF(ISBLANK($D$5),99999,$D$5)))</f>
        <v/>
      </c>
      <c r="D70" s="53" t="str">
        <f>IF($A70="","",COUNTIFS('Master Leads'!$D:$D,$A70,'Master Leads'!$F:$F,"No Answer",'Master Leads'!$E:$E,"&gt;="&amp;IF(ISBLANK($B$5),0,$B$5),'Master Leads'!$E:$E,"&lt;="&amp;IF(ISBLANK($D$5),99999,$D$5)))</f>
        <v/>
      </c>
      <c r="E70" s="53" t="str">
        <f>IF($A70="","",COUNTIFS('Master Leads'!$D:$D,$A70,'Master Leads'!$F:$F,"Interested",'Master Leads'!$E:$E,"&gt;="&amp;IF(ISBLANK($B$5),0,$B$5),'Master Leads'!$E:$E,"&lt;="&amp;IF(ISBLANK($D$5),99999,$D$5)))</f>
        <v/>
      </c>
      <c r="F70" s="53" t="str">
        <f>IF($A70="","",COUNTIFS('Master Leads'!$D:$D,$A70,'Master Leads'!$E:$E,"&gt;="&amp;IF(ISBLANK($B$5),0,$B$5),'Master Leads'!$E:$E,"&lt;="&amp;IF(ISBLANK($D$5),99999,$D$5)) - COUNTIFS('Master Leads'!$D:$D,$A70,'Master Leads'!$F:$F,"Converted",'Master Leads'!$E:$E,"&gt;="&amp;IF(ISBLANK($B$5),0,$B$5),'Master Leads'!$E:$E,"&lt;="&amp;IF(ISBLANK($D$5),99999,$D$5)) - COUNTIFS('Master Leads'!$D:$D,$A70,'Master Leads'!$F:$F,"Not Interested",'Master Leads'!$E:$E,"&gt;="&amp;IF(ISBLANK($B$5),0,$B$5),'Master Leads'!$E:$E,"&lt;="&amp;IF(ISBLANK($D$5),99999,$D$5)) - COUNTIFS('Master Leads'!$D:$D,$A70,'Master Leads'!$F:$F,"Off",'Master Leads'!$E:$E,"&gt;="&amp;IF(ISBLANK($B$5),0,$B$5),'Master Leads'!$E:$E,"&lt;="&amp;IF(ISBLANK($D$5),99999,$D$5)) - COUNTIFS('Master Leads'!$D:$D,$A70,'Master Leads'!$F:$F,"Invalid",'Master Leads'!$E:$E,"&gt;="&amp;IF(ISBLANK($B$5),0,$B$5),'Master Leads'!$E:$E,"&lt;="&amp;IF(ISBLANK($D$5),99999,$D$5)) - COUNTIFS('Master Leads'!$D:$D,$A70,'Master Leads'!$F:$F,"Wrong number",'Master Leads'!$E:$E,"&gt;="&amp;IF(ISBLANK($B$5),0,$B$5),'Master Leads'!$E:$E,"&lt;="&amp;IF(ISBLANK($D$5),99999,$D$5)) - B70 - C70 - D70 - E70)</f>
        <v/>
      </c>
      <c r="G70" s="92" t="str">
        <f t="shared" si="5"/>
        <v/>
      </c>
      <c r="H70" s="60" t="str">
        <f t="shared" si="6"/>
        <v/>
      </c>
      <c r="I70" s="93" t="str">
        <f t="shared" si="7"/>
        <v/>
      </c>
      <c r="J70" s="8"/>
    </row>
    <row r="71">
      <c r="A71" s="34" t="str">
        <f t="array" ref="A71">IF(INDEX(Members!$A:$A,14)="","",INDEX(Members!$A:$A,14))</f>
        <v/>
      </c>
      <c r="B71" s="41" t="str">
        <f>IF($A71="","",COUNTIFS('Master Leads'!$D:$D,$A71,'Master Leads'!$F:$F,"New",'Master Leads'!$E:$E,"&gt;="&amp;IF(ISBLANK($B$5),0,$B$5),'Master Leads'!$E:$E,"&lt;="&amp;IF(ISBLANK($D$5),99999,$D$5)))</f>
        <v/>
      </c>
      <c r="C71" s="41" t="str">
        <f>IF($A71="","",COUNTIFS('Master Leads'!$D:$D,$A71,'Master Leads'!$F:$F,"Contacted",'Master Leads'!$E:$E,"&gt;="&amp;IF(ISBLANK($B$5),0,$B$5),'Master Leads'!$E:$E,"&lt;="&amp;IF(ISBLANK($D$5),99999,$D$5)))</f>
        <v/>
      </c>
      <c r="D71" s="41" t="str">
        <f>IF($A71="","",COUNTIFS('Master Leads'!$D:$D,$A71,'Master Leads'!$F:$F,"No Answer",'Master Leads'!$E:$E,"&gt;="&amp;IF(ISBLANK($B$5),0,$B$5),'Master Leads'!$E:$E,"&lt;="&amp;IF(ISBLANK($D$5),99999,$D$5)))</f>
        <v/>
      </c>
      <c r="E71" s="41" t="str">
        <f>IF($A71="","",COUNTIFS('Master Leads'!$D:$D,$A71,'Master Leads'!$F:$F,"Interested",'Master Leads'!$E:$E,"&gt;="&amp;IF(ISBLANK($B$5),0,$B$5),'Master Leads'!$E:$E,"&lt;="&amp;IF(ISBLANK($D$5),99999,$D$5)))</f>
        <v/>
      </c>
      <c r="F71" s="41" t="str">
        <f>IF($A71="","",COUNTIFS('Master Leads'!$D:$D,$A71,'Master Leads'!$E:$E,"&gt;="&amp;IF(ISBLANK($B$5),0,$B$5),'Master Leads'!$E:$E,"&lt;="&amp;IF(ISBLANK($D$5),99999,$D$5)) - COUNTIFS('Master Leads'!$D:$D,$A71,'Master Leads'!$F:$F,"Converted",'Master Leads'!$E:$E,"&gt;="&amp;IF(ISBLANK($B$5),0,$B$5),'Master Leads'!$E:$E,"&lt;="&amp;IF(ISBLANK($D$5),99999,$D$5)) - COUNTIFS('Master Leads'!$D:$D,$A71,'Master Leads'!$F:$F,"Not Interested",'Master Leads'!$E:$E,"&gt;="&amp;IF(ISBLANK($B$5),0,$B$5),'Master Leads'!$E:$E,"&lt;="&amp;IF(ISBLANK($D$5),99999,$D$5)) - COUNTIFS('Master Leads'!$D:$D,$A71,'Master Leads'!$F:$F,"Off",'Master Leads'!$E:$E,"&gt;="&amp;IF(ISBLANK($B$5),0,$B$5),'Master Leads'!$E:$E,"&lt;="&amp;IF(ISBLANK($D$5),99999,$D$5)) - COUNTIFS('Master Leads'!$D:$D,$A71,'Master Leads'!$F:$F,"Invalid",'Master Leads'!$E:$E,"&gt;="&amp;IF(ISBLANK($B$5),0,$B$5),'Master Leads'!$E:$E,"&lt;="&amp;IF(ISBLANK($D$5),99999,$D$5)) - COUNTIFS('Master Leads'!$D:$D,$A71,'Master Leads'!$F:$F,"Wrong number",'Master Leads'!$E:$E,"&gt;="&amp;IF(ISBLANK($B$5),0,$B$5),'Master Leads'!$E:$E,"&lt;="&amp;IF(ISBLANK($D$5),99999,$D$5)) - B71 - C71 - D71 - E71)</f>
        <v/>
      </c>
      <c r="G71" s="90" t="str">
        <f t="shared" si="5"/>
        <v/>
      </c>
      <c r="H71" s="51" t="str">
        <f t="shared" si="6"/>
        <v/>
      </c>
      <c r="I71" s="91" t="str">
        <f t="shared" si="7"/>
        <v/>
      </c>
      <c r="J71" s="8"/>
    </row>
    <row r="72">
      <c r="A72" s="52" t="str">
        <f t="array" ref="A72">IF(INDEX(Members!$A:$A,15)="","",INDEX(Members!$A:$A,15))</f>
        <v/>
      </c>
      <c r="B72" s="53" t="str">
        <f>IF($A72="","",COUNTIFS('Master Leads'!$D:$D,$A72,'Master Leads'!$F:$F,"New",'Master Leads'!$E:$E,"&gt;="&amp;IF(ISBLANK($B$5),0,$B$5),'Master Leads'!$E:$E,"&lt;="&amp;IF(ISBLANK($D$5),99999,$D$5)))</f>
        <v/>
      </c>
      <c r="C72" s="53" t="str">
        <f>IF($A72="","",COUNTIFS('Master Leads'!$D:$D,$A72,'Master Leads'!$F:$F,"Contacted",'Master Leads'!$E:$E,"&gt;="&amp;IF(ISBLANK($B$5),0,$B$5),'Master Leads'!$E:$E,"&lt;="&amp;IF(ISBLANK($D$5),99999,$D$5)))</f>
        <v/>
      </c>
      <c r="D72" s="53" t="str">
        <f>IF($A72="","",COUNTIFS('Master Leads'!$D:$D,$A72,'Master Leads'!$F:$F,"No Answer",'Master Leads'!$E:$E,"&gt;="&amp;IF(ISBLANK($B$5),0,$B$5),'Master Leads'!$E:$E,"&lt;="&amp;IF(ISBLANK($D$5),99999,$D$5)))</f>
        <v/>
      </c>
      <c r="E72" s="53" t="str">
        <f>IF($A72="","",COUNTIFS('Master Leads'!$D:$D,$A72,'Master Leads'!$F:$F,"Interested",'Master Leads'!$E:$E,"&gt;="&amp;IF(ISBLANK($B$5),0,$B$5),'Master Leads'!$E:$E,"&lt;="&amp;IF(ISBLANK($D$5),99999,$D$5)))</f>
        <v/>
      </c>
      <c r="F72" s="53" t="str">
        <f>IF($A72="","",COUNTIFS('Master Leads'!$D:$D,$A72,'Master Leads'!$E:$E,"&gt;="&amp;IF(ISBLANK($B$5),0,$B$5),'Master Leads'!$E:$E,"&lt;="&amp;IF(ISBLANK($D$5),99999,$D$5)) - COUNTIFS('Master Leads'!$D:$D,$A72,'Master Leads'!$F:$F,"Converted",'Master Leads'!$E:$E,"&gt;="&amp;IF(ISBLANK($B$5),0,$B$5),'Master Leads'!$E:$E,"&lt;="&amp;IF(ISBLANK($D$5),99999,$D$5)) - COUNTIFS('Master Leads'!$D:$D,$A72,'Master Leads'!$F:$F,"Not Interested",'Master Leads'!$E:$E,"&gt;="&amp;IF(ISBLANK($B$5),0,$B$5),'Master Leads'!$E:$E,"&lt;="&amp;IF(ISBLANK($D$5),99999,$D$5)) - COUNTIFS('Master Leads'!$D:$D,$A72,'Master Leads'!$F:$F,"Off",'Master Leads'!$E:$E,"&gt;="&amp;IF(ISBLANK($B$5),0,$B$5),'Master Leads'!$E:$E,"&lt;="&amp;IF(ISBLANK($D$5),99999,$D$5)) - COUNTIFS('Master Leads'!$D:$D,$A72,'Master Leads'!$F:$F,"Invalid",'Master Leads'!$E:$E,"&gt;="&amp;IF(ISBLANK($B$5),0,$B$5),'Master Leads'!$E:$E,"&lt;="&amp;IF(ISBLANK($D$5),99999,$D$5)) - COUNTIFS('Master Leads'!$D:$D,$A72,'Master Leads'!$F:$F,"Wrong number",'Master Leads'!$E:$E,"&gt;="&amp;IF(ISBLANK($B$5),0,$B$5),'Master Leads'!$E:$E,"&lt;="&amp;IF(ISBLANK($D$5),99999,$D$5)) - B72 - C72 - D72 - E72)</f>
        <v/>
      </c>
      <c r="G72" s="92" t="str">
        <f t="shared" si="5"/>
        <v/>
      </c>
      <c r="H72" s="60" t="str">
        <f t="shared" si="6"/>
        <v/>
      </c>
      <c r="I72" s="93" t="str">
        <f t="shared" si="7"/>
        <v/>
      </c>
      <c r="J72" s="8"/>
    </row>
    <row r="73">
      <c r="A73" s="34" t="str">
        <f t="array" ref="A73">IF(INDEX(Members!$A:$A,16)="","",INDEX(Members!$A:$A,16))</f>
        <v/>
      </c>
      <c r="B73" s="41" t="str">
        <f>IF($A73="","",COUNTIFS('Master Leads'!$D:$D,$A73,'Master Leads'!$F:$F,"New",'Master Leads'!$E:$E,"&gt;="&amp;IF(ISBLANK($B$5),0,$B$5),'Master Leads'!$E:$E,"&lt;="&amp;IF(ISBLANK($D$5),99999,$D$5)))</f>
        <v/>
      </c>
      <c r="C73" s="41" t="str">
        <f>IF($A73="","",COUNTIFS('Master Leads'!$D:$D,$A73,'Master Leads'!$F:$F,"Contacted",'Master Leads'!$E:$E,"&gt;="&amp;IF(ISBLANK($B$5),0,$B$5),'Master Leads'!$E:$E,"&lt;="&amp;IF(ISBLANK($D$5),99999,$D$5)))</f>
        <v/>
      </c>
      <c r="D73" s="41" t="str">
        <f>IF($A73="","",COUNTIFS('Master Leads'!$D:$D,$A73,'Master Leads'!$F:$F,"No Answer",'Master Leads'!$E:$E,"&gt;="&amp;IF(ISBLANK($B$5),0,$B$5),'Master Leads'!$E:$E,"&lt;="&amp;IF(ISBLANK($D$5),99999,$D$5)))</f>
        <v/>
      </c>
      <c r="E73" s="41" t="str">
        <f>IF($A73="","",COUNTIFS('Master Leads'!$D:$D,$A73,'Master Leads'!$F:$F,"Interested",'Master Leads'!$E:$E,"&gt;="&amp;IF(ISBLANK($B$5),0,$B$5),'Master Leads'!$E:$E,"&lt;="&amp;IF(ISBLANK($D$5),99999,$D$5)))</f>
        <v/>
      </c>
      <c r="F73" s="41" t="str">
        <f>IF($A73="","",COUNTIFS('Master Leads'!$D:$D,$A73,'Master Leads'!$E:$E,"&gt;="&amp;IF(ISBLANK($B$5),0,$B$5),'Master Leads'!$E:$E,"&lt;="&amp;IF(ISBLANK($D$5),99999,$D$5)) - COUNTIFS('Master Leads'!$D:$D,$A73,'Master Leads'!$F:$F,"Converted",'Master Leads'!$E:$E,"&gt;="&amp;IF(ISBLANK($B$5),0,$B$5),'Master Leads'!$E:$E,"&lt;="&amp;IF(ISBLANK($D$5),99999,$D$5)) - COUNTIFS('Master Leads'!$D:$D,$A73,'Master Leads'!$F:$F,"Not Interested",'Master Leads'!$E:$E,"&gt;="&amp;IF(ISBLANK($B$5),0,$B$5),'Master Leads'!$E:$E,"&lt;="&amp;IF(ISBLANK($D$5),99999,$D$5)) - COUNTIFS('Master Leads'!$D:$D,$A73,'Master Leads'!$F:$F,"Off",'Master Leads'!$E:$E,"&gt;="&amp;IF(ISBLANK($B$5),0,$B$5),'Master Leads'!$E:$E,"&lt;="&amp;IF(ISBLANK($D$5),99999,$D$5)) - COUNTIFS('Master Leads'!$D:$D,$A73,'Master Leads'!$F:$F,"Invalid",'Master Leads'!$E:$E,"&gt;="&amp;IF(ISBLANK($B$5),0,$B$5),'Master Leads'!$E:$E,"&lt;="&amp;IF(ISBLANK($D$5),99999,$D$5)) - COUNTIFS('Master Leads'!$D:$D,$A73,'Master Leads'!$F:$F,"Wrong number",'Master Leads'!$E:$E,"&gt;="&amp;IF(ISBLANK($B$5),0,$B$5),'Master Leads'!$E:$E,"&lt;="&amp;IF(ISBLANK($D$5),99999,$D$5)) - B73 - C73 - D73 - E73)</f>
        <v/>
      </c>
      <c r="G73" s="90" t="str">
        <f t="shared" si="5"/>
        <v/>
      </c>
      <c r="H73" s="51" t="str">
        <f t="shared" si="6"/>
        <v/>
      </c>
      <c r="I73" s="91" t="str">
        <f t="shared" si="7"/>
        <v/>
      </c>
      <c r="J73" s="8"/>
    </row>
    <row r="74">
      <c r="A74" s="52" t="str">
        <f t="array" ref="A74">IF(INDEX(Members!$A:$A,17)="","",INDEX(Members!$A:$A,17))</f>
        <v/>
      </c>
      <c r="B74" s="53" t="str">
        <f>IF($A74="","",COUNTIFS('Master Leads'!$D:$D,$A74,'Master Leads'!$F:$F,"New",'Master Leads'!$E:$E,"&gt;="&amp;IF(ISBLANK($B$5),0,$B$5),'Master Leads'!$E:$E,"&lt;="&amp;IF(ISBLANK($D$5),99999,$D$5)))</f>
        <v/>
      </c>
      <c r="C74" s="53" t="str">
        <f>IF($A74="","",COUNTIFS('Master Leads'!$D:$D,$A74,'Master Leads'!$F:$F,"Contacted",'Master Leads'!$E:$E,"&gt;="&amp;IF(ISBLANK($B$5),0,$B$5),'Master Leads'!$E:$E,"&lt;="&amp;IF(ISBLANK($D$5),99999,$D$5)))</f>
        <v/>
      </c>
      <c r="D74" s="53" t="str">
        <f>IF($A74="","",COUNTIFS('Master Leads'!$D:$D,$A74,'Master Leads'!$F:$F,"No Answer",'Master Leads'!$E:$E,"&gt;="&amp;IF(ISBLANK($B$5),0,$B$5),'Master Leads'!$E:$E,"&lt;="&amp;IF(ISBLANK($D$5),99999,$D$5)))</f>
        <v/>
      </c>
      <c r="E74" s="53" t="str">
        <f>IF($A74="","",COUNTIFS('Master Leads'!$D:$D,$A74,'Master Leads'!$F:$F,"Interested",'Master Leads'!$E:$E,"&gt;="&amp;IF(ISBLANK($B$5),0,$B$5),'Master Leads'!$E:$E,"&lt;="&amp;IF(ISBLANK($D$5),99999,$D$5)))</f>
        <v/>
      </c>
      <c r="F74" s="53" t="str">
        <f>IF($A74="","",COUNTIFS('Master Leads'!$D:$D,$A74,'Master Leads'!$E:$E,"&gt;="&amp;IF(ISBLANK($B$5),0,$B$5),'Master Leads'!$E:$E,"&lt;="&amp;IF(ISBLANK($D$5),99999,$D$5)) - COUNTIFS('Master Leads'!$D:$D,$A74,'Master Leads'!$F:$F,"Converted",'Master Leads'!$E:$E,"&gt;="&amp;IF(ISBLANK($B$5),0,$B$5),'Master Leads'!$E:$E,"&lt;="&amp;IF(ISBLANK($D$5),99999,$D$5)) - COUNTIFS('Master Leads'!$D:$D,$A74,'Master Leads'!$F:$F,"Not Interested",'Master Leads'!$E:$E,"&gt;="&amp;IF(ISBLANK($B$5),0,$B$5),'Master Leads'!$E:$E,"&lt;="&amp;IF(ISBLANK($D$5),99999,$D$5)) - COUNTIFS('Master Leads'!$D:$D,$A74,'Master Leads'!$F:$F,"Off",'Master Leads'!$E:$E,"&gt;="&amp;IF(ISBLANK($B$5),0,$B$5),'Master Leads'!$E:$E,"&lt;="&amp;IF(ISBLANK($D$5),99999,$D$5)) - COUNTIFS('Master Leads'!$D:$D,$A74,'Master Leads'!$F:$F,"Invalid",'Master Leads'!$E:$E,"&gt;="&amp;IF(ISBLANK($B$5),0,$B$5),'Master Leads'!$E:$E,"&lt;="&amp;IF(ISBLANK($D$5),99999,$D$5)) - COUNTIFS('Master Leads'!$D:$D,$A74,'Master Leads'!$F:$F,"Wrong number",'Master Leads'!$E:$E,"&gt;="&amp;IF(ISBLANK($B$5),0,$B$5),'Master Leads'!$E:$E,"&lt;="&amp;IF(ISBLANK($D$5),99999,$D$5)) - B74 - C74 - D74 - E74)</f>
        <v/>
      </c>
      <c r="G74" s="92" t="str">
        <f t="shared" si="5"/>
        <v/>
      </c>
      <c r="H74" s="60" t="str">
        <f t="shared" si="6"/>
        <v/>
      </c>
      <c r="I74" s="93" t="str">
        <f t="shared" si="7"/>
        <v/>
      </c>
      <c r="J74" s="8"/>
    </row>
    <row r="75">
      <c r="A75" s="34" t="str">
        <f t="array" ref="A75">IF(INDEX(Members!$A:$A,18)="","",INDEX(Members!$A:$A,18))</f>
        <v/>
      </c>
      <c r="B75" s="41" t="str">
        <f>IF($A75="","",COUNTIFS('Master Leads'!$D:$D,$A75,'Master Leads'!$F:$F,"New",'Master Leads'!$E:$E,"&gt;="&amp;IF(ISBLANK($B$5),0,$B$5),'Master Leads'!$E:$E,"&lt;="&amp;IF(ISBLANK($D$5),99999,$D$5)))</f>
        <v/>
      </c>
      <c r="C75" s="41" t="str">
        <f>IF($A75="","",COUNTIFS('Master Leads'!$D:$D,$A75,'Master Leads'!$F:$F,"Contacted",'Master Leads'!$E:$E,"&gt;="&amp;IF(ISBLANK($B$5),0,$B$5),'Master Leads'!$E:$E,"&lt;="&amp;IF(ISBLANK($D$5),99999,$D$5)))</f>
        <v/>
      </c>
      <c r="D75" s="41" t="str">
        <f>IF($A75="","",COUNTIFS('Master Leads'!$D:$D,$A75,'Master Leads'!$F:$F,"No Answer",'Master Leads'!$E:$E,"&gt;="&amp;IF(ISBLANK($B$5),0,$B$5),'Master Leads'!$E:$E,"&lt;="&amp;IF(ISBLANK($D$5),99999,$D$5)))</f>
        <v/>
      </c>
      <c r="E75" s="41" t="str">
        <f>IF($A75="","",COUNTIFS('Master Leads'!$D:$D,$A75,'Master Leads'!$F:$F,"Interested",'Master Leads'!$E:$E,"&gt;="&amp;IF(ISBLANK($B$5),0,$B$5),'Master Leads'!$E:$E,"&lt;="&amp;IF(ISBLANK($D$5),99999,$D$5)))</f>
        <v/>
      </c>
      <c r="F75" s="41" t="str">
        <f>IF($A75="","",COUNTIFS('Master Leads'!$D:$D,$A75,'Master Leads'!$E:$E,"&gt;="&amp;IF(ISBLANK($B$5),0,$B$5),'Master Leads'!$E:$E,"&lt;="&amp;IF(ISBLANK($D$5),99999,$D$5)) - COUNTIFS('Master Leads'!$D:$D,$A75,'Master Leads'!$F:$F,"Converted",'Master Leads'!$E:$E,"&gt;="&amp;IF(ISBLANK($B$5),0,$B$5),'Master Leads'!$E:$E,"&lt;="&amp;IF(ISBLANK($D$5),99999,$D$5)) - COUNTIFS('Master Leads'!$D:$D,$A75,'Master Leads'!$F:$F,"Not Interested",'Master Leads'!$E:$E,"&gt;="&amp;IF(ISBLANK($B$5),0,$B$5),'Master Leads'!$E:$E,"&lt;="&amp;IF(ISBLANK($D$5),99999,$D$5)) - COUNTIFS('Master Leads'!$D:$D,$A75,'Master Leads'!$F:$F,"Off",'Master Leads'!$E:$E,"&gt;="&amp;IF(ISBLANK($B$5),0,$B$5),'Master Leads'!$E:$E,"&lt;="&amp;IF(ISBLANK($D$5),99999,$D$5)) - COUNTIFS('Master Leads'!$D:$D,$A75,'Master Leads'!$F:$F,"Invalid",'Master Leads'!$E:$E,"&gt;="&amp;IF(ISBLANK($B$5),0,$B$5),'Master Leads'!$E:$E,"&lt;="&amp;IF(ISBLANK($D$5),99999,$D$5)) - COUNTIFS('Master Leads'!$D:$D,$A75,'Master Leads'!$F:$F,"Wrong number",'Master Leads'!$E:$E,"&gt;="&amp;IF(ISBLANK($B$5),0,$B$5),'Master Leads'!$E:$E,"&lt;="&amp;IF(ISBLANK($D$5),99999,$D$5)) - B75 - C75 - D75 - E75)</f>
        <v/>
      </c>
      <c r="G75" s="90" t="str">
        <f t="shared" si="5"/>
        <v/>
      </c>
      <c r="H75" s="51" t="str">
        <f t="shared" si="6"/>
        <v/>
      </c>
      <c r="I75" s="91" t="str">
        <f t="shared" si="7"/>
        <v/>
      </c>
      <c r="J75" s="8"/>
    </row>
    <row r="76">
      <c r="A76" s="52" t="str">
        <f t="array" ref="A76">IF(INDEX(Members!$A:$A,19)="","",INDEX(Members!$A:$A,19))</f>
        <v/>
      </c>
      <c r="B76" s="53" t="str">
        <f>IF($A76="","",COUNTIFS('Master Leads'!$D:$D,$A76,'Master Leads'!$F:$F,"New",'Master Leads'!$E:$E,"&gt;="&amp;IF(ISBLANK($B$5),0,$B$5),'Master Leads'!$E:$E,"&lt;="&amp;IF(ISBLANK($D$5),99999,$D$5)))</f>
        <v/>
      </c>
      <c r="C76" s="53" t="str">
        <f>IF($A76="","",COUNTIFS('Master Leads'!$D:$D,$A76,'Master Leads'!$F:$F,"Contacted",'Master Leads'!$E:$E,"&gt;="&amp;IF(ISBLANK($B$5),0,$B$5),'Master Leads'!$E:$E,"&lt;="&amp;IF(ISBLANK($D$5),99999,$D$5)))</f>
        <v/>
      </c>
      <c r="D76" s="53" t="str">
        <f>IF($A76="","",COUNTIFS('Master Leads'!$D:$D,$A76,'Master Leads'!$F:$F,"No Answer",'Master Leads'!$E:$E,"&gt;="&amp;IF(ISBLANK($B$5),0,$B$5),'Master Leads'!$E:$E,"&lt;="&amp;IF(ISBLANK($D$5),99999,$D$5)))</f>
        <v/>
      </c>
      <c r="E76" s="53" t="str">
        <f>IF($A76="","",COUNTIFS('Master Leads'!$D:$D,$A76,'Master Leads'!$F:$F,"Interested",'Master Leads'!$E:$E,"&gt;="&amp;IF(ISBLANK($B$5),0,$B$5),'Master Leads'!$E:$E,"&lt;="&amp;IF(ISBLANK($D$5),99999,$D$5)))</f>
        <v/>
      </c>
      <c r="F76" s="53" t="str">
        <f>IF($A76="","",COUNTIFS('Master Leads'!$D:$D,$A76,'Master Leads'!$E:$E,"&gt;="&amp;IF(ISBLANK($B$5),0,$B$5),'Master Leads'!$E:$E,"&lt;="&amp;IF(ISBLANK($D$5),99999,$D$5)) - COUNTIFS('Master Leads'!$D:$D,$A76,'Master Leads'!$F:$F,"Converted",'Master Leads'!$E:$E,"&gt;="&amp;IF(ISBLANK($B$5),0,$B$5),'Master Leads'!$E:$E,"&lt;="&amp;IF(ISBLANK($D$5),99999,$D$5)) - COUNTIFS('Master Leads'!$D:$D,$A76,'Master Leads'!$F:$F,"Not Interested",'Master Leads'!$E:$E,"&gt;="&amp;IF(ISBLANK($B$5),0,$B$5),'Master Leads'!$E:$E,"&lt;="&amp;IF(ISBLANK($D$5),99999,$D$5)) - COUNTIFS('Master Leads'!$D:$D,$A76,'Master Leads'!$F:$F,"Off",'Master Leads'!$E:$E,"&gt;="&amp;IF(ISBLANK($B$5),0,$B$5),'Master Leads'!$E:$E,"&lt;="&amp;IF(ISBLANK($D$5),99999,$D$5)) - COUNTIFS('Master Leads'!$D:$D,$A76,'Master Leads'!$F:$F,"Invalid",'Master Leads'!$E:$E,"&gt;="&amp;IF(ISBLANK($B$5),0,$B$5),'Master Leads'!$E:$E,"&lt;="&amp;IF(ISBLANK($D$5),99999,$D$5)) - COUNTIFS('Master Leads'!$D:$D,$A76,'Master Leads'!$F:$F,"Wrong number",'Master Leads'!$E:$E,"&gt;="&amp;IF(ISBLANK($B$5),0,$B$5),'Master Leads'!$E:$E,"&lt;="&amp;IF(ISBLANK($D$5),99999,$D$5)) - B76 - C76 - D76 - E76)</f>
        <v/>
      </c>
      <c r="G76" s="92" t="str">
        <f t="shared" si="5"/>
        <v/>
      </c>
      <c r="H76" s="60" t="str">
        <f t="shared" si="6"/>
        <v/>
      </c>
      <c r="I76" s="93" t="str">
        <f t="shared" si="7"/>
        <v/>
      </c>
      <c r="J76" s="8"/>
    </row>
    <row r="77">
      <c r="A77" s="34" t="str">
        <f t="array" ref="A77">IF(INDEX(Members!$A:$A,20)="","",INDEX(Members!$A:$A,20))</f>
        <v/>
      </c>
      <c r="B77" s="41" t="str">
        <f>IF($A77="","",COUNTIFS('Master Leads'!$D:$D,$A77,'Master Leads'!$F:$F,"New",'Master Leads'!$E:$E,"&gt;="&amp;IF(ISBLANK($B$5),0,$B$5),'Master Leads'!$E:$E,"&lt;="&amp;IF(ISBLANK($D$5),99999,$D$5)))</f>
        <v/>
      </c>
      <c r="C77" s="41" t="str">
        <f>IF($A77="","",COUNTIFS('Master Leads'!$D:$D,$A77,'Master Leads'!$F:$F,"Contacted",'Master Leads'!$E:$E,"&gt;="&amp;IF(ISBLANK($B$5),0,$B$5),'Master Leads'!$E:$E,"&lt;="&amp;IF(ISBLANK($D$5),99999,$D$5)))</f>
        <v/>
      </c>
      <c r="D77" s="41" t="str">
        <f>IF($A77="","",COUNTIFS('Master Leads'!$D:$D,$A77,'Master Leads'!$F:$F,"No Answer",'Master Leads'!$E:$E,"&gt;="&amp;IF(ISBLANK($B$5),0,$B$5),'Master Leads'!$E:$E,"&lt;="&amp;IF(ISBLANK($D$5),99999,$D$5)))</f>
        <v/>
      </c>
      <c r="E77" s="41" t="str">
        <f>IF($A77="","",COUNTIFS('Master Leads'!$D:$D,$A77,'Master Leads'!$F:$F,"Interested",'Master Leads'!$E:$E,"&gt;="&amp;IF(ISBLANK($B$5),0,$B$5),'Master Leads'!$E:$E,"&lt;="&amp;IF(ISBLANK($D$5),99999,$D$5)))</f>
        <v/>
      </c>
      <c r="F77" s="41" t="str">
        <f>IF($A77="","",COUNTIFS('Master Leads'!$D:$D,$A77,'Master Leads'!$E:$E,"&gt;="&amp;IF(ISBLANK($B$5),0,$B$5),'Master Leads'!$E:$E,"&lt;="&amp;IF(ISBLANK($D$5),99999,$D$5)) - COUNTIFS('Master Leads'!$D:$D,$A77,'Master Leads'!$F:$F,"Converted",'Master Leads'!$E:$E,"&gt;="&amp;IF(ISBLANK($B$5),0,$B$5),'Master Leads'!$E:$E,"&lt;="&amp;IF(ISBLANK($D$5),99999,$D$5)) - COUNTIFS('Master Leads'!$D:$D,$A77,'Master Leads'!$F:$F,"Not Interested",'Master Leads'!$E:$E,"&gt;="&amp;IF(ISBLANK($B$5),0,$B$5),'Master Leads'!$E:$E,"&lt;="&amp;IF(ISBLANK($D$5),99999,$D$5)) - COUNTIFS('Master Leads'!$D:$D,$A77,'Master Leads'!$F:$F,"Off",'Master Leads'!$E:$E,"&gt;="&amp;IF(ISBLANK($B$5),0,$B$5),'Master Leads'!$E:$E,"&lt;="&amp;IF(ISBLANK($D$5),99999,$D$5)) - COUNTIFS('Master Leads'!$D:$D,$A77,'Master Leads'!$F:$F,"Invalid",'Master Leads'!$E:$E,"&gt;="&amp;IF(ISBLANK($B$5),0,$B$5),'Master Leads'!$E:$E,"&lt;="&amp;IF(ISBLANK($D$5),99999,$D$5)) - COUNTIFS('Master Leads'!$D:$D,$A77,'Master Leads'!$F:$F,"Wrong number",'Master Leads'!$E:$E,"&gt;="&amp;IF(ISBLANK($B$5),0,$B$5),'Master Leads'!$E:$E,"&lt;="&amp;IF(ISBLANK($D$5),99999,$D$5)) - B77 - C77 - D77 - E77)</f>
        <v/>
      </c>
      <c r="G77" s="90" t="str">
        <f t="shared" si="5"/>
        <v/>
      </c>
      <c r="H77" s="51" t="str">
        <f t="shared" si="6"/>
        <v/>
      </c>
      <c r="I77" s="91" t="str">
        <f t="shared" si="7"/>
        <v/>
      </c>
      <c r="J77" s="8"/>
    </row>
    <row r="78">
      <c r="A78" s="52" t="str">
        <f t="array" ref="A78">IF(INDEX(Members!$A:$A,21)="","",INDEX(Members!$A:$A,21))</f>
        <v/>
      </c>
      <c r="B78" s="53" t="str">
        <f>IF($A78="","",COUNTIFS('Master Leads'!$D:$D,$A78,'Master Leads'!$F:$F,"New",'Master Leads'!$E:$E,"&gt;="&amp;IF(ISBLANK($B$5),0,$B$5),'Master Leads'!$E:$E,"&lt;="&amp;IF(ISBLANK($D$5),99999,$D$5)))</f>
        <v/>
      </c>
      <c r="C78" s="53" t="str">
        <f>IF($A78="","",COUNTIFS('Master Leads'!$D:$D,$A78,'Master Leads'!$F:$F,"Contacted",'Master Leads'!$E:$E,"&gt;="&amp;IF(ISBLANK($B$5),0,$B$5),'Master Leads'!$E:$E,"&lt;="&amp;IF(ISBLANK($D$5),99999,$D$5)))</f>
        <v/>
      </c>
      <c r="D78" s="53" t="str">
        <f>IF($A78="","",COUNTIFS('Master Leads'!$D:$D,$A78,'Master Leads'!$F:$F,"No Answer",'Master Leads'!$E:$E,"&gt;="&amp;IF(ISBLANK($B$5),0,$B$5),'Master Leads'!$E:$E,"&lt;="&amp;IF(ISBLANK($D$5),99999,$D$5)))</f>
        <v/>
      </c>
      <c r="E78" s="53" t="str">
        <f>IF($A78="","",COUNTIFS('Master Leads'!$D:$D,$A78,'Master Leads'!$F:$F,"Interested",'Master Leads'!$E:$E,"&gt;="&amp;IF(ISBLANK($B$5),0,$B$5),'Master Leads'!$E:$E,"&lt;="&amp;IF(ISBLANK($D$5),99999,$D$5)))</f>
        <v/>
      </c>
      <c r="F78" s="53" t="str">
        <f>IF($A78="","",COUNTIFS('Master Leads'!$D:$D,$A78,'Master Leads'!$E:$E,"&gt;="&amp;IF(ISBLANK($B$5),0,$B$5),'Master Leads'!$E:$E,"&lt;="&amp;IF(ISBLANK($D$5),99999,$D$5)) - COUNTIFS('Master Leads'!$D:$D,$A78,'Master Leads'!$F:$F,"Converted",'Master Leads'!$E:$E,"&gt;="&amp;IF(ISBLANK($B$5),0,$B$5),'Master Leads'!$E:$E,"&lt;="&amp;IF(ISBLANK($D$5),99999,$D$5)) - COUNTIFS('Master Leads'!$D:$D,$A78,'Master Leads'!$F:$F,"Not Interested",'Master Leads'!$E:$E,"&gt;="&amp;IF(ISBLANK($B$5),0,$B$5),'Master Leads'!$E:$E,"&lt;="&amp;IF(ISBLANK($D$5),99999,$D$5)) - COUNTIFS('Master Leads'!$D:$D,$A78,'Master Leads'!$F:$F,"Off",'Master Leads'!$E:$E,"&gt;="&amp;IF(ISBLANK($B$5),0,$B$5),'Master Leads'!$E:$E,"&lt;="&amp;IF(ISBLANK($D$5),99999,$D$5)) - COUNTIFS('Master Leads'!$D:$D,$A78,'Master Leads'!$F:$F,"Invalid",'Master Leads'!$E:$E,"&gt;="&amp;IF(ISBLANK($B$5),0,$B$5),'Master Leads'!$E:$E,"&lt;="&amp;IF(ISBLANK($D$5),99999,$D$5)) - COUNTIFS('Master Leads'!$D:$D,$A78,'Master Leads'!$F:$F,"Wrong number",'Master Leads'!$E:$E,"&gt;="&amp;IF(ISBLANK($B$5),0,$B$5),'Master Leads'!$E:$E,"&lt;="&amp;IF(ISBLANK($D$5),99999,$D$5)) - B78 - C78 - D78 - E78)</f>
        <v/>
      </c>
      <c r="G78" s="92" t="str">
        <f t="shared" si="5"/>
        <v/>
      </c>
      <c r="H78" s="60" t="str">
        <f t="shared" si="6"/>
        <v/>
      </c>
      <c r="I78" s="93" t="str">
        <f t="shared" si="7"/>
        <v/>
      </c>
      <c r="J78" s="8"/>
    </row>
    <row r="79" ht="16.5" customHeight="1">
      <c r="A79" s="94" t="s">
        <v>786</v>
      </c>
      <c r="B79" s="95">
        <f>COUNTIFS('Master Leads'!$F:$F,"New",'Master Leads'!$E:$E,"&gt;="&amp;IF(ISBLANK($B$5),0,$B$5),'Master Leads'!$E:$E,"&lt;="&amp;IF(ISBLANK($D$5),99999,$D$5))</f>
        <v>2</v>
      </c>
      <c r="C79" s="95">
        <f>COUNTIFS('Master Leads'!$F:$F,"Contacted",'Master Leads'!$E:$E,"&gt;="&amp;IF(ISBLANK($B$5),0,$B$5),'Master Leads'!$E:$E,"&lt;="&amp;IF(ISBLANK($D$5),99999,$D$5))</f>
        <v>1616</v>
      </c>
      <c r="D79" s="95">
        <f>COUNTIFS('Master Leads'!$F:$F,"No Answer",'Master Leads'!$E:$E,"&gt;="&amp;IF(ISBLANK($B$5),0,$B$5),'Master Leads'!$E:$E,"&lt;="&amp;IF(ISBLANK($D$5),99999,$D$5))</f>
        <v>825</v>
      </c>
      <c r="E79" s="95">
        <f>COUNTIFS('Master Leads'!$F:$F,"Interested",'Master Leads'!$E:$E,"&gt;="&amp;IF(ISBLANK($B$5),0,$B$5),'Master Leads'!$E:$E,"&lt;="&amp;IF(ISBLANK($D$5),99999,$D$5))</f>
        <v>41</v>
      </c>
      <c r="F79" s="95">
        <f>H29 - COUNTIFS('Master Leads'!$F:$F,"Converted",'Master Leads'!$E:$E,"&gt;="&amp;IF(ISBLANK($B$5),0,$B$5),'Master Leads'!$E:$E,"&lt;="&amp;IF(ISBLANK($D$5),99999,$D$5)) - COUNTIFS('Master Leads'!$F:$F,"Not Interested",'Master Leads'!$E:$E,"&gt;="&amp;IF(ISBLANK($B$5),0,$B$5),'Master Leads'!$E:$E,"&lt;="&amp;IF(ISBLANK($D$5),99999,$D$5)) - COUNTIFS('Master Leads'!$F:$F,"Off",'Master Leads'!$E:$E,"&gt;="&amp;IF(ISBLANK($B$5),0,$B$5),'Master Leads'!$E:$E,"&lt;="&amp;IF(ISBLANK($D$5),99999,$D$5)) - COUNTIFS('Master Leads'!$F:$F,"Invalid",'Master Leads'!$E:$E,"&gt;="&amp;IF(ISBLANK($B$5),0,$B$5),'Master Leads'!$E:$E,"&lt;="&amp;IF(ISBLANK($D$5),99999,$D$5)) - COUNTIFS('Master Leads'!$F:$F,"Wrong number",'Master Leads'!$E:$E,"&gt;="&amp;IF(ISBLANK($B$5),0,$B$5),'Master Leads'!$E:$E,"&lt;="&amp;IF(ISBLANK($D$5),99999,$D$5)) - SUM(B79:E79)</f>
        <v>238</v>
      </c>
      <c r="G79" s="95">
        <f>SUM(B79:F79)</f>
        <v>2722</v>
      </c>
      <c r="H79" s="96">
        <f>IF(H29=0,"",G79/H29)</f>
        <v>0.8248484848</v>
      </c>
      <c r="I79" s="96">
        <f>IF(H29=0,"",(B79+E79+F79)/H29)</f>
        <v>0.08515151515</v>
      </c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97" t="s">
        <v>802</v>
      </c>
      <c r="B82" s="8"/>
      <c r="C82" s="8"/>
      <c r="D82" s="8"/>
      <c r="E82" s="8"/>
      <c r="F82" s="8"/>
      <c r="G82" s="8"/>
      <c r="H82" s="8"/>
      <c r="I82" s="8"/>
      <c r="J82" s="8"/>
    </row>
    <row r="83" ht="18.0" customHeight="1">
      <c r="A83" s="98" t="s">
        <v>804</v>
      </c>
      <c r="B83" s="98" t="s">
        <v>68</v>
      </c>
      <c r="C83" s="99" t="s">
        <v>173</v>
      </c>
      <c r="D83" s="99" t="s">
        <v>805</v>
      </c>
      <c r="E83" s="99" t="s">
        <v>113</v>
      </c>
      <c r="F83" s="99" t="s">
        <v>807</v>
      </c>
      <c r="G83" s="98" t="s">
        <v>319</v>
      </c>
      <c r="H83" s="98" t="s">
        <v>318</v>
      </c>
      <c r="I83" s="8"/>
      <c r="J83" s="8"/>
    </row>
    <row r="84">
      <c r="A84" s="100" t="s">
        <v>22</v>
      </c>
      <c r="B84" s="41">
        <f>COUNTIFS('Master Leads'!$I:$I,"S26",'Master Leads'!$E:$E,"&gt;="&amp;IF(ISBLANK($B$5),0,$B$5),'Master Leads'!$E:$E,"&lt;="&amp;IF(ISBLANK($D$5),99999,$D$5))</f>
        <v>3181</v>
      </c>
      <c r="C84" s="41">
        <f>COUNTIFS('Master Leads'!$I:$I,"S26",'Master Leads'!$F:$F,"Converted",'Master Leads'!$E:$E,"&gt;="&amp;IF(ISBLANK($B$5),0,$B$5),'Master Leads'!$E:$E,"&lt;="&amp;IF(ISBLANK($D$5),99999,$D$5))</f>
        <v>23</v>
      </c>
      <c r="D84" s="41">
        <f>COUNTIFS('Master Leads'!$I:$I,"S26",'Master Leads'!$O:$O,"Yes",'Master Leads'!$E:$E,"&gt;="&amp;IF(ISBLANK($B$5),0,$B$5),'Master Leads'!$E:$E,"&lt;="&amp;IF(ISBLANK($D$5),99999,$D$5))</f>
        <v>0</v>
      </c>
      <c r="E84" s="41">
        <f>COUNTIFS('Master Leads'!$I:$I,"S26",'Master Leads'!$F:$F,"Not Interested",'Master Leads'!$E:$E,"&gt;="&amp;IF(ISBLANK($B$5),0,$B$5),'Master Leads'!$E:$E,"&lt;="&amp;IF(ISBLANK($D$5),99999,$D$5))</f>
        <v>105</v>
      </c>
      <c r="F84" s="41">
        <f t="shared" ref="F84:F85" si="8">B84 - C84 - E84</f>
        <v>3053</v>
      </c>
      <c r="G84" s="79">
        <f t="shared" ref="G84:G86" si="9">IF(B84=0,"",C84/B84)</f>
        <v>0.007230430682</v>
      </c>
      <c r="H84" s="51" t="str">
        <f t="shared" ref="H84:H85" si="10">IF(OR(B84=0,$D$86=0),"",D84/$D$86)</f>
        <v/>
      </c>
      <c r="I84" s="8"/>
      <c r="J84" s="8"/>
    </row>
    <row r="85">
      <c r="A85" s="101" t="s">
        <v>816</v>
      </c>
      <c r="B85" s="53">
        <f>COUNTIFS('Master Leads'!$I:$I,"S27",'Master Leads'!$E:$E,"&gt;="&amp;IF(ISBLANK($B$5),0,$B$5),'Master Leads'!$E:$E,"&lt;="&amp;IF(ISBLANK($D$5),99999,$D$5))</f>
        <v>119</v>
      </c>
      <c r="C85" s="53">
        <f>COUNTIFS('Master Leads'!$I:$I,"S27",'Master Leads'!$F:$F,"Converted",'Master Leads'!$E:$E,"&gt;="&amp;IF(ISBLANK($B$5),0,$B$5),'Master Leads'!$E:$E,"&lt;="&amp;IF(ISBLANK($D$5),99999,$D$5))</f>
        <v>0</v>
      </c>
      <c r="D85" s="53">
        <f>COUNTIFS('Master Leads'!$I:$I,"S27",'Master Leads'!$O:$O,"Yes",'Master Leads'!$E:$E,"&gt;="&amp;IF(ISBLANK($B$5),0,$B$5),'Master Leads'!$E:$E,"&lt;="&amp;IF(ISBLANK($D$5),99999,$D$5))</f>
        <v>0</v>
      </c>
      <c r="E85" s="53">
        <f>COUNTIFS('Master Leads'!$I:$I,"S27",'Master Leads'!$F:$F,"Not Interested",'Master Leads'!$E:$E,"&gt;="&amp;IF(ISBLANK($B$5),0,$B$5),'Master Leads'!$E:$E,"&lt;="&amp;IF(ISBLANK($D$5),99999,$D$5))</f>
        <v>6</v>
      </c>
      <c r="F85" s="53">
        <f t="shared" si="8"/>
        <v>113</v>
      </c>
      <c r="G85" s="81">
        <f t="shared" si="9"/>
        <v>0</v>
      </c>
      <c r="H85" s="60" t="str">
        <f t="shared" si="10"/>
        <v/>
      </c>
      <c r="I85" s="8"/>
      <c r="J85" s="8"/>
    </row>
    <row r="86" ht="16.5" customHeight="1">
      <c r="A86" s="102" t="s">
        <v>824</v>
      </c>
      <c r="B86" s="103">
        <f t="shared" ref="B86:F86" si="11">SUM(B84:B85)</f>
        <v>3300</v>
      </c>
      <c r="C86" s="103">
        <f t="shared" si="11"/>
        <v>23</v>
      </c>
      <c r="D86" s="103">
        <f t="shared" si="11"/>
        <v>0</v>
      </c>
      <c r="E86" s="103">
        <f t="shared" si="11"/>
        <v>111</v>
      </c>
      <c r="F86" s="103">
        <f t="shared" si="11"/>
        <v>3166</v>
      </c>
      <c r="G86" s="104">
        <f t="shared" si="9"/>
        <v>0.00696969697</v>
      </c>
      <c r="H86" s="105">
        <v>1.0</v>
      </c>
      <c r="I86" s="8"/>
      <c r="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</row>
  </sheetData>
  <mergeCells count="3">
    <mergeCell ref="A2:J2"/>
    <mergeCell ref="A3:J3"/>
    <mergeCell ref="E5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E4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14"/>
    <col customWidth="1" min="5" max="5" width="27.29"/>
    <col customWidth="1" min="6" max="6" width="20.0"/>
    <col customWidth="1" min="7" max="7" width="18.0"/>
    <col customWidth="1" min="8" max="8" width="14.0"/>
    <col customWidth="1" min="9" max="9" width="25.0"/>
    <col customWidth="1" min="10" max="26" width="8.71"/>
  </cols>
  <sheetData>
    <row r="1" ht="27.75" customHeight="1">
      <c r="A1" s="14" t="s">
        <v>19</v>
      </c>
      <c r="B1" s="15" t="s">
        <v>24</v>
      </c>
      <c r="C1" s="17" t="s">
        <v>26</v>
      </c>
      <c r="D1" s="17" t="s">
        <v>28</v>
      </c>
      <c r="E1" s="22" t="s">
        <v>29</v>
      </c>
      <c r="F1" s="25" t="s">
        <v>36</v>
      </c>
      <c r="G1" s="25" t="s">
        <v>38</v>
      </c>
      <c r="H1" s="27" t="s">
        <v>40</v>
      </c>
      <c r="I1" s="27" t="s">
        <v>42</v>
      </c>
    </row>
    <row r="2" ht="21.75" customHeight="1">
      <c r="A2" s="28" t="s">
        <v>44</v>
      </c>
      <c r="B2" s="32">
        <f>COUNTIF('Master Leads'!D:D,A2)</f>
        <v>29</v>
      </c>
      <c r="C2" s="33">
        <f>COUNTIFS('Master Leads'!D:D,A2,'Master Leads'!F:F,"Converted")</f>
        <v>0</v>
      </c>
      <c r="D2" s="33">
        <f>COUNTIFS('Master Leads'!D:D,A2,'Master Leads'!O:O,"Yes")</f>
        <v>0</v>
      </c>
      <c r="E2" s="35">
        <f>COUNTIFS('Master Leads'!D:D,A2,'Master Leads'!F:F,"No Answer")</f>
        <v>9</v>
      </c>
      <c r="F2" s="36">
        <f t="shared" ref="F2:F11" si="1">IFERROR(C2/B2,"-")</f>
        <v>0</v>
      </c>
      <c r="G2" s="36">
        <f t="shared" ref="G2:G11" si="2">IFERROR(D2/B2,"-")</f>
        <v>0</v>
      </c>
      <c r="H2" s="37"/>
      <c r="I2" s="38"/>
    </row>
    <row r="3" ht="21.75" customHeight="1">
      <c r="A3" s="39" t="s">
        <v>95</v>
      </c>
      <c r="B3" s="40">
        <f>COUNTIF('Master Leads'!D:D,A3)</f>
        <v>0</v>
      </c>
      <c r="C3" s="42">
        <f>COUNTIFS('Master Leads'!D:D,A3,'Master Leads'!F:F,"Converted")</f>
        <v>0</v>
      </c>
      <c r="D3" s="42">
        <f>COUNTIFS('Master Leads'!D:D,A3,'Master Leads'!O:O,"Yes")</f>
        <v>0</v>
      </c>
      <c r="E3" s="43">
        <f>COUNTIFS('Master Leads'!D:D,A3,'Master Leads'!F:F,"No Answer")</f>
        <v>0</v>
      </c>
      <c r="F3" s="44" t="str">
        <f t="shared" si="1"/>
        <v>-</v>
      </c>
      <c r="G3" s="44" t="str">
        <f t="shared" si="2"/>
        <v>-</v>
      </c>
      <c r="H3" s="45"/>
      <c r="I3" s="46"/>
    </row>
    <row r="4" ht="21.75" customHeight="1">
      <c r="A4" s="28" t="s">
        <v>34</v>
      </c>
      <c r="B4" s="32">
        <f>COUNTIF('Master Leads'!D:D,A4)</f>
        <v>609</v>
      </c>
      <c r="C4" s="33">
        <f>COUNTIFS('Master Leads'!D:D,A4,'Master Leads'!F:F,"Converted")</f>
        <v>2</v>
      </c>
      <c r="D4" s="33">
        <f>COUNTIFS('Master Leads'!D:D,A4,'Master Leads'!O:O,"Yes")</f>
        <v>0</v>
      </c>
      <c r="E4" s="35">
        <f>COUNTIFS('Master Leads'!D:D,A4,'Master Leads'!F:F,"No Answer")</f>
        <v>149</v>
      </c>
      <c r="F4" s="36">
        <f t="shared" si="1"/>
        <v>0.00328407225</v>
      </c>
      <c r="G4" s="36">
        <f t="shared" si="2"/>
        <v>0</v>
      </c>
      <c r="H4" s="37"/>
      <c r="I4" s="38"/>
    </row>
    <row r="5" ht="21.75" customHeight="1">
      <c r="A5" s="39" t="s">
        <v>20</v>
      </c>
      <c r="B5" s="40">
        <f>COUNTIF('Master Leads'!D:D,A5)</f>
        <v>598</v>
      </c>
      <c r="C5" s="42">
        <f>COUNTIFS('Master Leads'!D:D,A5,'Master Leads'!F:F,"Converted")</f>
        <v>11</v>
      </c>
      <c r="D5" s="42">
        <f>COUNTIFS('Master Leads'!D:D,A5,'Master Leads'!O:O,"Yes")</f>
        <v>0</v>
      </c>
      <c r="E5" s="43">
        <f>COUNTIFS('Master Leads'!D:D,A5,'Master Leads'!F:F,"No Answer")</f>
        <v>141</v>
      </c>
      <c r="F5" s="44">
        <f t="shared" si="1"/>
        <v>0.01839464883</v>
      </c>
      <c r="G5" s="44">
        <f t="shared" si="2"/>
        <v>0</v>
      </c>
      <c r="H5" s="45"/>
      <c r="I5" s="46"/>
    </row>
    <row r="6" ht="21.75" customHeight="1">
      <c r="A6" s="28" t="s">
        <v>105</v>
      </c>
      <c r="B6" s="32">
        <f>COUNTIF('Master Leads'!D:D,A6)</f>
        <v>87</v>
      </c>
      <c r="C6" s="33">
        <f>COUNTIFS('Master Leads'!D:D,A6,'Master Leads'!F:F,"Converted")</f>
        <v>0</v>
      </c>
      <c r="D6" s="33">
        <f>COUNTIFS('Master Leads'!D:D,A6,'Master Leads'!O:O,"Yes")</f>
        <v>0</v>
      </c>
      <c r="E6" s="35">
        <f>COUNTIFS('Master Leads'!D:D,A6,'Master Leads'!F:F,"No Answer")</f>
        <v>20</v>
      </c>
      <c r="F6" s="36">
        <f t="shared" si="1"/>
        <v>0</v>
      </c>
      <c r="G6" s="36">
        <f t="shared" si="2"/>
        <v>0</v>
      </c>
      <c r="H6" s="37"/>
      <c r="I6" s="38"/>
    </row>
    <row r="7" ht="21.75" customHeight="1">
      <c r="A7" s="39" t="s">
        <v>109</v>
      </c>
      <c r="B7" s="40">
        <f>COUNTIF('Master Leads'!D:D,A7)</f>
        <v>0</v>
      </c>
      <c r="C7" s="42">
        <f>COUNTIFS('Master Leads'!D:D,A7,'Master Leads'!F:F,"Converted")</f>
        <v>0</v>
      </c>
      <c r="D7" s="42">
        <f>COUNTIFS('Master Leads'!D:D,A7,'Master Leads'!O:O,"Yes")</f>
        <v>0</v>
      </c>
      <c r="E7" s="43">
        <f>COUNTIFS('Master Leads'!D:D,A7,'Master Leads'!F:F,"No Answer")</f>
        <v>0</v>
      </c>
      <c r="F7" s="44" t="str">
        <f t="shared" si="1"/>
        <v>-</v>
      </c>
      <c r="G7" s="44" t="str">
        <f t="shared" si="2"/>
        <v>-</v>
      </c>
      <c r="H7" s="45"/>
      <c r="I7" s="46"/>
    </row>
    <row r="8" ht="21.75" customHeight="1">
      <c r="A8" s="28" t="s">
        <v>50</v>
      </c>
      <c r="B8" s="32">
        <f>COUNTIF('Master Leads'!D:D,A8)</f>
        <v>689</v>
      </c>
      <c r="C8" s="33">
        <f>COUNTIFS('Master Leads'!D:D,A8,'Master Leads'!F:F,"Converted")</f>
        <v>0</v>
      </c>
      <c r="D8" s="33">
        <f>COUNTIFS('Master Leads'!D:D,A8,'Master Leads'!O:O,"Yes")</f>
        <v>0</v>
      </c>
      <c r="E8" s="35">
        <f>COUNTIFS('Master Leads'!D:D,A8,'Master Leads'!F:F,"No Answer")</f>
        <v>169</v>
      </c>
      <c r="F8" s="36">
        <f t="shared" si="1"/>
        <v>0</v>
      </c>
      <c r="G8" s="36">
        <f t="shared" si="2"/>
        <v>0</v>
      </c>
      <c r="H8" s="37"/>
      <c r="I8" s="38"/>
    </row>
    <row r="9" ht="21.75" customHeight="1">
      <c r="A9" s="39" t="s">
        <v>69</v>
      </c>
      <c r="B9" s="40">
        <f>COUNTIF('Master Leads'!D:D,A9)</f>
        <v>535</v>
      </c>
      <c r="C9" s="42">
        <f>COUNTIFS('Master Leads'!D:D,A9,'Master Leads'!F:F,"Converted")</f>
        <v>2</v>
      </c>
      <c r="D9" s="42">
        <f>COUNTIFS('Master Leads'!D:D,A9,'Master Leads'!O:O,"Yes")</f>
        <v>0</v>
      </c>
      <c r="E9" s="43">
        <f>COUNTIFS('Master Leads'!D:D,A9,'Master Leads'!F:F,"No Answer")</f>
        <v>135</v>
      </c>
      <c r="F9" s="44">
        <f t="shared" si="1"/>
        <v>0.003738317757</v>
      </c>
      <c r="G9" s="44">
        <f t="shared" si="2"/>
        <v>0</v>
      </c>
      <c r="H9" s="45"/>
      <c r="I9" s="46"/>
    </row>
    <row r="10" ht="24.0" customHeight="1">
      <c r="A10" s="54" t="s">
        <v>120</v>
      </c>
      <c r="B10" s="40">
        <f>COUNTIF('Master Leads'!D:D,A10)</f>
        <v>427</v>
      </c>
      <c r="C10" s="42">
        <f>COUNTIFS('Master Leads'!D:D,A10,'Master Leads'!F:F,"Converted")</f>
        <v>3</v>
      </c>
      <c r="D10" s="42">
        <f>COUNTIFS('Master Leads'!D:D,A10,'Master Leads'!O:O,"Yes")</f>
        <v>0</v>
      </c>
      <c r="E10" s="43">
        <f>COUNTIFS('Master Leads'!D:D,A10,'Master Leads'!F:F,"No Answer")</f>
        <v>117</v>
      </c>
      <c r="F10" s="55">
        <f t="shared" si="1"/>
        <v>0.007025761124</v>
      </c>
      <c r="G10" s="55">
        <f t="shared" si="2"/>
        <v>0</v>
      </c>
      <c r="H10" s="45"/>
      <c r="I10" s="46"/>
    </row>
    <row r="11" ht="24.0" customHeight="1">
      <c r="A11" s="54" t="s">
        <v>97</v>
      </c>
      <c r="B11" s="40">
        <f>COUNTIF('Master Leads'!D:D,A11)</f>
        <v>325</v>
      </c>
      <c r="C11" s="42">
        <f>COUNTIFS('Master Leads'!D:D,A11,'Master Leads'!F:F,"Converted")</f>
        <v>5</v>
      </c>
      <c r="D11" s="42">
        <f>COUNTIFS('Master Leads'!D:D,A11,'Master Leads'!O:O,"Yes")</f>
        <v>0</v>
      </c>
      <c r="E11" s="43">
        <f>COUNTIFS('Master Leads'!D:D,A11,'Master Leads'!F:F,"No Answer")</f>
        <v>85</v>
      </c>
      <c r="F11" s="55">
        <f t="shared" si="1"/>
        <v>0.01538461538</v>
      </c>
      <c r="G11" s="55">
        <f t="shared" si="2"/>
        <v>0</v>
      </c>
      <c r="H11" s="45"/>
      <c r="I11" s="46"/>
    </row>
    <row r="12" ht="24.0" customHeight="1">
      <c r="A12" s="56" t="s">
        <v>123</v>
      </c>
      <c r="B12" s="57">
        <f>COUNTA('Master Leads'!B:B)-1</f>
        <v>3296</v>
      </c>
      <c r="C12" s="57">
        <f>COUNTIF('Master Leads'!F:F,"Converted")</f>
        <v>23</v>
      </c>
      <c r="D12" s="57">
        <f>COUNTIF('Master Leads'!O:O,"Yes")</f>
        <v>0</v>
      </c>
      <c r="E12" s="57">
        <f>COUNTIF('Master Leads'!F:F,"No Answer")</f>
        <v>825</v>
      </c>
      <c r="F12" s="61"/>
      <c r="G12" s="61"/>
      <c r="H12" s="61"/>
      <c r="I12" s="6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748B"/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19.5" customHeight="1">
      <c r="A1" s="18" t="s">
        <v>27</v>
      </c>
    </row>
    <row r="2" ht="7.5" customHeight="1">
      <c r="A2" s="20"/>
    </row>
    <row r="3" ht="19.5" customHeight="1">
      <c r="A3" s="23" t="s">
        <v>31</v>
      </c>
    </row>
    <row r="4" ht="7.5" customHeight="1">
      <c r="A4" s="20"/>
    </row>
    <row r="5" ht="19.5" customHeight="1">
      <c r="A5" s="26" t="s">
        <v>37</v>
      </c>
    </row>
    <row r="6" ht="19.5" customHeight="1">
      <c r="A6" s="26" t="s">
        <v>39</v>
      </c>
    </row>
    <row r="7" ht="19.5" customHeight="1">
      <c r="A7" s="26" t="s">
        <v>41</v>
      </c>
    </row>
    <row r="8" ht="19.5" customHeight="1">
      <c r="A8" s="26" t="s">
        <v>43</v>
      </c>
    </row>
    <row r="9" ht="7.5" customHeight="1">
      <c r="A9" s="20"/>
    </row>
    <row r="10" ht="19.5" customHeight="1">
      <c r="A10" s="23" t="s">
        <v>46</v>
      </c>
    </row>
    <row r="11" ht="7.5" customHeight="1">
      <c r="A11" s="20"/>
    </row>
    <row r="12" ht="19.5" customHeight="1">
      <c r="A12" s="26" t="s">
        <v>47</v>
      </c>
    </row>
    <row r="13" ht="19.5" customHeight="1">
      <c r="A13" s="26" t="s">
        <v>48</v>
      </c>
    </row>
    <row r="14" ht="19.5" customHeight="1">
      <c r="A14" s="26" t="s">
        <v>51</v>
      </c>
    </row>
    <row r="15" ht="19.5" customHeight="1">
      <c r="A15" s="26" t="s">
        <v>52</v>
      </c>
    </row>
    <row r="16" ht="7.5" customHeight="1">
      <c r="A16" s="20"/>
    </row>
    <row r="17" ht="19.5" customHeight="1">
      <c r="A17" s="23" t="s">
        <v>53</v>
      </c>
    </row>
    <row r="18" ht="7.5" customHeight="1">
      <c r="A18" s="20"/>
    </row>
    <row r="19" ht="19.5" customHeight="1">
      <c r="A19" s="26" t="s">
        <v>55</v>
      </c>
    </row>
    <row r="20" ht="19.5" customHeight="1">
      <c r="A20" s="26" t="s">
        <v>58</v>
      </c>
    </row>
    <row r="21" ht="19.5" customHeight="1">
      <c r="A21" s="26" t="s">
        <v>60</v>
      </c>
    </row>
    <row r="22" ht="19.5" customHeight="1">
      <c r="A22" s="26" t="s">
        <v>62</v>
      </c>
    </row>
    <row r="23" ht="19.5" customHeight="1">
      <c r="A23" s="26" t="s">
        <v>64</v>
      </c>
    </row>
    <row r="24" ht="19.5" customHeight="1">
      <c r="A24" s="26" t="s">
        <v>66</v>
      </c>
    </row>
    <row r="25" ht="19.5" customHeight="1">
      <c r="A25" s="26" t="s">
        <v>70</v>
      </c>
    </row>
    <row r="26" ht="19.5" customHeight="1">
      <c r="A26" s="26" t="s">
        <v>72</v>
      </c>
    </row>
    <row r="27" ht="19.5" customHeight="1">
      <c r="A27" s="26" t="s">
        <v>73</v>
      </c>
    </row>
    <row r="28" ht="19.5" customHeight="1">
      <c r="A28" s="26" t="s">
        <v>74</v>
      </c>
    </row>
    <row r="29" ht="19.5" customHeight="1">
      <c r="A29" s="26" t="s">
        <v>75</v>
      </c>
    </row>
    <row r="30" ht="19.5" customHeight="1">
      <c r="A30" s="26" t="s">
        <v>76</v>
      </c>
    </row>
    <row r="31" ht="19.5" customHeight="1">
      <c r="A31" s="26" t="s">
        <v>78</v>
      </c>
    </row>
    <row r="32" ht="19.5" customHeight="1">
      <c r="A32" s="26" t="s">
        <v>79</v>
      </c>
    </row>
    <row r="33" ht="19.5" customHeight="1">
      <c r="A33" s="26" t="s">
        <v>80</v>
      </c>
    </row>
    <row r="34" ht="19.5" customHeight="1">
      <c r="A34" s="26" t="s">
        <v>81</v>
      </c>
    </row>
    <row r="35" ht="7.5" customHeight="1">
      <c r="A35" s="20"/>
    </row>
    <row r="36" ht="19.5" customHeight="1">
      <c r="A36" s="23" t="s">
        <v>82</v>
      </c>
    </row>
    <row r="37" ht="7.5" customHeight="1">
      <c r="A37" s="20"/>
    </row>
    <row r="38" ht="19.5" customHeight="1">
      <c r="A38" s="26" t="s">
        <v>83</v>
      </c>
    </row>
    <row r="39" ht="19.5" customHeight="1">
      <c r="A39" s="26" t="s">
        <v>84</v>
      </c>
    </row>
    <row r="40" ht="19.5" customHeight="1">
      <c r="A40" s="26" t="s">
        <v>85</v>
      </c>
    </row>
    <row r="41" ht="7.5" customHeight="1">
      <c r="A41" s="20"/>
    </row>
    <row r="42" ht="19.5" customHeight="1">
      <c r="A42" s="23" t="s">
        <v>86</v>
      </c>
    </row>
    <row r="43" ht="7.5" customHeight="1">
      <c r="A43" s="20"/>
    </row>
    <row r="44" ht="19.5" customHeight="1">
      <c r="A44" s="26" t="s">
        <v>87</v>
      </c>
    </row>
    <row r="45" ht="19.5" customHeight="1">
      <c r="A45" s="26" t="s">
        <v>88</v>
      </c>
    </row>
    <row r="46" ht="19.5" customHeight="1">
      <c r="A46" s="26" t="s">
        <v>89</v>
      </c>
    </row>
    <row r="47" ht="19.5" customHeight="1">
      <c r="A47" s="26" t="s">
        <v>90</v>
      </c>
    </row>
    <row r="48" ht="19.5" customHeight="1">
      <c r="A48" s="26" t="s">
        <v>92</v>
      </c>
    </row>
    <row r="49" ht="19.5" customHeight="1">
      <c r="A49" s="26" t="s">
        <v>93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